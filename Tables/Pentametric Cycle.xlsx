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Pentametric Cycle" sheetId="1" state="visible" r:id="rId3"/>
    <sheet name="Verification" sheetId="2" state="visible" r:id="rId4"/>
    <sheet name="Structure" sheetId="3" state="visible" r:id="rId5"/>
    <sheet name="Palindrome" sheetId="4" state="visible" r:id="rId6"/>
    <sheet name="Interval Map Table" sheetId="5" state="visible" r:id="rId7"/>
    <sheet name="Summary" sheetId="6" state="visible" r:id="rId8"/>
    <sheet name="Silence as 5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<sst xmlns="http://schemas.openxmlformats.org/spreadsheetml/2006/main" count="214" uniqueCount="177">
  <si>
    <t xml:space="preserve">n</t>
  </si>
  <si>
    <t xml:space="preserve">m = 4n² mod 10</t>
  </si>
  <si>
    <t xml:space="preserve">C(m) = (26m − 5m²)/24</t>
  </si>
  <si>
    <t xml:space="preserve">s(n)² = (n² + 4C(m))/5</t>
  </si>
  <si>
    <t xml:space="preserve">s(n)² mod 10</t>
  </si>
  <si>
    <t xml:space="preserve">2 × s(n)²</t>
  </si>
  <si>
    <t xml:space="preserve">2s(n)² mod 10</t>
  </si>
  <si>
    <t xml:space="preserve">G / 2</t>
  </si>
  <si>
    <t xml:space="preserve">Interval</t>
  </si>
  <si>
    <t xml:space="preserve">Greek Name</t>
  </si>
  <si>
    <t xml:space="preserve">Mirror Check</t>
  </si>
  <si>
    <t xml:space="preserve">Legend</t>
  </si>
  <si>
    <t xml:space="preserve">Meaning</t>
  </si>
  <si>
    <t xml:space="preserve">the residue</t>
  </si>
  <si>
    <t xml:space="preserve">the Interval Map output</t>
  </si>
  <si>
    <t xml:space="preserve">the Pentametric Area</t>
  </si>
  <si>
    <t xml:space="preserve">area last digit (original cycle)</t>
  </si>
  <si>
    <t xml:space="preserve">the doubled area</t>
  </si>
  <si>
    <t xml:space="preserve">doubled area last digit</t>
  </si>
  <si>
    <t xml:space="preserve">the halved digit (0–4)</t>
  </si>
  <si>
    <t xml:space="preserve">name of the interval</t>
  </si>
  <si>
    <t xml:space="preserve">Greek interval name</t>
  </si>
  <si>
    <t xml:space="preserve">mirror verification</t>
  </si>
  <si>
    <t xml:space="preserve">Structural Note</t>
  </si>
  <si>
    <t xml:space="preserve">Vertebra: 25 terms = 5²; 24 transitions = 4!; Axis at n=25</t>
  </si>
  <si>
    <t xml:space="preserve">Digit</t>
  </si>
  <si>
    <t xml:space="preserve">Greek name </t>
  </si>
  <si>
    <t xml:space="preserve">Vertebra count (25 terms)</t>
  </si>
  <si>
    <t xml:space="preserve">Count in Palindrome (51)</t>
  </si>
  <si>
    <t xml:space="preserve">Frequency</t>
  </si>
  <si>
    <t xml:space="preserve">Origin (silence)</t>
  </si>
  <si>
    <t xml:space="preserve">—</t>
  </si>
  <si>
    <t xml:space="preserve">Unison (1:1)</t>
  </si>
  <si>
    <t xml:space="preserve">ὁμώνυμον</t>
  </si>
  <si>
    <t xml:space="preserve">Octave (2:1)</t>
  </si>
  <si>
    <t xml:space="preserve">διὰ πασῶν</t>
  </si>
  <si>
    <t xml:space="preserve">Fifth (3:2)</t>
  </si>
  <si>
    <t xml:space="preserve">διὰ πέντε</t>
  </si>
  <si>
    <t xml:space="preserve">Fourth (4:3)</t>
  </si>
  <si>
    <t xml:space="preserve">διὰ τεσσάρων</t>
  </si>
  <si>
    <t xml:space="preserve">TOTAL</t>
  </si>
  <si>
    <t xml:space="preserve">Vertebra: 25 terms = 5²</t>
  </si>
  <si>
    <t xml:space="preserve">Transitions: 24 = 4!</t>
  </si>
  <si>
    <t xml:space="preserve">Axis: 1 (n=25)</t>
  </si>
  <si>
    <t xml:space="preserve">Pythagorean triple: 9 + 16 = 25</t>
  </si>
  <si>
    <t xml:space="preserve">Structure</t>
  </si>
  <si>
    <t xml:space="preserve">Count</t>
  </si>
  <si>
    <t xml:space="preserve">Square / Factorial</t>
  </si>
  <si>
    <t xml:space="preserve">English Name</t>
  </si>
  <si>
    <t xml:space="preserve">Terms in Vertebra</t>
  </si>
  <si>
    <t xml:space="preserve">5^2</t>
  </si>
  <si>
    <t xml:space="preserve">Ὁ Πεντάμετρος Σπόνδυλος</t>
  </si>
  <si>
    <t xml:space="preserve">The Pentametric Vertebra</t>
  </si>
  <si>
    <t xml:space="preserve">Transitions in Vertebra</t>
  </si>
  <si>
    <t xml:space="preserve">4!</t>
  </si>
  <si>
    <t xml:space="preserve">Αἱ Εἴκοσι Τέσσαρες Μεταβάσεις</t>
  </si>
  <si>
    <t xml:space="preserve">The Twenty-Four Transitions</t>
  </si>
  <si>
    <t xml:space="preserve">Axis</t>
  </si>
  <si>
    <t xml:space="preserve">Ὁ Ἄξων</t>
  </si>
  <si>
    <t xml:space="preserve">The Axis</t>
  </si>
  <si>
    <t xml:space="preserve">Silence Skeleton</t>
  </si>
  <si>
    <t xml:space="preserve">3^2</t>
  </si>
  <si>
    <t xml:space="preserve">Ἡ Τριάδικη Σιγή</t>
  </si>
  <si>
    <t xml:space="preserve">The Triadic Silence</t>
  </si>
  <si>
    <t xml:space="preserve">Consonance Skeleton</t>
  </si>
  <si>
    <t xml:space="preserve">4^2</t>
  </si>
  <si>
    <t xml:space="preserve">Τὸ Τετράγωνον Σπέρμα</t>
  </si>
  <si>
    <t xml:space="preserve">The Square Seed</t>
  </si>
  <si>
    <t xml:space="preserve">Consonances</t>
  </si>
  <si>
    <t xml:space="preserve">2^2</t>
  </si>
  <si>
    <t xml:space="preserve">Αἱ Τέσσαρες Συμφωνίαι</t>
  </si>
  <si>
    <t xml:space="preserve">The Four Consonances</t>
  </si>
  <si>
    <t xml:space="preserve">Formula</t>
  </si>
  <si>
    <t xml:space="preserve">Palindrome</t>
  </si>
  <si>
    <t xml:space="preserve">2×5²+1</t>
  </si>
  <si>
    <t xml:space="preserve">Ὁ Πενταμετρικὸς Παλίνδρομος</t>
  </si>
  <si>
    <t xml:space="preserve">The Pentametric Palindrome</t>
  </si>
  <si>
    <t xml:space="preserve">Part 1</t>
  </si>
  <si>
    <t xml:space="preserve">First half</t>
  </si>
  <si>
    <t xml:space="preserve">Part 2</t>
  </si>
  <si>
    <t xml:space="preserve">Second half</t>
  </si>
  <si>
    <t xml:space="preserve">Identity</t>
  </si>
  <si>
    <t xml:space="preserve">Expression</t>
  </si>
  <si>
    <t xml:space="preserve">Pythagorean Triple</t>
  </si>
  <si>
    <t xml:space="preserve">(3^2)+(4^2) = 5^2</t>
  </si>
  <si>
    <t xml:space="preserve">Ἡ Πυθαγόρειος Τριάς</t>
  </si>
  <si>
    <t xml:space="preserve">The Pythagorean Triple</t>
  </si>
  <si>
    <t xml:space="preserve">Silence + Consonance</t>
  </si>
  <si>
    <t xml:space="preserve">9+16=25</t>
  </si>
  <si>
    <t xml:space="preserve">Triadic Silence + Square Seed = Vertebra</t>
  </si>
  <si>
    <t xml:space="preserve">Position</t>
  </si>
  <si>
    <t xml:space="preserve">English Name </t>
  </si>
  <si>
    <t xml:space="preserve">Structural Marker</t>
  </si>
  <si>
    <t xml:space="preserve">Visual Mirror</t>
  </si>
  <si>
    <t xml:space="preserve">Transitions</t>
  </si>
  <si>
    <t xml:space="preserve">m</t>
  </si>
  <si>
    <t xml:space="preserve">C(m)</t>
  </si>
  <si>
    <t xml:space="preserve">Ratio</t>
  </si>
  <si>
    <t xml:space="preserve">Greek</t>
  </si>
  <si>
    <t xml:space="preserve">origin</t>
  </si>
  <si>
    <t xml:space="preserve">fourth</t>
  </si>
  <si>
    <t xml:space="preserve">unison</t>
  </si>
  <si>
    <t xml:space="preserve">inversion</t>
  </si>
  <si>
    <t xml:space="preserve">ἀντιστροφή</t>
  </si>
  <si>
    <t xml:space="preserve">apotome</t>
  </si>
  <si>
    <t xml:space="preserve">ἀποτομή</t>
  </si>
  <si>
    <t xml:space="preserve">Note:</t>
  </si>
  <si>
    <t xml:space="preserve">C(m) is the Interval Map (Ὁ Διαστηματικὸς Χάρτης)</t>
  </si>
  <si>
    <t xml:space="preserve">Also called the Harmonic Canon (Ὁ Ἁρμονικὸς Κανών)</t>
  </si>
  <si>
    <t xml:space="preserve">Ὁ Πενταμετρικὸς Κύκλος</t>
  </si>
  <si>
    <t xml:space="preserve">The Pentametric Cycle</t>
  </si>
  <si>
    <t xml:space="preserve">Formula:</t>
  </si>
  <si>
    <t xml:space="preserve">Structure:</t>
  </si>
  <si>
    <t xml:space="preserve">Fundamental period: 25 terms = 5²</t>
  </si>
  <si>
    <t xml:space="preserve">Consonance skeleton: 16 = 4²</t>
  </si>
  <si>
    <t xml:space="preserve">	Silence skeleton: 9 = 3²</t>
  </si>
  <si>
    <t xml:space="preserve">Pythagorean triple: 3² + 4² = 5²</t>
  </si>
  <si>
    <t xml:space="preserve">Palindrome: 51 terms = 2×5² + 1 </t>
  </si>
  <si>
    <t xml:space="preserve">Structure: P + Axis + P</t>
  </si>
  <si>
    <t xml:space="preserve">Axis: position 25 (self-mirroring)</t>
  </si>
  <si>
    <t xml:space="preserve">Consonances: 4 (unison, octave, fifth, fourth)</t>
  </si>
  <si>
    <t xml:space="preserve">Each appears 4× in the Vertebra, 8× in the Palindrome</t>
  </si>
  <si>
    <t xml:space="preserve">Names:</t>
  </si>
  <si>
    <t xml:space="preserve">Ὁ Πενταμετρικὸς Κύκλος — The Pentametric Cycle</t>
  </si>
  <si>
    <t xml:space="preserve">Ὁ Πενταμετρικὸς Παλίνδρομος — The Pentametric Palindrome</t>
  </si>
  <si>
    <t xml:space="preserve">Ὁ Πεντάμετρος Σπόνδυλος — The Pentametric Vertebra</t>
  </si>
  <si>
    <t xml:space="preserve">ἱ Εἴκοσι Τέσσαρες Μεταβάσεις — The Twenty-Four Transitions</t>
  </si>
  <si>
    <t xml:space="preserve">Ὁ Ἄξων — The Axis</t>
  </si>
  <si>
    <t xml:space="preserve">Τὸ Τετράγωνον Σπέρμα — The Square Seed</t>
  </si>
  <si>
    <t xml:space="preserve">Ἡ Τριάδικη Σιγή — The Triadic Silence</t>
  </si>
  <si>
    <t xml:space="preserve">Αἱ Τέσσαρες Συμφωνίαι — The Four Consonances</t>
  </si>
  <si>
    <t xml:space="preserve">Ἡ Πυθαγόρειος Τριάς — The Pythagorean Triple</t>
  </si>
  <si>
    <t xml:space="preserve">Ὁ Πενταμετρικὸς Τύπος — The Pentametric Formula</t>
  </si>
  <si>
    <t xml:space="preserve">Ὁ Διαστηματικὸς Χάρτης — The Interval Map</t>
  </si>
  <si>
    <t xml:space="preserve">𝔓(n) = (n² + 4C(m))/5</t>
  </si>
  <si>
    <t xml:space="preserve">H = 𝔓 mod 5</t>
  </si>
  <si>
    <t xml:space="preserve">i (no 0) = 1 + MOD(𝔓 − 1; 5)</t>
  </si>
  <si>
    <t xml:space="preserve">i/i−1 (step)</t>
  </si>
  <si>
    <t xml:space="preserve">step as text</t>
  </si>
  <si>
    <t xml:space="preserve">step in one octave</t>
  </si>
  <si>
    <t xml:space="preserve">interval of the step</t>
  </si>
  <si>
    <t xml:space="preserve">reading A: i:(i−1)</t>
  </si>
  <si>
    <t xml:space="preserve">check: step × step at 51 − n</t>
  </si>
  <si>
    <t xml:space="preserve">Intervals in one octave</t>
  </si>
  <si>
    <t xml:space="preserve">value</t>
  </si>
  <si>
    <t xml:space="preserve">interval</t>
  </si>
  <si>
    <t xml:space="preserve">ratio</t>
  </si>
  <si>
    <t xml:space="preserve">steps per period (n = 1–25)</t>
  </si>
  <si>
    <t xml:space="preserve">unison / octave(s)</t>
  </si>
  <si>
    <t xml:space="preserve">1/1</t>
  </si>
  <si>
    <t xml:space="preserve">minor third</t>
  </si>
  <si>
    <t xml:space="preserve">6/5</t>
  </si>
  <si>
    <t xml:space="preserve">major third</t>
  </si>
  <si>
    <t xml:space="preserve">5/4</t>
  </si>
  <si>
    <t xml:space="preserve">4/3</t>
  </si>
  <si>
    <t xml:space="preserve">fifth</t>
  </si>
  <si>
    <t xml:space="preserve">3/2</t>
  </si>
  <si>
    <t xml:space="preserve">minor sixth</t>
  </si>
  <si>
    <t xml:space="preserve">8/5</t>
  </si>
  <si>
    <t xml:space="preserve">major sixth</t>
  </si>
  <si>
    <t xml:space="preserve">5/3</t>
  </si>
  <si>
    <t xml:space="preserve">total</t>
  </si>
  <si>
    <t xml:space="preserve">Reading A: i:(i−1) per period</t>
  </si>
  <si>
    <t xml:space="preserve">1:1</t>
  </si>
  <si>
    <t xml:space="preserve">2:1</t>
  </si>
  <si>
    <t xml:space="preserve">3:2</t>
  </si>
  <si>
    <t xml:space="preserve">4:3</t>
  </si>
  <si>
    <t xml:space="preserve">5:4</t>
  </si>
  <si>
    <t xml:space="preserve">Product of the 25 steps (n = 1–25)</t>
  </si>
  <si>
    <t xml:space="preserve">Notes</t>
  </si>
  <si>
    <t xml:space="preserve">i (no 0): Lluis Garcia Torcal's reading of mod 5 as groups whose members are 1–5 (5 is the fifth member, not 0); written 1 + MOD(𝔓 − 1; 5).</t>
  </si>
  <si>
    <t xml:space="preserve">With it every step i/i−1 is defined (the usual MOD would give 0 at every silence).</t>
  </si>
  <si>
    <t xml:space="preserve">The note at step n is i(n) times a fundamental: the cycle plays only the harmonics 1–5 (natural trumpet); each step is a leap between two of them.</t>
  </si>
  <si>
    <t xml:space="preserve">Product of the 25 steps = 1: the melody comes home every period. Last column: step(n) × step(51 − n) = 1: the second half of the palindrome makes the leaps of the first half in reverse order and the other way up (the melody is its own retrograde).</t>
  </si>
  <si>
    <t xml:space="preserve">Any ratio of two numbers from 1 to 5 is consonant (Zarlino's senario); the cycle chooses which ones, how often and in what order.</t>
  </si>
  <si>
    <t xml:space="preserve">Reading A: i:(i−1) with the silences read as 5 gives 5:4, a major third, in place of every silence.</t>
  </si>
  <si>
    <t xml:space="preserve">Rows n = 0, 25, 50 (the silent axis and its ends) are shaded.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</si>
</sst>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General"/>
    <numFmt numFmtId="166" formatCode="0%"/>
    <numFmt numFmtId="167" formatCode="0.00"/>
    <numFmt numFmtId="168" formatCode="0.0000"/>
  </numFmts>
  <fonts count="23">
    <font>
      <sz val="11"/>
      <color theme="1"/>
      <name val="Aptos Narrow"/>
      <family val="0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2"/>
      <color theme="0"/>
      <name val="Garamond"/>
      <family val="0"/>
      <charset val="1"/>
    </font>
    <font>
      <b val="true"/>
      <sz val="12"/>
      <color rgb="FFFFFFFF"/>
      <name val="Garamond"/>
      <family val="0"/>
      <charset val="1"/>
    </font>
    <font>
      <sz val="12"/>
      <color theme="1"/>
      <name val="Garamond"/>
      <family val="0"/>
      <charset val="1"/>
    </font>
    <font>
      <b val="true"/>
      <sz val="12"/>
      <color theme="1"/>
      <name val="Garamond"/>
      <family val="0"/>
      <charset val="1"/>
    </font>
    <font>
      <sz val="10"/>
      <color theme="1"/>
      <name val="arial"/>
      <family val="0"/>
      <charset val="1"/>
    </font>
    <font>
      <b val="true"/>
      <sz val="16"/>
      <color theme="0"/>
      <name val="Garamond"/>
      <family val="0"/>
      <charset val="1"/>
    </font>
    <font>
      <sz val="16"/>
      <color theme="1"/>
      <name val="Garamond"/>
      <family val="0"/>
      <charset val="1"/>
    </font>
    <font>
      <b val="true"/>
      <sz val="16"/>
      <color theme="1"/>
      <name val="Garamond"/>
      <family val="0"/>
      <charset val="1"/>
    </font>
    <font>
      <b val="true"/>
      <sz val="11"/>
      <color theme="0"/>
      <name val="arial"/>
      <family val="0"/>
      <charset val="1"/>
    </font>
    <font>
      <sz val="11"/>
      <color theme="1"/>
      <name val="arial"/>
      <family val="0"/>
      <charset val="1"/>
    </font>
    <font>
      <sz val="11"/>
      <color theme="1"/>
      <name val="Garamond"/>
      <family val="0"/>
      <charset val="1"/>
    </font>
    <font>
      <b val="true"/>
      <sz val="10"/>
      <color theme="1"/>
      <name val="arial"/>
      <family val="0"/>
      <charset val="1"/>
    </font>
    <font>
      <b val="true"/>
      <sz val="14"/>
      <color theme="0"/>
      <name val="Garamond"/>
      <family val="0"/>
      <charset val="1"/>
    </font>
    <font>
      <sz val="14"/>
      <color theme="1"/>
      <name val="Aptos Narrow"/>
      <family val="0"/>
      <charset val="1"/>
    </font>
    <font>
      <sz val="14"/>
      <color theme="1"/>
      <name val="Garamond"/>
      <family val="0"/>
      <charset val="1"/>
    </font>
    <font>
      <b val="true"/>
      <sz val="14"/>
      <color theme="1"/>
      <name val="Garamond"/>
      <family val="0"/>
      <charset val="1"/>
    </font>
    <font>
      <sz val="12"/>
      <name val="Garamond"/>
      <family val="0"/>
      <charset val="1"/>
    </font>
    <font>
      <b val="true"/>
      <sz val="12"/>
      <name val="Garamond"/>
      <family val="0"/>
      <charset val="1"/>
    </font>
    <font>
      <i val="true"/>
      <sz val="11"/>
      <color rgb="FF555555"/>
      <name val="Garamond"/>
      <family val="0"/>
      <charset val="1"/>
    </font>
  </fonts>
  <fills count="8">
    <fill>
      <patternFill patternType="none"/>
    </fill>
    <fill>
      <patternFill patternType="gray125"/>
    </fill>
    <fill>
      <patternFill patternType="solid">
        <fgColor rgb="FF215E99"/>
        <bgColor rgb="FF008080"/>
      </patternFill>
    </fill>
    <fill>
      <patternFill patternType="solid">
        <fgColor rgb="FFFFD966"/>
        <bgColor rgb="FFFFCC66"/>
      </patternFill>
    </fill>
    <fill>
      <patternFill patternType="solid">
        <fgColor rgb="FFDBE9F7"/>
        <bgColor rgb="FFE8E4D8"/>
      </patternFill>
    </fill>
    <fill>
      <patternFill patternType="solid">
        <fgColor rgb="FFFFCC66"/>
        <bgColor rgb="FFFFD966"/>
      </patternFill>
    </fill>
    <fill>
      <patternFill patternType="solid">
        <fgColor rgb="FFAEAEAE"/>
        <bgColor rgb="FF969696"/>
      </patternFill>
    </fill>
    <fill>
      <patternFill patternType="solid">
        <fgColor rgb="FFE8E4D8"/>
        <bgColor rgb="FFDBE9F7"/>
      </patternFill>
    </fill>
  </fills>
  <borders count="13">
    <border diagonalUp="false" diagonalDown="false">
      <left/>
      <right/>
      <top/>
      <bottom/>
      <diagonal/>
    </border>
    <border diagonalUp="false" diagonalDown="false">
      <left style="medium"/>
      <right style="thin"/>
      <top style="medium"/>
      <bottom style="thin"/>
      <diagonal/>
    </border>
    <border diagonalUp="false" diagonalDown="false">
      <left style="thin"/>
      <right style="thin"/>
      <top style="medium"/>
      <bottom style="thin"/>
      <diagonal/>
    </border>
    <border diagonalUp="false" diagonalDown="false">
      <left style="thin"/>
      <right style="medium"/>
      <top style="medium"/>
      <bottom style="thin"/>
      <diagonal/>
    </border>
    <border diagonalUp="false" diagonalDown="false">
      <left style="medium"/>
      <right style="thin"/>
      <top style="thin"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 style="medium"/>
      <top style="thin"/>
      <bottom style="thin"/>
      <diagonal/>
    </border>
    <border diagonalUp="false" diagonalDown="false">
      <left style="medium"/>
      <right style="thin"/>
      <top style="thin"/>
      <bottom style="medium"/>
      <diagonal/>
    </border>
    <border diagonalUp="false" diagonalDown="false">
      <left style="thin"/>
      <right style="thin"/>
      <top style="thin"/>
      <bottom style="medium"/>
      <diagonal/>
    </border>
    <border diagonalUp="false" diagonalDown="false">
      <left style="thin"/>
      <right style="medium"/>
      <top style="thin"/>
      <bottom style="medium"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 style="medium"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6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6" fillId="3" borderId="4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3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7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5" fontId="6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0" borderId="9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2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1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5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8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1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12" fillId="2" borderId="1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3" fillId="0" borderId="1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4" fillId="0" borderId="1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4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0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5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4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6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7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6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9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5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10" fillId="0" borderId="8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true" applyProtection="false">
      <alignment horizontal="left" vertical="center" textRotation="0" wrapText="false" indent="0" shrinkToFit="false"/>
      <protection locked="true" hidden="false"/>
    </xf>
    <xf numFmtId="164" fontId="16" fillId="2" borderId="1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16" fillId="2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9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7" fillId="0" borderId="1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8" fillId="0" borderId="1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2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0" fillId="7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21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8" fontId="20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20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22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AEAEAE"/>
      <rgbColor rgb="FF808080"/>
      <rgbColor rgb="FF9999FF"/>
      <rgbColor rgb="FF993366"/>
      <rgbColor rgb="FFE8E4D8"/>
      <rgbColor rgb="FFDBE9F7"/>
      <rgbColor rgb="FF660066"/>
      <rgbColor rgb="FFFF8080"/>
      <rgbColor rgb="FF215E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D966"/>
      <rgbColor rgb="FF99CCFF"/>
      <rgbColor rgb="FFFF99CC"/>
      <rgbColor rgb="FFCC99FF"/>
      <rgbColor rgb="FFFFCC66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Aptos Narrow" pitchFamily="0" charset="1"/>
        <a:ea typeface="Aptos Narrow" pitchFamily="0" charset="1"/>
        <a:cs typeface="Aptos Narrow" pitchFamily="0" charset="1"/>
      </a:majorFont>
      <a:minorFont>
        <a:latin typeface="Aptos Narrow" pitchFamily="0" charset="1"/>
        <a:ea typeface="Aptos Narrow" pitchFamily="0" charset="1"/>
        <a:cs typeface="Aptos Narrow" pitchFamily="0" charset="1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1773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5703125" defaultRowHeight="15" zeroHeight="false" outlineLevelRow="0" outlineLevelCol="0"/>
  <cols>
    <col collapsed="false" customWidth="true" hidden="false" outlineLevel="0" max="1" min="1" style="1" width="7.71"/>
    <col collapsed="false" customWidth="true" hidden="false" outlineLevel="0" max="2" min="2" style="1" width="20.28"/>
    <col collapsed="false" customWidth="true" hidden="false" outlineLevel="0" max="3" min="3" style="1" width="27.85"/>
    <col collapsed="false" customWidth="true" hidden="false" outlineLevel="0" max="4" min="4" style="1" width="27.42"/>
    <col collapsed="false" customWidth="true" hidden="false" outlineLevel="0" max="11" min="5" style="1" width="20.42"/>
    <col collapsed="false" customWidth="true" hidden="false" outlineLevel="0" max="12" min="12" style="1" width="22.42"/>
    <col collapsed="false" customWidth="true" hidden="false" outlineLevel="0" max="13" min="13" style="1" width="25.42"/>
  </cols>
  <sheetData>
    <row r="1" customFormat="false" ht="15.75" hidden="false" customHeight="true" outlineLevel="0" collapsed="false">
      <c r="A1" s="2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5" t="s">
        <v>10</v>
      </c>
      <c r="L1" s="6" t="s">
        <v>11</v>
      </c>
      <c r="M1" s="7" t="s">
        <v>12</v>
      </c>
    </row>
    <row r="2" customFormat="false" ht="15.75" hidden="false" customHeight="true" outlineLevel="0" collapsed="false">
      <c r="A2" s="8" t="n">
        <v>0</v>
      </c>
      <c r="B2" s="9" t="n">
        <f aca="false">MOD(4*A2^2,10)</f>
        <v>0</v>
      </c>
      <c r="C2" s="9" t="n">
        <f aca="false">(26*B2-5*B2^2)/24</f>
        <v>0</v>
      </c>
      <c r="D2" s="9" t="n">
        <f aca="false">(A2^2+4*C2)/5</f>
        <v>0</v>
      </c>
      <c r="E2" s="9" t="n">
        <f aca="false">MOD(D2,10)</f>
        <v>0</v>
      </c>
      <c r="F2" s="9" t="n">
        <f aca="false">2*D2</f>
        <v>0</v>
      </c>
      <c r="G2" s="9" t="n">
        <f aca="false">MOD(F2,10)</f>
        <v>0</v>
      </c>
      <c r="H2" s="9" t="n">
        <f aca="false">G2/2</f>
        <v>0</v>
      </c>
      <c r="I2" s="9" t="str">
        <f aca="false">IF(H2=0,"—",IF(H2=1,"unison (1:1)",IF(H2=2,"octave (2:1)",IF(H2=3,"fifth (3:2)",IF(H2=4,"fourth (4:3)","?")))))</f>
        <v>—</v>
      </c>
      <c r="J2" s="9" t="str">
        <f aca="false">IF(H2=0,"—",IF(H2=1,"ὁμώνυμον",IF(H2=2,"διὰ πασῶν",IF(H2=3,"διὰ πέντε",IF(H2=4,"διὰ τεσσάρων","?")))))</f>
        <v>—</v>
      </c>
      <c r="K2" s="10" t="str">
        <f aca="false" t="array" ref="K2:K2">IF(H2=INDEX($H$2:$H$53,52-ROW()+2),"✓","—")</f>
        <v>—</v>
      </c>
      <c r="L2" s="11" t="str">
        <f aca="false">B1</f>
        <v>m = 4n² mod 10</v>
      </c>
      <c r="M2" s="12" t="s">
        <v>13</v>
      </c>
    </row>
    <row r="3" customFormat="false" ht="15.75" hidden="false" customHeight="true" outlineLevel="0" collapsed="false">
      <c r="A3" s="8" t="n">
        <f aca="false">A2+1</f>
        <v>1</v>
      </c>
      <c r="B3" s="9" t="n">
        <f aca="false">MOD(4*A3^2,10)</f>
        <v>4</v>
      </c>
      <c r="C3" s="9" t="n">
        <f aca="false">(26*B3-5*B3^2)/24</f>
        <v>1</v>
      </c>
      <c r="D3" s="9" t="n">
        <f aca="false">(A3^2+4*C3)/5</f>
        <v>1</v>
      </c>
      <c r="E3" s="9" t="n">
        <f aca="false">MOD(D3,10)</f>
        <v>1</v>
      </c>
      <c r="F3" s="9" t="n">
        <f aca="false">2*D3</f>
        <v>2</v>
      </c>
      <c r="G3" s="9" t="n">
        <f aca="false">MOD(F3,10)</f>
        <v>2</v>
      </c>
      <c r="H3" s="9" t="n">
        <f aca="false">G3/2</f>
        <v>1</v>
      </c>
      <c r="I3" s="9" t="str">
        <f aca="false">IF(H3=0,"—",IF(H3=1,"unison (1:1)",IF(H3=2,"octave (2:1)",IF(H3=3,"fifth (3:2)",IF(H3=4,"fourth (4:3)","?")))))</f>
        <v>unison (1:1)</v>
      </c>
      <c r="J3" s="9" t="str">
        <f aca="false">IF(H3=0,"—",IF(H3=1,"ὁμώνυμον",IF(H3=2,"διὰ πασῶν",IF(H3=3,"διὰ πέντε",IF(H3=4,"διὰ τεσσάρων","?")))))</f>
        <v>ὁμώνυμον</v>
      </c>
      <c r="K3" s="10" t="str">
        <f aca="false" t="array" ref="K3:K3">IF(H3=INDEX($H$2:$H$52,51-ROW()+2),"✓","—")</f>
        <v>✓</v>
      </c>
      <c r="L3" s="11" t="str">
        <f aca="false">C1</f>
        <v>C(m) = (26m − 5m²)/24</v>
      </c>
      <c r="M3" s="12" t="s">
        <v>14</v>
      </c>
    </row>
    <row r="4" customFormat="false" ht="15.75" hidden="false" customHeight="true" outlineLevel="0" collapsed="false">
      <c r="A4" s="8" t="n">
        <f aca="false">A3+1</f>
        <v>2</v>
      </c>
      <c r="B4" s="9" t="n">
        <f aca="false">MOD(4*A4^2,10)</f>
        <v>6</v>
      </c>
      <c r="C4" s="9" t="n">
        <f aca="false">(26*B4-5*B4^2)/24</f>
        <v>-1</v>
      </c>
      <c r="D4" s="9" t="n">
        <f aca="false">(A4^2+4*C4)/5</f>
        <v>0</v>
      </c>
      <c r="E4" s="9" t="n">
        <f aca="false">MOD(D4,10)</f>
        <v>0</v>
      </c>
      <c r="F4" s="9" t="n">
        <f aca="false">2*D4</f>
        <v>0</v>
      </c>
      <c r="G4" s="9" t="n">
        <f aca="false">MOD(F4,10)</f>
        <v>0</v>
      </c>
      <c r="H4" s="9" t="n">
        <f aca="false">G4/2</f>
        <v>0</v>
      </c>
      <c r="I4" s="9" t="str">
        <f aca="false">IF(H4=0,"—",IF(H4=1,"unison (1:1)",IF(H4=2,"octave (2:1)",IF(H4=3,"fifth (3:2)",IF(H4=4,"fourth (4:3)","?")))))</f>
        <v>—</v>
      </c>
      <c r="J4" s="9" t="str">
        <f aca="false">IF(H4=0,"—",IF(H4=1,"ὁμώνυμον",IF(H4=2,"διὰ πασῶν",IF(H4=3,"διὰ πέντε",IF(H4=4,"διὰ τεσσάρων","?")))))</f>
        <v>—</v>
      </c>
      <c r="K4" s="10" t="str">
        <f aca="false" t="array" ref="K4:K4">IF(H4=INDEX($H$2:$H$52,51-ROW()+2),"✓","—")</f>
        <v>✓</v>
      </c>
      <c r="L4" s="11" t="str">
        <f aca="false">D1</f>
        <v>s(n)² = (n² + 4C(m))/5</v>
      </c>
      <c r="M4" s="12" t="s">
        <v>15</v>
      </c>
    </row>
    <row r="5" customFormat="false" ht="15.75" hidden="false" customHeight="true" outlineLevel="0" collapsed="false">
      <c r="A5" s="8" t="n">
        <f aca="false">A4+1</f>
        <v>3</v>
      </c>
      <c r="B5" s="9" t="n">
        <f aca="false">MOD(4*A5^2,10)</f>
        <v>6</v>
      </c>
      <c r="C5" s="9" t="n">
        <f aca="false">(26*B5-5*B5^2)/24</f>
        <v>-1</v>
      </c>
      <c r="D5" s="9" t="n">
        <f aca="false">(A5^2+4*C5)/5</f>
        <v>1</v>
      </c>
      <c r="E5" s="9" t="n">
        <f aca="false">MOD(D5,10)</f>
        <v>1</v>
      </c>
      <c r="F5" s="9" t="n">
        <f aca="false">2*D5</f>
        <v>2</v>
      </c>
      <c r="G5" s="9" t="n">
        <f aca="false">MOD(F5,10)</f>
        <v>2</v>
      </c>
      <c r="H5" s="9" t="n">
        <f aca="false">G5/2</f>
        <v>1</v>
      </c>
      <c r="I5" s="9" t="str">
        <f aca="false">IF(H5=0,"—",IF(H5=1,"unison (1:1)",IF(H5=2,"octave (2:1)",IF(H5=3,"fifth (3:2)",IF(H5=4,"fourth (4:3)","?")))))</f>
        <v>unison (1:1)</v>
      </c>
      <c r="J5" s="9" t="str">
        <f aca="false">IF(H5=0,"—",IF(H5=1,"ὁμώνυμον",IF(H5=2,"διὰ πασῶν",IF(H5=3,"διὰ πέντε",IF(H5=4,"διὰ τεσσάρων","?")))))</f>
        <v>ὁμώνυμον</v>
      </c>
      <c r="K5" s="10" t="str">
        <f aca="false" t="array" ref="K5:K5">IF(H5=INDEX($H$2:$H$52,51-ROW()+2),"✓","—")</f>
        <v>✓</v>
      </c>
      <c r="L5" s="11" t="s">
        <v>4</v>
      </c>
      <c r="M5" s="13" t="s">
        <v>16</v>
      </c>
    </row>
    <row r="6" customFormat="false" ht="15.75" hidden="false" customHeight="true" outlineLevel="0" collapsed="false">
      <c r="A6" s="8" t="n">
        <f aca="false">A5+1</f>
        <v>4</v>
      </c>
      <c r="B6" s="9" t="n">
        <f aca="false">MOD(4*A6^2,10)</f>
        <v>4</v>
      </c>
      <c r="C6" s="9" t="n">
        <f aca="false">(26*B6-5*B6^2)/24</f>
        <v>1</v>
      </c>
      <c r="D6" s="9" t="n">
        <f aca="false">(A6^2+4*C6)/5</f>
        <v>4</v>
      </c>
      <c r="E6" s="9" t="n">
        <f aca="false">MOD(D6,10)</f>
        <v>4</v>
      </c>
      <c r="F6" s="9" t="n">
        <f aca="false">2*D6</f>
        <v>8</v>
      </c>
      <c r="G6" s="9" t="n">
        <f aca="false">MOD(F6,10)</f>
        <v>8</v>
      </c>
      <c r="H6" s="9" t="n">
        <f aca="false">G6/2</f>
        <v>4</v>
      </c>
      <c r="I6" s="9" t="str">
        <f aca="false">IF(H6=0,"—",IF(H6=1,"unison (1:1)",IF(H6=2,"octave (2:1)",IF(H6=3,"fifth (3:2)",IF(H6=4,"fourth (4:3)","?")))))</f>
        <v>fourth (4:3)</v>
      </c>
      <c r="J6" s="9" t="str">
        <f aca="false">IF(H6=0,"—",IF(H6=1,"ὁμώνυμον",IF(H6=2,"διὰ πασῶν",IF(H6=3,"διὰ πέντε",IF(H6=4,"διὰ τεσσάρων","?")))))</f>
        <v>διὰ τεσσάρων</v>
      </c>
      <c r="K6" s="10" t="str">
        <f aca="false" t="array" ref="K6:K6">IF(H6=INDEX($H$2:$H$52,51-ROW()+2),"✓","—")</f>
        <v>✓</v>
      </c>
      <c r="L6" s="11" t="str">
        <f aca="false">F1</f>
        <v>2 × s(n)²</v>
      </c>
      <c r="M6" s="12" t="s">
        <v>17</v>
      </c>
    </row>
    <row r="7" customFormat="false" ht="15.75" hidden="false" customHeight="true" outlineLevel="0" collapsed="false">
      <c r="A7" s="8" t="n">
        <f aca="false">A6+1</f>
        <v>5</v>
      </c>
      <c r="B7" s="9" t="n">
        <f aca="false">MOD(4*A7^2,10)</f>
        <v>0</v>
      </c>
      <c r="C7" s="9" t="n">
        <f aca="false">(26*B7-5*B7^2)/24</f>
        <v>0</v>
      </c>
      <c r="D7" s="9" t="n">
        <f aca="false">(A7^2+4*C7)/5</f>
        <v>5</v>
      </c>
      <c r="E7" s="9" t="n">
        <f aca="false">MOD(D7,10)</f>
        <v>5</v>
      </c>
      <c r="F7" s="9" t="n">
        <f aca="false">2*D7</f>
        <v>10</v>
      </c>
      <c r="G7" s="9" t="n">
        <f aca="false">MOD(F7,10)</f>
        <v>0</v>
      </c>
      <c r="H7" s="9" t="n">
        <f aca="false">G7/2</f>
        <v>0</v>
      </c>
      <c r="I7" s="9" t="str">
        <f aca="false">IF(H7=0,"—",IF(H7=1,"unison (1:1)",IF(H7=2,"octave (2:1)",IF(H7=3,"fifth (3:2)",IF(H7=4,"fourth (4:3)","?")))))</f>
        <v>—</v>
      </c>
      <c r="J7" s="9" t="str">
        <f aca="false">IF(H7=0,"—",IF(H7=1,"ὁμώνυμον",IF(H7=2,"διὰ πασῶν",IF(H7=3,"διὰ πέντε",IF(H7=4,"διὰ τεσσάρων","?")))))</f>
        <v>—</v>
      </c>
      <c r="K7" s="10" t="str">
        <f aca="false" t="array" ref="K7:K7">IF(H7=INDEX($H$2:$H$52,51-ROW()+2),"✓","—")</f>
        <v>✓</v>
      </c>
      <c r="L7" s="11" t="str">
        <f aca="false">G1</f>
        <v>2s(n)² mod 10</v>
      </c>
      <c r="M7" s="12" t="s">
        <v>18</v>
      </c>
    </row>
    <row r="8" customFormat="false" ht="15.75" hidden="false" customHeight="true" outlineLevel="0" collapsed="false">
      <c r="A8" s="8" t="n">
        <f aca="false">A7+1</f>
        <v>6</v>
      </c>
      <c r="B8" s="9" t="n">
        <f aca="false">MOD(4*A8^2,10)</f>
        <v>4</v>
      </c>
      <c r="C8" s="9" t="n">
        <f aca="false">(26*B8-5*B8^2)/24</f>
        <v>1</v>
      </c>
      <c r="D8" s="9" t="n">
        <f aca="false">(A8^2+4*C8)/5</f>
        <v>8</v>
      </c>
      <c r="E8" s="9" t="n">
        <f aca="false">MOD(D8,10)</f>
        <v>8</v>
      </c>
      <c r="F8" s="9" t="n">
        <f aca="false">2*D8</f>
        <v>16</v>
      </c>
      <c r="G8" s="9" t="n">
        <f aca="false">MOD(F8,10)</f>
        <v>6</v>
      </c>
      <c r="H8" s="9" t="n">
        <f aca="false">G8/2</f>
        <v>3</v>
      </c>
      <c r="I8" s="9" t="str">
        <f aca="false">IF(H8=0,"—",IF(H8=1,"unison (1:1)",IF(H8=2,"octave (2:1)",IF(H8=3,"fifth (3:2)",IF(H8=4,"fourth (4:3)","?")))))</f>
        <v>fifth (3:2)</v>
      </c>
      <c r="J8" s="9" t="str">
        <f aca="false">IF(H8=0,"—",IF(H8=1,"ὁμώνυμον",IF(H8=2,"διὰ πασῶν",IF(H8=3,"διὰ πέντε",IF(H8=4,"διὰ τεσσάρων","?")))))</f>
        <v>διὰ πέντε</v>
      </c>
      <c r="K8" s="10" t="str">
        <f aca="false" t="array" ref="K8:K8">IF(H8=INDEX($H$2:$H$52,51-ROW()+2),"✓","—")</f>
        <v>✓</v>
      </c>
      <c r="L8" s="11" t="str">
        <f aca="false">H1</f>
        <v>G / 2</v>
      </c>
      <c r="M8" s="12" t="s">
        <v>19</v>
      </c>
    </row>
    <row r="9" customFormat="false" ht="15.75" hidden="false" customHeight="true" outlineLevel="0" collapsed="false">
      <c r="A9" s="8" t="n">
        <f aca="false">A8+1</f>
        <v>7</v>
      </c>
      <c r="B9" s="9" t="n">
        <f aca="false">MOD(4*A9^2,10)</f>
        <v>6</v>
      </c>
      <c r="C9" s="9" t="n">
        <f aca="false">(26*B9-5*B9^2)/24</f>
        <v>-1</v>
      </c>
      <c r="D9" s="9" t="n">
        <f aca="false">(A9^2+4*C9)/5</f>
        <v>9</v>
      </c>
      <c r="E9" s="9" t="n">
        <f aca="false">MOD(D9,10)</f>
        <v>9</v>
      </c>
      <c r="F9" s="9" t="n">
        <f aca="false">2*D9</f>
        <v>18</v>
      </c>
      <c r="G9" s="9" t="n">
        <f aca="false">MOD(F9,10)</f>
        <v>8</v>
      </c>
      <c r="H9" s="9" t="n">
        <f aca="false">G9/2</f>
        <v>4</v>
      </c>
      <c r="I9" s="9" t="str">
        <f aca="false">IF(H9=0,"—",IF(H9=1,"unison (1:1)",IF(H9=2,"octave (2:1)",IF(H9=3,"fifth (3:2)",IF(H9=4,"fourth (4:3)","?")))))</f>
        <v>fourth (4:3)</v>
      </c>
      <c r="J9" s="9" t="str">
        <f aca="false">IF(H9=0,"—",IF(H9=1,"ὁμώνυμον",IF(H9=2,"διὰ πασῶν",IF(H9=3,"διὰ πέντε",IF(H9=4,"διὰ τεσσάρων","?")))))</f>
        <v>διὰ τεσσάρων</v>
      </c>
      <c r="K9" s="10" t="str">
        <f aca="false" t="array" ref="K9:K9">IF(H9=INDEX($H$2:$H$52,51-ROW()+2),"✓","—")</f>
        <v>✓</v>
      </c>
      <c r="L9" s="11" t="str">
        <f aca="false">I1</f>
        <v>Interval</v>
      </c>
      <c r="M9" s="12" t="s">
        <v>20</v>
      </c>
    </row>
    <row r="10" customFormat="false" ht="15.75" hidden="false" customHeight="true" outlineLevel="0" collapsed="false">
      <c r="A10" s="8" t="n">
        <f aca="false">A9+1</f>
        <v>8</v>
      </c>
      <c r="B10" s="9" t="n">
        <f aca="false">MOD(4*A10^2,10)</f>
        <v>6</v>
      </c>
      <c r="C10" s="9" t="n">
        <f aca="false">(26*B10-5*B10^2)/24</f>
        <v>-1</v>
      </c>
      <c r="D10" s="9" t="n">
        <f aca="false">(A10^2+4*C10)/5</f>
        <v>12</v>
      </c>
      <c r="E10" s="9" t="n">
        <f aca="false">MOD(D10,10)</f>
        <v>2</v>
      </c>
      <c r="F10" s="9" t="n">
        <f aca="false">2*D10</f>
        <v>24</v>
      </c>
      <c r="G10" s="9" t="n">
        <f aca="false">MOD(F10,10)</f>
        <v>4</v>
      </c>
      <c r="H10" s="9" t="n">
        <f aca="false">G10/2</f>
        <v>2</v>
      </c>
      <c r="I10" s="9" t="str">
        <f aca="false">IF(H10=0,"—",IF(H10=1,"unison (1:1)",IF(H10=2,"octave (2:1)",IF(H10=3,"fifth (3:2)",IF(H10=4,"fourth (4:3)","?")))))</f>
        <v>octave (2:1)</v>
      </c>
      <c r="J10" s="9" t="str">
        <f aca="false">IF(H10=0,"—",IF(H10=1,"ὁμώνυμον",IF(H10=2,"διὰ πασῶν",IF(H10=3,"διὰ πέντε",IF(H10=4,"διὰ τεσσάρων","?")))))</f>
        <v>διὰ πασῶν</v>
      </c>
      <c r="K10" s="10" t="str">
        <f aca="false" t="array" ref="K10:K10">IF(H10=INDEX($H$2:$H$52,51-ROW()+2),"✓","—")</f>
        <v>✓</v>
      </c>
      <c r="L10" s="11" t="str">
        <f aca="false">J1</f>
        <v>Greek Name</v>
      </c>
      <c r="M10" s="12" t="s">
        <v>21</v>
      </c>
    </row>
    <row r="11" customFormat="false" ht="15.75" hidden="false" customHeight="true" outlineLevel="0" collapsed="false">
      <c r="A11" s="8" t="n">
        <f aca="false">A10+1</f>
        <v>9</v>
      </c>
      <c r="B11" s="9" t="n">
        <f aca="false">MOD(4*A11^2,10)</f>
        <v>4</v>
      </c>
      <c r="C11" s="9" t="n">
        <f aca="false">(26*B11-5*B11^2)/24</f>
        <v>1</v>
      </c>
      <c r="D11" s="9" t="n">
        <f aca="false">(A11^2+4*C11)/5</f>
        <v>17</v>
      </c>
      <c r="E11" s="9" t="n">
        <f aca="false">MOD(D11,10)</f>
        <v>7</v>
      </c>
      <c r="F11" s="9" t="n">
        <f aca="false">2*D11</f>
        <v>34</v>
      </c>
      <c r="G11" s="9" t="n">
        <f aca="false">MOD(F11,10)</f>
        <v>4</v>
      </c>
      <c r="H11" s="9" t="n">
        <f aca="false">G11/2</f>
        <v>2</v>
      </c>
      <c r="I11" s="9" t="str">
        <f aca="false">IF(H11=0,"—",IF(H11=1,"unison (1:1)",IF(H11=2,"octave (2:1)",IF(H11=3,"fifth (3:2)",IF(H11=4,"fourth (4:3)","?")))))</f>
        <v>octave (2:1)</v>
      </c>
      <c r="J11" s="9" t="str">
        <f aca="false">IF(H11=0,"—",IF(H11=1,"ὁμώνυμον",IF(H11=2,"διὰ πασῶν",IF(H11=3,"διὰ πέντε",IF(H11=4,"διὰ τεσσάρων","?")))))</f>
        <v>διὰ πασῶν</v>
      </c>
      <c r="K11" s="10" t="str">
        <f aca="false" t="array" ref="K11:K11">IF(H11=INDEX($H$2:$H$52,51-ROW()+2),"✓","—")</f>
        <v>✓</v>
      </c>
      <c r="L11" s="11" t="str">
        <f aca="false">K1</f>
        <v>Mirror Check</v>
      </c>
      <c r="M11" s="12" t="s">
        <v>22</v>
      </c>
    </row>
    <row r="12" customFormat="false" ht="15.75" hidden="false" customHeight="true" outlineLevel="0" collapsed="false">
      <c r="A12" s="8" t="n">
        <f aca="false">A11+1</f>
        <v>10</v>
      </c>
      <c r="B12" s="9" t="n">
        <f aca="false">MOD(4*A12^2,10)</f>
        <v>0</v>
      </c>
      <c r="C12" s="9" t="n">
        <f aca="false">(26*B12-5*B12^2)/24</f>
        <v>0</v>
      </c>
      <c r="D12" s="9" t="n">
        <f aca="false">(A12^2+4*C12)/5</f>
        <v>20</v>
      </c>
      <c r="E12" s="9" t="n">
        <f aca="false">MOD(D12,10)</f>
        <v>0</v>
      </c>
      <c r="F12" s="9" t="n">
        <f aca="false">2*D12</f>
        <v>40</v>
      </c>
      <c r="G12" s="9" t="n">
        <f aca="false">MOD(F12,10)</f>
        <v>0</v>
      </c>
      <c r="H12" s="9" t="n">
        <f aca="false">G12/2</f>
        <v>0</v>
      </c>
      <c r="I12" s="9" t="str">
        <f aca="false">IF(H12=0,"—",IF(H12=1,"unison (1:1)",IF(H12=2,"octave (2:1)",IF(H12=3,"fifth (3:2)",IF(H12=4,"fourth (4:3)","?")))))</f>
        <v>—</v>
      </c>
      <c r="J12" s="9" t="str">
        <f aca="false">IF(H12=0,"—",IF(H12=1,"ὁμώνυμον",IF(H12=2,"διὰ πασῶν",IF(H12=3,"διὰ πέντε",IF(H12=4,"διὰ τεσσάρων","?")))))</f>
        <v>—</v>
      </c>
      <c r="K12" s="10" t="str">
        <f aca="false" t="array" ref="K12:K12">IF(H12=INDEX($H$2:$H$52,51-ROW()+2),"✓","—")</f>
        <v>✓</v>
      </c>
      <c r="L12" s="13"/>
      <c r="M12" s="13"/>
    </row>
    <row r="13" customFormat="false" ht="15.75" hidden="false" customHeight="true" outlineLevel="0" collapsed="false">
      <c r="A13" s="8" t="n">
        <f aca="false">A12+1</f>
        <v>11</v>
      </c>
      <c r="B13" s="9" t="n">
        <f aca="false">MOD(4*A13^2,10)</f>
        <v>4</v>
      </c>
      <c r="C13" s="9" t="n">
        <f aca="false">(26*B13-5*B13^2)/24</f>
        <v>1</v>
      </c>
      <c r="D13" s="9" t="n">
        <f aca="false">(A13^2+4*C13)/5</f>
        <v>25</v>
      </c>
      <c r="E13" s="9" t="n">
        <f aca="false">MOD(D13,10)</f>
        <v>5</v>
      </c>
      <c r="F13" s="9" t="n">
        <f aca="false">2*D13</f>
        <v>50</v>
      </c>
      <c r="G13" s="9" t="n">
        <f aca="false">MOD(F13,10)</f>
        <v>0</v>
      </c>
      <c r="H13" s="9" t="n">
        <f aca="false">G13/2</f>
        <v>0</v>
      </c>
      <c r="I13" s="9" t="str">
        <f aca="false">IF(H13=0,"—",IF(H13=1,"unison (1:1)",IF(H13=2,"octave (2:1)",IF(H13=3,"fifth (3:2)",IF(H13=4,"fourth (4:3)","?")))))</f>
        <v>—</v>
      </c>
      <c r="J13" s="9" t="str">
        <f aca="false">IF(H13=0,"—",IF(H13=1,"ὁμώνυμον",IF(H13=2,"διὰ πασῶν",IF(H13=3,"διὰ πέντε",IF(H13=4,"διὰ τεσσάρων","?")))))</f>
        <v>—</v>
      </c>
      <c r="K13" s="10" t="str">
        <f aca="false" t="array" ref="K13:K13">IF(H13=INDEX($H$2:$H$52,51-ROW()+2),"✓","—")</f>
        <v>✓</v>
      </c>
      <c r="L13" s="14"/>
      <c r="M13" s="13"/>
    </row>
    <row r="14" customFormat="false" ht="15.75" hidden="false" customHeight="true" outlineLevel="0" collapsed="false">
      <c r="A14" s="8" t="n">
        <f aca="false">A13+1</f>
        <v>12</v>
      </c>
      <c r="B14" s="9" t="n">
        <f aca="false">MOD(4*A14^2,10)</f>
        <v>6</v>
      </c>
      <c r="C14" s="9" t="n">
        <f aca="false">(26*B14-5*B14^2)/24</f>
        <v>-1</v>
      </c>
      <c r="D14" s="9" t="n">
        <f aca="false">(A14^2+4*C14)/5</f>
        <v>28</v>
      </c>
      <c r="E14" s="9" t="n">
        <f aca="false">MOD(D14,10)</f>
        <v>8</v>
      </c>
      <c r="F14" s="9" t="n">
        <f aca="false">2*D14</f>
        <v>56</v>
      </c>
      <c r="G14" s="9" t="n">
        <f aca="false">MOD(F14,10)</f>
        <v>6</v>
      </c>
      <c r="H14" s="9" t="n">
        <f aca="false">G14/2</f>
        <v>3</v>
      </c>
      <c r="I14" s="9" t="str">
        <f aca="false">IF(H14=0,"—",IF(H14=1,"unison (1:1)",IF(H14=2,"octave (2:1)",IF(H14=3,"fifth (3:2)",IF(H14=4,"fourth (4:3)","?")))))</f>
        <v>fifth (3:2)</v>
      </c>
      <c r="J14" s="9" t="str">
        <f aca="false">IF(H14=0,"—",IF(H14=1,"ὁμώνυμον",IF(H14=2,"διὰ πασῶν",IF(H14=3,"διὰ πέντε",IF(H14=4,"διὰ τεσσάρων","?")))))</f>
        <v>διὰ πέντε</v>
      </c>
      <c r="K14" s="10" t="str">
        <f aca="false" t="array" ref="K14:K14">IF(H14=INDEX($H$2:$H$52,51-ROW()+2),"✓","—")</f>
        <v>✓</v>
      </c>
      <c r="L14" s="14"/>
      <c r="M14" s="13"/>
    </row>
    <row r="15" customFormat="false" ht="15.75" hidden="false" customHeight="true" outlineLevel="0" collapsed="false">
      <c r="A15" s="8" t="n">
        <f aca="false">A14+1</f>
        <v>13</v>
      </c>
      <c r="B15" s="9" t="n">
        <f aca="false">MOD(4*A15^2,10)</f>
        <v>6</v>
      </c>
      <c r="C15" s="9" t="n">
        <f aca="false">(26*B15-5*B15^2)/24</f>
        <v>-1</v>
      </c>
      <c r="D15" s="9" t="n">
        <f aca="false">(A15^2+4*C15)/5</f>
        <v>33</v>
      </c>
      <c r="E15" s="9" t="n">
        <f aca="false">MOD(D15,10)</f>
        <v>3</v>
      </c>
      <c r="F15" s="9" t="n">
        <f aca="false">2*D15</f>
        <v>66</v>
      </c>
      <c r="G15" s="9" t="n">
        <f aca="false">MOD(F15,10)</f>
        <v>6</v>
      </c>
      <c r="H15" s="9" t="n">
        <f aca="false">G15/2</f>
        <v>3</v>
      </c>
      <c r="I15" s="9" t="str">
        <f aca="false">IF(H15=0,"—",IF(H15=1,"unison (1:1)",IF(H15=2,"octave (2:1)",IF(H15=3,"fifth (3:2)",IF(H15=4,"fourth (4:3)","?")))))</f>
        <v>fifth (3:2)</v>
      </c>
      <c r="J15" s="9" t="str">
        <f aca="false">IF(H15=0,"—",IF(H15=1,"ὁμώνυμον",IF(H15=2,"διὰ πασῶν",IF(H15=3,"διὰ πέντε",IF(H15=4,"διὰ τεσσάρων","?")))))</f>
        <v>διὰ πέντε</v>
      </c>
      <c r="K15" s="10" t="str">
        <f aca="false" t="array" ref="K15:K15">IF(H15=INDEX($H$2:$H$52,51-ROW()+2),"✓","—")</f>
        <v>✓</v>
      </c>
      <c r="L15" s="15" t="s">
        <v>23</v>
      </c>
      <c r="M15" s="13"/>
    </row>
    <row r="16" customFormat="false" ht="15.75" hidden="false" customHeight="true" outlineLevel="0" collapsed="false">
      <c r="A16" s="8" t="n">
        <f aca="false">A15+1</f>
        <v>14</v>
      </c>
      <c r="B16" s="9" t="n">
        <f aca="false">MOD(4*A16^2,10)</f>
        <v>4</v>
      </c>
      <c r="C16" s="9" t="n">
        <f aca="false">(26*B16-5*B16^2)/24</f>
        <v>1</v>
      </c>
      <c r="D16" s="9" t="n">
        <f aca="false">(A16^2+4*C16)/5</f>
        <v>40</v>
      </c>
      <c r="E16" s="9" t="n">
        <f aca="false">MOD(D16,10)</f>
        <v>0</v>
      </c>
      <c r="F16" s="9" t="n">
        <f aca="false">2*D16</f>
        <v>80</v>
      </c>
      <c r="G16" s="9" t="n">
        <f aca="false">MOD(F16,10)</f>
        <v>0</v>
      </c>
      <c r="H16" s="9" t="n">
        <f aca="false">G16/2</f>
        <v>0</v>
      </c>
      <c r="I16" s="9" t="str">
        <f aca="false">IF(H16=0,"—",IF(H16=1,"unison (1:1)",IF(H16=2,"octave (2:1)",IF(H16=3,"fifth (3:2)",IF(H16=4,"fourth (4:3)","?")))))</f>
        <v>—</v>
      </c>
      <c r="J16" s="9" t="str">
        <f aca="false">IF(H16=0,"—",IF(H16=1,"ὁμώνυμον",IF(H16=2,"διὰ πασῶν",IF(H16=3,"διὰ πέντε",IF(H16=4,"διὰ τεσσάρων","?")))))</f>
        <v>—</v>
      </c>
      <c r="K16" s="10" t="str">
        <f aca="false" t="array" ref="K16:K16">IF(H16=INDEX($H$2:$H$52,51-ROW()+2),"✓","—")</f>
        <v>✓</v>
      </c>
      <c r="L16" s="15" t="s">
        <v>24</v>
      </c>
      <c r="M16" s="13"/>
    </row>
    <row r="17" customFormat="false" ht="15.75" hidden="false" customHeight="true" outlineLevel="0" collapsed="false">
      <c r="A17" s="8" t="n">
        <f aca="false">A16+1</f>
        <v>15</v>
      </c>
      <c r="B17" s="9" t="n">
        <f aca="false">MOD(4*A17^2,10)</f>
        <v>0</v>
      </c>
      <c r="C17" s="9" t="n">
        <f aca="false">(26*B17-5*B17^2)/24</f>
        <v>0</v>
      </c>
      <c r="D17" s="9" t="n">
        <f aca="false">(A17^2+4*C17)/5</f>
        <v>45</v>
      </c>
      <c r="E17" s="9" t="n">
        <f aca="false">MOD(D17,10)</f>
        <v>5</v>
      </c>
      <c r="F17" s="9" t="n">
        <f aca="false">2*D17</f>
        <v>90</v>
      </c>
      <c r="G17" s="9" t="n">
        <f aca="false">MOD(F17,10)</f>
        <v>0</v>
      </c>
      <c r="H17" s="9" t="n">
        <f aca="false">G17/2</f>
        <v>0</v>
      </c>
      <c r="I17" s="9" t="str">
        <f aca="false">IF(H17=0,"—",IF(H17=1,"unison (1:1)",IF(H17=2,"octave (2:1)",IF(H17=3,"fifth (3:2)",IF(H17=4,"fourth (4:3)","?")))))</f>
        <v>—</v>
      </c>
      <c r="J17" s="9" t="str">
        <f aca="false">IF(H17=0,"—",IF(H17=1,"ὁμώνυμον",IF(H17=2,"διὰ πασῶν",IF(H17=3,"διὰ πέντε",IF(H17=4,"διὰ τεσσάρων","?")))))</f>
        <v>—</v>
      </c>
      <c r="K17" s="10" t="str">
        <f aca="false" t="array" ref="K17:K17">IF(H17=INDEX($H$2:$H$52,51-ROW()+2),"✓","—")</f>
        <v>✓</v>
      </c>
      <c r="L17" s="14"/>
      <c r="M17" s="13"/>
    </row>
    <row r="18" customFormat="false" ht="15.75" hidden="false" customHeight="true" outlineLevel="0" collapsed="false">
      <c r="A18" s="8" t="n">
        <f aca="false">A17+1</f>
        <v>16</v>
      </c>
      <c r="B18" s="9" t="n">
        <f aca="false">MOD(4*A18^2,10)</f>
        <v>4</v>
      </c>
      <c r="C18" s="9" t="n">
        <f aca="false">(26*B18-5*B18^2)/24</f>
        <v>1</v>
      </c>
      <c r="D18" s="9" t="n">
        <f aca="false">(A18^2+4*C18)/5</f>
        <v>52</v>
      </c>
      <c r="E18" s="9" t="n">
        <f aca="false">MOD(D18,10)</f>
        <v>2</v>
      </c>
      <c r="F18" s="9" t="n">
        <f aca="false">2*D18</f>
        <v>104</v>
      </c>
      <c r="G18" s="9" t="n">
        <f aca="false">MOD(F18,10)</f>
        <v>4</v>
      </c>
      <c r="H18" s="9" t="n">
        <f aca="false">G18/2</f>
        <v>2</v>
      </c>
      <c r="I18" s="9" t="str">
        <f aca="false">IF(H18=0,"—",IF(H18=1,"unison (1:1)",IF(H18=2,"octave (2:1)",IF(H18=3,"fifth (3:2)",IF(H18=4,"fourth (4:3)","?")))))</f>
        <v>octave (2:1)</v>
      </c>
      <c r="J18" s="9" t="str">
        <f aca="false">IF(H18=0,"—",IF(H18=1,"ὁμώνυμον",IF(H18=2,"διὰ πασῶν",IF(H18=3,"διὰ πέντε",IF(H18=4,"διὰ τεσσάρων","?")))))</f>
        <v>διὰ πασῶν</v>
      </c>
      <c r="K18" s="10" t="str">
        <f aca="false" t="array" ref="K18:K18">IF(H18=INDEX($H$2:$H$52,51-ROW()+2),"✓","—")</f>
        <v>✓</v>
      </c>
      <c r="L18" s="14"/>
      <c r="M18" s="13"/>
    </row>
    <row r="19" customFormat="false" ht="15.75" hidden="false" customHeight="true" outlineLevel="0" collapsed="false">
      <c r="A19" s="8" t="n">
        <f aca="false">A18+1</f>
        <v>17</v>
      </c>
      <c r="B19" s="9" t="n">
        <f aca="false">MOD(4*A19^2,10)</f>
        <v>6</v>
      </c>
      <c r="C19" s="9" t="n">
        <f aca="false">(26*B19-5*B19^2)/24</f>
        <v>-1</v>
      </c>
      <c r="D19" s="9" t="n">
        <f aca="false">(A19^2+4*C19)/5</f>
        <v>57</v>
      </c>
      <c r="E19" s="9" t="n">
        <f aca="false">MOD(D19,10)</f>
        <v>7</v>
      </c>
      <c r="F19" s="9" t="n">
        <f aca="false">2*D19</f>
        <v>114</v>
      </c>
      <c r="G19" s="9" t="n">
        <f aca="false">MOD(F19,10)</f>
        <v>4</v>
      </c>
      <c r="H19" s="9" t="n">
        <f aca="false">G19/2</f>
        <v>2</v>
      </c>
      <c r="I19" s="9" t="str">
        <f aca="false">IF(H19=0,"—",IF(H19=1,"unison (1:1)",IF(H19=2,"octave (2:1)",IF(H19=3,"fifth (3:2)",IF(H19=4,"fourth (4:3)","?")))))</f>
        <v>octave (2:1)</v>
      </c>
      <c r="J19" s="9" t="str">
        <f aca="false">IF(H19=0,"—",IF(H19=1,"ὁμώνυμον",IF(H19=2,"διὰ πασῶν",IF(H19=3,"διὰ πέντε",IF(H19=4,"διὰ τεσσάρων","?")))))</f>
        <v>διὰ πασῶν</v>
      </c>
      <c r="K19" s="10" t="str">
        <f aca="false" t="array" ref="K19:K19">IF(H19=INDEX($H$2:$H$52,51-ROW()+2),"✓","—")</f>
        <v>✓</v>
      </c>
      <c r="L19" s="14"/>
      <c r="M19" s="13"/>
    </row>
    <row r="20" customFormat="false" ht="15.75" hidden="false" customHeight="true" outlineLevel="0" collapsed="false">
      <c r="A20" s="8" t="n">
        <f aca="false">A19+1</f>
        <v>18</v>
      </c>
      <c r="B20" s="9" t="n">
        <f aca="false">MOD(4*A20^2,10)</f>
        <v>6</v>
      </c>
      <c r="C20" s="9" t="n">
        <f aca="false">(26*B20-5*B20^2)/24</f>
        <v>-1</v>
      </c>
      <c r="D20" s="9" t="n">
        <f aca="false">(A20^2+4*C20)/5</f>
        <v>64</v>
      </c>
      <c r="E20" s="9" t="n">
        <f aca="false">MOD(D20,10)</f>
        <v>4</v>
      </c>
      <c r="F20" s="9" t="n">
        <f aca="false">2*D20</f>
        <v>128</v>
      </c>
      <c r="G20" s="9" t="n">
        <f aca="false">MOD(F20,10)</f>
        <v>8</v>
      </c>
      <c r="H20" s="9" t="n">
        <f aca="false">G20/2</f>
        <v>4</v>
      </c>
      <c r="I20" s="9" t="str">
        <f aca="false">IF(H20=0,"—",IF(H20=1,"unison (1:1)",IF(H20=2,"octave (2:1)",IF(H20=3,"fifth (3:2)",IF(H20=4,"fourth (4:3)","?")))))</f>
        <v>fourth (4:3)</v>
      </c>
      <c r="J20" s="9" t="str">
        <f aca="false">IF(H20=0,"—",IF(H20=1,"ὁμώνυμον",IF(H20=2,"διὰ πασῶν",IF(H20=3,"διὰ πέντε",IF(H20=4,"διὰ τεσσάρων","?")))))</f>
        <v>διὰ τεσσάρων</v>
      </c>
      <c r="K20" s="10" t="str">
        <f aca="false" t="array" ref="K20:K20">IF(H20=INDEX($H$2:$H$52,51-ROW()+2),"✓","—")</f>
        <v>✓</v>
      </c>
      <c r="L20" s="14"/>
      <c r="M20" s="13"/>
    </row>
    <row r="21" customFormat="false" ht="15.75" hidden="false" customHeight="true" outlineLevel="0" collapsed="false">
      <c r="A21" s="8" t="n">
        <f aca="false">A20+1</f>
        <v>19</v>
      </c>
      <c r="B21" s="9" t="n">
        <f aca="false">MOD(4*A21^2,10)</f>
        <v>4</v>
      </c>
      <c r="C21" s="9" t="n">
        <f aca="false">(26*B21-5*B21^2)/24</f>
        <v>1</v>
      </c>
      <c r="D21" s="9" t="n">
        <f aca="false">(A21^2+4*C21)/5</f>
        <v>73</v>
      </c>
      <c r="E21" s="9" t="n">
        <f aca="false">MOD(D21,10)</f>
        <v>3</v>
      </c>
      <c r="F21" s="9" t="n">
        <f aca="false">2*D21</f>
        <v>146</v>
      </c>
      <c r="G21" s="9" t="n">
        <f aca="false">MOD(F21,10)</f>
        <v>6</v>
      </c>
      <c r="H21" s="9" t="n">
        <f aca="false">G21/2</f>
        <v>3</v>
      </c>
      <c r="I21" s="9" t="str">
        <f aca="false">IF(H21=0,"—",IF(H21=1,"unison (1:1)",IF(H21=2,"octave (2:1)",IF(H21=3,"fifth (3:2)",IF(H21=4,"fourth (4:3)","?")))))</f>
        <v>fifth (3:2)</v>
      </c>
      <c r="J21" s="9" t="str">
        <f aca="false">IF(H21=0,"—",IF(H21=1,"ὁμώνυμον",IF(H21=2,"διὰ πασῶν",IF(H21=3,"διὰ πέντε",IF(H21=4,"διὰ τεσσάρων","?")))))</f>
        <v>διὰ πέντε</v>
      </c>
      <c r="K21" s="10" t="str">
        <f aca="false" t="array" ref="K21:K21">IF(H21=INDEX($H$2:$H$52,51-ROW()+2),"✓","—")</f>
        <v>✓</v>
      </c>
      <c r="L21" s="14"/>
      <c r="M21" s="13"/>
    </row>
    <row r="22" customFormat="false" ht="15.75" hidden="false" customHeight="true" outlineLevel="0" collapsed="false">
      <c r="A22" s="8" t="n">
        <f aca="false">A21+1</f>
        <v>20</v>
      </c>
      <c r="B22" s="9" t="n">
        <f aca="false">MOD(4*A22^2,10)</f>
        <v>0</v>
      </c>
      <c r="C22" s="9" t="n">
        <f aca="false">(26*B22-5*B22^2)/24</f>
        <v>0</v>
      </c>
      <c r="D22" s="9" t="n">
        <f aca="false">(A22^2+4*C22)/5</f>
        <v>80</v>
      </c>
      <c r="E22" s="9" t="n">
        <f aca="false">MOD(D22,10)</f>
        <v>0</v>
      </c>
      <c r="F22" s="9" t="n">
        <f aca="false">2*D22</f>
        <v>160</v>
      </c>
      <c r="G22" s="9" t="n">
        <f aca="false">MOD(F22,10)</f>
        <v>0</v>
      </c>
      <c r="H22" s="9" t="n">
        <f aca="false">G22/2</f>
        <v>0</v>
      </c>
      <c r="I22" s="9" t="str">
        <f aca="false">IF(H22=0,"—",IF(H22=1,"unison (1:1)",IF(H22=2,"octave (2:1)",IF(H22=3,"fifth (3:2)",IF(H22=4,"fourth (4:3)","?")))))</f>
        <v>—</v>
      </c>
      <c r="J22" s="9" t="str">
        <f aca="false">IF(H22=0,"—",IF(H22=1,"ὁμώνυμον",IF(H22=2,"διὰ πασῶν",IF(H22=3,"διὰ πέντε",IF(H22=4,"διὰ τεσσάρων","?")))))</f>
        <v>—</v>
      </c>
      <c r="K22" s="10" t="str">
        <f aca="false" t="array" ref="K22:K22">IF(H22=INDEX($H$2:$H$52,51-ROW()+2),"✓","—")</f>
        <v>✓</v>
      </c>
      <c r="L22" s="14"/>
      <c r="M22" s="13"/>
    </row>
    <row r="23" customFormat="false" ht="15.75" hidden="false" customHeight="true" outlineLevel="0" collapsed="false">
      <c r="A23" s="8" t="n">
        <f aca="false">A22+1</f>
        <v>21</v>
      </c>
      <c r="B23" s="9" t="n">
        <f aca="false">MOD(4*A23^2,10)</f>
        <v>4</v>
      </c>
      <c r="C23" s="9" t="n">
        <f aca="false">(26*B23-5*B23^2)/24</f>
        <v>1</v>
      </c>
      <c r="D23" s="9" t="n">
        <f aca="false">(A23^2+4*C23)/5</f>
        <v>89</v>
      </c>
      <c r="E23" s="9" t="n">
        <f aca="false">MOD(D23,10)</f>
        <v>9</v>
      </c>
      <c r="F23" s="9" t="n">
        <f aca="false">2*D23</f>
        <v>178</v>
      </c>
      <c r="G23" s="9" t="n">
        <f aca="false">MOD(F23,10)</f>
        <v>8</v>
      </c>
      <c r="H23" s="9" t="n">
        <f aca="false">G23/2</f>
        <v>4</v>
      </c>
      <c r="I23" s="9" t="str">
        <f aca="false">IF(H23=0,"—",IF(H23=1,"unison (1:1)",IF(H23=2,"octave (2:1)",IF(H23=3,"fifth (3:2)",IF(H23=4,"fourth (4:3)","?")))))</f>
        <v>fourth (4:3)</v>
      </c>
      <c r="J23" s="9" t="str">
        <f aca="false">IF(H23=0,"—",IF(H23=1,"ὁμώνυμον",IF(H23=2,"διὰ πασῶν",IF(H23=3,"διὰ πέντε",IF(H23=4,"διὰ τεσσάρων","?")))))</f>
        <v>διὰ τεσσάρων</v>
      </c>
      <c r="K23" s="10" t="str">
        <f aca="false" t="array" ref="K23:K23">IF(H23=INDEX($H$2:$H$52,51-ROW()+2),"✓","—")</f>
        <v>✓</v>
      </c>
      <c r="L23" s="14"/>
      <c r="M23" s="13"/>
    </row>
    <row r="24" customFormat="false" ht="15.75" hidden="false" customHeight="true" outlineLevel="0" collapsed="false">
      <c r="A24" s="8" t="n">
        <f aca="false">A23+1</f>
        <v>22</v>
      </c>
      <c r="B24" s="9" t="n">
        <f aca="false">MOD(4*A24^2,10)</f>
        <v>6</v>
      </c>
      <c r="C24" s="9" t="n">
        <f aca="false">(26*B24-5*B24^2)/24</f>
        <v>-1</v>
      </c>
      <c r="D24" s="9" t="n">
        <f aca="false">(A24^2+4*C24)/5</f>
        <v>96</v>
      </c>
      <c r="E24" s="9" t="n">
        <f aca="false">MOD(D24,10)</f>
        <v>6</v>
      </c>
      <c r="F24" s="9" t="n">
        <f aca="false">2*D24</f>
        <v>192</v>
      </c>
      <c r="G24" s="9" t="n">
        <f aca="false">MOD(F24,10)</f>
        <v>2</v>
      </c>
      <c r="H24" s="9" t="n">
        <f aca="false">G24/2</f>
        <v>1</v>
      </c>
      <c r="I24" s="9" t="str">
        <f aca="false">IF(H24=0,"—",IF(H24=1,"unison (1:1)",IF(H24=2,"octave (2:1)",IF(H24=3,"fifth (3:2)",IF(H24=4,"fourth (4:3)","?")))))</f>
        <v>unison (1:1)</v>
      </c>
      <c r="J24" s="9" t="str">
        <f aca="false">IF(H24=0,"—",IF(H24=1,"ὁμώνυμον",IF(H24=2,"διὰ πασῶν",IF(H24=3,"διὰ πέντε",IF(H24=4,"διὰ τεσσάρων","?")))))</f>
        <v>ὁμώνυμον</v>
      </c>
      <c r="K24" s="10" t="str">
        <f aca="false" t="array" ref="K24:K24">IF(H24=INDEX($H$2:$H$52,51-ROW()+2),"✓","—")</f>
        <v>✓</v>
      </c>
      <c r="L24" s="14"/>
      <c r="M24" s="13"/>
    </row>
    <row r="25" customFormat="false" ht="15.75" hidden="false" customHeight="true" outlineLevel="0" collapsed="false">
      <c r="A25" s="8" t="n">
        <f aca="false">A24+1</f>
        <v>23</v>
      </c>
      <c r="B25" s="9" t="n">
        <f aca="false">MOD(4*A25^2,10)</f>
        <v>6</v>
      </c>
      <c r="C25" s="9" t="n">
        <f aca="false">(26*B25-5*B25^2)/24</f>
        <v>-1</v>
      </c>
      <c r="D25" s="9" t="n">
        <f aca="false">(A25^2+4*C25)/5</f>
        <v>105</v>
      </c>
      <c r="E25" s="9" t="n">
        <f aca="false">MOD(D25,10)</f>
        <v>5</v>
      </c>
      <c r="F25" s="9" t="n">
        <f aca="false">2*D25</f>
        <v>210</v>
      </c>
      <c r="G25" s="9" t="n">
        <f aca="false">MOD(F25,10)</f>
        <v>0</v>
      </c>
      <c r="H25" s="9" t="n">
        <f aca="false">G25/2</f>
        <v>0</v>
      </c>
      <c r="I25" s="9" t="str">
        <f aca="false">IF(H25=0,"—",IF(H25=1,"unison (1:1)",IF(H25=2,"octave (2:1)",IF(H25=3,"fifth (3:2)",IF(H25=4,"fourth (4:3)","?")))))</f>
        <v>—</v>
      </c>
      <c r="J25" s="9" t="str">
        <f aca="false">IF(H25=0,"—",IF(H25=1,"ὁμώνυμον",IF(H25=2,"διὰ πασῶν",IF(H25=3,"διὰ πέντε",IF(H25=4,"διὰ τεσσάρων","?")))))</f>
        <v>—</v>
      </c>
      <c r="K25" s="10" t="str">
        <f aca="false" t="array" ref="K25:K25">IF(H25=INDEX($H$2:$H$52,51-ROW()+2),"✓","—")</f>
        <v>✓</v>
      </c>
      <c r="L25" s="14"/>
      <c r="M25" s="13"/>
    </row>
    <row r="26" customFormat="false" ht="15.75" hidden="false" customHeight="true" outlineLevel="0" collapsed="false">
      <c r="A26" s="8" t="n">
        <f aca="false">A25+1</f>
        <v>24</v>
      </c>
      <c r="B26" s="9" t="n">
        <f aca="false">MOD(4*A26^2,10)</f>
        <v>4</v>
      </c>
      <c r="C26" s="9" t="n">
        <f aca="false">(26*B26-5*B26^2)/24</f>
        <v>1</v>
      </c>
      <c r="D26" s="9" t="n">
        <f aca="false">(A26^2+4*C26)/5</f>
        <v>116</v>
      </c>
      <c r="E26" s="9" t="n">
        <f aca="false">MOD(D26,10)</f>
        <v>6</v>
      </c>
      <c r="F26" s="9" t="n">
        <f aca="false">2*D26</f>
        <v>232</v>
      </c>
      <c r="G26" s="9" t="n">
        <f aca="false">MOD(F26,10)</f>
        <v>2</v>
      </c>
      <c r="H26" s="9" t="n">
        <f aca="false">G26/2</f>
        <v>1</v>
      </c>
      <c r="I26" s="9" t="str">
        <f aca="false">IF(H26=0,"—",IF(H26=1,"unison (1:1)",IF(H26=2,"octave (2:1)",IF(H26=3,"fifth (3:2)",IF(H26=4,"fourth (4:3)","?")))))</f>
        <v>unison (1:1)</v>
      </c>
      <c r="J26" s="9" t="str">
        <f aca="false">IF(H26=0,"—",IF(H26=1,"ὁμώνυμον",IF(H26=2,"διὰ πασῶν",IF(H26=3,"διὰ πέντε",IF(H26=4,"διὰ τεσσάρων","?")))))</f>
        <v>ὁμώνυμον</v>
      </c>
      <c r="K26" s="10" t="str">
        <f aca="false" t="array" ref="K26:K26">IF(H26=INDEX($H$2:$H$52,51-ROW()+2),"✓","—")</f>
        <v>✓</v>
      </c>
      <c r="L26" s="14"/>
      <c r="M26" s="13"/>
    </row>
    <row r="27" customFormat="false" ht="15.75" hidden="false" customHeight="true" outlineLevel="0" collapsed="false">
      <c r="A27" s="16" t="n">
        <f aca="false">A26+1</f>
        <v>25</v>
      </c>
      <c r="B27" s="17" t="n">
        <f aca="false">MOD(4*A27^2,10)</f>
        <v>0</v>
      </c>
      <c r="C27" s="17" t="n">
        <f aca="false">(26*B27-5*B27^2)/24</f>
        <v>0</v>
      </c>
      <c r="D27" s="17" t="n">
        <f aca="false">(A27^2+4*C27)/5</f>
        <v>125</v>
      </c>
      <c r="E27" s="17" t="n">
        <f aca="false">MOD(D27,10)</f>
        <v>5</v>
      </c>
      <c r="F27" s="17" t="n">
        <f aca="false">2*D27</f>
        <v>250</v>
      </c>
      <c r="G27" s="17" t="n">
        <f aca="false">MOD(F27,10)</f>
        <v>0</v>
      </c>
      <c r="H27" s="17" t="n">
        <f aca="false">G27/2</f>
        <v>0</v>
      </c>
      <c r="I27" s="17" t="str">
        <f aca="false">IF(H27=0,"—",IF(H27=1,"unison (1:1)",IF(H27=2,"octave (2:1)",IF(H27=3,"fifth (3:2)",IF(H27=4,"fourth (4:3)","?")))))</f>
        <v>—</v>
      </c>
      <c r="J27" s="17" t="str">
        <f aca="false">IF(H27=0,"—",IF(H27=1,"ὁμώνυμον",IF(H27=2,"διὰ πασῶν",IF(H27=3,"διὰ πέντε",IF(H27=4,"διὰ τεσσάρων","?")))))</f>
        <v>—</v>
      </c>
      <c r="K27" s="10" t="str">
        <f aca="false" t="array" ref="K27:K27">IF(H27=INDEX($H$2:$H$52,51-ROW()+2),"✓","—")</f>
        <v>✓</v>
      </c>
      <c r="L27" s="14"/>
      <c r="M27" s="13"/>
    </row>
    <row r="28" customFormat="false" ht="15.75" hidden="false" customHeight="true" outlineLevel="0" collapsed="false">
      <c r="A28" s="8" t="n">
        <f aca="false">A27+1</f>
        <v>26</v>
      </c>
      <c r="B28" s="9" t="n">
        <f aca="false">MOD(4*A28^2,10)</f>
        <v>4</v>
      </c>
      <c r="C28" s="9" t="n">
        <f aca="false">(26*B28-5*B28^2)/24</f>
        <v>1</v>
      </c>
      <c r="D28" s="9" t="n">
        <f aca="false">(A28^2+4*C28)/5</f>
        <v>136</v>
      </c>
      <c r="E28" s="9" t="n">
        <f aca="false">MOD(D28,10)</f>
        <v>6</v>
      </c>
      <c r="F28" s="9" t="n">
        <f aca="false">2*D28</f>
        <v>272</v>
      </c>
      <c r="G28" s="9" t="n">
        <f aca="false">MOD(F28,10)</f>
        <v>2</v>
      </c>
      <c r="H28" s="9" t="n">
        <f aca="false">G28/2</f>
        <v>1</v>
      </c>
      <c r="I28" s="9" t="str">
        <f aca="false">IF(H28=0,"—",IF(H28=1,"unison (1:1)",IF(H28=2,"octave (2:1)",IF(H28=3,"fifth (3:2)",IF(H28=4,"fourth (4:3)","?")))))</f>
        <v>unison (1:1)</v>
      </c>
      <c r="J28" s="9" t="str">
        <f aca="false">IF(H28=0,"—",IF(H28=1,"ὁμώνυμον",IF(H28=2,"διὰ πασῶν",IF(H28=3,"διὰ πέντε",IF(H28=4,"διὰ τεσσάρων","?")))))</f>
        <v>ὁμώνυμον</v>
      </c>
      <c r="K28" s="10" t="str">
        <f aca="false" t="array" ref="K28:K28">IF(H28=INDEX($H$2:$H$52,51-ROW()+2),"✓","—")</f>
        <v>✓</v>
      </c>
      <c r="L28" s="14"/>
      <c r="M28" s="13"/>
    </row>
    <row r="29" customFormat="false" ht="15.75" hidden="false" customHeight="true" outlineLevel="0" collapsed="false">
      <c r="A29" s="8" t="n">
        <f aca="false">A28+1</f>
        <v>27</v>
      </c>
      <c r="B29" s="9" t="n">
        <f aca="false">MOD(4*A29^2,10)</f>
        <v>6</v>
      </c>
      <c r="C29" s="9" t="n">
        <f aca="false">(26*B29-5*B29^2)/24</f>
        <v>-1</v>
      </c>
      <c r="D29" s="9" t="n">
        <f aca="false">(A29^2+4*C29)/5</f>
        <v>145</v>
      </c>
      <c r="E29" s="9" t="n">
        <f aca="false">MOD(D29,10)</f>
        <v>5</v>
      </c>
      <c r="F29" s="9" t="n">
        <f aca="false">2*D29</f>
        <v>290</v>
      </c>
      <c r="G29" s="9" t="n">
        <f aca="false">MOD(F29,10)</f>
        <v>0</v>
      </c>
      <c r="H29" s="9" t="n">
        <f aca="false">G29/2</f>
        <v>0</v>
      </c>
      <c r="I29" s="9" t="str">
        <f aca="false">IF(H29=0,"—",IF(H29=1,"unison (1:1)",IF(H29=2,"octave (2:1)",IF(H29=3,"fifth (3:2)",IF(H29=4,"fourth (4:3)","?")))))</f>
        <v>—</v>
      </c>
      <c r="J29" s="9" t="str">
        <f aca="false">IF(H29=0,"—",IF(H29=1,"ὁμώνυμον",IF(H29=2,"διὰ πασῶν",IF(H29=3,"διὰ πέντε",IF(H29=4,"διὰ τεσσάρων","?")))))</f>
        <v>—</v>
      </c>
      <c r="K29" s="10" t="str">
        <f aca="false" t="array" ref="K29:K29">IF(H29=INDEX($H$2:$H$52,51-ROW()+2),"✓","—")</f>
        <v>✓</v>
      </c>
      <c r="L29" s="14"/>
      <c r="M29" s="13"/>
    </row>
    <row r="30" customFormat="false" ht="15.75" hidden="false" customHeight="true" outlineLevel="0" collapsed="false">
      <c r="A30" s="8" t="n">
        <f aca="false">A29+1</f>
        <v>28</v>
      </c>
      <c r="B30" s="9" t="n">
        <f aca="false">MOD(4*A30^2,10)</f>
        <v>6</v>
      </c>
      <c r="C30" s="9" t="n">
        <f aca="false">(26*B30-5*B30^2)/24</f>
        <v>-1</v>
      </c>
      <c r="D30" s="9" t="n">
        <f aca="false">(A30^2+4*C30)/5</f>
        <v>156</v>
      </c>
      <c r="E30" s="9" t="n">
        <f aca="false">MOD(D30,10)</f>
        <v>6</v>
      </c>
      <c r="F30" s="9" t="n">
        <f aca="false">2*D30</f>
        <v>312</v>
      </c>
      <c r="G30" s="9" t="n">
        <f aca="false">MOD(F30,10)</f>
        <v>2</v>
      </c>
      <c r="H30" s="9" t="n">
        <f aca="false">G30/2</f>
        <v>1</v>
      </c>
      <c r="I30" s="9" t="str">
        <f aca="false">IF(H30=0,"—",IF(H30=1,"unison (1:1)",IF(H30=2,"octave (2:1)",IF(H30=3,"fifth (3:2)",IF(H30=4,"fourth (4:3)","?")))))</f>
        <v>unison (1:1)</v>
      </c>
      <c r="J30" s="9" t="str">
        <f aca="false">IF(H30=0,"—",IF(H30=1,"ὁμώνυμον",IF(H30=2,"διὰ πασῶν",IF(H30=3,"διὰ πέντε",IF(H30=4,"διὰ τεσσάρων","?")))))</f>
        <v>ὁμώνυμον</v>
      </c>
      <c r="K30" s="10" t="str">
        <f aca="false" t="array" ref="K30:K30">IF(H30=INDEX($H$2:$H$52,51-ROW()+2),"✓","—")</f>
        <v>✓</v>
      </c>
      <c r="L30" s="14"/>
      <c r="M30" s="13"/>
    </row>
    <row r="31" customFormat="false" ht="15.75" hidden="false" customHeight="true" outlineLevel="0" collapsed="false">
      <c r="A31" s="8" t="n">
        <f aca="false">A30+1</f>
        <v>29</v>
      </c>
      <c r="B31" s="9" t="n">
        <f aca="false">MOD(4*A31^2,10)</f>
        <v>4</v>
      </c>
      <c r="C31" s="9" t="n">
        <f aca="false">(26*B31-5*B31^2)/24</f>
        <v>1</v>
      </c>
      <c r="D31" s="9" t="n">
        <f aca="false">(A31^2+4*C31)/5</f>
        <v>169</v>
      </c>
      <c r="E31" s="9" t="n">
        <f aca="false">MOD(D31,10)</f>
        <v>9</v>
      </c>
      <c r="F31" s="9" t="n">
        <f aca="false">2*D31</f>
        <v>338</v>
      </c>
      <c r="G31" s="9" t="n">
        <f aca="false">MOD(F31,10)</f>
        <v>8</v>
      </c>
      <c r="H31" s="9" t="n">
        <f aca="false">G31/2</f>
        <v>4</v>
      </c>
      <c r="I31" s="9" t="str">
        <f aca="false">IF(H31=0,"—",IF(H31=1,"unison (1:1)",IF(H31=2,"octave (2:1)",IF(H31=3,"fifth (3:2)",IF(H31=4,"fourth (4:3)","?")))))</f>
        <v>fourth (4:3)</v>
      </c>
      <c r="J31" s="9" t="str">
        <f aca="false">IF(H31=0,"—",IF(H31=1,"ὁμώνυμον",IF(H31=2,"διὰ πασῶν",IF(H31=3,"διὰ πέντε",IF(H31=4,"διὰ τεσσάρων","?")))))</f>
        <v>διὰ τεσσάρων</v>
      </c>
      <c r="K31" s="10" t="str">
        <f aca="false" t="array" ref="K31:K31">IF(H31=INDEX($H$2:$H$52,51-ROW()+2),"✓","—")</f>
        <v>✓</v>
      </c>
      <c r="L31" s="14"/>
      <c r="M31" s="13"/>
    </row>
    <row r="32" customFormat="false" ht="15.75" hidden="false" customHeight="true" outlineLevel="0" collapsed="false">
      <c r="A32" s="8" t="n">
        <f aca="false">A31+1</f>
        <v>30</v>
      </c>
      <c r="B32" s="9" t="n">
        <f aca="false">MOD(4*A32^2,10)</f>
        <v>0</v>
      </c>
      <c r="C32" s="9" t="n">
        <f aca="false">(26*B32-5*B32^2)/24</f>
        <v>0</v>
      </c>
      <c r="D32" s="9" t="n">
        <f aca="false">(A32^2+4*C32)/5</f>
        <v>180</v>
      </c>
      <c r="E32" s="9" t="n">
        <f aca="false">MOD(D32,10)</f>
        <v>0</v>
      </c>
      <c r="F32" s="9" t="n">
        <f aca="false">2*D32</f>
        <v>360</v>
      </c>
      <c r="G32" s="9" t="n">
        <f aca="false">MOD(F32,10)</f>
        <v>0</v>
      </c>
      <c r="H32" s="9" t="n">
        <f aca="false">G32/2</f>
        <v>0</v>
      </c>
      <c r="I32" s="9" t="str">
        <f aca="false">IF(H32=0,"—",IF(H32=1,"unison (1:1)",IF(H32=2,"octave (2:1)",IF(H32=3,"fifth (3:2)",IF(H32=4,"fourth (4:3)","?")))))</f>
        <v>—</v>
      </c>
      <c r="J32" s="9" t="str">
        <f aca="false">IF(H32=0,"—",IF(H32=1,"ὁμώνυμον",IF(H32=2,"διὰ πασῶν",IF(H32=3,"διὰ πέντε",IF(H32=4,"διὰ τεσσάρων","?")))))</f>
        <v>—</v>
      </c>
      <c r="K32" s="10" t="str">
        <f aca="false" t="array" ref="K32:K32">IF(H32=INDEX($H$2:$H$52,51-ROW()+2),"✓","—")</f>
        <v>✓</v>
      </c>
      <c r="L32" s="14"/>
      <c r="M32" s="13"/>
    </row>
    <row r="33" customFormat="false" ht="15.75" hidden="false" customHeight="true" outlineLevel="0" collapsed="false">
      <c r="A33" s="8" t="n">
        <f aca="false">A32+1</f>
        <v>31</v>
      </c>
      <c r="B33" s="9" t="n">
        <f aca="false">MOD(4*A33^2,10)</f>
        <v>4</v>
      </c>
      <c r="C33" s="9" t="n">
        <f aca="false">(26*B33-5*B33^2)/24</f>
        <v>1</v>
      </c>
      <c r="D33" s="9" t="n">
        <f aca="false">(A33^2+4*C33)/5</f>
        <v>193</v>
      </c>
      <c r="E33" s="9" t="n">
        <f aca="false">MOD(D33,10)</f>
        <v>3</v>
      </c>
      <c r="F33" s="9" t="n">
        <f aca="false">2*D33</f>
        <v>386</v>
      </c>
      <c r="G33" s="9" t="n">
        <f aca="false">MOD(F33,10)</f>
        <v>6</v>
      </c>
      <c r="H33" s="9" t="n">
        <f aca="false">G33/2</f>
        <v>3</v>
      </c>
      <c r="I33" s="9" t="str">
        <f aca="false">IF(H33=0,"—",IF(H33=1,"unison (1:1)",IF(H33=2,"octave (2:1)",IF(H33=3,"fifth (3:2)",IF(H33=4,"fourth (4:3)","?")))))</f>
        <v>fifth (3:2)</v>
      </c>
      <c r="J33" s="9" t="str">
        <f aca="false">IF(H33=0,"—",IF(H33=1,"ὁμώνυμον",IF(H33=2,"διὰ πασῶν",IF(H33=3,"διὰ πέντε",IF(H33=4,"διὰ τεσσάρων","?")))))</f>
        <v>διὰ πέντε</v>
      </c>
      <c r="K33" s="10" t="str">
        <f aca="false" t="array" ref="K33:K33">IF(H33=INDEX($H$2:$H$52,51-ROW()+2),"✓","—")</f>
        <v>✓</v>
      </c>
      <c r="L33" s="14"/>
      <c r="M33" s="13"/>
    </row>
    <row r="34" customFormat="false" ht="15.75" hidden="false" customHeight="true" outlineLevel="0" collapsed="false">
      <c r="A34" s="8" t="n">
        <f aca="false">A33+1</f>
        <v>32</v>
      </c>
      <c r="B34" s="9" t="n">
        <f aca="false">MOD(4*A34^2,10)</f>
        <v>6</v>
      </c>
      <c r="C34" s="9" t="n">
        <f aca="false">(26*B34-5*B34^2)/24</f>
        <v>-1</v>
      </c>
      <c r="D34" s="9" t="n">
        <f aca="false">(A34^2+4*C34)/5</f>
        <v>204</v>
      </c>
      <c r="E34" s="9" t="n">
        <f aca="false">MOD(D34,10)</f>
        <v>4</v>
      </c>
      <c r="F34" s="9" t="n">
        <f aca="false">2*D34</f>
        <v>408</v>
      </c>
      <c r="G34" s="9" t="n">
        <f aca="false">MOD(F34,10)</f>
        <v>8</v>
      </c>
      <c r="H34" s="9" t="n">
        <f aca="false">G34/2</f>
        <v>4</v>
      </c>
      <c r="I34" s="9" t="str">
        <f aca="false">IF(H34=0,"—",IF(H34=1,"unison (1:1)",IF(H34=2,"octave (2:1)",IF(H34=3,"fifth (3:2)",IF(H34=4,"fourth (4:3)","?")))))</f>
        <v>fourth (4:3)</v>
      </c>
      <c r="J34" s="9" t="str">
        <f aca="false">IF(H34=0,"—",IF(H34=1,"ὁμώνυμον",IF(H34=2,"διὰ πασῶν",IF(H34=3,"διὰ πέντε",IF(H34=4,"διὰ τεσσάρων","?")))))</f>
        <v>διὰ τεσσάρων</v>
      </c>
      <c r="K34" s="10" t="str">
        <f aca="false" t="array" ref="K34:K34">IF(H34=INDEX($H$2:$H$52,51-ROW()+2),"✓","—")</f>
        <v>✓</v>
      </c>
      <c r="L34" s="14"/>
      <c r="M34" s="13"/>
    </row>
    <row r="35" customFormat="false" ht="15.75" hidden="false" customHeight="true" outlineLevel="0" collapsed="false">
      <c r="A35" s="8" t="n">
        <f aca="false">A34+1</f>
        <v>33</v>
      </c>
      <c r="B35" s="9" t="n">
        <f aca="false">MOD(4*A35^2,10)</f>
        <v>6</v>
      </c>
      <c r="C35" s="9" t="n">
        <f aca="false">(26*B35-5*B35^2)/24</f>
        <v>-1</v>
      </c>
      <c r="D35" s="9" t="n">
        <f aca="false">(A35^2+4*C35)/5</f>
        <v>217</v>
      </c>
      <c r="E35" s="9" t="n">
        <f aca="false">MOD(D35,10)</f>
        <v>7</v>
      </c>
      <c r="F35" s="9" t="n">
        <f aca="false">2*D35</f>
        <v>434</v>
      </c>
      <c r="G35" s="9" t="n">
        <f aca="false">MOD(F35,10)</f>
        <v>4</v>
      </c>
      <c r="H35" s="9" t="n">
        <f aca="false">G35/2</f>
        <v>2</v>
      </c>
      <c r="I35" s="9" t="str">
        <f aca="false">IF(H35=0,"—",IF(H35=1,"unison (1:1)",IF(H35=2,"octave (2:1)",IF(H35=3,"fifth (3:2)",IF(H35=4,"fourth (4:3)","?")))))</f>
        <v>octave (2:1)</v>
      </c>
      <c r="J35" s="9" t="str">
        <f aca="false">IF(H35=0,"—",IF(H35=1,"ὁμώνυμον",IF(H35=2,"διὰ πασῶν",IF(H35=3,"διὰ πέντε",IF(H35=4,"διὰ τεσσάρων","?")))))</f>
        <v>διὰ πασῶν</v>
      </c>
      <c r="K35" s="10" t="str">
        <f aca="false" t="array" ref="K35:K35">IF(H35=INDEX($H$2:$H$52,51-ROW()+2),"✓","—")</f>
        <v>✓</v>
      </c>
      <c r="L35" s="14"/>
      <c r="M35" s="13"/>
    </row>
    <row r="36" customFormat="false" ht="15.75" hidden="false" customHeight="true" outlineLevel="0" collapsed="false">
      <c r="A36" s="8" t="n">
        <f aca="false">A35+1</f>
        <v>34</v>
      </c>
      <c r="B36" s="9" t="n">
        <f aca="false">MOD(4*A36^2,10)</f>
        <v>4</v>
      </c>
      <c r="C36" s="9" t="n">
        <f aca="false">(26*B36-5*B36^2)/24</f>
        <v>1</v>
      </c>
      <c r="D36" s="9" t="n">
        <f aca="false">(A36^2+4*C36)/5</f>
        <v>232</v>
      </c>
      <c r="E36" s="9" t="n">
        <f aca="false">MOD(D36,10)</f>
        <v>2</v>
      </c>
      <c r="F36" s="9" t="n">
        <f aca="false">2*D36</f>
        <v>464</v>
      </c>
      <c r="G36" s="9" t="n">
        <f aca="false">MOD(F36,10)</f>
        <v>4</v>
      </c>
      <c r="H36" s="9" t="n">
        <f aca="false">G36/2</f>
        <v>2</v>
      </c>
      <c r="I36" s="9" t="str">
        <f aca="false">IF(H36=0,"—",IF(H36=1,"unison (1:1)",IF(H36=2,"octave (2:1)",IF(H36=3,"fifth (3:2)",IF(H36=4,"fourth (4:3)","?")))))</f>
        <v>octave (2:1)</v>
      </c>
      <c r="J36" s="9" t="str">
        <f aca="false">IF(H36=0,"—",IF(H36=1,"ὁμώνυμον",IF(H36=2,"διὰ πασῶν",IF(H36=3,"διὰ πέντε",IF(H36=4,"διὰ τεσσάρων","?")))))</f>
        <v>διὰ πασῶν</v>
      </c>
      <c r="K36" s="10" t="str">
        <f aca="false" t="array" ref="K36:K36">IF(H36=INDEX($H$2:$H$52,51-ROW()+2),"✓","—")</f>
        <v>✓</v>
      </c>
      <c r="L36" s="14"/>
      <c r="M36" s="13"/>
    </row>
    <row r="37" customFormat="false" ht="15.75" hidden="false" customHeight="true" outlineLevel="0" collapsed="false">
      <c r="A37" s="8" t="n">
        <f aca="false">A36+1</f>
        <v>35</v>
      </c>
      <c r="B37" s="9" t="n">
        <f aca="false">MOD(4*A37^2,10)</f>
        <v>0</v>
      </c>
      <c r="C37" s="9" t="n">
        <f aca="false">(26*B37-5*B37^2)/24</f>
        <v>0</v>
      </c>
      <c r="D37" s="9" t="n">
        <f aca="false">(A37^2+4*C37)/5</f>
        <v>245</v>
      </c>
      <c r="E37" s="9" t="n">
        <f aca="false">MOD(D37,10)</f>
        <v>5</v>
      </c>
      <c r="F37" s="9" t="n">
        <f aca="false">2*D37</f>
        <v>490</v>
      </c>
      <c r="G37" s="9" t="n">
        <f aca="false">MOD(F37,10)</f>
        <v>0</v>
      </c>
      <c r="H37" s="9" t="n">
        <f aca="false">G37/2</f>
        <v>0</v>
      </c>
      <c r="I37" s="9" t="str">
        <f aca="false">IF(H37=0,"—",IF(H37=1,"unison (1:1)",IF(H37=2,"octave (2:1)",IF(H37=3,"fifth (3:2)",IF(H37=4,"fourth (4:3)","?")))))</f>
        <v>—</v>
      </c>
      <c r="J37" s="9" t="str">
        <f aca="false">IF(H37=0,"—",IF(H37=1,"ὁμώνυμον",IF(H37=2,"διὰ πασῶν",IF(H37=3,"διὰ πέντε",IF(H37=4,"διὰ τεσσάρων","?")))))</f>
        <v>—</v>
      </c>
      <c r="K37" s="10" t="str">
        <f aca="false" t="array" ref="K37:K37">IF(H37=INDEX($H$2:$H$52,51-ROW()+2),"✓","—")</f>
        <v>✓</v>
      </c>
      <c r="L37" s="14"/>
      <c r="M37" s="13"/>
    </row>
    <row r="38" customFormat="false" ht="15.75" hidden="false" customHeight="true" outlineLevel="0" collapsed="false">
      <c r="A38" s="8" t="n">
        <f aca="false">A37+1</f>
        <v>36</v>
      </c>
      <c r="B38" s="9" t="n">
        <f aca="false">MOD(4*A38^2,10)</f>
        <v>4</v>
      </c>
      <c r="C38" s="9" t="n">
        <f aca="false">(26*B38-5*B38^2)/24</f>
        <v>1</v>
      </c>
      <c r="D38" s="9" t="n">
        <f aca="false">(A38^2+4*C38)/5</f>
        <v>260</v>
      </c>
      <c r="E38" s="9" t="n">
        <f aca="false">MOD(D38,10)</f>
        <v>0</v>
      </c>
      <c r="F38" s="9" t="n">
        <f aca="false">2*D38</f>
        <v>520</v>
      </c>
      <c r="G38" s="9" t="n">
        <f aca="false">MOD(F38,10)</f>
        <v>0</v>
      </c>
      <c r="H38" s="9" t="n">
        <f aca="false">G38/2</f>
        <v>0</v>
      </c>
      <c r="I38" s="9" t="str">
        <f aca="false">IF(H38=0,"—",IF(H38=1,"unison (1:1)",IF(H38=2,"octave (2:1)",IF(H38=3,"fifth (3:2)",IF(H38=4,"fourth (4:3)","?")))))</f>
        <v>—</v>
      </c>
      <c r="J38" s="9" t="str">
        <f aca="false">IF(H38=0,"—",IF(H38=1,"ὁμώνυμον",IF(H38=2,"διὰ πασῶν",IF(H38=3,"διὰ πέντε",IF(H38=4,"διὰ τεσσάρων","?")))))</f>
        <v>—</v>
      </c>
      <c r="K38" s="10" t="str">
        <f aca="false" t="array" ref="K38:K38">IF(H38=INDEX($H$2:$H$52,51-ROW()+2),"✓","—")</f>
        <v>✓</v>
      </c>
      <c r="L38" s="14"/>
      <c r="M38" s="13"/>
    </row>
    <row r="39" customFormat="false" ht="15.75" hidden="false" customHeight="true" outlineLevel="0" collapsed="false">
      <c r="A39" s="8" t="n">
        <f aca="false">A38+1</f>
        <v>37</v>
      </c>
      <c r="B39" s="9" t="n">
        <f aca="false">MOD(4*A39^2,10)</f>
        <v>6</v>
      </c>
      <c r="C39" s="9" t="n">
        <f aca="false">(26*B39-5*B39^2)/24</f>
        <v>-1</v>
      </c>
      <c r="D39" s="9" t="n">
        <f aca="false">(A39^2+4*C39)/5</f>
        <v>273</v>
      </c>
      <c r="E39" s="9" t="n">
        <f aca="false">MOD(D39,10)</f>
        <v>3</v>
      </c>
      <c r="F39" s="9" t="n">
        <f aca="false">2*D39</f>
        <v>546</v>
      </c>
      <c r="G39" s="9" t="n">
        <f aca="false">MOD(F39,10)</f>
        <v>6</v>
      </c>
      <c r="H39" s="9" t="n">
        <f aca="false">G39/2</f>
        <v>3</v>
      </c>
      <c r="I39" s="9" t="str">
        <f aca="false">IF(H39=0,"—",IF(H39=1,"unison (1:1)",IF(H39=2,"octave (2:1)",IF(H39=3,"fifth (3:2)",IF(H39=4,"fourth (4:3)","?")))))</f>
        <v>fifth (3:2)</v>
      </c>
      <c r="J39" s="9" t="str">
        <f aca="false">IF(H39=0,"—",IF(H39=1,"ὁμώνυμον",IF(H39=2,"διὰ πασῶν",IF(H39=3,"διὰ πέντε",IF(H39=4,"διὰ τεσσάρων","?")))))</f>
        <v>διὰ πέντε</v>
      </c>
      <c r="K39" s="10" t="str">
        <f aca="false" t="array" ref="K39:K39">IF(H39=INDEX($H$2:$H$52,51-ROW()+2),"✓","—")</f>
        <v>✓</v>
      </c>
      <c r="L39" s="14"/>
      <c r="M39" s="13"/>
    </row>
    <row r="40" customFormat="false" ht="15.75" hidden="false" customHeight="true" outlineLevel="0" collapsed="false">
      <c r="A40" s="8" t="n">
        <f aca="false">A39+1</f>
        <v>38</v>
      </c>
      <c r="B40" s="9" t="n">
        <f aca="false">MOD(4*A40^2,10)</f>
        <v>6</v>
      </c>
      <c r="C40" s="9" t="n">
        <f aca="false">(26*B40-5*B40^2)/24</f>
        <v>-1</v>
      </c>
      <c r="D40" s="9" t="n">
        <f aca="false">(A40^2+4*C40)/5</f>
        <v>288</v>
      </c>
      <c r="E40" s="9" t="n">
        <f aca="false">MOD(D40,10)</f>
        <v>8</v>
      </c>
      <c r="F40" s="9" t="n">
        <f aca="false">2*D40</f>
        <v>576</v>
      </c>
      <c r="G40" s="9" t="n">
        <f aca="false">MOD(F40,10)</f>
        <v>6</v>
      </c>
      <c r="H40" s="9" t="n">
        <f aca="false">G40/2</f>
        <v>3</v>
      </c>
      <c r="I40" s="9" t="str">
        <f aca="false">IF(H40=0,"—",IF(H40=1,"unison (1:1)",IF(H40=2,"octave (2:1)",IF(H40=3,"fifth (3:2)",IF(H40=4,"fourth (4:3)","?")))))</f>
        <v>fifth (3:2)</v>
      </c>
      <c r="J40" s="9" t="str">
        <f aca="false">IF(H40=0,"—",IF(H40=1,"ὁμώνυμον",IF(H40=2,"διὰ πασῶν",IF(H40=3,"διὰ πέντε",IF(H40=4,"διὰ τεσσάρων","?")))))</f>
        <v>διὰ πέντε</v>
      </c>
      <c r="K40" s="10" t="str">
        <f aca="false" t="array" ref="K40:K40">IF(H40=INDEX($H$2:$H$52,51-ROW()+2),"✓","—")</f>
        <v>✓</v>
      </c>
      <c r="L40" s="14"/>
      <c r="M40" s="13"/>
    </row>
    <row r="41" customFormat="false" ht="15.75" hidden="false" customHeight="true" outlineLevel="0" collapsed="false">
      <c r="A41" s="8" t="n">
        <f aca="false">A40+1</f>
        <v>39</v>
      </c>
      <c r="B41" s="9" t="n">
        <f aca="false">MOD(4*A41^2,10)</f>
        <v>4</v>
      </c>
      <c r="C41" s="9" t="n">
        <f aca="false">(26*B41-5*B41^2)/24</f>
        <v>1</v>
      </c>
      <c r="D41" s="9" t="n">
        <f aca="false">(A41^2+4*C41)/5</f>
        <v>305</v>
      </c>
      <c r="E41" s="9" t="n">
        <f aca="false">MOD(D41,10)</f>
        <v>5</v>
      </c>
      <c r="F41" s="9" t="n">
        <f aca="false">2*D41</f>
        <v>610</v>
      </c>
      <c r="G41" s="9" t="n">
        <f aca="false">MOD(F41,10)</f>
        <v>0</v>
      </c>
      <c r="H41" s="9" t="n">
        <f aca="false">G41/2</f>
        <v>0</v>
      </c>
      <c r="I41" s="9" t="str">
        <f aca="false">IF(H41=0,"—",IF(H41=1,"unison (1:1)",IF(H41=2,"octave (2:1)",IF(H41=3,"fifth (3:2)",IF(H41=4,"fourth (4:3)","?")))))</f>
        <v>—</v>
      </c>
      <c r="J41" s="9" t="str">
        <f aca="false">IF(H41=0,"—",IF(H41=1,"ὁμώνυμον",IF(H41=2,"διὰ πασῶν",IF(H41=3,"διὰ πέντε",IF(H41=4,"διὰ τεσσάρων","?")))))</f>
        <v>—</v>
      </c>
      <c r="K41" s="10" t="str">
        <f aca="false" t="array" ref="K41:K41">IF(H41=INDEX($H$2:$H$52,51-ROW()+2),"✓","—")</f>
        <v>✓</v>
      </c>
      <c r="L41" s="14"/>
      <c r="M41" s="13"/>
    </row>
    <row r="42" customFormat="false" ht="15.75" hidden="false" customHeight="true" outlineLevel="0" collapsed="false">
      <c r="A42" s="8" t="n">
        <f aca="false">A41+1</f>
        <v>40</v>
      </c>
      <c r="B42" s="9" t="n">
        <f aca="false">MOD(4*A42^2,10)</f>
        <v>0</v>
      </c>
      <c r="C42" s="9" t="n">
        <f aca="false">(26*B42-5*B42^2)/24</f>
        <v>0</v>
      </c>
      <c r="D42" s="9" t="n">
        <f aca="false">(A42^2+4*C42)/5</f>
        <v>320</v>
      </c>
      <c r="E42" s="9" t="n">
        <f aca="false">MOD(D42,10)</f>
        <v>0</v>
      </c>
      <c r="F42" s="9" t="n">
        <f aca="false">2*D42</f>
        <v>640</v>
      </c>
      <c r="G42" s="9" t="n">
        <f aca="false">MOD(F42,10)</f>
        <v>0</v>
      </c>
      <c r="H42" s="9" t="n">
        <f aca="false">G42/2</f>
        <v>0</v>
      </c>
      <c r="I42" s="9" t="str">
        <f aca="false">IF(H42=0,"—",IF(H42=1,"unison (1:1)",IF(H42=2,"octave (2:1)",IF(H42=3,"fifth (3:2)",IF(H42=4,"fourth (4:3)","?")))))</f>
        <v>—</v>
      </c>
      <c r="J42" s="9" t="str">
        <f aca="false">IF(H42=0,"—",IF(H42=1,"ὁμώνυμον",IF(H42=2,"διὰ πασῶν",IF(H42=3,"διὰ πέντε",IF(H42=4,"διὰ τεσσάρων","?")))))</f>
        <v>—</v>
      </c>
      <c r="K42" s="10" t="str">
        <f aca="false" t="array" ref="K42:K42">IF(H42=INDEX($H$2:$H$52,51-ROW()+2),"✓","—")</f>
        <v>✓</v>
      </c>
      <c r="L42" s="14"/>
      <c r="M42" s="13"/>
    </row>
    <row r="43" customFormat="false" ht="15.75" hidden="false" customHeight="true" outlineLevel="0" collapsed="false">
      <c r="A43" s="8" t="n">
        <f aca="false">A42+1</f>
        <v>41</v>
      </c>
      <c r="B43" s="9" t="n">
        <f aca="false">MOD(4*A43^2,10)</f>
        <v>4</v>
      </c>
      <c r="C43" s="9" t="n">
        <f aca="false">(26*B43-5*B43^2)/24</f>
        <v>1</v>
      </c>
      <c r="D43" s="9" t="n">
        <f aca="false">(A43^2+4*C43)/5</f>
        <v>337</v>
      </c>
      <c r="E43" s="9" t="n">
        <f aca="false">MOD(D43,10)</f>
        <v>7</v>
      </c>
      <c r="F43" s="9" t="n">
        <f aca="false">2*D43</f>
        <v>674</v>
      </c>
      <c r="G43" s="9" t="n">
        <f aca="false">MOD(F43,10)</f>
        <v>4</v>
      </c>
      <c r="H43" s="9" t="n">
        <f aca="false">G43/2</f>
        <v>2</v>
      </c>
      <c r="I43" s="9" t="str">
        <f aca="false">IF(H43=0,"—",IF(H43=1,"unison (1:1)",IF(H43=2,"octave (2:1)",IF(H43=3,"fifth (3:2)",IF(H43=4,"fourth (4:3)","?")))))</f>
        <v>octave (2:1)</v>
      </c>
      <c r="J43" s="9" t="str">
        <f aca="false">IF(H43=0,"—",IF(H43=1,"ὁμώνυμον",IF(H43=2,"διὰ πασῶν",IF(H43=3,"διὰ πέντε",IF(H43=4,"διὰ τεσσάρων","?")))))</f>
        <v>διὰ πασῶν</v>
      </c>
      <c r="K43" s="10" t="str">
        <f aca="false" t="array" ref="K43:K43">IF(H43=INDEX($H$2:$H$52,51-ROW()+2),"✓","—")</f>
        <v>✓</v>
      </c>
      <c r="L43" s="14"/>
      <c r="M43" s="13"/>
    </row>
    <row r="44" customFormat="false" ht="15.75" hidden="false" customHeight="true" outlineLevel="0" collapsed="false">
      <c r="A44" s="8" t="n">
        <f aca="false">A43+1</f>
        <v>42</v>
      </c>
      <c r="B44" s="9" t="n">
        <f aca="false">MOD(4*A44^2,10)</f>
        <v>6</v>
      </c>
      <c r="C44" s="9" t="n">
        <f aca="false">(26*B44-5*B44^2)/24</f>
        <v>-1</v>
      </c>
      <c r="D44" s="9" t="n">
        <f aca="false">(A44^2+4*C44)/5</f>
        <v>352</v>
      </c>
      <c r="E44" s="9" t="n">
        <f aca="false">MOD(D44,10)</f>
        <v>2</v>
      </c>
      <c r="F44" s="9" t="n">
        <f aca="false">2*D44</f>
        <v>704</v>
      </c>
      <c r="G44" s="9" t="n">
        <f aca="false">MOD(F44,10)</f>
        <v>4</v>
      </c>
      <c r="H44" s="9" t="n">
        <f aca="false">G44/2</f>
        <v>2</v>
      </c>
      <c r="I44" s="9" t="str">
        <f aca="false">IF(H44=0,"—",IF(H44=1,"unison (1:1)",IF(H44=2,"octave (2:1)",IF(H44=3,"fifth (3:2)",IF(H44=4,"fourth (4:3)","?")))))</f>
        <v>octave (2:1)</v>
      </c>
      <c r="J44" s="9" t="str">
        <f aca="false">IF(H44=0,"—",IF(H44=1,"ὁμώνυμον",IF(H44=2,"διὰ πασῶν",IF(H44=3,"διὰ πέντε",IF(H44=4,"διὰ τεσσάρων","?")))))</f>
        <v>διὰ πασῶν</v>
      </c>
      <c r="K44" s="10" t="str">
        <f aca="false" t="array" ref="K44:K44">IF(H44=INDEX($H$2:$H$52,51-ROW()+2),"✓","—")</f>
        <v>✓</v>
      </c>
      <c r="L44" s="14"/>
      <c r="M44" s="13"/>
    </row>
    <row r="45" customFormat="false" ht="15.75" hidden="false" customHeight="true" outlineLevel="0" collapsed="false">
      <c r="A45" s="8" t="n">
        <f aca="false">A44+1</f>
        <v>43</v>
      </c>
      <c r="B45" s="9" t="n">
        <f aca="false">MOD(4*A45^2,10)</f>
        <v>6</v>
      </c>
      <c r="C45" s="9" t="n">
        <f aca="false">(26*B45-5*B45^2)/24</f>
        <v>-1</v>
      </c>
      <c r="D45" s="9" t="n">
        <f aca="false">(A45^2+4*C45)/5</f>
        <v>369</v>
      </c>
      <c r="E45" s="9" t="n">
        <f aca="false">MOD(D45,10)</f>
        <v>9</v>
      </c>
      <c r="F45" s="9" t="n">
        <f aca="false">2*D45</f>
        <v>738</v>
      </c>
      <c r="G45" s="9" t="n">
        <f aca="false">MOD(F45,10)</f>
        <v>8</v>
      </c>
      <c r="H45" s="9" t="n">
        <f aca="false">G45/2</f>
        <v>4</v>
      </c>
      <c r="I45" s="9" t="str">
        <f aca="false">IF(H45=0,"—",IF(H45=1,"unison (1:1)",IF(H45=2,"octave (2:1)",IF(H45=3,"fifth (3:2)",IF(H45=4,"fourth (4:3)","?")))))</f>
        <v>fourth (4:3)</v>
      </c>
      <c r="J45" s="9" t="str">
        <f aca="false">IF(H45=0,"—",IF(H45=1,"ὁμώνυμον",IF(H45=2,"διὰ πασῶν",IF(H45=3,"διὰ πέντε",IF(H45=4,"διὰ τεσσάρων","?")))))</f>
        <v>διὰ τεσσάρων</v>
      </c>
      <c r="K45" s="10" t="str">
        <f aca="false" t="array" ref="K45:K45">IF(H45=INDEX($H$2:$H$52,51-ROW()+2),"✓","—")</f>
        <v>✓</v>
      </c>
      <c r="L45" s="14"/>
      <c r="M45" s="13"/>
    </row>
    <row r="46" customFormat="false" ht="15.75" hidden="false" customHeight="true" outlineLevel="0" collapsed="false">
      <c r="A46" s="8" t="n">
        <f aca="false">A45+1</f>
        <v>44</v>
      </c>
      <c r="B46" s="9" t="n">
        <f aca="false">MOD(4*A46^2,10)</f>
        <v>4</v>
      </c>
      <c r="C46" s="9" t="n">
        <f aca="false">(26*B46-5*B46^2)/24</f>
        <v>1</v>
      </c>
      <c r="D46" s="9" t="n">
        <f aca="false">(A46^2+4*C46)/5</f>
        <v>388</v>
      </c>
      <c r="E46" s="9" t="n">
        <f aca="false">MOD(D46,10)</f>
        <v>8</v>
      </c>
      <c r="F46" s="9" t="n">
        <f aca="false">2*D46</f>
        <v>776</v>
      </c>
      <c r="G46" s="9" t="n">
        <f aca="false">MOD(F46,10)</f>
        <v>6</v>
      </c>
      <c r="H46" s="9" t="n">
        <f aca="false">G46/2</f>
        <v>3</v>
      </c>
      <c r="I46" s="9" t="str">
        <f aca="false">IF(H46=0,"—",IF(H46=1,"unison (1:1)",IF(H46=2,"octave (2:1)",IF(H46=3,"fifth (3:2)",IF(H46=4,"fourth (4:3)","?")))))</f>
        <v>fifth (3:2)</v>
      </c>
      <c r="J46" s="9" t="str">
        <f aca="false">IF(H46=0,"—",IF(H46=1,"ὁμώνυμον",IF(H46=2,"διὰ πασῶν",IF(H46=3,"διὰ πέντε",IF(H46=4,"διὰ τεσσάρων","?")))))</f>
        <v>διὰ πέντε</v>
      </c>
      <c r="K46" s="10" t="str">
        <f aca="false" t="array" ref="K46:K46">IF(H46=INDEX($H$2:$H$52,51-ROW()+2),"✓","—")</f>
        <v>✓</v>
      </c>
      <c r="L46" s="14"/>
      <c r="M46" s="13"/>
    </row>
    <row r="47" customFormat="false" ht="15.75" hidden="false" customHeight="true" outlineLevel="0" collapsed="false">
      <c r="A47" s="8" t="n">
        <f aca="false">A46+1</f>
        <v>45</v>
      </c>
      <c r="B47" s="9" t="n">
        <f aca="false">MOD(4*A47^2,10)</f>
        <v>0</v>
      </c>
      <c r="C47" s="9" t="n">
        <f aca="false">(26*B47-5*B47^2)/24</f>
        <v>0</v>
      </c>
      <c r="D47" s="9" t="n">
        <f aca="false">(A47^2+4*C47)/5</f>
        <v>405</v>
      </c>
      <c r="E47" s="9" t="n">
        <f aca="false">MOD(D47,10)</f>
        <v>5</v>
      </c>
      <c r="F47" s="9" t="n">
        <f aca="false">2*D47</f>
        <v>810</v>
      </c>
      <c r="G47" s="9" t="n">
        <f aca="false">MOD(F47,10)</f>
        <v>0</v>
      </c>
      <c r="H47" s="9" t="n">
        <f aca="false">G47/2</f>
        <v>0</v>
      </c>
      <c r="I47" s="9" t="str">
        <f aca="false">IF(H47=0,"—",IF(H47=1,"unison (1:1)",IF(H47=2,"octave (2:1)",IF(H47=3,"fifth (3:2)",IF(H47=4,"fourth (4:3)","?")))))</f>
        <v>—</v>
      </c>
      <c r="J47" s="9" t="str">
        <f aca="false">IF(H47=0,"—",IF(H47=1,"ὁμώνυμον",IF(H47=2,"διὰ πασῶν",IF(H47=3,"διὰ πέντε",IF(H47=4,"διὰ τεσσάρων","?")))))</f>
        <v>—</v>
      </c>
      <c r="K47" s="10" t="str">
        <f aca="false" t="array" ref="K47:K47">IF(H47=INDEX($H$2:$H$52,51-ROW()+2),"✓","—")</f>
        <v>✓</v>
      </c>
      <c r="L47" s="14"/>
      <c r="M47" s="13"/>
    </row>
    <row r="48" customFormat="false" ht="15.75" hidden="false" customHeight="true" outlineLevel="0" collapsed="false">
      <c r="A48" s="8" t="n">
        <f aca="false">A47+1</f>
        <v>46</v>
      </c>
      <c r="B48" s="9" t="n">
        <f aca="false">MOD(4*A48^2,10)</f>
        <v>4</v>
      </c>
      <c r="C48" s="9" t="n">
        <f aca="false">(26*B48-5*B48^2)/24</f>
        <v>1</v>
      </c>
      <c r="D48" s="9" t="n">
        <f aca="false">(A48^2+4*C48)/5</f>
        <v>424</v>
      </c>
      <c r="E48" s="9" t="n">
        <f aca="false">MOD(D48,10)</f>
        <v>4</v>
      </c>
      <c r="F48" s="9" t="n">
        <f aca="false">2*D48</f>
        <v>848</v>
      </c>
      <c r="G48" s="9" t="n">
        <f aca="false">MOD(F48,10)</f>
        <v>8</v>
      </c>
      <c r="H48" s="9" t="n">
        <f aca="false">G48/2</f>
        <v>4</v>
      </c>
      <c r="I48" s="9" t="str">
        <f aca="false">IF(H48=0,"—",IF(H48=1,"unison (1:1)",IF(H48=2,"octave (2:1)",IF(H48=3,"fifth (3:2)",IF(H48=4,"fourth (4:3)","?")))))</f>
        <v>fourth (4:3)</v>
      </c>
      <c r="J48" s="9" t="str">
        <f aca="false">IF(H48=0,"—",IF(H48=1,"ὁμώνυμον",IF(H48=2,"διὰ πασῶν",IF(H48=3,"διὰ πέντε",IF(H48=4,"διὰ τεσσάρων","?")))))</f>
        <v>διὰ τεσσάρων</v>
      </c>
      <c r="K48" s="10" t="str">
        <f aca="false" t="array" ref="K48:K48">IF(H48=INDEX($H$2:$H$52,51-ROW()+2),"✓","—")</f>
        <v>✓</v>
      </c>
      <c r="L48" s="14"/>
      <c r="M48" s="13"/>
    </row>
    <row r="49" customFormat="false" ht="15.75" hidden="false" customHeight="true" outlineLevel="0" collapsed="false">
      <c r="A49" s="8" t="n">
        <f aca="false">A48+1</f>
        <v>47</v>
      </c>
      <c r="B49" s="9" t="n">
        <f aca="false">MOD(4*A49^2,10)</f>
        <v>6</v>
      </c>
      <c r="C49" s="9" t="n">
        <f aca="false">(26*B49-5*B49^2)/24</f>
        <v>-1</v>
      </c>
      <c r="D49" s="9" t="n">
        <f aca="false">(A49^2+4*C49)/5</f>
        <v>441</v>
      </c>
      <c r="E49" s="9" t="n">
        <f aca="false">MOD(D49,10)</f>
        <v>1</v>
      </c>
      <c r="F49" s="9" t="n">
        <f aca="false">2*D49</f>
        <v>882</v>
      </c>
      <c r="G49" s="9" t="n">
        <f aca="false">MOD(F49,10)</f>
        <v>2</v>
      </c>
      <c r="H49" s="9" t="n">
        <f aca="false">G49/2</f>
        <v>1</v>
      </c>
      <c r="I49" s="9" t="str">
        <f aca="false">IF(H49=0,"—",IF(H49=1,"unison (1:1)",IF(H49=2,"octave (2:1)",IF(H49=3,"fifth (3:2)",IF(H49=4,"fourth (4:3)","?")))))</f>
        <v>unison (1:1)</v>
      </c>
      <c r="J49" s="9" t="str">
        <f aca="false">IF(H49=0,"—",IF(H49=1,"ὁμώνυμον",IF(H49=2,"διὰ πασῶν",IF(H49=3,"διὰ πέντε",IF(H49=4,"διὰ τεσσάρων","?")))))</f>
        <v>ὁμώνυμον</v>
      </c>
      <c r="K49" s="10" t="str">
        <f aca="false" t="array" ref="K49:K49">IF(H49=INDEX($H$2:$H$52,51-ROW()+2),"✓","—")</f>
        <v>✓</v>
      </c>
      <c r="L49" s="14"/>
      <c r="M49" s="13"/>
    </row>
    <row r="50" customFormat="false" ht="15.75" hidden="false" customHeight="true" outlineLevel="0" collapsed="false">
      <c r="A50" s="8" t="n">
        <f aca="false">A49+1</f>
        <v>48</v>
      </c>
      <c r="B50" s="9" t="n">
        <f aca="false">MOD(4*A50^2,10)</f>
        <v>6</v>
      </c>
      <c r="C50" s="9" t="n">
        <f aca="false">(26*B50-5*B50^2)/24</f>
        <v>-1</v>
      </c>
      <c r="D50" s="9" t="n">
        <f aca="false">(A50^2+4*C50)/5</f>
        <v>460</v>
      </c>
      <c r="E50" s="9" t="n">
        <f aca="false">MOD(D50,10)</f>
        <v>0</v>
      </c>
      <c r="F50" s="9" t="n">
        <f aca="false">2*D50</f>
        <v>920</v>
      </c>
      <c r="G50" s="9" t="n">
        <f aca="false">MOD(F50,10)</f>
        <v>0</v>
      </c>
      <c r="H50" s="9" t="n">
        <f aca="false">G50/2</f>
        <v>0</v>
      </c>
      <c r="I50" s="9" t="str">
        <f aca="false">IF(H50=0,"—",IF(H50=1,"unison (1:1)",IF(H50=2,"octave (2:1)",IF(H50=3,"fifth (3:2)",IF(H50=4,"fourth (4:3)","?")))))</f>
        <v>—</v>
      </c>
      <c r="J50" s="9" t="str">
        <f aca="false">IF(H50=0,"—",IF(H50=1,"ὁμώνυμον",IF(H50=2,"διὰ πασῶν",IF(H50=3,"διὰ πέντε",IF(H50=4,"διὰ τεσσάρων","?")))))</f>
        <v>—</v>
      </c>
      <c r="K50" s="10" t="str">
        <f aca="false" t="array" ref="K50:K50">IF(H50=INDEX($H$2:$H$52,51-ROW()+2),"✓","—")</f>
        <v>✓</v>
      </c>
      <c r="L50" s="14"/>
      <c r="M50" s="13"/>
    </row>
    <row r="51" customFormat="false" ht="15.75" hidden="false" customHeight="true" outlineLevel="0" collapsed="false">
      <c r="A51" s="8" t="n">
        <f aca="false">A50+1</f>
        <v>49</v>
      </c>
      <c r="B51" s="9" t="n">
        <f aca="false">MOD(4*A51^2,10)</f>
        <v>4</v>
      </c>
      <c r="C51" s="9" t="n">
        <f aca="false">(26*B51-5*B51^2)/24</f>
        <v>1</v>
      </c>
      <c r="D51" s="9" t="n">
        <f aca="false">(A51^2+4*C51)/5</f>
        <v>481</v>
      </c>
      <c r="E51" s="9" t="n">
        <f aca="false">MOD(D51,10)</f>
        <v>1</v>
      </c>
      <c r="F51" s="9" t="n">
        <f aca="false">2*D51</f>
        <v>962</v>
      </c>
      <c r="G51" s="9" t="n">
        <f aca="false">MOD(F51,10)</f>
        <v>2</v>
      </c>
      <c r="H51" s="9" t="n">
        <f aca="false">G51/2</f>
        <v>1</v>
      </c>
      <c r="I51" s="9" t="str">
        <f aca="false">IF(H51=0,"—",IF(H51=1,"unison (1:1)",IF(H51=2,"octave (2:1)",IF(H51=3,"fifth (3:2)",IF(H51=4,"fourth (4:3)","?")))))</f>
        <v>unison (1:1)</v>
      </c>
      <c r="J51" s="9" t="str">
        <f aca="false">IF(H51=0,"—",IF(H51=1,"ὁμώνυμον",IF(H51=2,"διὰ πασῶν",IF(H51=3,"διὰ πέντε",IF(H51=4,"διὰ τεσσάρων","?")))))</f>
        <v>ὁμώνυμον</v>
      </c>
      <c r="K51" s="10" t="str">
        <f aca="false" t="array" ref="K51:K51">IF(H51=INDEX($H$2:$H$52,51-ROW()+2),"✓","—")</f>
        <v>✓</v>
      </c>
      <c r="L51" s="14"/>
      <c r="M51" s="13"/>
    </row>
    <row r="52" customFormat="false" ht="15.75" hidden="false" customHeight="true" outlineLevel="0" collapsed="false">
      <c r="A52" s="8" t="n">
        <f aca="false">A51+1</f>
        <v>50</v>
      </c>
      <c r="B52" s="9" t="n">
        <f aca="false">MOD(4*A52^2,10)</f>
        <v>0</v>
      </c>
      <c r="C52" s="9" t="n">
        <f aca="false">(26*B52-5*B52^2)/24</f>
        <v>0</v>
      </c>
      <c r="D52" s="9" t="n">
        <f aca="false">(A52^2+4*C52)/5</f>
        <v>500</v>
      </c>
      <c r="E52" s="9" t="n">
        <f aca="false">MOD(D52,10)</f>
        <v>0</v>
      </c>
      <c r="F52" s="9" t="n">
        <f aca="false">2*D52</f>
        <v>1000</v>
      </c>
      <c r="G52" s="9" t="n">
        <f aca="false">MOD(F52,10)</f>
        <v>0</v>
      </c>
      <c r="H52" s="9" t="n">
        <f aca="false">G52/2</f>
        <v>0</v>
      </c>
      <c r="I52" s="9" t="str">
        <f aca="false">IF(H52=0,"—",IF(H52=1,"unison (1:1)",IF(H52=2,"octave (2:1)",IF(H52=3,"fifth (3:2)",IF(H52=4,"fourth (4:3)","?")))))</f>
        <v>—</v>
      </c>
      <c r="J52" s="9" t="str">
        <f aca="false">IF(H52=0,"—",IF(H52=1,"ὁμώνυμον",IF(H52=2,"διὰ πασῶν",IF(H52=3,"διὰ πέντε",IF(H52=4,"διὰ τεσσάρων","?")))))</f>
        <v>—</v>
      </c>
      <c r="K52" s="10" t="str">
        <f aca="false" t="array" ref="K52:K52">IF(H52=INDEX($H$2:$H$52,51-ROW()+2),"✓","—")</f>
        <v>✓</v>
      </c>
      <c r="L52" s="14"/>
      <c r="M52" s="13"/>
    </row>
    <row r="53" customFormat="false" ht="15.75" hidden="false" customHeight="true" outlineLevel="0" collapsed="false">
      <c r="A53" s="8" t="n">
        <f aca="false">A52+1</f>
        <v>51</v>
      </c>
      <c r="B53" s="9" t="n">
        <f aca="false">MOD(4*A53^2,10)</f>
        <v>4</v>
      </c>
      <c r="C53" s="9" t="n">
        <f aca="false">(26*B53-5*B53^2)/24</f>
        <v>1</v>
      </c>
      <c r="D53" s="9" t="n">
        <f aca="false">(A53^2+4*C53)/5</f>
        <v>521</v>
      </c>
      <c r="E53" s="9" t="n">
        <f aca="false">MOD(D53,10)</f>
        <v>1</v>
      </c>
      <c r="F53" s="9" t="n">
        <f aca="false">2*D53</f>
        <v>1042</v>
      </c>
      <c r="G53" s="9" t="n">
        <f aca="false">MOD(F53,10)</f>
        <v>2</v>
      </c>
      <c r="H53" s="9" t="n">
        <f aca="false">G53/2</f>
        <v>1</v>
      </c>
      <c r="I53" s="9" t="str">
        <f aca="false">IF(H53=0,"—",IF(H53=1,"unison (1:1)",IF(H53=2,"octave (2:1)",IF(H53=3,"fifth (3:2)",IF(H53=4,"fourth (4:3)","?")))))</f>
        <v>unison (1:1)</v>
      </c>
      <c r="J53" s="9" t="str">
        <f aca="false">IF(H53=0,"—",IF(H53=1,"ὁμώνυμον",IF(H53=2,"διὰ πασῶν",IF(H53=3,"διὰ πέντε",IF(H53=4,"διὰ τεσσάρων","?")))))</f>
        <v>ὁμώνυμον</v>
      </c>
      <c r="K53" s="10"/>
      <c r="L53" s="14"/>
      <c r="M53" s="13"/>
    </row>
    <row r="54" customFormat="false" ht="15.75" hidden="false" customHeight="true" outlineLevel="0" collapsed="false">
      <c r="A54" s="8" t="n">
        <f aca="false">A53+1</f>
        <v>52</v>
      </c>
      <c r="B54" s="9" t="n">
        <f aca="false">MOD(4*A54^2,10)</f>
        <v>6</v>
      </c>
      <c r="C54" s="9" t="n">
        <f aca="false">(26*B54-5*B54^2)/24</f>
        <v>-1</v>
      </c>
      <c r="D54" s="9" t="n">
        <f aca="false">(A54^2+4*C54)/5</f>
        <v>540</v>
      </c>
      <c r="E54" s="9" t="n">
        <f aca="false">MOD(D54,10)</f>
        <v>0</v>
      </c>
      <c r="F54" s="9" t="n">
        <f aca="false">2*D54</f>
        <v>1080</v>
      </c>
      <c r="G54" s="9" t="n">
        <f aca="false">MOD(F54,10)</f>
        <v>0</v>
      </c>
      <c r="H54" s="9" t="n">
        <f aca="false">G54/2</f>
        <v>0</v>
      </c>
      <c r="I54" s="9" t="str">
        <f aca="false">IF(H54=0,"—",IF(H54=1,"unison (1:1)",IF(H54=2,"octave (2:1)",IF(H54=3,"fifth (3:2)",IF(H54=4,"fourth (4:3)","?")))))</f>
        <v>—</v>
      </c>
      <c r="J54" s="9" t="str">
        <f aca="false">IF(H54=0,"—",IF(H54=1,"ὁμώνυμον",IF(H54=2,"διὰ πασῶν",IF(H54=3,"διὰ πέντε",IF(H54=4,"διὰ τεσσάρων","?")))))</f>
        <v>—</v>
      </c>
      <c r="K54" s="10"/>
      <c r="L54" s="14"/>
      <c r="M54" s="13"/>
    </row>
    <row r="55" customFormat="false" ht="15.75" hidden="false" customHeight="true" outlineLevel="0" collapsed="false">
      <c r="A55" s="8" t="n">
        <f aca="false">A54+1</f>
        <v>53</v>
      </c>
      <c r="B55" s="9" t="n">
        <f aca="false">MOD(4*A55^2,10)</f>
        <v>6</v>
      </c>
      <c r="C55" s="9" t="n">
        <f aca="false">(26*B55-5*B55^2)/24</f>
        <v>-1</v>
      </c>
      <c r="D55" s="9" t="n">
        <f aca="false">(A55^2+4*C55)/5</f>
        <v>561</v>
      </c>
      <c r="E55" s="9" t="n">
        <f aca="false">MOD(D55,10)</f>
        <v>1</v>
      </c>
      <c r="F55" s="9" t="n">
        <f aca="false">2*D55</f>
        <v>1122</v>
      </c>
      <c r="G55" s="9" t="n">
        <f aca="false">MOD(F55,10)</f>
        <v>2</v>
      </c>
      <c r="H55" s="9" t="n">
        <f aca="false">G55/2</f>
        <v>1</v>
      </c>
      <c r="I55" s="9" t="str">
        <f aca="false">IF(H55=0,"—",IF(H55=1,"unison (1:1)",IF(H55=2,"octave (2:1)",IF(H55=3,"fifth (3:2)",IF(H55=4,"fourth (4:3)","?")))))</f>
        <v>unison (1:1)</v>
      </c>
      <c r="J55" s="9" t="str">
        <f aca="false">IF(H55=0,"—",IF(H55=1,"ὁμώνυμον",IF(H55=2,"διὰ πασῶν",IF(H55=3,"διὰ πέντε",IF(H55=4,"διὰ τεσσάρων","?")))))</f>
        <v>ὁμώνυμον</v>
      </c>
      <c r="K55" s="10"/>
      <c r="L55" s="14"/>
      <c r="M55" s="13"/>
    </row>
    <row r="56" customFormat="false" ht="15.75" hidden="false" customHeight="true" outlineLevel="0" collapsed="false">
      <c r="A56" s="8" t="n">
        <f aca="false">A55+1</f>
        <v>54</v>
      </c>
      <c r="B56" s="9" t="n">
        <f aca="false">MOD(4*A56^2,10)</f>
        <v>4</v>
      </c>
      <c r="C56" s="9" t="n">
        <f aca="false">(26*B56-5*B56^2)/24</f>
        <v>1</v>
      </c>
      <c r="D56" s="9" t="n">
        <f aca="false">(A56^2+4*C56)/5</f>
        <v>584</v>
      </c>
      <c r="E56" s="9" t="n">
        <f aca="false">MOD(D56,10)</f>
        <v>4</v>
      </c>
      <c r="F56" s="9" t="n">
        <f aca="false">2*D56</f>
        <v>1168</v>
      </c>
      <c r="G56" s="9" t="n">
        <f aca="false">MOD(F56,10)</f>
        <v>8</v>
      </c>
      <c r="H56" s="9" t="n">
        <f aca="false">G56/2</f>
        <v>4</v>
      </c>
      <c r="I56" s="9" t="str">
        <f aca="false">IF(H56=0,"—",IF(H56=1,"unison (1:1)",IF(H56=2,"octave (2:1)",IF(H56=3,"fifth (3:2)",IF(H56=4,"fourth (4:3)","?")))))</f>
        <v>fourth (4:3)</v>
      </c>
      <c r="J56" s="9" t="str">
        <f aca="false">IF(H56=0,"—",IF(H56=1,"ὁμώνυμον",IF(H56=2,"διὰ πασῶν",IF(H56=3,"διὰ πέντε",IF(H56=4,"διὰ τεσσάρων","?")))))</f>
        <v>διὰ τεσσάρων</v>
      </c>
      <c r="K56" s="10"/>
      <c r="L56" s="14"/>
      <c r="M56" s="13"/>
    </row>
    <row r="57" customFormat="false" ht="15.75" hidden="false" customHeight="true" outlineLevel="0" collapsed="false">
      <c r="A57" s="8" t="n">
        <f aca="false">A56+1</f>
        <v>55</v>
      </c>
      <c r="B57" s="9" t="n">
        <f aca="false">MOD(4*A57^2,10)</f>
        <v>0</v>
      </c>
      <c r="C57" s="9" t="n">
        <f aca="false">(26*B57-5*B57^2)/24</f>
        <v>0</v>
      </c>
      <c r="D57" s="9" t="n">
        <f aca="false">(A57^2+4*C57)/5</f>
        <v>605</v>
      </c>
      <c r="E57" s="9" t="n">
        <f aca="false">MOD(D57,10)</f>
        <v>5</v>
      </c>
      <c r="F57" s="9" t="n">
        <f aca="false">2*D57</f>
        <v>1210</v>
      </c>
      <c r="G57" s="9" t="n">
        <f aca="false">MOD(F57,10)</f>
        <v>0</v>
      </c>
      <c r="H57" s="9" t="n">
        <f aca="false">G57/2</f>
        <v>0</v>
      </c>
      <c r="I57" s="9" t="str">
        <f aca="false">IF(H57=0,"—",IF(H57=1,"unison (1:1)",IF(H57=2,"octave (2:1)",IF(H57=3,"fifth (3:2)",IF(H57=4,"fourth (4:3)","?")))))</f>
        <v>—</v>
      </c>
      <c r="J57" s="9" t="str">
        <f aca="false">IF(H57=0,"—",IF(H57=1,"ὁμώνυμον",IF(H57=2,"διὰ πασῶν",IF(H57=3,"διὰ πέντε",IF(H57=4,"διὰ τεσσάρων","?")))))</f>
        <v>—</v>
      </c>
      <c r="K57" s="10"/>
      <c r="L57" s="14"/>
      <c r="M57" s="13"/>
    </row>
    <row r="58" customFormat="false" ht="15.75" hidden="false" customHeight="true" outlineLevel="0" collapsed="false">
      <c r="A58" s="8" t="n">
        <f aca="false">A57+1</f>
        <v>56</v>
      </c>
      <c r="B58" s="9" t="n">
        <f aca="false">MOD(4*A58^2,10)</f>
        <v>4</v>
      </c>
      <c r="C58" s="9" t="n">
        <f aca="false">(26*B58-5*B58^2)/24</f>
        <v>1</v>
      </c>
      <c r="D58" s="9" t="n">
        <f aca="false">(A58^2+4*C58)/5</f>
        <v>628</v>
      </c>
      <c r="E58" s="9" t="n">
        <f aca="false">MOD(D58,10)</f>
        <v>8</v>
      </c>
      <c r="F58" s="9" t="n">
        <f aca="false">2*D58</f>
        <v>1256</v>
      </c>
      <c r="G58" s="9" t="n">
        <f aca="false">MOD(F58,10)</f>
        <v>6</v>
      </c>
      <c r="H58" s="9" t="n">
        <f aca="false">G58/2</f>
        <v>3</v>
      </c>
      <c r="I58" s="9" t="str">
        <f aca="false">IF(H58=0,"—",IF(H58=1,"unison (1:1)",IF(H58=2,"octave (2:1)",IF(H58=3,"fifth (3:2)",IF(H58=4,"fourth (4:3)","?")))))</f>
        <v>fifth (3:2)</v>
      </c>
      <c r="J58" s="9" t="str">
        <f aca="false">IF(H58=0,"—",IF(H58=1,"ὁμώνυμον",IF(H58=2,"διὰ πασῶν",IF(H58=3,"διὰ πέντε",IF(H58=4,"διὰ τεσσάρων","?")))))</f>
        <v>διὰ πέντε</v>
      </c>
      <c r="K58" s="10"/>
      <c r="L58" s="14"/>
      <c r="M58" s="13"/>
    </row>
    <row r="59" customFormat="false" ht="15.75" hidden="false" customHeight="true" outlineLevel="0" collapsed="false">
      <c r="A59" s="8" t="n">
        <f aca="false">A58+1</f>
        <v>57</v>
      </c>
      <c r="B59" s="9" t="n">
        <f aca="false">MOD(4*A59^2,10)</f>
        <v>6</v>
      </c>
      <c r="C59" s="9" t="n">
        <f aca="false">(26*B59-5*B59^2)/24</f>
        <v>-1</v>
      </c>
      <c r="D59" s="9" t="n">
        <f aca="false">(A59^2+4*C59)/5</f>
        <v>649</v>
      </c>
      <c r="E59" s="9" t="n">
        <f aca="false">MOD(D59,10)</f>
        <v>9</v>
      </c>
      <c r="F59" s="9" t="n">
        <f aca="false">2*D59</f>
        <v>1298</v>
      </c>
      <c r="G59" s="9" t="n">
        <f aca="false">MOD(F59,10)</f>
        <v>8</v>
      </c>
      <c r="H59" s="9" t="n">
        <f aca="false">G59/2</f>
        <v>4</v>
      </c>
      <c r="I59" s="9" t="str">
        <f aca="false">IF(H59=0,"—",IF(H59=1,"unison (1:1)",IF(H59=2,"octave (2:1)",IF(H59=3,"fifth (3:2)",IF(H59=4,"fourth (4:3)","?")))))</f>
        <v>fourth (4:3)</v>
      </c>
      <c r="J59" s="9" t="str">
        <f aca="false">IF(H59=0,"—",IF(H59=1,"ὁμώνυμον",IF(H59=2,"διὰ πασῶν",IF(H59=3,"διὰ πέντε",IF(H59=4,"διὰ τεσσάρων","?")))))</f>
        <v>διὰ τεσσάρων</v>
      </c>
      <c r="K59" s="10"/>
      <c r="L59" s="14"/>
      <c r="M59" s="13"/>
    </row>
    <row r="60" customFormat="false" ht="15.75" hidden="false" customHeight="true" outlineLevel="0" collapsed="false">
      <c r="A60" s="8" t="n">
        <f aca="false">A59+1</f>
        <v>58</v>
      </c>
      <c r="B60" s="9" t="n">
        <f aca="false">MOD(4*A60^2,10)</f>
        <v>6</v>
      </c>
      <c r="C60" s="9" t="n">
        <f aca="false">(26*B60-5*B60^2)/24</f>
        <v>-1</v>
      </c>
      <c r="D60" s="9" t="n">
        <f aca="false">(A60^2+4*C60)/5</f>
        <v>672</v>
      </c>
      <c r="E60" s="9" t="n">
        <f aca="false">MOD(D60,10)</f>
        <v>2</v>
      </c>
      <c r="F60" s="9" t="n">
        <f aca="false">2*D60</f>
        <v>1344</v>
      </c>
      <c r="G60" s="9" t="n">
        <f aca="false">MOD(F60,10)</f>
        <v>4</v>
      </c>
      <c r="H60" s="9" t="n">
        <f aca="false">G60/2</f>
        <v>2</v>
      </c>
      <c r="I60" s="9" t="str">
        <f aca="false">IF(H60=0,"—",IF(H60=1,"unison (1:1)",IF(H60=2,"octave (2:1)",IF(H60=3,"fifth (3:2)",IF(H60=4,"fourth (4:3)","?")))))</f>
        <v>octave (2:1)</v>
      </c>
      <c r="J60" s="9" t="str">
        <f aca="false">IF(H60=0,"—",IF(H60=1,"ὁμώνυμον",IF(H60=2,"διὰ πασῶν",IF(H60=3,"διὰ πέντε",IF(H60=4,"διὰ τεσσάρων","?")))))</f>
        <v>διὰ πασῶν</v>
      </c>
      <c r="K60" s="10"/>
      <c r="L60" s="14"/>
      <c r="M60" s="13"/>
    </row>
    <row r="61" customFormat="false" ht="15.75" hidden="false" customHeight="true" outlineLevel="0" collapsed="false">
      <c r="A61" s="8" t="n">
        <f aca="false">A60+1</f>
        <v>59</v>
      </c>
      <c r="B61" s="9" t="n">
        <f aca="false">MOD(4*A61^2,10)</f>
        <v>4</v>
      </c>
      <c r="C61" s="9" t="n">
        <f aca="false">(26*B61-5*B61^2)/24</f>
        <v>1</v>
      </c>
      <c r="D61" s="9" t="n">
        <f aca="false">(A61^2+4*C61)/5</f>
        <v>697</v>
      </c>
      <c r="E61" s="9" t="n">
        <f aca="false">MOD(D61,10)</f>
        <v>7</v>
      </c>
      <c r="F61" s="9" t="n">
        <f aca="false">2*D61</f>
        <v>1394</v>
      </c>
      <c r="G61" s="9" t="n">
        <f aca="false">MOD(F61,10)</f>
        <v>4</v>
      </c>
      <c r="H61" s="9" t="n">
        <f aca="false">G61/2</f>
        <v>2</v>
      </c>
      <c r="I61" s="9" t="str">
        <f aca="false">IF(H61=0,"—",IF(H61=1,"unison (1:1)",IF(H61=2,"octave (2:1)",IF(H61=3,"fifth (3:2)",IF(H61=4,"fourth (4:3)","?")))))</f>
        <v>octave (2:1)</v>
      </c>
      <c r="J61" s="9" t="str">
        <f aca="false">IF(H61=0,"—",IF(H61=1,"ὁμώνυμον",IF(H61=2,"διὰ πασῶν",IF(H61=3,"διὰ πέντε",IF(H61=4,"διὰ τεσσάρων","?")))))</f>
        <v>διὰ πασῶν</v>
      </c>
      <c r="K61" s="10"/>
      <c r="L61" s="14"/>
      <c r="M61" s="13"/>
    </row>
    <row r="62" customFormat="false" ht="15.75" hidden="false" customHeight="true" outlineLevel="0" collapsed="false">
      <c r="A62" s="8" t="n">
        <f aca="false">A61+1</f>
        <v>60</v>
      </c>
      <c r="B62" s="9" t="n">
        <f aca="false">MOD(4*A62^2,10)</f>
        <v>0</v>
      </c>
      <c r="C62" s="9" t="n">
        <f aca="false">(26*B62-5*B62^2)/24</f>
        <v>0</v>
      </c>
      <c r="D62" s="9" t="n">
        <f aca="false">(A62^2+4*C62)/5</f>
        <v>720</v>
      </c>
      <c r="E62" s="9" t="n">
        <f aca="false">MOD(D62,10)</f>
        <v>0</v>
      </c>
      <c r="F62" s="9" t="n">
        <f aca="false">2*D62</f>
        <v>1440</v>
      </c>
      <c r="G62" s="9" t="n">
        <f aca="false">MOD(F62,10)</f>
        <v>0</v>
      </c>
      <c r="H62" s="9" t="n">
        <f aca="false">G62/2</f>
        <v>0</v>
      </c>
      <c r="I62" s="9" t="str">
        <f aca="false">IF(H62=0,"—",IF(H62=1,"unison (1:1)",IF(H62=2,"octave (2:1)",IF(H62=3,"fifth (3:2)",IF(H62=4,"fourth (4:3)","?")))))</f>
        <v>—</v>
      </c>
      <c r="J62" s="9" t="str">
        <f aca="false">IF(H62=0,"—",IF(H62=1,"ὁμώνυμον",IF(H62=2,"διὰ πασῶν",IF(H62=3,"διὰ πέντε",IF(H62=4,"διὰ τεσσάρων","?")))))</f>
        <v>—</v>
      </c>
      <c r="K62" s="10"/>
      <c r="L62" s="14"/>
      <c r="M62" s="13"/>
    </row>
    <row r="63" customFormat="false" ht="15.75" hidden="false" customHeight="true" outlineLevel="0" collapsed="false">
      <c r="A63" s="8" t="n">
        <f aca="false">A62+1</f>
        <v>61</v>
      </c>
      <c r="B63" s="9" t="n">
        <f aca="false">MOD(4*A63^2,10)</f>
        <v>4</v>
      </c>
      <c r="C63" s="9" t="n">
        <f aca="false">(26*B63-5*B63^2)/24</f>
        <v>1</v>
      </c>
      <c r="D63" s="9" t="n">
        <f aca="false">(A63^2+4*C63)/5</f>
        <v>745</v>
      </c>
      <c r="E63" s="9" t="n">
        <f aca="false">MOD(D63,10)</f>
        <v>5</v>
      </c>
      <c r="F63" s="9" t="n">
        <f aca="false">2*D63</f>
        <v>1490</v>
      </c>
      <c r="G63" s="9" t="n">
        <f aca="false">MOD(F63,10)</f>
        <v>0</v>
      </c>
      <c r="H63" s="9" t="n">
        <f aca="false">G63/2</f>
        <v>0</v>
      </c>
      <c r="I63" s="9" t="str">
        <f aca="false">IF(H63=0,"—",IF(H63=1,"unison (1:1)",IF(H63=2,"octave (2:1)",IF(H63=3,"fifth (3:2)",IF(H63=4,"fourth (4:3)","?")))))</f>
        <v>—</v>
      </c>
      <c r="J63" s="9" t="str">
        <f aca="false">IF(H63=0,"—",IF(H63=1,"ὁμώνυμον",IF(H63=2,"διὰ πασῶν",IF(H63=3,"διὰ πέντε",IF(H63=4,"διὰ τεσσάρων","?")))))</f>
        <v>—</v>
      </c>
      <c r="K63" s="10"/>
      <c r="L63" s="14"/>
      <c r="M63" s="13"/>
    </row>
    <row r="64" customFormat="false" ht="15.75" hidden="false" customHeight="true" outlineLevel="0" collapsed="false">
      <c r="A64" s="8" t="n">
        <f aca="false">A63+1</f>
        <v>62</v>
      </c>
      <c r="B64" s="9" t="n">
        <f aca="false">MOD(4*A64^2,10)</f>
        <v>6</v>
      </c>
      <c r="C64" s="9" t="n">
        <f aca="false">(26*B64-5*B64^2)/24</f>
        <v>-1</v>
      </c>
      <c r="D64" s="9" t="n">
        <f aca="false">(A64^2+4*C64)/5</f>
        <v>768</v>
      </c>
      <c r="E64" s="9" t="n">
        <f aca="false">MOD(D64,10)</f>
        <v>8</v>
      </c>
      <c r="F64" s="9" t="n">
        <f aca="false">2*D64</f>
        <v>1536</v>
      </c>
      <c r="G64" s="9" t="n">
        <f aca="false">MOD(F64,10)</f>
        <v>6</v>
      </c>
      <c r="H64" s="9" t="n">
        <f aca="false">G64/2</f>
        <v>3</v>
      </c>
      <c r="I64" s="9" t="str">
        <f aca="false">IF(H64=0,"—",IF(H64=1,"unison (1:1)",IF(H64=2,"octave (2:1)",IF(H64=3,"fifth (3:2)",IF(H64=4,"fourth (4:3)","?")))))</f>
        <v>fifth (3:2)</v>
      </c>
      <c r="J64" s="9" t="str">
        <f aca="false">IF(H64=0,"—",IF(H64=1,"ὁμώνυμον",IF(H64=2,"διὰ πασῶν",IF(H64=3,"διὰ πέντε",IF(H64=4,"διὰ τεσσάρων","?")))))</f>
        <v>διὰ πέντε</v>
      </c>
      <c r="K64" s="10"/>
      <c r="L64" s="14"/>
      <c r="M64" s="13"/>
    </row>
    <row r="65" customFormat="false" ht="15.75" hidden="false" customHeight="true" outlineLevel="0" collapsed="false">
      <c r="A65" s="8" t="n">
        <f aca="false">A64+1</f>
        <v>63</v>
      </c>
      <c r="B65" s="9" t="n">
        <f aca="false">MOD(4*A65^2,10)</f>
        <v>6</v>
      </c>
      <c r="C65" s="9" t="n">
        <f aca="false">(26*B65-5*B65^2)/24</f>
        <v>-1</v>
      </c>
      <c r="D65" s="9" t="n">
        <f aca="false">(A65^2+4*C65)/5</f>
        <v>793</v>
      </c>
      <c r="E65" s="9" t="n">
        <f aca="false">MOD(D65,10)</f>
        <v>3</v>
      </c>
      <c r="F65" s="9" t="n">
        <f aca="false">2*D65</f>
        <v>1586</v>
      </c>
      <c r="G65" s="9" t="n">
        <f aca="false">MOD(F65,10)</f>
        <v>6</v>
      </c>
      <c r="H65" s="9" t="n">
        <f aca="false">G65/2</f>
        <v>3</v>
      </c>
      <c r="I65" s="9" t="str">
        <f aca="false">IF(H65=0,"—",IF(H65=1,"unison (1:1)",IF(H65=2,"octave (2:1)",IF(H65=3,"fifth (3:2)",IF(H65=4,"fourth (4:3)","?")))))</f>
        <v>fifth (3:2)</v>
      </c>
      <c r="J65" s="9" t="str">
        <f aca="false">IF(H65=0,"—",IF(H65=1,"ὁμώνυμον",IF(H65=2,"διὰ πασῶν",IF(H65=3,"διὰ πέντε",IF(H65=4,"διὰ τεσσάρων","?")))))</f>
        <v>διὰ πέντε</v>
      </c>
      <c r="K65" s="10"/>
      <c r="L65" s="14"/>
      <c r="M65" s="13"/>
    </row>
    <row r="66" customFormat="false" ht="15.75" hidden="false" customHeight="true" outlineLevel="0" collapsed="false">
      <c r="A66" s="8" t="n">
        <f aca="false">A65+1</f>
        <v>64</v>
      </c>
      <c r="B66" s="9" t="n">
        <f aca="false">MOD(4*A66^2,10)</f>
        <v>4</v>
      </c>
      <c r="C66" s="9" t="n">
        <f aca="false">(26*B66-5*B66^2)/24</f>
        <v>1</v>
      </c>
      <c r="D66" s="9" t="n">
        <f aca="false">(A66^2+4*C66)/5</f>
        <v>820</v>
      </c>
      <c r="E66" s="9" t="n">
        <f aca="false">MOD(D66,10)</f>
        <v>0</v>
      </c>
      <c r="F66" s="9" t="n">
        <f aca="false">2*D66</f>
        <v>1640</v>
      </c>
      <c r="G66" s="9" t="n">
        <f aca="false">MOD(F66,10)</f>
        <v>0</v>
      </c>
      <c r="H66" s="9" t="n">
        <f aca="false">G66/2</f>
        <v>0</v>
      </c>
      <c r="I66" s="9" t="str">
        <f aca="false">IF(H66=0,"—",IF(H66=1,"unison (1:1)",IF(H66=2,"octave (2:1)",IF(H66=3,"fifth (3:2)",IF(H66=4,"fourth (4:3)","?")))))</f>
        <v>—</v>
      </c>
      <c r="J66" s="9" t="str">
        <f aca="false">IF(H66=0,"—",IF(H66=1,"ὁμώνυμον",IF(H66=2,"διὰ πασῶν",IF(H66=3,"διὰ πέντε",IF(H66=4,"διὰ τεσσάρων","?")))))</f>
        <v>—</v>
      </c>
      <c r="K66" s="10"/>
      <c r="L66" s="14"/>
      <c r="M66" s="13"/>
    </row>
    <row r="67" customFormat="false" ht="15.75" hidden="false" customHeight="true" outlineLevel="0" collapsed="false">
      <c r="A67" s="8" t="n">
        <f aca="false">A66+1</f>
        <v>65</v>
      </c>
      <c r="B67" s="9" t="n">
        <f aca="false">MOD(4*A67^2,10)</f>
        <v>0</v>
      </c>
      <c r="C67" s="9" t="n">
        <f aca="false">(26*B67-5*B67^2)/24</f>
        <v>0</v>
      </c>
      <c r="D67" s="9" t="n">
        <f aca="false">(A67^2+4*C67)/5</f>
        <v>845</v>
      </c>
      <c r="E67" s="9" t="n">
        <f aca="false">MOD(D67,10)</f>
        <v>5</v>
      </c>
      <c r="F67" s="9" t="n">
        <f aca="false">2*D67</f>
        <v>1690</v>
      </c>
      <c r="G67" s="9" t="n">
        <f aca="false">MOD(F67,10)</f>
        <v>0</v>
      </c>
      <c r="H67" s="9" t="n">
        <f aca="false">G67/2</f>
        <v>0</v>
      </c>
      <c r="I67" s="9" t="str">
        <f aca="false">IF(H67=0,"—",IF(H67=1,"unison (1:1)",IF(H67=2,"octave (2:1)",IF(H67=3,"fifth (3:2)",IF(H67=4,"fourth (4:3)","?")))))</f>
        <v>—</v>
      </c>
      <c r="J67" s="9" t="str">
        <f aca="false">IF(H67=0,"—",IF(H67=1,"ὁμώνυμον",IF(H67=2,"διὰ πασῶν",IF(H67=3,"διὰ πέντε",IF(H67=4,"διὰ τεσσάρων","?")))))</f>
        <v>—</v>
      </c>
      <c r="K67" s="10"/>
      <c r="L67" s="14"/>
      <c r="M67" s="13"/>
    </row>
    <row r="68" customFormat="false" ht="15.75" hidden="false" customHeight="true" outlineLevel="0" collapsed="false">
      <c r="A68" s="8" t="n">
        <f aca="false">A67+1</f>
        <v>66</v>
      </c>
      <c r="B68" s="9" t="n">
        <f aca="false">MOD(4*A68^2,10)</f>
        <v>4</v>
      </c>
      <c r="C68" s="9" t="n">
        <f aca="false">(26*B68-5*B68^2)/24</f>
        <v>1</v>
      </c>
      <c r="D68" s="9" t="n">
        <f aca="false">(A68^2+4*C68)/5</f>
        <v>872</v>
      </c>
      <c r="E68" s="9" t="n">
        <f aca="false">MOD(D68,10)</f>
        <v>2</v>
      </c>
      <c r="F68" s="9" t="n">
        <f aca="false">2*D68</f>
        <v>1744</v>
      </c>
      <c r="G68" s="9" t="n">
        <f aca="false">MOD(F68,10)</f>
        <v>4</v>
      </c>
      <c r="H68" s="9" t="n">
        <f aca="false">G68/2</f>
        <v>2</v>
      </c>
      <c r="I68" s="9" t="str">
        <f aca="false">IF(H68=0,"—",IF(H68=1,"unison (1:1)",IF(H68=2,"octave (2:1)",IF(H68=3,"fifth (3:2)",IF(H68=4,"fourth (4:3)","?")))))</f>
        <v>octave (2:1)</v>
      </c>
      <c r="J68" s="9" t="str">
        <f aca="false">IF(H68=0,"—",IF(H68=1,"ὁμώνυμον",IF(H68=2,"διὰ πασῶν",IF(H68=3,"διὰ πέντε",IF(H68=4,"διὰ τεσσάρων","?")))))</f>
        <v>διὰ πασῶν</v>
      </c>
      <c r="K68" s="10"/>
      <c r="L68" s="14"/>
      <c r="M68" s="13"/>
    </row>
    <row r="69" customFormat="false" ht="15.75" hidden="false" customHeight="true" outlineLevel="0" collapsed="false">
      <c r="A69" s="8" t="n">
        <f aca="false">A68+1</f>
        <v>67</v>
      </c>
      <c r="B69" s="9" t="n">
        <f aca="false">MOD(4*A69^2,10)</f>
        <v>6</v>
      </c>
      <c r="C69" s="9" t="n">
        <f aca="false">(26*B69-5*B69^2)/24</f>
        <v>-1</v>
      </c>
      <c r="D69" s="9" t="n">
        <f aca="false">(A69^2+4*C69)/5</f>
        <v>897</v>
      </c>
      <c r="E69" s="9" t="n">
        <f aca="false">MOD(D69,10)</f>
        <v>7</v>
      </c>
      <c r="F69" s="9" t="n">
        <f aca="false">2*D69</f>
        <v>1794</v>
      </c>
      <c r="G69" s="9" t="n">
        <f aca="false">MOD(F69,10)</f>
        <v>4</v>
      </c>
      <c r="H69" s="9" t="n">
        <f aca="false">G69/2</f>
        <v>2</v>
      </c>
      <c r="I69" s="9" t="str">
        <f aca="false">IF(H69=0,"—",IF(H69=1,"unison (1:1)",IF(H69=2,"octave (2:1)",IF(H69=3,"fifth (3:2)",IF(H69=4,"fourth (4:3)","?")))))</f>
        <v>octave (2:1)</v>
      </c>
      <c r="J69" s="9" t="str">
        <f aca="false">IF(H69=0,"—",IF(H69=1,"ὁμώνυμον",IF(H69=2,"διὰ πασῶν",IF(H69=3,"διὰ πέντε",IF(H69=4,"διὰ τεσσάρων","?")))))</f>
        <v>διὰ πασῶν</v>
      </c>
      <c r="K69" s="10"/>
      <c r="L69" s="14"/>
      <c r="M69" s="13"/>
    </row>
    <row r="70" customFormat="false" ht="15.75" hidden="false" customHeight="true" outlineLevel="0" collapsed="false">
      <c r="A70" s="8" t="n">
        <f aca="false">A69+1</f>
        <v>68</v>
      </c>
      <c r="B70" s="9" t="n">
        <f aca="false">MOD(4*A70^2,10)</f>
        <v>6</v>
      </c>
      <c r="C70" s="9" t="n">
        <f aca="false">(26*B70-5*B70^2)/24</f>
        <v>-1</v>
      </c>
      <c r="D70" s="9" t="n">
        <f aca="false">(A70^2+4*C70)/5</f>
        <v>924</v>
      </c>
      <c r="E70" s="9" t="n">
        <f aca="false">MOD(D70,10)</f>
        <v>4</v>
      </c>
      <c r="F70" s="9" t="n">
        <f aca="false">2*D70</f>
        <v>1848</v>
      </c>
      <c r="G70" s="9" t="n">
        <f aca="false">MOD(F70,10)</f>
        <v>8</v>
      </c>
      <c r="H70" s="9" t="n">
        <f aca="false">G70/2</f>
        <v>4</v>
      </c>
      <c r="I70" s="9" t="str">
        <f aca="false">IF(H70=0,"—",IF(H70=1,"unison (1:1)",IF(H70=2,"octave (2:1)",IF(H70=3,"fifth (3:2)",IF(H70=4,"fourth (4:3)","?")))))</f>
        <v>fourth (4:3)</v>
      </c>
      <c r="J70" s="9" t="str">
        <f aca="false">IF(H70=0,"—",IF(H70=1,"ὁμώνυμον",IF(H70=2,"διὰ πασῶν",IF(H70=3,"διὰ πέντε",IF(H70=4,"διὰ τεσσάρων","?")))))</f>
        <v>διὰ τεσσάρων</v>
      </c>
      <c r="K70" s="10"/>
      <c r="L70" s="14"/>
      <c r="M70" s="13"/>
    </row>
    <row r="71" customFormat="false" ht="15.75" hidden="false" customHeight="true" outlineLevel="0" collapsed="false">
      <c r="A71" s="8" t="n">
        <f aca="false">A70+1</f>
        <v>69</v>
      </c>
      <c r="B71" s="9" t="n">
        <f aca="false">MOD(4*A71^2,10)</f>
        <v>4</v>
      </c>
      <c r="C71" s="9" t="n">
        <f aca="false">(26*B71-5*B71^2)/24</f>
        <v>1</v>
      </c>
      <c r="D71" s="9" t="n">
        <f aca="false">(A71^2+4*C71)/5</f>
        <v>953</v>
      </c>
      <c r="E71" s="9" t="n">
        <f aca="false">MOD(D71,10)</f>
        <v>3</v>
      </c>
      <c r="F71" s="9" t="n">
        <f aca="false">2*D71</f>
        <v>1906</v>
      </c>
      <c r="G71" s="9" t="n">
        <f aca="false">MOD(F71,10)</f>
        <v>6</v>
      </c>
      <c r="H71" s="9" t="n">
        <f aca="false">G71/2</f>
        <v>3</v>
      </c>
      <c r="I71" s="9" t="str">
        <f aca="false">IF(H71=0,"—",IF(H71=1,"unison (1:1)",IF(H71=2,"octave (2:1)",IF(H71=3,"fifth (3:2)",IF(H71=4,"fourth (4:3)","?")))))</f>
        <v>fifth (3:2)</v>
      </c>
      <c r="J71" s="9" t="str">
        <f aca="false">IF(H71=0,"—",IF(H71=1,"ὁμώνυμον",IF(H71=2,"διὰ πασῶν",IF(H71=3,"διὰ πέντε",IF(H71=4,"διὰ τεσσάρων","?")))))</f>
        <v>διὰ πέντε</v>
      </c>
      <c r="K71" s="10"/>
      <c r="L71" s="14"/>
      <c r="M71" s="13"/>
    </row>
    <row r="72" customFormat="false" ht="15.75" hidden="false" customHeight="true" outlineLevel="0" collapsed="false">
      <c r="A72" s="8" t="n">
        <f aca="false">A71+1</f>
        <v>70</v>
      </c>
      <c r="B72" s="9" t="n">
        <f aca="false">MOD(4*A72^2,10)</f>
        <v>0</v>
      </c>
      <c r="C72" s="9" t="n">
        <f aca="false">(26*B72-5*B72^2)/24</f>
        <v>0</v>
      </c>
      <c r="D72" s="9" t="n">
        <f aca="false">(A72^2+4*C72)/5</f>
        <v>980</v>
      </c>
      <c r="E72" s="9" t="n">
        <f aca="false">MOD(D72,10)</f>
        <v>0</v>
      </c>
      <c r="F72" s="9" t="n">
        <f aca="false">2*D72</f>
        <v>1960</v>
      </c>
      <c r="G72" s="9" t="n">
        <f aca="false">MOD(F72,10)</f>
        <v>0</v>
      </c>
      <c r="H72" s="9" t="n">
        <f aca="false">G72/2</f>
        <v>0</v>
      </c>
      <c r="I72" s="9" t="str">
        <f aca="false">IF(H72=0,"—",IF(H72=1,"unison (1:1)",IF(H72=2,"octave (2:1)",IF(H72=3,"fifth (3:2)",IF(H72=4,"fourth (4:3)","?")))))</f>
        <v>—</v>
      </c>
      <c r="J72" s="9" t="str">
        <f aca="false">IF(H72=0,"—",IF(H72=1,"ὁμώνυμον",IF(H72=2,"διὰ πασῶν",IF(H72=3,"διὰ πέντε",IF(H72=4,"διὰ τεσσάρων","?")))))</f>
        <v>—</v>
      </c>
      <c r="K72" s="10"/>
      <c r="L72" s="14"/>
      <c r="M72" s="13"/>
    </row>
    <row r="73" customFormat="false" ht="15.75" hidden="false" customHeight="true" outlineLevel="0" collapsed="false">
      <c r="A73" s="8" t="n">
        <f aca="false">A72+1</f>
        <v>71</v>
      </c>
      <c r="B73" s="9" t="n">
        <f aca="false">MOD(4*A73^2,10)</f>
        <v>4</v>
      </c>
      <c r="C73" s="9" t="n">
        <f aca="false">(26*B73-5*B73^2)/24</f>
        <v>1</v>
      </c>
      <c r="D73" s="9" t="n">
        <f aca="false">(A73^2+4*C73)/5</f>
        <v>1009</v>
      </c>
      <c r="E73" s="9" t="n">
        <f aca="false">MOD(D73,10)</f>
        <v>9</v>
      </c>
      <c r="F73" s="9" t="n">
        <f aca="false">2*D73</f>
        <v>2018</v>
      </c>
      <c r="G73" s="9" t="n">
        <f aca="false">MOD(F73,10)</f>
        <v>8</v>
      </c>
      <c r="H73" s="9" t="n">
        <f aca="false">G73/2</f>
        <v>4</v>
      </c>
      <c r="I73" s="9" t="str">
        <f aca="false">IF(H73=0,"—",IF(H73=1,"unison (1:1)",IF(H73=2,"octave (2:1)",IF(H73=3,"fifth (3:2)",IF(H73=4,"fourth (4:3)","?")))))</f>
        <v>fourth (4:3)</v>
      </c>
      <c r="J73" s="9" t="str">
        <f aca="false">IF(H73=0,"—",IF(H73=1,"ὁμώνυμον",IF(H73=2,"διὰ πασῶν",IF(H73=3,"διὰ πέντε",IF(H73=4,"διὰ τεσσάρων","?")))))</f>
        <v>διὰ τεσσάρων</v>
      </c>
      <c r="K73" s="10"/>
      <c r="L73" s="14"/>
      <c r="M73" s="13"/>
    </row>
    <row r="74" customFormat="false" ht="15.75" hidden="false" customHeight="true" outlineLevel="0" collapsed="false">
      <c r="A74" s="8" t="n">
        <f aca="false">A73+1</f>
        <v>72</v>
      </c>
      <c r="B74" s="9" t="n">
        <f aca="false">MOD(4*A74^2,10)</f>
        <v>6</v>
      </c>
      <c r="C74" s="9" t="n">
        <f aca="false">(26*B74-5*B74^2)/24</f>
        <v>-1</v>
      </c>
      <c r="D74" s="9" t="n">
        <f aca="false">(A74^2+4*C74)/5</f>
        <v>1036</v>
      </c>
      <c r="E74" s="9" t="n">
        <f aca="false">MOD(D74,10)</f>
        <v>6</v>
      </c>
      <c r="F74" s="9" t="n">
        <f aca="false">2*D74</f>
        <v>2072</v>
      </c>
      <c r="G74" s="9" t="n">
        <f aca="false">MOD(F74,10)</f>
        <v>2</v>
      </c>
      <c r="H74" s="9" t="n">
        <f aca="false">G74/2</f>
        <v>1</v>
      </c>
      <c r="I74" s="9" t="str">
        <f aca="false">IF(H74=0,"—",IF(H74=1,"unison (1:1)",IF(H74=2,"octave (2:1)",IF(H74=3,"fifth (3:2)",IF(H74=4,"fourth (4:3)","?")))))</f>
        <v>unison (1:1)</v>
      </c>
      <c r="J74" s="9" t="str">
        <f aca="false">IF(H74=0,"—",IF(H74=1,"ὁμώνυμον",IF(H74=2,"διὰ πασῶν",IF(H74=3,"διὰ πέντε",IF(H74=4,"διὰ τεσσάρων","?")))))</f>
        <v>ὁμώνυμον</v>
      </c>
      <c r="K74" s="10"/>
      <c r="L74" s="14"/>
      <c r="M74" s="13"/>
    </row>
    <row r="75" customFormat="false" ht="15.75" hidden="false" customHeight="true" outlineLevel="0" collapsed="false">
      <c r="A75" s="8" t="n">
        <f aca="false">A74+1</f>
        <v>73</v>
      </c>
      <c r="B75" s="9" t="n">
        <f aca="false">MOD(4*A75^2,10)</f>
        <v>6</v>
      </c>
      <c r="C75" s="9" t="n">
        <f aca="false">(26*B75-5*B75^2)/24</f>
        <v>-1</v>
      </c>
      <c r="D75" s="9" t="n">
        <f aca="false">(A75^2+4*C75)/5</f>
        <v>1065</v>
      </c>
      <c r="E75" s="9" t="n">
        <f aca="false">MOD(D75,10)</f>
        <v>5</v>
      </c>
      <c r="F75" s="9" t="n">
        <f aca="false">2*D75</f>
        <v>2130</v>
      </c>
      <c r="G75" s="9" t="n">
        <f aca="false">MOD(F75,10)</f>
        <v>0</v>
      </c>
      <c r="H75" s="9" t="n">
        <f aca="false">G75/2</f>
        <v>0</v>
      </c>
      <c r="I75" s="9" t="str">
        <f aca="false">IF(H75=0,"—",IF(H75=1,"unison (1:1)",IF(H75=2,"octave (2:1)",IF(H75=3,"fifth (3:2)",IF(H75=4,"fourth (4:3)","?")))))</f>
        <v>—</v>
      </c>
      <c r="J75" s="9" t="str">
        <f aca="false">IF(H75=0,"—",IF(H75=1,"ὁμώνυμον",IF(H75=2,"διὰ πασῶν",IF(H75=3,"διὰ πέντε",IF(H75=4,"διὰ τεσσάρων","?")))))</f>
        <v>—</v>
      </c>
      <c r="K75" s="10"/>
      <c r="L75" s="14"/>
      <c r="M75" s="13"/>
    </row>
    <row r="76" customFormat="false" ht="15.75" hidden="false" customHeight="true" outlineLevel="0" collapsed="false">
      <c r="A76" s="8" t="n">
        <f aca="false">A75+1</f>
        <v>74</v>
      </c>
      <c r="B76" s="9" t="n">
        <f aca="false">MOD(4*A76^2,10)</f>
        <v>4</v>
      </c>
      <c r="C76" s="9" t="n">
        <f aca="false">(26*B76-5*B76^2)/24</f>
        <v>1</v>
      </c>
      <c r="D76" s="9" t="n">
        <f aca="false">(A76^2+4*C76)/5</f>
        <v>1096</v>
      </c>
      <c r="E76" s="9" t="n">
        <f aca="false">MOD(D76,10)</f>
        <v>6</v>
      </c>
      <c r="F76" s="9" t="n">
        <f aca="false">2*D76</f>
        <v>2192</v>
      </c>
      <c r="G76" s="9" t="n">
        <f aca="false">MOD(F76,10)</f>
        <v>2</v>
      </c>
      <c r="H76" s="9" t="n">
        <f aca="false">G76/2</f>
        <v>1</v>
      </c>
      <c r="I76" s="9" t="str">
        <f aca="false">IF(H76=0,"—",IF(H76=1,"unison (1:1)",IF(H76=2,"octave (2:1)",IF(H76=3,"fifth (3:2)",IF(H76=4,"fourth (4:3)","?")))))</f>
        <v>unison (1:1)</v>
      </c>
      <c r="J76" s="9" t="str">
        <f aca="false">IF(H76=0,"—",IF(H76=1,"ὁμώνυμον",IF(H76=2,"διὰ πασῶν",IF(H76=3,"διὰ πέντε",IF(H76=4,"διὰ τεσσάρων","?")))))</f>
        <v>ὁμώνυμον</v>
      </c>
      <c r="K76" s="10"/>
      <c r="L76" s="14"/>
      <c r="M76" s="13"/>
    </row>
    <row r="77" customFormat="false" ht="15.75" hidden="false" customHeight="true" outlineLevel="0" collapsed="false">
      <c r="A77" s="8" t="n">
        <f aca="false">A76+1</f>
        <v>75</v>
      </c>
      <c r="B77" s="9" t="n">
        <f aca="false">MOD(4*A77^2,10)</f>
        <v>0</v>
      </c>
      <c r="C77" s="9" t="n">
        <f aca="false">(26*B77-5*B77^2)/24</f>
        <v>0</v>
      </c>
      <c r="D77" s="9" t="n">
        <f aca="false">(A77^2+4*C77)/5</f>
        <v>1125</v>
      </c>
      <c r="E77" s="9" t="n">
        <f aca="false">MOD(D77,10)</f>
        <v>5</v>
      </c>
      <c r="F77" s="9" t="n">
        <f aca="false">2*D77</f>
        <v>2250</v>
      </c>
      <c r="G77" s="9" t="n">
        <f aca="false">MOD(F77,10)</f>
        <v>0</v>
      </c>
      <c r="H77" s="9" t="n">
        <f aca="false">G77/2</f>
        <v>0</v>
      </c>
      <c r="I77" s="9" t="str">
        <f aca="false">IF(H77=0,"—",IF(H77=1,"unison (1:1)",IF(H77=2,"octave (2:1)",IF(H77=3,"fifth (3:2)",IF(H77=4,"fourth (4:3)","?")))))</f>
        <v>—</v>
      </c>
      <c r="J77" s="9" t="str">
        <f aca="false">IF(H77=0,"—",IF(H77=1,"ὁμώνυμον",IF(H77=2,"διὰ πασῶν",IF(H77=3,"διὰ πέντε",IF(H77=4,"διὰ τεσσάρων","?")))))</f>
        <v>—</v>
      </c>
      <c r="K77" s="10"/>
      <c r="L77" s="14"/>
      <c r="M77" s="13"/>
    </row>
    <row r="78" customFormat="false" ht="15.75" hidden="false" customHeight="true" outlineLevel="0" collapsed="false">
      <c r="A78" s="8" t="n">
        <f aca="false">A77+1</f>
        <v>76</v>
      </c>
      <c r="B78" s="9" t="n">
        <f aca="false">MOD(4*A78^2,10)</f>
        <v>4</v>
      </c>
      <c r="C78" s="9" t="n">
        <f aca="false">(26*B78-5*B78^2)/24</f>
        <v>1</v>
      </c>
      <c r="D78" s="9" t="n">
        <f aca="false">(A78^2+4*C78)/5</f>
        <v>1156</v>
      </c>
      <c r="E78" s="9" t="n">
        <f aca="false">MOD(D78,10)</f>
        <v>6</v>
      </c>
      <c r="F78" s="9" t="n">
        <f aca="false">2*D78</f>
        <v>2312</v>
      </c>
      <c r="G78" s="9" t="n">
        <f aca="false">MOD(F78,10)</f>
        <v>2</v>
      </c>
      <c r="H78" s="9" t="n">
        <f aca="false">G78/2</f>
        <v>1</v>
      </c>
      <c r="I78" s="9" t="str">
        <f aca="false">IF(H78=0,"—",IF(H78=1,"unison (1:1)",IF(H78=2,"octave (2:1)",IF(H78=3,"fifth (3:2)",IF(H78=4,"fourth (4:3)","?")))))</f>
        <v>unison (1:1)</v>
      </c>
      <c r="J78" s="9" t="str">
        <f aca="false">IF(H78=0,"—",IF(H78=1,"ὁμώνυμον",IF(H78=2,"διὰ πασῶν",IF(H78=3,"διὰ πέντε",IF(H78=4,"διὰ τεσσάρων","?")))))</f>
        <v>ὁμώνυμον</v>
      </c>
      <c r="K78" s="10"/>
      <c r="L78" s="14"/>
      <c r="M78" s="13"/>
    </row>
    <row r="79" customFormat="false" ht="15.75" hidden="false" customHeight="true" outlineLevel="0" collapsed="false">
      <c r="A79" s="8" t="n">
        <f aca="false">A78+1</f>
        <v>77</v>
      </c>
      <c r="B79" s="9" t="n">
        <f aca="false">MOD(4*A79^2,10)</f>
        <v>6</v>
      </c>
      <c r="C79" s="9" t="n">
        <f aca="false">(26*B79-5*B79^2)/24</f>
        <v>-1</v>
      </c>
      <c r="D79" s="9" t="n">
        <f aca="false">(A79^2+4*C79)/5</f>
        <v>1185</v>
      </c>
      <c r="E79" s="9" t="n">
        <f aca="false">MOD(D79,10)</f>
        <v>5</v>
      </c>
      <c r="F79" s="9" t="n">
        <f aca="false">2*D79</f>
        <v>2370</v>
      </c>
      <c r="G79" s="9" t="n">
        <f aca="false">MOD(F79,10)</f>
        <v>0</v>
      </c>
      <c r="H79" s="9" t="n">
        <f aca="false">G79/2</f>
        <v>0</v>
      </c>
      <c r="I79" s="9" t="str">
        <f aca="false">IF(H79=0,"—",IF(H79=1,"unison (1:1)",IF(H79=2,"octave (2:1)",IF(H79=3,"fifth (3:2)",IF(H79=4,"fourth (4:3)","?")))))</f>
        <v>—</v>
      </c>
      <c r="J79" s="9" t="str">
        <f aca="false">IF(H79=0,"—",IF(H79=1,"ὁμώνυμον",IF(H79=2,"διὰ πασῶν",IF(H79=3,"διὰ πέντε",IF(H79=4,"διὰ τεσσάρων","?")))))</f>
        <v>—</v>
      </c>
      <c r="K79" s="10"/>
      <c r="L79" s="14"/>
      <c r="M79" s="13"/>
    </row>
    <row r="80" customFormat="false" ht="15.75" hidden="false" customHeight="true" outlineLevel="0" collapsed="false">
      <c r="A80" s="8" t="n">
        <f aca="false">A79+1</f>
        <v>78</v>
      </c>
      <c r="B80" s="9" t="n">
        <f aca="false">MOD(4*A80^2,10)</f>
        <v>6</v>
      </c>
      <c r="C80" s="9" t="n">
        <f aca="false">(26*B80-5*B80^2)/24</f>
        <v>-1</v>
      </c>
      <c r="D80" s="9" t="n">
        <f aca="false">(A80^2+4*C80)/5</f>
        <v>1216</v>
      </c>
      <c r="E80" s="9" t="n">
        <f aca="false">MOD(D80,10)</f>
        <v>6</v>
      </c>
      <c r="F80" s="9" t="n">
        <f aca="false">2*D80</f>
        <v>2432</v>
      </c>
      <c r="G80" s="9" t="n">
        <f aca="false">MOD(F80,10)</f>
        <v>2</v>
      </c>
      <c r="H80" s="9" t="n">
        <f aca="false">G80/2</f>
        <v>1</v>
      </c>
      <c r="I80" s="9" t="str">
        <f aca="false">IF(H80=0,"—",IF(H80=1,"unison (1:1)",IF(H80=2,"octave (2:1)",IF(H80=3,"fifth (3:2)",IF(H80=4,"fourth (4:3)","?")))))</f>
        <v>unison (1:1)</v>
      </c>
      <c r="J80" s="9" t="str">
        <f aca="false">IF(H80=0,"—",IF(H80=1,"ὁμώνυμον",IF(H80=2,"διὰ πασῶν",IF(H80=3,"διὰ πέντε",IF(H80=4,"διὰ τεσσάρων","?")))))</f>
        <v>ὁμώνυμον</v>
      </c>
      <c r="K80" s="10"/>
      <c r="L80" s="14"/>
      <c r="M80" s="13"/>
    </row>
    <row r="81" customFormat="false" ht="15.75" hidden="false" customHeight="true" outlineLevel="0" collapsed="false">
      <c r="A81" s="8" t="n">
        <f aca="false">A80+1</f>
        <v>79</v>
      </c>
      <c r="B81" s="9" t="n">
        <f aca="false">MOD(4*A81^2,10)</f>
        <v>4</v>
      </c>
      <c r="C81" s="9" t="n">
        <f aca="false">(26*B81-5*B81^2)/24</f>
        <v>1</v>
      </c>
      <c r="D81" s="9" t="n">
        <f aca="false">(A81^2+4*C81)/5</f>
        <v>1249</v>
      </c>
      <c r="E81" s="9" t="n">
        <f aca="false">MOD(D81,10)</f>
        <v>9</v>
      </c>
      <c r="F81" s="9" t="n">
        <f aca="false">2*D81</f>
        <v>2498</v>
      </c>
      <c r="G81" s="9" t="n">
        <f aca="false">MOD(F81,10)</f>
        <v>8</v>
      </c>
      <c r="H81" s="9" t="n">
        <f aca="false">G81/2</f>
        <v>4</v>
      </c>
      <c r="I81" s="9" t="str">
        <f aca="false">IF(H81=0,"—",IF(H81=1,"unison (1:1)",IF(H81=2,"octave (2:1)",IF(H81=3,"fifth (3:2)",IF(H81=4,"fourth (4:3)","?")))))</f>
        <v>fourth (4:3)</v>
      </c>
      <c r="J81" s="9" t="str">
        <f aca="false">IF(H81=0,"—",IF(H81=1,"ὁμώνυμον",IF(H81=2,"διὰ πασῶν",IF(H81=3,"διὰ πέντε",IF(H81=4,"διὰ τεσσάρων","?")))))</f>
        <v>διὰ τεσσάρων</v>
      </c>
      <c r="K81" s="10"/>
      <c r="L81" s="14"/>
      <c r="M81" s="13"/>
    </row>
    <row r="82" customFormat="false" ht="15.75" hidden="false" customHeight="true" outlineLevel="0" collapsed="false">
      <c r="A82" s="8" t="n">
        <f aca="false">A81+1</f>
        <v>80</v>
      </c>
      <c r="B82" s="9" t="n">
        <f aca="false">MOD(4*A82^2,10)</f>
        <v>0</v>
      </c>
      <c r="C82" s="9" t="n">
        <f aca="false">(26*B82-5*B82^2)/24</f>
        <v>0</v>
      </c>
      <c r="D82" s="9" t="n">
        <f aca="false">(A82^2+4*C82)/5</f>
        <v>1280</v>
      </c>
      <c r="E82" s="9" t="n">
        <f aca="false">MOD(D82,10)</f>
        <v>0</v>
      </c>
      <c r="F82" s="9" t="n">
        <f aca="false">2*D82</f>
        <v>2560</v>
      </c>
      <c r="G82" s="9" t="n">
        <f aca="false">MOD(F82,10)</f>
        <v>0</v>
      </c>
      <c r="H82" s="9" t="n">
        <f aca="false">G82/2</f>
        <v>0</v>
      </c>
      <c r="I82" s="9" t="str">
        <f aca="false">IF(H82=0,"—",IF(H82=1,"unison (1:1)",IF(H82=2,"octave (2:1)",IF(H82=3,"fifth (3:2)",IF(H82=4,"fourth (4:3)","?")))))</f>
        <v>—</v>
      </c>
      <c r="J82" s="9" t="str">
        <f aca="false">IF(H82=0,"—",IF(H82=1,"ὁμώνυμον",IF(H82=2,"διὰ πασῶν",IF(H82=3,"διὰ πέντε",IF(H82=4,"διὰ τεσσάρων","?")))))</f>
        <v>—</v>
      </c>
      <c r="K82" s="10"/>
      <c r="L82" s="14"/>
      <c r="M82" s="13"/>
    </row>
    <row r="83" customFormat="false" ht="15.75" hidden="false" customHeight="true" outlineLevel="0" collapsed="false">
      <c r="A83" s="8" t="n">
        <f aca="false">A82+1</f>
        <v>81</v>
      </c>
      <c r="B83" s="9" t="n">
        <f aca="false">MOD(4*A83^2,10)</f>
        <v>4</v>
      </c>
      <c r="C83" s="9" t="n">
        <f aca="false">(26*B83-5*B83^2)/24</f>
        <v>1</v>
      </c>
      <c r="D83" s="9" t="n">
        <f aca="false">(A83^2+4*C83)/5</f>
        <v>1313</v>
      </c>
      <c r="E83" s="9" t="n">
        <f aca="false">MOD(D83,10)</f>
        <v>3</v>
      </c>
      <c r="F83" s="9" t="n">
        <f aca="false">2*D83</f>
        <v>2626</v>
      </c>
      <c r="G83" s="9" t="n">
        <f aca="false">MOD(F83,10)</f>
        <v>6</v>
      </c>
      <c r="H83" s="9" t="n">
        <f aca="false">G83/2</f>
        <v>3</v>
      </c>
      <c r="I83" s="9" t="str">
        <f aca="false">IF(H83=0,"—",IF(H83=1,"unison (1:1)",IF(H83=2,"octave (2:1)",IF(H83=3,"fifth (3:2)",IF(H83=4,"fourth (4:3)","?")))))</f>
        <v>fifth (3:2)</v>
      </c>
      <c r="J83" s="9" t="str">
        <f aca="false">IF(H83=0,"—",IF(H83=1,"ὁμώνυμον",IF(H83=2,"διὰ πασῶν",IF(H83=3,"διὰ πέντε",IF(H83=4,"διὰ τεσσάρων","?")))))</f>
        <v>διὰ πέντε</v>
      </c>
      <c r="K83" s="10"/>
      <c r="L83" s="14"/>
      <c r="M83" s="13"/>
    </row>
    <row r="84" customFormat="false" ht="15.75" hidden="false" customHeight="true" outlineLevel="0" collapsed="false">
      <c r="A84" s="8" t="n">
        <f aca="false">A83+1</f>
        <v>82</v>
      </c>
      <c r="B84" s="9" t="n">
        <f aca="false">MOD(4*A84^2,10)</f>
        <v>6</v>
      </c>
      <c r="C84" s="9" t="n">
        <f aca="false">(26*B84-5*B84^2)/24</f>
        <v>-1</v>
      </c>
      <c r="D84" s="9" t="n">
        <f aca="false">(A84^2+4*C84)/5</f>
        <v>1344</v>
      </c>
      <c r="E84" s="9" t="n">
        <f aca="false">MOD(D84,10)</f>
        <v>4</v>
      </c>
      <c r="F84" s="9" t="n">
        <f aca="false">2*D84</f>
        <v>2688</v>
      </c>
      <c r="G84" s="9" t="n">
        <f aca="false">MOD(F84,10)</f>
        <v>8</v>
      </c>
      <c r="H84" s="9" t="n">
        <f aca="false">G84/2</f>
        <v>4</v>
      </c>
      <c r="I84" s="9" t="str">
        <f aca="false">IF(H84=0,"—",IF(H84=1,"unison (1:1)",IF(H84=2,"octave (2:1)",IF(H84=3,"fifth (3:2)",IF(H84=4,"fourth (4:3)","?")))))</f>
        <v>fourth (4:3)</v>
      </c>
      <c r="J84" s="9" t="str">
        <f aca="false">IF(H84=0,"—",IF(H84=1,"ὁμώνυμον",IF(H84=2,"διὰ πασῶν",IF(H84=3,"διὰ πέντε",IF(H84=4,"διὰ τεσσάρων","?")))))</f>
        <v>διὰ τεσσάρων</v>
      </c>
      <c r="K84" s="10"/>
      <c r="L84" s="14"/>
      <c r="M84" s="13"/>
    </row>
    <row r="85" customFormat="false" ht="15.75" hidden="false" customHeight="true" outlineLevel="0" collapsed="false">
      <c r="A85" s="8" t="n">
        <f aca="false">A84+1</f>
        <v>83</v>
      </c>
      <c r="B85" s="9" t="n">
        <f aca="false">MOD(4*A85^2,10)</f>
        <v>6</v>
      </c>
      <c r="C85" s="9" t="n">
        <f aca="false">(26*B85-5*B85^2)/24</f>
        <v>-1</v>
      </c>
      <c r="D85" s="9" t="n">
        <f aca="false">(A85^2+4*C85)/5</f>
        <v>1377</v>
      </c>
      <c r="E85" s="9" t="n">
        <f aca="false">MOD(D85,10)</f>
        <v>7</v>
      </c>
      <c r="F85" s="9" t="n">
        <f aca="false">2*D85</f>
        <v>2754</v>
      </c>
      <c r="G85" s="9" t="n">
        <f aca="false">MOD(F85,10)</f>
        <v>4</v>
      </c>
      <c r="H85" s="9" t="n">
        <f aca="false">G85/2</f>
        <v>2</v>
      </c>
      <c r="I85" s="9" t="str">
        <f aca="false">IF(H85=0,"—",IF(H85=1,"unison (1:1)",IF(H85=2,"octave (2:1)",IF(H85=3,"fifth (3:2)",IF(H85=4,"fourth (4:3)","?")))))</f>
        <v>octave (2:1)</v>
      </c>
      <c r="J85" s="9" t="str">
        <f aca="false">IF(H85=0,"—",IF(H85=1,"ὁμώνυμον",IF(H85=2,"διὰ πασῶν",IF(H85=3,"διὰ πέντε",IF(H85=4,"διὰ τεσσάρων","?")))))</f>
        <v>διὰ πασῶν</v>
      </c>
      <c r="K85" s="10"/>
      <c r="L85" s="14"/>
      <c r="M85" s="13"/>
    </row>
    <row r="86" customFormat="false" ht="15.75" hidden="false" customHeight="true" outlineLevel="0" collapsed="false">
      <c r="A86" s="8" t="n">
        <f aca="false">A85+1</f>
        <v>84</v>
      </c>
      <c r="B86" s="9" t="n">
        <f aca="false">MOD(4*A86^2,10)</f>
        <v>4</v>
      </c>
      <c r="C86" s="9" t="n">
        <f aca="false">(26*B86-5*B86^2)/24</f>
        <v>1</v>
      </c>
      <c r="D86" s="9" t="n">
        <f aca="false">(A86^2+4*C86)/5</f>
        <v>1412</v>
      </c>
      <c r="E86" s="9" t="n">
        <f aca="false">MOD(D86,10)</f>
        <v>2</v>
      </c>
      <c r="F86" s="9" t="n">
        <f aca="false">2*D86</f>
        <v>2824</v>
      </c>
      <c r="G86" s="9" t="n">
        <f aca="false">MOD(F86,10)</f>
        <v>4</v>
      </c>
      <c r="H86" s="9" t="n">
        <f aca="false">G86/2</f>
        <v>2</v>
      </c>
      <c r="I86" s="9" t="str">
        <f aca="false">IF(H86=0,"—",IF(H86=1,"unison (1:1)",IF(H86=2,"octave (2:1)",IF(H86=3,"fifth (3:2)",IF(H86=4,"fourth (4:3)","?")))))</f>
        <v>octave (2:1)</v>
      </c>
      <c r="J86" s="9" t="str">
        <f aca="false">IF(H86=0,"—",IF(H86=1,"ὁμώνυμον",IF(H86=2,"διὰ πασῶν",IF(H86=3,"διὰ πέντε",IF(H86=4,"διὰ τεσσάρων","?")))))</f>
        <v>διὰ πασῶν</v>
      </c>
      <c r="K86" s="10"/>
      <c r="L86" s="14"/>
      <c r="M86" s="13"/>
    </row>
    <row r="87" customFormat="false" ht="15.75" hidden="false" customHeight="true" outlineLevel="0" collapsed="false">
      <c r="A87" s="8" t="n">
        <f aca="false">A86+1</f>
        <v>85</v>
      </c>
      <c r="B87" s="9" t="n">
        <f aca="false">MOD(4*A87^2,10)</f>
        <v>0</v>
      </c>
      <c r="C87" s="9" t="n">
        <f aca="false">(26*B87-5*B87^2)/24</f>
        <v>0</v>
      </c>
      <c r="D87" s="9" t="n">
        <f aca="false">(A87^2+4*C87)/5</f>
        <v>1445</v>
      </c>
      <c r="E87" s="9" t="n">
        <f aca="false">MOD(D87,10)</f>
        <v>5</v>
      </c>
      <c r="F87" s="9" t="n">
        <f aca="false">2*D87</f>
        <v>2890</v>
      </c>
      <c r="G87" s="9" t="n">
        <f aca="false">MOD(F87,10)</f>
        <v>0</v>
      </c>
      <c r="H87" s="9" t="n">
        <f aca="false">G87/2</f>
        <v>0</v>
      </c>
      <c r="I87" s="9" t="str">
        <f aca="false">IF(H87=0,"—",IF(H87=1,"unison (1:1)",IF(H87=2,"octave (2:1)",IF(H87=3,"fifth (3:2)",IF(H87=4,"fourth (4:3)","?")))))</f>
        <v>—</v>
      </c>
      <c r="J87" s="9" t="str">
        <f aca="false">IF(H87=0,"—",IF(H87=1,"ὁμώνυμον",IF(H87=2,"διὰ πασῶν",IF(H87=3,"διὰ πέντε",IF(H87=4,"διὰ τεσσάρων","?")))))</f>
        <v>—</v>
      </c>
      <c r="K87" s="10"/>
      <c r="L87" s="14"/>
      <c r="M87" s="13"/>
    </row>
    <row r="88" customFormat="false" ht="15.75" hidden="false" customHeight="true" outlineLevel="0" collapsed="false">
      <c r="A88" s="8" t="n">
        <f aca="false">A87+1</f>
        <v>86</v>
      </c>
      <c r="B88" s="9" t="n">
        <f aca="false">MOD(4*A88^2,10)</f>
        <v>4</v>
      </c>
      <c r="C88" s="9" t="n">
        <f aca="false">(26*B88-5*B88^2)/24</f>
        <v>1</v>
      </c>
      <c r="D88" s="9" t="n">
        <f aca="false">(A88^2+4*C88)/5</f>
        <v>1480</v>
      </c>
      <c r="E88" s="9" t="n">
        <f aca="false">MOD(D88,10)</f>
        <v>0</v>
      </c>
      <c r="F88" s="9" t="n">
        <f aca="false">2*D88</f>
        <v>2960</v>
      </c>
      <c r="G88" s="9" t="n">
        <f aca="false">MOD(F88,10)</f>
        <v>0</v>
      </c>
      <c r="H88" s="9" t="n">
        <f aca="false">G88/2</f>
        <v>0</v>
      </c>
      <c r="I88" s="9" t="str">
        <f aca="false">IF(H88=0,"—",IF(H88=1,"unison (1:1)",IF(H88=2,"octave (2:1)",IF(H88=3,"fifth (3:2)",IF(H88=4,"fourth (4:3)","?")))))</f>
        <v>—</v>
      </c>
      <c r="J88" s="9" t="str">
        <f aca="false">IF(H88=0,"—",IF(H88=1,"ὁμώνυμον",IF(H88=2,"διὰ πασῶν",IF(H88=3,"διὰ πέντε",IF(H88=4,"διὰ τεσσάρων","?")))))</f>
        <v>—</v>
      </c>
      <c r="K88" s="10"/>
      <c r="L88" s="14"/>
      <c r="M88" s="13"/>
    </row>
    <row r="89" customFormat="false" ht="15.75" hidden="false" customHeight="true" outlineLevel="0" collapsed="false">
      <c r="A89" s="8" t="n">
        <f aca="false">A88+1</f>
        <v>87</v>
      </c>
      <c r="B89" s="9" t="n">
        <f aca="false">MOD(4*A89^2,10)</f>
        <v>6</v>
      </c>
      <c r="C89" s="9" t="n">
        <f aca="false">(26*B89-5*B89^2)/24</f>
        <v>-1</v>
      </c>
      <c r="D89" s="9" t="n">
        <f aca="false">(A89^2+4*C89)/5</f>
        <v>1513</v>
      </c>
      <c r="E89" s="9" t="n">
        <f aca="false">MOD(D89,10)</f>
        <v>3</v>
      </c>
      <c r="F89" s="9" t="n">
        <f aca="false">2*D89</f>
        <v>3026</v>
      </c>
      <c r="G89" s="9" t="n">
        <f aca="false">MOD(F89,10)</f>
        <v>6</v>
      </c>
      <c r="H89" s="9" t="n">
        <f aca="false">G89/2</f>
        <v>3</v>
      </c>
      <c r="I89" s="9" t="str">
        <f aca="false">IF(H89=0,"—",IF(H89=1,"unison (1:1)",IF(H89=2,"octave (2:1)",IF(H89=3,"fifth (3:2)",IF(H89=4,"fourth (4:3)","?")))))</f>
        <v>fifth (3:2)</v>
      </c>
      <c r="J89" s="9" t="str">
        <f aca="false">IF(H89=0,"—",IF(H89=1,"ὁμώνυμον",IF(H89=2,"διὰ πασῶν",IF(H89=3,"διὰ πέντε",IF(H89=4,"διὰ τεσσάρων","?")))))</f>
        <v>διὰ πέντε</v>
      </c>
      <c r="K89" s="10"/>
      <c r="L89" s="14"/>
      <c r="M89" s="13"/>
    </row>
    <row r="90" customFormat="false" ht="15.75" hidden="false" customHeight="true" outlineLevel="0" collapsed="false">
      <c r="A90" s="8" t="n">
        <f aca="false">A89+1</f>
        <v>88</v>
      </c>
      <c r="B90" s="9" t="n">
        <f aca="false">MOD(4*A90^2,10)</f>
        <v>6</v>
      </c>
      <c r="C90" s="9" t="n">
        <f aca="false">(26*B90-5*B90^2)/24</f>
        <v>-1</v>
      </c>
      <c r="D90" s="9" t="n">
        <f aca="false">(A90^2+4*C90)/5</f>
        <v>1548</v>
      </c>
      <c r="E90" s="9" t="n">
        <f aca="false">MOD(D90,10)</f>
        <v>8</v>
      </c>
      <c r="F90" s="9" t="n">
        <f aca="false">2*D90</f>
        <v>3096</v>
      </c>
      <c r="G90" s="9" t="n">
        <f aca="false">MOD(F90,10)</f>
        <v>6</v>
      </c>
      <c r="H90" s="9" t="n">
        <f aca="false">G90/2</f>
        <v>3</v>
      </c>
      <c r="I90" s="9" t="str">
        <f aca="false">IF(H90=0,"—",IF(H90=1,"unison (1:1)",IF(H90=2,"octave (2:1)",IF(H90=3,"fifth (3:2)",IF(H90=4,"fourth (4:3)","?")))))</f>
        <v>fifth (3:2)</v>
      </c>
      <c r="J90" s="9" t="str">
        <f aca="false">IF(H90=0,"—",IF(H90=1,"ὁμώνυμον",IF(H90=2,"διὰ πασῶν",IF(H90=3,"διὰ πέντε",IF(H90=4,"διὰ τεσσάρων","?")))))</f>
        <v>διὰ πέντε</v>
      </c>
      <c r="K90" s="10"/>
      <c r="L90" s="14"/>
      <c r="M90" s="13"/>
    </row>
    <row r="91" customFormat="false" ht="15.75" hidden="false" customHeight="true" outlineLevel="0" collapsed="false">
      <c r="A91" s="8" t="n">
        <f aca="false">A90+1</f>
        <v>89</v>
      </c>
      <c r="B91" s="9" t="n">
        <f aca="false">MOD(4*A91^2,10)</f>
        <v>4</v>
      </c>
      <c r="C91" s="9" t="n">
        <f aca="false">(26*B91-5*B91^2)/24</f>
        <v>1</v>
      </c>
      <c r="D91" s="9" t="n">
        <f aca="false">(A91^2+4*C91)/5</f>
        <v>1585</v>
      </c>
      <c r="E91" s="9" t="n">
        <f aca="false">MOD(D91,10)</f>
        <v>5</v>
      </c>
      <c r="F91" s="9" t="n">
        <f aca="false">2*D91</f>
        <v>3170</v>
      </c>
      <c r="G91" s="9" t="n">
        <f aca="false">MOD(F91,10)</f>
        <v>0</v>
      </c>
      <c r="H91" s="9" t="n">
        <f aca="false">G91/2</f>
        <v>0</v>
      </c>
      <c r="I91" s="9" t="str">
        <f aca="false">IF(H91=0,"—",IF(H91=1,"unison (1:1)",IF(H91=2,"octave (2:1)",IF(H91=3,"fifth (3:2)",IF(H91=4,"fourth (4:3)","?")))))</f>
        <v>—</v>
      </c>
      <c r="J91" s="9" t="str">
        <f aca="false">IF(H91=0,"—",IF(H91=1,"ὁμώνυμον",IF(H91=2,"διὰ πασῶν",IF(H91=3,"διὰ πέντε",IF(H91=4,"διὰ τεσσάρων","?")))))</f>
        <v>—</v>
      </c>
      <c r="K91" s="10"/>
      <c r="L91" s="14"/>
      <c r="M91" s="13"/>
    </row>
    <row r="92" customFormat="false" ht="15.75" hidden="false" customHeight="true" outlineLevel="0" collapsed="false">
      <c r="A92" s="8" t="n">
        <f aca="false">A91+1</f>
        <v>90</v>
      </c>
      <c r="B92" s="9" t="n">
        <f aca="false">MOD(4*A92^2,10)</f>
        <v>0</v>
      </c>
      <c r="C92" s="9" t="n">
        <f aca="false">(26*B92-5*B92^2)/24</f>
        <v>0</v>
      </c>
      <c r="D92" s="9" t="n">
        <f aca="false">(A92^2+4*C92)/5</f>
        <v>1620</v>
      </c>
      <c r="E92" s="9" t="n">
        <f aca="false">MOD(D92,10)</f>
        <v>0</v>
      </c>
      <c r="F92" s="9" t="n">
        <f aca="false">2*D92</f>
        <v>3240</v>
      </c>
      <c r="G92" s="9" t="n">
        <f aca="false">MOD(F92,10)</f>
        <v>0</v>
      </c>
      <c r="H92" s="9" t="n">
        <f aca="false">G92/2</f>
        <v>0</v>
      </c>
      <c r="I92" s="9" t="str">
        <f aca="false">IF(H92=0,"—",IF(H92=1,"unison (1:1)",IF(H92=2,"octave (2:1)",IF(H92=3,"fifth (3:2)",IF(H92=4,"fourth (4:3)","?")))))</f>
        <v>—</v>
      </c>
      <c r="J92" s="9" t="str">
        <f aca="false">IF(H92=0,"—",IF(H92=1,"ὁμώνυμον",IF(H92=2,"διὰ πασῶν",IF(H92=3,"διὰ πέντε",IF(H92=4,"διὰ τεσσάρων","?")))))</f>
        <v>—</v>
      </c>
      <c r="K92" s="10"/>
      <c r="L92" s="14"/>
      <c r="M92" s="13"/>
    </row>
    <row r="93" customFormat="false" ht="15.75" hidden="false" customHeight="true" outlineLevel="0" collapsed="false">
      <c r="A93" s="8" t="n">
        <f aca="false">A92+1</f>
        <v>91</v>
      </c>
      <c r="B93" s="9" t="n">
        <f aca="false">MOD(4*A93^2,10)</f>
        <v>4</v>
      </c>
      <c r="C93" s="9" t="n">
        <f aca="false">(26*B93-5*B93^2)/24</f>
        <v>1</v>
      </c>
      <c r="D93" s="9" t="n">
        <f aca="false">(A93^2+4*C93)/5</f>
        <v>1657</v>
      </c>
      <c r="E93" s="9" t="n">
        <f aca="false">MOD(D93,10)</f>
        <v>7</v>
      </c>
      <c r="F93" s="9" t="n">
        <f aca="false">2*D93</f>
        <v>3314</v>
      </c>
      <c r="G93" s="9" t="n">
        <f aca="false">MOD(F93,10)</f>
        <v>4</v>
      </c>
      <c r="H93" s="9" t="n">
        <f aca="false">G93/2</f>
        <v>2</v>
      </c>
      <c r="I93" s="9" t="str">
        <f aca="false">IF(H93=0,"—",IF(H93=1,"unison (1:1)",IF(H93=2,"octave (2:1)",IF(H93=3,"fifth (3:2)",IF(H93=4,"fourth (4:3)","?")))))</f>
        <v>octave (2:1)</v>
      </c>
      <c r="J93" s="9" t="str">
        <f aca="false">IF(H93=0,"—",IF(H93=1,"ὁμώνυμον",IF(H93=2,"διὰ πασῶν",IF(H93=3,"διὰ πέντε",IF(H93=4,"διὰ τεσσάρων","?")))))</f>
        <v>διὰ πασῶν</v>
      </c>
      <c r="K93" s="10"/>
      <c r="L93" s="14"/>
      <c r="M93" s="13"/>
    </row>
    <row r="94" customFormat="false" ht="15.75" hidden="false" customHeight="true" outlineLevel="0" collapsed="false">
      <c r="A94" s="8" t="n">
        <f aca="false">A93+1</f>
        <v>92</v>
      </c>
      <c r="B94" s="9" t="n">
        <f aca="false">MOD(4*A94^2,10)</f>
        <v>6</v>
      </c>
      <c r="C94" s="9" t="n">
        <f aca="false">(26*B94-5*B94^2)/24</f>
        <v>-1</v>
      </c>
      <c r="D94" s="9" t="n">
        <f aca="false">(A94^2+4*C94)/5</f>
        <v>1692</v>
      </c>
      <c r="E94" s="9" t="n">
        <f aca="false">MOD(D94,10)</f>
        <v>2</v>
      </c>
      <c r="F94" s="9" t="n">
        <f aca="false">2*D94</f>
        <v>3384</v>
      </c>
      <c r="G94" s="9" t="n">
        <f aca="false">MOD(F94,10)</f>
        <v>4</v>
      </c>
      <c r="H94" s="9" t="n">
        <f aca="false">G94/2</f>
        <v>2</v>
      </c>
      <c r="I94" s="9" t="str">
        <f aca="false">IF(H94=0,"—",IF(H94=1,"unison (1:1)",IF(H94=2,"octave (2:1)",IF(H94=3,"fifth (3:2)",IF(H94=4,"fourth (4:3)","?")))))</f>
        <v>octave (2:1)</v>
      </c>
      <c r="J94" s="9" t="str">
        <f aca="false">IF(H94=0,"—",IF(H94=1,"ὁμώνυμον",IF(H94=2,"διὰ πασῶν",IF(H94=3,"διὰ πέντε",IF(H94=4,"διὰ τεσσάρων","?")))))</f>
        <v>διὰ πασῶν</v>
      </c>
      <c r="K94" s="10"/>
      <c r="L94" s="14"/>
      <c r="M94" s="13"/>
    </row>
    <row r="95" customFormat="false" ht="15.75" hidden="false" customHeight="true" outlineLevel="0" collapsed="false">
      <c r="A95" s="8" t="n">
        <f aca="false">A94+1</f>
        <v>93</v>
      </c>
      <c r="B95" s="9" t="n">
        <f aca="false">MOD(4*A95^2,10)</f>
        <v>6</v>
      </c>
      <c r="C95" s="9" t="n">
        <f aca="false">(26*B95-5*B95^2)/24</f>
        <v>-1</v>
      </c>
      <c r="D95" s="9" t="n">
        <f aca="false">(A95^2+4*C95)/5</f>
        <v>1729</v>
      </c>
      <c r="E95" s="9" t="n">
        <f aca="false">MOD(D95,10)</f>
        <v>9</v>
      </c>
      <c r="F95" s="9" t="n">
        <f aca="false">2*D95</f>
        <v>3458</v>
      </c>
      <c r="G95" s="9" t="n">
        <f aca="false">MOD(F95,10)</f>
        <v>8</v>
      </c>
      <c r="H95" s="9" t="n">
        <f aca="false">G95/2</f>
        <v>4</v>
      </c>
      <c r="I95" s="9" t="str">
        <f aca="false">IF(H95=0,"—",IF(H95=1,"unison (1:1)",IF(H95=2,"octave (2:1)",IF(H95=3,"fifth (3:2)",IF(H95=4,"fourth (4:3)","?")))))</f>
        <v>fourth (4:3)</v>
      </c>
      <c r="J95" s="9" t="str">
        <f aca="false">IF(H95=0,"—",IF(H95=1,"ὁμώνυμον",IF(H95=2,"διὰ πασῶν",IF(H95=3,"διὰ πέντε",IF(H95=4,"διὰ τεσσάρων","?")))))</f>
        <v>διὰ τεσσάρων</v>
      </c>
      <c r="K95" s="10"/>
      <c r="L95" s="14"/>
      <c r="M95" s="13"/>
    </row>
    <row r="96" customFormat="false" ht="15.75" hidden="false" customHeight="true" outlineLevel="0" collapsed="false">
      <c r="A96" s="8" t="n">
        <f aca="false">A95+1</f>
        <v>94</v>
      </c>
      <c r="B96" s="9" t="n">
        <f aca="false">MOD(4*A96^2,10)</f>
        <v>4</v>
      </c>
      <c r="C96" s="9" t="n">
        <f aca="false">(26*B96-5*B96^2)/24</f>
        <v>1</v>
      </c>
      <c r="D96" s="9" t="n">
        <f aca="false">(A96^2+4*C96)/5</f>
        <v>1768</v>
      </c>
      <c r="E96" s="9" t="n">
        <f aca="false">MOD(D96,10)</f>
        <v>8</v>
      </c>
      <c r="F96" s="9" t="n">
        <f aca="false">2*D96</f>
        <v>3536</v>
      </c>
      <c r="G96" s="9" t="n">
        <f aca="false">MOD(F96,10)</f>
        <v>6</v>
      </c>
      <c r="H96" s="9" t="n">
        <f aca="false">G96/2</f>
        <v>3</v>
      </c>
      <c r="I96" s="9" t="str">
        <f aca="false">IF(H96=0,"—",IF(H96=1,"unison (1:1)",IF(H96=2,"octave (2:1)",IF(H96=3,"fifth (3:2)",IF(H96=4,"fourth (4:3)","?")))))</f>
        <v>fifth (3:2)</v>
      </c>
      <c r="J96" s="9" t="str">
        <f aca="false">IF(H96=0,"—",IF(H96=1,"ὁμώνυμον",IF(H96=2,"διὰ πασῶν",IF(H96=3,"διὰ πέντε",IF(H96=4,"διὰ τεσσάρων","?")))))</f>
        <v>διὰ πέντε</v>
      </c>
      <c r="K96" s="10"/>
      <c r="L96" s="14"/>
      <c r="M96" s="13"/>
    </row>
    <row r="97" customFormat="false" ht="15.75" hidden="false" customHeight="true" outlineLevel="0" collapsed="false">
      <c r="A97" s="8" t="n">
        <f aca="false">A96+1</f>
        <v>95</v>
      </c>
      <c r="B97" s="9" t="n">
        <f aca="false">MOD(4*A97^2,10)</f>
        <v>0</v>
      </c>
      <c r="C97" s="9" t="n">
        <f aca="false">(26*B97-5*B97^2)/24</f>
        <v>0</v>
      </c>
      <c r="D97" s="9" t="n">
        <f aca="false">(A97^2+4*C97)/5</f>
        <v>1805</v>
      </c>
      <c r="E97" s="9" t="n">
        <f aca="false">MOD(D97,10)</f>
        <v>5</v>
      </c>
      <c r="F97" s="9" t="n">
        <f aca="false">2*D97</f>
        <v>3610</v>
      </c>
      <c r="G97" s="9" t="n">
        <f aca="false">MOD(F97,10)</f>
        <v>0</v>
      </c>
      <c r="H97" s="9" t="n">
        <f aca="false">G97/2</f>
        <v>0</v>
      </c>
      <c r="I97" s="9" t="str">
        <f aca="false">IF(H97=0,"—",IF(H97=1,"unison (1:1)",IF(H97=2,"octave (2:1)",IF(H97=3,"fifth (3:2)",IF(H97=4,"fourth (4:3)","?")))))</f>
        <v>—</v>
      </c>
      <c r="J97" s="9" t="str">
        <f aca="false">IF(H97=0,"—",IF(H97=1,"ὁμώνυμον",IF(H97=2,"διὰ πασῶν",IF(H97=3,"διὰ πέντε",IF(H97=4,"διὰ τεσσάρων","?")))))</f>
        <v>—</v>
      </c>
      <c r="K97" s="10"/>
      <c r="L97" s="14"/>
      <c r="M97" s="13"/>
    </row>
    <row r="98" customFormat="false" ht="15.75" hidden="false" customHeight="true" outlineLevel="0" collapsed="false">
      <c r="A98" s="8" t="n">
        <f aca="false">A97+1</f>
        <v>96</v>
      </c>
      <c r="B98" s="9" t="n">
        <f aca="false">MOD(4*A98^2,10)</f>
        <v>4</v>
      </c>
      <c r="C98" s="9" t="n">
        <f aca="false">(26*B98-5*B98^2)/24</f>
        <v>1</v>
      </c>
      <c r="D98" s="9" t="n">
        <f aca="false">(A98^2+4*C98)/5</f>
        <v>1844</v>
      </c>
      <c r="E98" s="9" t="n">
        <f aca="false">MOD(D98,10)</f>
        <v>4</v>
      </c>
      <c r="F98" s="9" t="n">
        <f aca="false">2*D98</f>
        <v>3688</v>
      </c>
      <c r="G98" s="9" t="n">
        <f aca="false">MOD(F98,10)</f>
        <v>8</v>
      </c>
      <c r="H98" s="9" t="n">
        <f aca="false">G98/2</f>
        <v>4</v>
      </c>
      <c r="I98" s="9" t="str">
        <f aca="false">IF(H98=0,"—",IF(H98=1,"unison (1:1)",IF(H98=2,"octave (2:1)",IF(H98=3,"fifth (3:2)",IF(H98=4,"fourth (4:3)","?")))))</f>
        <v>fourth (4:3)</v>
      </c>
      <c r="J98" s="9" t="str">
        <f aca="false">IF(H98=0,"—",IF(H98=1,"ὁμώνυμον",IF(H98=2,"διὰ πασῶν",IF(H98=3,"διὰ πέντε",IF(H98=4,"διὰ τεσσάρων","?")))))</f>
        <v>διὰ τεσσάρων</v>
      </c>
      <c r="K98" s="10"/>
      <c r="L98" s="14"/>
      <c r="M98" s="13"/>
    </row>
    <row r="99" customFormat="false" ht="15.75" hidden="false" customHeight="true" outlineLevel="0" collapsed="false">
      <c r="A99" s="8" t="n">
        <f aca="false">A98+1</f>
        <v>97</v>
      </c>
      <c r="B99" s="9" t="n">
        <f aca="false">MOD(4*A99^2,10)</f>
        <v>6</v>
      </c>
      <c r="C99" s="9" t="n">
        <f aca="false">(26*B99-5*B99^2)/24</f>
        <v>-1</v>
      </c>
      <c r="D99" s="9" t="n">
        <f aca="false">(A99^2+4*C99)/5</f>
        <v>1881</v>
      </c>
      <c r="E99" s="9" t="n">
        <f aca="false">MOD(D99,10)</f>
        <v>1</v>
      </c>
      <c r="F99" s="9" t="n">
        <f aca="false">2*D99</f>
        <v>3762</v>
      </c>
      <c r="G99" s="9" t="n">
        <f aca="false">MOD(F99,10)</f>
        <v>2</v>
      </c>
      <c r="H99" s="9" t="n">
        <f aca="false">G99/2</f>
        <v>1</v>
      </c>
      <c r="I99" s="9" t="str">
        <f aca="false">IF(H99=0,"—",IF(H99=1,"unison (1:1)",IF(H99=2,"octave (2:1)",IF(H99=3,"fifth (3:2)",IF(H99=4,"fourth (4:3)","?")))))</f>
        <v>unison (1:1)</v>
      </c>
      <c r="J99" s="9" t="str">
        <f aca="false">IF(H99=0,"—",IF(H99=1,"ὁμώνυμον",IF(H99=2,"διὰ πασῶν",IF(H99=3,"διὰ πέντε",IF(H99=4,"διὰ τεσσάρων","?")))))</f>
        <v>ὁμώνυμον</v>
      </c>
      <c r="K99" s="10"/>
      <c r="L99" s="14"/>
      <c r="M99" s="13"/>
    </row>
    <row r="100" customFormat="false" ht="15.75" hidden="false" customHeight="true" outlineLevel="0" collapsed="false">
      <c r="A100" s="8" t="n">
        <f aca="false">A99+1</f>
        <v>98</v>
      </c>
      <c r="B100" s="9" t="n">
        <f aca="false">MOD(4*A100^2,10)</f>
        <v>6</v>
      </c>
      <c r="C100" s="9" t="n">
        <f aca="false">(26*B100-5*B100^2)/24</f>
        <v>-1</v>
      </c>
      <c r="D100" s="9" t="n">
        <f aca="false">(A100^2+4*C100)/5</f>
        <v>1920</v>
      </c>
      <c r="E100" s="9" t="n">
        <f aca="false">MOD(D100,10)</f>
        <v>0</v>
      </c>
      <c r="F100" s="9" t="n">
        <f aca="false">2*D100</f>
        <v>3840</v>
      </c>
      <c r="G100" s="9" t="n">
        <f aca="false">MOD(F100,10)</f>
        <v>0</v>
      </c>
      <c r="H100" s="9" t="n">
        <f aca="false">G100/2</f>
        <v>0</v>
      </c>
      <c r="I100" s="9" t="str">
        <f aca="false">IF(H100=0,"—",IF(H100=1,"unison (1:1)",IF(H100=2,"octave (2:1)",IF(H100=3,"fifth (3:2)",IF(H100=4,"fourth (4:3)","?")))))</f>
        <v>—</v>
      </c>
      <c r="J100" s="9" t="str">
        <f aca="false">IF(H100=0,"—",IF(H100=1,"ὁμώνυμον",IF(H100=2,"διὰ πασῶν",IF(H100=3,"διὰ πέντε",IF(H100=4,"διὰ τεσσάρων","?")))))</f>
        <v>—</v>
      </c>
      <c r="K100" s="10"/>
      <c r="L100" s="14"/>
      <c r="M100" s="13"/>
    </row>
    <row r="101" customFormat="false" ht="15.75" hidden="false" customHeight="true" outlineLevel="0" collapsed="false">
      <c r="A101" s="8" t="n">
        <f aca="false">A100+1</f>
        <v>99</v>
      </c>
      <c r="B101" s="9" t="n">
        <f aca="false">MOD(4*A101^2,10)</f>
        <v>4</v>
      </c>
      <c r="C101" s="9" t="n">
        <f aca="false">(26*B101-5*B101^2)/24</f>
        <v>1</v>
      </c>
      <c r="D101" s="9" t="n">
        <f aca="false">(A101^2+4*C101)/5</f>
        <v>1961</v>
      </c>
      <c r="E101" s="9" t="n">
        <f aca="false">MOD(D101,10)</f>
        <v>1</v>
      </c>
      <c r="F101" s="9" t="n">
        <f aca="false">2*D101</f>
        <v>3922</v>
      </c>
      <c r="G101" s="9" t="n">
        <f aca="false">MOD(F101,10)</f>
        <v>2</v>
      </c>
      <c r="H101" s="9" t="n">
        <f aca="false">G101/2</f>
        <v>1</v>
      </c>
      <c r="I101" s="9" t="str">
        <f aca="false">IF(H101=0,"—",IF(H101=1,"unison (1:1)",IF(H101=2,"octave (2:1)",IF(H101=3,"fifth (3:2)",IF(H101=4,"fourth (4:3)","?")))))</f>
        <v>unison (1:1)</v>
      </c>
      <c r="J101" s="9" t="str">
        <f aca="false">IF(H101=0,"—",IF(H101=1,"ὁμώνυμον",IF(H101=2,"διὰ πασῶν",IF(H101=3,"διὰ πέντε",IF(H101=4,"διὰ τεσσάρων","?")))))</f>
        <v>ὁμώνυμον</v>
      </c>
      <c r="K101" s="10"/>
      <c r="L101" s="14"/>
      <c r="M101" s="13"/>
    </row>
    <row r="102" customFormat="false" ht="15.75" hidden="false" customHeight="true" outlineLevel="0" collapsed="false">
      <c r="A102" s="8" t="n">
        <f aca="false">A101+1</f>
        <v>100</v>
      </c>
      <c r="B102" s="9" t="n">
        <f aca="false">MOD(4*A102^2,10)</f>
        <v>0</v>
      </c>
      <c r="C102" s="9" t="n">
        <f aca="false">(26*B102-5*B102^2)/24</f>
        <v>0</v>
      </c>
      <c r="D102" s="9" t="n">
        <f aca="false">(A102^2+4*C102)/5</f>
        <v>2000</v>
      </c>
      <c r="E102" s="9" t="n">
        <f aca="false">MOD(D102,10)</f>
        <v>0</v>
      </c>
      <c r="F102" s="9" t="n">
        <f aca="false">2*D102</f>
        <v>4000</v>
      </c>
      <c r="G102" s="9" t="n">
        <f aca="false">MOD(F102,10)</f>
        <v>0</v>
      </c>
      <c r="H102" s="9" t="n">
        <f aca="false">G102/2</f>
        <v>0</v>
      </c>
      <c r="I102" s="9" t="str">
        <f aca="false">IF(H102=0,"—",IF(H102=1,"unison (1:1)",IF(H102=2,"octave (2:1)",IF(H102=3,"fifth (3:2)",IF(H102=4,"fourth (4:3)","?")))))</f>
        <v>—</v>
      </c>
      <c r="J102" s="9" t="str">
        <f aca="false">IF(H102=0,"—",IF(H102=1,"ὁμώνυμον",IF(H102=2,"διὰ πασῶν",IF(H102=3,"διὰ πέντε",IF(H102=4,"διὰ τεσσάρων","?")))))</f>
        <v>—</v>
      </c>
      <c r="K102" s="10"/>
      <c r="L102" s="14"/>
      <c r="M102" s="13"/>
    </row>
    <row r="103" customFormat="false" ht="15.75" hidden="false" customHeight="true" outlineLevel="0" collapsed="false">
      <c r="A103" s="8" t="n">
        <f aca="false">A102+1</f>
        <v>101</v>
      </c>
      <c r="B103" s="9" t="n">
        <f aca="false">MOD(4*A103^2,10)</f>
        <v>4</v>
      </c>
      <c r="C103" s="9" t="n">
        <f aca="false">(26*B103-5*B103^2)/24</f>
        <v>1</v>
      </c>
      <c r="D103" s="9" t="n">
        <f aca="false">(A103^2+4*C103)/5</f>
        <v>2041</v>
      </c>
      <c r="E103" s="9" t="n">
        <f aca="false">MOD(D103,10)</f>
        <v>1</v>
      </c>
      <c r="F103" s="9" t="n">
        <f aca="false">2*D103</f>
        <v>4082</v>
      </c>
      <c r="G103" s="9" t="n">
        <f aca="false">MOD(F103,10)</f>
        <v>2</v>
      </c>
      <c r="H103" s="9" t="n">
        <f aca="false">G103/2</f>
        <v>1</v>
      </c>
      <c r="I103" s="9" t="str">
        <f aca="false">IF(H103=0,"—",IF(H103=1,"unison (1:1)",IF(H103=2,"octave (2:1)",IF(H103=3,"fifth (3:2)",IF(H103=4,"fourth (4:3)","?")))))</f>
        <v>unison (1:1)</v>
      </c>
      <c r="J103" s="9" t="str">
        <f aca="false">IF(H103=0,"—",IF(H103=1,"ὁμώνυμον",IF(H103=2,"διὰ πασῶν",IF(H103=3,"διὰ πέντε",IF(H103=4,"διὰ τεσσάρων","?")))))</f>
        <v>ὁμώνυμον</v>
      </c>
      <c r="K103" s="10"/>
      <c r="L103" s="14"/>
      <c r="M103" s="13"/>
    </row>
    <row r="104" customFormat="false" ht="15.75" hidden="false" customHeight="true" outlineLevel="0" collapsed="false">
      <c r="A104" s="8" t="n">
        <f aca="false">A103+1</f>
        <v>102</v>
      </c>
      <c r="B104" s="9" t="n">
        <f aca="false">MOD(4*A104^2,10)</f>
        <v>6</v>
      </c>
      <c r="C104" s="9" t="n">
        <f aca="false">(26*B104-5*B104^2)/24</f>
        <v>-1</v>
      </c>
      <c r="D104" s="9" t="n">
        <f aca="false">(A104^2+4*C104)/5</f>
        <v>2080</v>
      </c>
      <c r="E104" s="9" t="n">
        <f aca="false">MOD(D104,10)</f>
        <v>0</v>
      </c>
      <c r="F104" s="9" t="n">
        <f aca="false">2*D104</f>
        <v>4160</v>
      </c>
      <c r="G104" s="9" t="n">
        <f aca="false">MOD(F104,10)</f>
        <v>0</v>
      </c>
      <c r="H104" s="9" t="n">
        <f aca="false">G104/2</f>
        <v>0</v>
      </c>
      <c r="I104" s="9" t="str">
        <f aca="false">IF(H104=0,"—",IF(H104=1,"unison (1:1)",IF(H104=2,"octave (2:1)",IF(H104=3,"fifth (3:2)",IF(H104=4,"fourth (4:3)","?")))))</f>
        <v>—</v>
      </c>
      <c r="J104" s="9" t="str">
        <f aca="false">IF(H104=0,"—",IF(H104=1,"ὁμώνυμον",IF(H104=2,"διὰ πασῶν",IF(H104=3,"διὰ πέντε",IF(H104=4,"διὰ τεσσάρων","?")))))</f>
        <v>—</v>
      </c>
      <c r="K104" s="10"/>
      <c r="L104" s="14"/>
      <c r="M104" s="13"/>
    </row>
    <row r="105" customFormat="false" ht="15.75" hidden="false" customHeight="true" outlineLevel="0" collapsed="false">
      <c r="A105" s="8" t="n">
        <f aca="false">A104+1</f>
        <v>103</v>
      </c>
      <c r="B105" s="9" t="n">
        <f aca="false">MOD(4*A105^2,10)</f>
        <v>6</v>
      </c>
      <c r="C105" s="9" t="n">
        <f aca="false">(26*B105-5*B105^2)/24</f>
        <v>-1</v>
      </c>
      <c r="D105" s="9" t="n">
        <f aca="false">(A105^2+4*C105)/5</f>
        <v>2121</v>
      </c>
      <c r="E105" s="9" t="n">
        <f aca="false">MOD(D105,10)</f>
        <v>1</v>
      </c>
      <c r="F105" s="9" t="n">
        <f aca="false">2*D105</f>
        <v>4242</v>
      </c>
      <c r="G105" s="9" t="n">
        <f aca="false">MOD(F105,10)</f>
        <v>2</v>
      </c>
      <c r="H105" s="9" t="n">
        <f aca="false">G105/2</f>
        <v>1</v>
      </c>
      <c r="I105" s="9" t="str">
        <f aca="false">IF(H105=0,"—",IF(H105=1,"unison (1:1)",IF(H105=2,"octave (2:1)",IF(H105=3,"fifth (3:2)",IF(H105=4,"fourth (4:3)","?")))))</f>
        <v>unison (1:1)</v>
      </c>
      <c r="J105" s="9" t="str">
        <f aca="false">IF(H105=0,"—",IF(H105=1,"ὁμώνυμον",IF(H105=2,"διὰ πασῶν",IF(H105=3,"διὰ πέντε",IF(H105=4,"διὰ τεσσάρων","?")))))</f>
        <v>ὁμώνυμον</v>
      </c>
      <c r="K105" s="10"/>
      <c r="L105" s="14"/>
      <c r="M105" s="13"/>
    </row>
    <row r="106" customFormat="false" ht="15.75" hidden="false" customHeight="true" outlineLevel="0" collapsed="false">
      <c r="A106" s="8" t="n">
        <f aca="false">A105+1</f>
        <v>104</v>
      </c>
      <c r="B106" s="9" t="n">
        <f aca="false">MOD(4*A106^2,10)</f>
        <v>4</v>
      </c>
      <c r="C106" s="9" t="n">
        <f aca="false">(26*B106-5*B106^2)/24</f>
        <v>1</v>
      </c>
      <c r="D106" s="9" t="n">
        <f aca="false">(A106^2+4*C106)/5</f>
        <v>2164</v>
      </c>
      <c r="E106" s="9" t="n">
        <f aca="false">MOD(D106,10)</f>
        <v>4</v>
      </c>
      <c r="F106" s="9" t="n">
        <f aca="false">2*D106</f>
        <v>4328</v>
      </c>
      <c r="G106" s="9" t="n">
        <f aca="false">MOD(F106,10)</f>
        <v>8</v>
      </c>
      <c r="H106" s="9" t="n">
        <f aca="false">G106/2</f>
        <v>4</v>
      </c>
      <c r="I106" s="9" t="str">
        <f aca="false">IF(H106=0,"—",IF(H106=1,"unison (1:1)",IF(H106=2,"octave (2:1)",IF(H106=3,"fifth (3:2)",IF(H106=4,"fourth (4:3)","?")))))</f>
        <v>fourth (4:3)</v>
      </c>
      <c r="J106" s="9" t="str">
        <f aca="false">IF(H106=0,"—",IF(H106=1,"ὁμώνυμον",IF(H106=2,"διὰ πασῶν",IF(H106=3,"διὰ πέντε",IF(H106=4,"διὰ τεσσάρων","?")))))</f>
        <v>διὰ τεσσάρων</v>
      </c>
      <c r="K106" s="10"/>
      <c r="L106" s="14"/>
      <c r="M106" s="13"/>
    </row>
    <row r="107" customFormat="false" ht="15.75" hidden="false" customHeight="true" outlineLevel="0" collapsed="false">
      <c r="A107" s="8" t="n">
        <f aca="false">A106+1</f>
        <v>105</v>
      </c>
      <c r="B107" s="9" t="n">
        <f aca="false">MOD(4*A107^2,10)</f>
        <v>0</v>
      </c>
      <c r="C107" s="9" t="n">
        <f aca="false">(26*B107-5*B107^2)/24</f>
        <v>0</v>
      </c>
      <c r="D107" s="9" t="n">
        <f aca="false">(A107^2+4*C107)/5</f>
        <v>2205</v>
      </c>
      <c r="E107" s="9" t="n">
        <f aca="false">MOD(D107,10)</f>
        <v>5</v>
      </c>
      <c r="F107" s="9" t="n">
        <f aca="false">2*D107</f>
        <v>4410</v>
      </c>
      <c r="G107" s="9" t="n">
        <f aca="false">MOD(F107,10)</f>
        <v>0</v>
      </c>
      <c r="H107" s="9" t="n">
        <f aca="false">G107/2</f>
        <v>0</v>
      </c>
      <c r="I107" s="9" t="str">
        <f aca="false">IF(H107=0,"—",IF(H107=1,"unison (1:1)",IF(H107=2,"octave (2:1)",IF(H107=3,"fifth (3:2)",IF(H107=4,"fourth (4:3)","?")))))</f>
        <v>—</v>
      </c>
      <c r="J107" s="9" t="str">
        <f aca="false">IF(H107=0,"—",IF(H107=1,"ὁμώνυμον",IF(H107=2,"διὰ πασῶν",IF(H107=3,"διὰ πέντε",IF(H107=4,"διὰ τεσσάρων","?")))))</f>
        <v>—</v>
      </c>
      <c r="K107" s="10"/>
      <c r="L107" s="14"/>
      <c r="M107" s="13"/>
    </row>
    <row r="108" customFormat="false" ht="15.75" hidden="false" customHeight="true" outlineLevel="0" collapsed="false">
      <c r="A108" s="8" t="n">
        <f aca="false">A107+1</f>
        <v>106</v>
      </c>
      <c r="B108" s="9" t="n">
        <f aca="false">MOD(4*A108^2,10)</f>
        <v>4</v>
      </c>
      <c r="C108" s="9" t="n">
        <f aca="false">(26*B108-5*B108^2)/24</f>
        <v>1</v>
      </c>
      <c r="D108" s="9" t="n">
        <f aca="false">(A108^2+4*C108)/5</f>
        <v>2248</v>
      </c>
      <c r="E108" s="9" t="n">
        <f aca="false">MOD(D108,10)</f>
        <v>8</v>
      </c>
      <c r="F108" s="9" t="n">
        <f aca="false">2*D108</f>
        <v>4496</v>
      </c>
      <c r="G108" s="9" t="n">
        <f aca="false">MOD(F108,10)</f>
        <v>6</v>
      </c>
      <c r="H108" s="9" t="n">
        <f aca="false">G108/2</f>
        <v>3</v>
      </c>
      <c r="I108" s="9" t="str">
        <f aca="false">IF(H108=0,"—",IF(H108=1,"unison (1:1)",IF(H108=2,"octave (2:1)",IF(H108=3,"fifth (3:2)",IF(H108=4,"fourth (4:3)","?")))))</f>
        <v>fifth (3:2)</v>
      </c>
      <c r="J108" s="9" t="str">
        <f aca="false">IF(H108=0,"—",IF(H108=1,"ὁμώνυμον",IF(H108=2,"διὰ πασῶν",IF(H108=3,"διὰ πέντε",IF(H108=4,"διὰ τεσσάρων","?")))))</f>
        <v>διὰ πέντε</v>
      </c>
      <c r="K108" s="10"/>
      <c r="L108" s="14"/>
      <c r="M108" s="13"/>
    </row>
    <row r="109" customFormat="false" ht="15.75" hidden="false" customHeight="true" outlineLevel="0" collapsed="false">
      <c r="A109" s="8" t="n">
        <f aca="false">A108+1</f>
        <v>107</v>
      </c>
      <c r="B109" s="9" t="n">
        <f aca="false">MOD(4*A109^2,10)</f>
        <v>6</v>
      </c>
      <c r="C109" s="9" t="n">
        <f aca="false">(26*B109-5*B109^2)/24</f>
        <v>-1</v>
      </c>
      <c r="D109" s="9" t="n">
        <f aca="false">(A109^2+4*C109)/5</f>
        <v>2289</v>
      </c>
      <c r="E109" s="9" t="n">
        <f aca="false">MOD(D109,10)</f>
        <v>9</v>
      </c>
      <c r="F109" s="9" t="n">
        <f aca="false">2*D109</f>
        <v>4578</v>
      </c>
      <c r="G109" s="9" t="n">
        <f aca="false">MOD(F109,10)</f>
        <v>8</v>
      </c>
      <c r="H109" s="9" t="n">
        <f aca="false">G109/2</f>
        <v>4</v>
      </c>
      <c r="I109" s="9" t="str">
        <f aca="false">IF(H109=0,"—",IF(H109=1,"unison (1:1)",IF(H109=2,"octave (2:1)",IF(H109=3,"fifth (3:2)",IF(H109=4,"fourth (4:3)","?")))))</f>
        <v>fourth (4:3)</v>
      </c>
      <c r="J109" s="9" t="str">
        <f aca="false">IF(H109=0,"—",IF(H109=1,"ὁμώνυμον",IF(H109=2,"διὰ πασῶν",IF(H109=3,"διὰ πέντε",IF(H109=4,"διὰ τεσσάρων","?")))))</f>
        <v>διὰ τεσσάρων</v>
      </c>
      <c r="K109" s="10"/>
      <c r="L109" s="14"/>
      <c r="M109" s="13"/>
    </row>
    <row r="110" customFormat="false" ht="15.75" hidden="false" customHeight="true" outlineLevel="0" collapsed="false">
      <c r="A110" s="8" t="n">
        <f aca="false">A109+1</f>
        <v>108</v>
      </c>
      <c r="B110" s="9" t="n">
        <f aca="false">MOD(4*A110^2,10)</f>
        <v>6</v>
      </c>
      <c r="C110" s="9" t="n">
        <f aca="false">(26*B110-5*B110^2)/24</f>
        <v>-1</v>
      </c>
      <c r="D110" s="9" t="n">
        <f aca="false">(A110^2+4*C110)/5</f>
        <v>2332</v>
      </c>
      <c r="E110" s="9" t="n">
        <f aca="false">MOD(D110,10)</f>
        <v>2</v>
      </c>
      <c r="F110" s="9" t="n">
        <f aca="false">2*D110</f>
        <v>4664</v>
      </c>
      <c r="G110" s="9" t="n">
        <f aca="false">MOD(F110,10)</f>
        <v>4</v>
      </c>
      <c r="H110" s="9" t="n">
        <f aca="false">G110/2</f>
        <v>2</v>
      </c>
      <c r="I110" s="9" t="str">
        <f aca="false">IF(H110=0,"—",IF(H110=1,"unison (1:1)",IF(H110=2,"octave (2:1)",IF(H110=3,"fifth (3:2)",IF(H110=4,"fourth (4:3)","?")))))</f>
        <v>octave (2:1)</v>
      </c>
      <c r="J110" s="9" t="str">
        <f aca="false">IF(H110=0,"—",IF(H110=1,"ὁμώνυμον",IF(H110=2,"διὰ πασῶν",IF(H110=3,"διὰ πέντε",IF(H110=4,"διὰ τεσσάρων","?")))))</f>
        <v>διὰ πασῶν</v>
      </c>
      <c r="K110" s="10"/>
      <c r="L110" s="14"/>
      <c r="M110" s="13"/>
    </row>
    <row r="111" customFormat="false" ht="15.75" hidden="false" customHeight="true" outlineLevel="0" collapsed="false">
      <c r="A111" s="8" t="n">
        <f aca="false">A110+1</f>
        <v>109</v>
      </c>
      <c r="B111" s="9" t="n">
        <f aca="false">MOD(4*A111^2,10)</f>
        <v>4</v>
      </c>
      <c r="C111" s="9" t="n">
        <f aca="false">(26*B111-5*B111^2)/24</f>
        <v>1</v>
      </c>
      <c r="D111" s="9" t="n">
        <f aca="false">(A111^2+4*C111)/5</f>
        <v>2377</v>
      </c>
      <c r="E111" s="9" t="n">
        <f aca="false">MOD(D111,10)</f>
        <v>7</v>
      </c>
      <c r="F111" s="9" t="n">
        <f aca="false">2*D111</f>
        <v>4754</v>
      </c>
      <c r="G111" s="9" t="n">
        <f aca="false">MOD(F111,10)</f>
        <v>4</v>
      </c>
      <c r="H111" s="9" t="n">
        <f aca="false">G111/2</f>
        <v>2</v>
      </c>
      <c r="I111" s="9" t="str">
        <f aca="false">IF(H111=0,"—",IF(H111=1,"unison (1:1)",IF(H111=2,"octave (2:1)",IF(H111=3,"fifth (3:2)",IF(H111=4,"fourth (4:3)","?")))))</f>
        <v>octave (2:1)</v>
      </c>
      <c r="J111" s="9" t="str">
        <f aca="false">IF(H111=0,"—",IF(H111=1,"ὁμώνυμον",IF(H111=2,"διὰ πασῶν",IF(H111=3,"διὰ πέντε",IF(H111=4,"διὰ τεσσάρων","?")))))</f>
        <v>διὰ πασῶν</v>
      </c>
      <c r="K111" s="10"/>
      <c r="L111" s="14"/>
      <c r="M111" s="13"/>
    </row>
    <row r="112" customFormat="false" ht="15.75" hidden="false" customHeight="true" outlineLevel="0" collapsed="false">
      <c r="A112" s="8" t="n">
        <f aca="false">A111+1</f>
        <v>110</v>
      </c>
      <c r="B112" s="9" t="n">
        <f aca="false">MOD(4*A112^2,10)</f>
        <v>0</v>
      </c>
      <c r="C112" s="9" t="n">
        <f aca="false">(26*B112-5*B112^2)/24</f>
        <v>0</v>
      </c>
      <c r="D112" s="9" t="n">
        <f aca="false">(A112^2+4*C112)/5</f>
        <v>2420</v>
      </c>
      <c r="E112" s="9" t="n">
        <f aca="false">MOD(D112,10)</f>
        <v>0</v>
      </c>
      <c r="F112" s="9" t="n">
        <f aca="false">2*D112</f>
        <v>4840</v>
      </c>
      <c r="G112" s="9" t="n">
        <f aca="false">MOD(F112,10)</f>
        <v>0</v>
      </c>
      <c r="H112" s="9" t="n">
        <f aca="false">G112/2</f>
        <v>0</v>
      </c>
      <c r="I112" s="9" t="str">
        <f aca="false">IF(H112=0,"—",IF(H112=1,"unison (1:1)",IF(H112=2,"octave (2:1)",IF(H112=3,"fifth (3:2)",IF(H112=4,"fourth (4:3)","?")))))</f>
        <v>—</v>
      </c>
      <c r="J112" s="9" t="str">
        <f aca="false">IF(H112=0,"—",IF(H112=1,"ὁμώνυμον",IF(H112=2,"διὰ πασῶν",IF(H112=3,"διὰ πέντε",IF(H112=4,"διὰ τεσσάρων","?")))))</f>
        <v>—</v>
      </c>
      <c r="K112" s="10"/>
      <c r="L112" s="14"/>
      <c r="M112" s="13"/>
    </row>
    <row r="113" customFormat="false" ht="15.75" hidden="false" customHeight="true" outlineLevel="0" collapsed="false">
      <c r="A113" s="8" t="n">
        <f aca="false">A112+1</f>
        <v>111</v>
      </c>
      <c r="B113" s="9" t="n">
        <f aca="false">MOD(4*A113^2,10)</f>
        <v>4</v>
      </c>
      <c r="C113" s="9" t="n">
        <f aca="false">(26*B113-5*B113^2)/24</f>
        <v>1</v>
      </c>
      <c r="D113" s="9" t="n">
        <f aca="false">(A113^2+4*C113)/5</f>
        <v>2465</v>
      </c>
      <c r="E113" s="9" t="n">
        <f aca="false">MOD(D113,10)</f>
        <v>5</v>
      </c>
      <c r="F113" s="9" t="n">
        <f aca="false">2*D113</f>
        <v>4930</v>
      </c>
      <c r="G113" s="9" t="n">
        <f aca="false">MOD(F113,10)</f>
        <v>0</v>
      </c>
      <c r="H113" s="9" t="n">
        <f aca="false">G113/2</f>
        <v>0</v>
      </c>
      <c r="I113" s="9" t="str">
        <f aca="false">IF(H113=0,"—",IF(H113=1,"unison (1:1)",IF(H113=2,"octave (2:1)",IF(H113=3,"fifth (3:2)",IF(H113=4,"fourth (4:3)","?")))))</f>
        <v>—</v>
      </c>
      <c r="J113" s="9" t="str">
        <f aca="false">IF(H113=0,"—",IF(H113=1,"ὁμώνυμον",IF(H113=2,"διὰ πασῶν",IF(H113=3,"διὰ πέντε",IF(H113=4,"διὰ τεσσάρων","?")))))</f>
        <v>—</v>
      </c>
      <c r="K113" s="10"/>
      <c r="L113" s="14"/>
      <c r="M113" s="13"/>
    </row>
    <row r="114" customFormat="false" ht="15.75" hidden="false" customHeight="true" outlineLevel="0" collapsed="false">
      <c r="A114" s="8" t="n">
        <f aca="false">A113+1</f>
        <v>112</v>
      </c>
      <c r="B114" s="9" t="n">
        <f aca="false">MOD(4*A114^2,10)</f>
        <v>6</v>
      </c>
      <c r="C114" s="9" t="n">
        <f aca="false">(26*B114-5*B114^2)/24</f>
        <v>-1</v>
      </c>
      <c r="D114" s="9" t="n">
        <f aca="false">(A114^2+4*C114)/5</f>
        <v>2508</v>
      </c>
      <c r="E114" s="9" t="n">
        <f aca="false">MOD(D114,10)</f>
        <v>8</v>
      </c>
      <c r="F114" s="9" t="n">
        <f aca="false">2*D114</f>
        <v>5016</v>
      </c>
      <c r="G114" s="9" t="n">
        <f aca="false">MOD(F114,10)</f>
        <v>6</v>
      </c>
      <c r="H114" s="9" t="n">
        <f aca="false">G114/2</f>
        <v>3</v>
      </c>
      <c r="I114" s="9" t="str">
        <f aca="false">IF(H114=0,"—",IF(H114=1,"unison (1:1)",IF(H114=2,"octave (2:1)",IF(H114=3,"fifth (3:2)",IF(H114=4,"fourth (4:3)","?")))))</f>
        <v>fifth (3:2)</v>
      </c>
      <c r="J114" s="9" t="str">
        <f aca="false">IF(H114=0,"—",IF(H114=1,"ὁμώνυμον",IF(H114=2,"διὰ πασῶν",IF(H114=3,"διὰ πέντε",IF(H114=4,"διὰ τεσσάρων","?")))))</f>
        <v>διὰ πέντε</v>
      </c>
      <c r="K114" s="10"/>
      <c r="L114" s="14"/>
      <c r="M114" s="13"/>
    </row>
    <row r="115" customFormat="false" ht="15.75" hidden="false" customHeight="true" outlineLevel="0" collapsed="false">
      <c r="A115" s="8" t="n">
        <f aca="false">A114+1</f>
        <v>113</v>
      </c>
      <c r="B115" s="9" t="n">
        <f aca="false">MOD(4*A115^2,10)</f>
        <v>6</v>
      </c>
      <c r="C115" s="9" t="n">
        <f aca="false">(26*B115-5*B115^2)/24</f>
        <v>-1</v>
      </c>
      <c r="D115" s="9" t="n">
        <f aca="false">(A115^2+4*C115)/5</f>
        <v>2553</v>
      </c>
      <c r="E115" s="9" t="n">
        <f aca="false">MOD(D115,10)</f>
        <v>3</v>
      </c>
      <c r="F115" s="9" t="n">
        <f aca="false">2*D115</f>
        <v>5106</v>
      </c>
      <c r="G115" s="9" t="n">
        <f aca="false">MOD(F115,10)</f>
        <v>6</v>
      </c>
      <c r="H115" s="9" t="n">
        <f aca="false">G115/2</f>
        <v>3</v>
      </c>
      <c r="I115" s="9" t="str">
        <f aca="false">IF(H115=0,"—",IF(H115=1,"unison (1:1)",IF(H115=2,"octave (2:1)",IF(H115=3,"fifth (3:2)",IF(H115=4,"fourth (4:3)","?")))))</f>
        <v>fifth (3:2)</v>
      </c>
      <c r="J115" s="9" t="str">
        <f aca="false">IF(H115=0,"—",IF(H115=1,"ὁμώνυμον",IF(H115=2,"διὰ πασῶν",IF(H115=3,"διὰ πέντε",IF(H115=4,"διὰ τεσσάρων","?")))))</f>
        <v>διὰ πέντε</v>
      </c>
      <c r="K115" s="10"/>
      <c r="L115" s="14"/>
      <c r="M115" s="13"/>
    </row>
    <row r="116" customFormat="false" ht="15.75" hidden="false" customHeight="true" outlineLevel="0" collapsed="false">
      <c r="A116" s="8" t="n">
        <f aca="false">A115+1</f>
        <v>114</v>
      </c>
      <c r="B116" s="9" t="n">
        <f aca="false">MOD(4*A116^2,10)</f>
        <v>4</v>
      </c>
      <c r="C116" s="9" t="n">
        <f aca="false">(26*B116-5*B116^2)/24</f>
        <v>1</v>
      </c>
      <c r="D116" s="9" t="n">
        <f aca="false">(A116^2+4*C116)/5</f>
        <v>2600</v>
      </c>
      <c r="E116" s="9" t="n">
        <f aca="false">MOD(D116,10)</f>
        <v>0</v>
      </c>
      <c r="F116" s="9" t="n">
        <f aca="false">2*D116</f>
        <v>5200</v>
      </c>
      <c r="G116" s="9" t="n">
        <f aca="false">MOD(F116,10)</f>
        <v>0</v>
      </c>
      <c r="H116" s="9" t="n">
        <f aca="false">G116/2</f>
        <v>0</v>
      </c>
      <c r="I116" s="9" t="str">
        <f aca="false">IF(H116=0,"—",IF(H116=1,"unison (1:1)",IF(H116=2,"octave (2:1)",IF(H116=3,"fifth (3:2)",IF(H116=4,"fourth (4:3)","?")))))</f>
        <v>—</v>
      </c>
      <c r="J116" s="9" t="str">
        <f aca="false">IF(H116=0,"—",IF(H116=1,"ὁμώνυμον",IF(H116=2,"διὰ πασῶν",IF(H116=3,"διὰ πέντε",IF(H116=4,"διὰ τεσσάρων","?")))))</f>
        <v>—</v>
      </c>
      <c r="K116" s="10"/>
      <c r="L116" s="14"/>
      <c r="M116" s="13"/>
    </row>
    <row r="117" customFormat="false" ht="15.75" hidden="false" customHeight="true" outlineLevel="0" collapsed="false">
      <c r="A117" s="8" t="n">
        <f aca="false">A116+1</f>
        <v>115</v>
      </c>
      <c r="B117" s="9" t="n">
        <f aca="false">MOD(4*A117^2,10)</f>
        <v>0</v>
      </c>
      <c r="C117" s="9" t="n">
        <f aca="false">(26*B117-5*B117^2)/24</f>
        <v>0</v>
      </c>
      <c r="D117" s="9" t="n">
        <f aca="false">(A117^2+4*C117)/5</f>
        <v>2645</v>
      </c>
      <c r="E117" s="9" t="n">
        <f aca="false">MOD(D117,10)</f>
        <v>5</v>
      </c>
      <c r="F117" s="9" t="n">
        <f aca="false">2*D117</f>
        <v>5290</v>
      </c>
      <c r="G117" s="9" t="n">
        <f aca="false">MOD(F117,10)</f>
        <v>0</v>
      </c>
      <c r="H117" s="9" t="n">
        <f aca="false">G117/2</f>
        <v>0</v>
      </c>
      <c r="I117" s="9" t="str">
        <f aca="false">IF(H117=0,"—",IF(H117=1,"unison (1:1)",IF(H117=2,"octave (2:1)",IF(H117=3,"fifth (3:2)",IF(H117=4,"fourth (4:3)","?")))))</f>
        <v>—</v>
      </c>
      <c r="J117" s="9" t="str">
        <f aca="false">IF(H117=0,"—",IF(H117=1,"ὁμώνυμον",IF(H117=2,"διὰ πασῶν",IF(H117=3,"διὰ πέντε",IF(H117=4,"διὰ τεσσάρων","?")))))</f>
        <v>—</v>
      </c>
      <c r="K117" s="10"/>
      <c r="L117" s="14"/>
      <c r="M117" s="13"/>
    </row>
    <row r="118" customFormat="false" ht="15.75" hidden="false" customHeight="true" outlineLevel="0" collapsed="false">
      <c r="A118" s="8" t="n">
        <f aca="false">A117+1</f>
        <v>116</v>
      </c>
      <c r="B118" s="9" t="n">
        <f aca="false">MOD(4*A118^2,10)</f>
        <v>4</v>
      </c>
      <c r="C118" s="9" t="n">
        <f aca="false">(26*B118-5*B118^2)/24</f>
        <v>1</v>
      </c>
      <c r="D118" s="9" t="n">
        <f aca="false">(A118^2+4*C118)/5</f>
        <v>2692</v>
      </c>
      <c r="E118" s="9" t="n">
        <f aca="false">MOD(D118,10)</f>
        <v>2</v>
      </c>
      <c r="F118" s="9" t="n">
        <f aca="false">2*D118</f>
        <v>5384</v>
      </c>
      <c r="G118" s="9" t="n">
        <f aca="false">MOD(F118,10)</f>
        <v>4</v>
      </c>
      <c r="H118" s="9" t="n">
        <f aca="false">G118/2</f>
        <v>2</v>
      </c>
      <c r="I118" s="9" t="str">
        <f aca="false">IF(H118=0,"—",IF(H118=1,"unison (1:1)",IF(H118=2,"octave (2:1)",IF(H118=3,"fifth (3:2)",IF(H118=4,"fourth (4:3)","?")))))</f>
        <v>octave (2:1)</v>
      </c>
      <c r="J118" s="9" t="str">
        <f aca="false">IF(H118=0,"—",IF(H118=1,"ὁμώνυμον",IF(H118=2,"διὰ πασῶν",IF(H118=3,"διὰ πέντε",IF(H118=4,"διὰ τεσσάρων","?")))))</f>
        <v>διὰ πασῶν</v>
      </c>
      <c r="K118" s="10"/>
      <c r="L118" s="14"/>
      <c r="M118" s="13"/>
    </row>
    <row r="119" customFormat="false" ht="15.75" hidden="false" customHeight="true" outlineLevel="0" collapsed="false">
      <c r="A119" s="8" t="n">
        <f aca="false">A118+1</f>
        <v>117</v>
      </c>
      <c r="B119" s="9" t="n">
        <f aca="false">MOD(4*A119^2,10)</f>
        <v>6</v>
      </c>
      <c r="C119" s="9" t="n">
        <f aca="false">(26*B119-5*B119^2)/24</f>
        <v>-1</v>
      </c>
      <c r="D119" s="9" t="n">
        <f aca="false">(A119^2+4*C119)/5</f>
        <v>2737</v>
      </c>
      <c r="E119" s="9" t="n">
        <f aca="false">MOD(D119,10)</f>
        <v>7</v>
      </c>
      <c r="F119" s="9" t="n">
        <f aca="false">2*D119</f>
        <v>5474</v>
      </c>
      <c r="G119" s="9" t="n">
        <f aca="false">MOD(F119,10)</f>
        <v>4</v>
      </c>
      <c r="H119" s="9" t="n">
        <f aca="false">G119/2</f>
        <v>2</v>
      </c>
      <c r="I119" s="9" t="str">
        <f aca="false">IF(H119=0,"—",IF(H119=1,"unison (1:1)",IF(H119=2,"octave (2:1)",IF(H119=3,"fifth (3:2)",IF(H119=4,"fourth (4:3)","?")))))</f>
        <v>octave (2:1)</v>
      </c>
      <c r="J119" s="9" t="str">
        <f aca="false">IF(H119=0,"—",IF(H119=1,"ὁμώνυμον",IF(H119=2,"διὰ πασῶν",IF(H119=3,"διὰ πέντε",IF(H119=4,"διὰ τεσσάρων","?")))))</f>
        <v>διὰ πασῶν</v>
      </c>
      <c r="K119" s="10"/>
      <c r="L119" s="14"/>
      <c r="M119" s="13"/>
    </row>
    <row r="120" customFormat="false" ht="15.75" hidden="false" customHeight="true" outlineLevel="0" collapsed="false">
      <c r="A120" s="8" t="n">
        <f aca="false">A119+1</f>
        <v>118</v>
      </c>
      <c r="B120" s="9" t="n">
        <f aca="false">MOD(4*A120^2,10)</f>
        <v>6</v>
      </c>
      <c r="C120" s="9" t="n">
        <f aca="false">(26*B120-5*B120^2)/24</f>
        <v>-1</v>
      </c>
      <c r="D120" s="9" t="n">
        <f aca="false">(A120^2+4*C120)/5</f>
        <v>2784</v>
      </c>
      <c r="E120" s="9" t="n">
        <f aca="false">MOD(D120,10)</f>
        <v>4</v>
      </c>
      <c r="F120" s="9" t="n">
        <f aca="false">2*D120</f>
        <v>5568</v>
      </c>
      <c r="G120" s="9" t="n">
        <f aca="false">MOD(F120,10)</f>
        <v>8</v>
      </c>
      <c r="H120" s="9" t="n">
        <f aca="false">G120/2</f>
        <v>4</v>
      </c>
      <c r="I120" s="9" t="str">
        <f aca="false">IF(H120=0,"—",IF(H120=1,"unison (1:1)",IF(H120=2,"octave (2:1)",IF(H120=3,"fifth (3:2)",IF(H120=4,"fourth (4:3)","?")))))</f>
        <v>fourth (4:3)</v>
      </c>
      <c r="J120" s="9" t="str">
        <f aca="false">IF(H120=0,"—",IF(H120=1,"ὁμώνυμον",IF(H120=2,"διὰ πασῶν",IF(H120=3,"διὰ πέντε",IF(H120=4,"διὰ τεσσάρων","?")))))</f>
        <v>διὰ τεσσάρων</v>
      </c>
      <c r="K120" s="10"/>
      <c r="L120" s="14"/>
      <c r="M120" s="13"/>
    </row>
    <row r="121" customFormat="false" ht="15.75" hidden="false" customHeight="true" outlineLevel="0" collapsed="false">
      <c r="A121" s="8" t="n">
        <f aca="false">A120+1</f>
        <v>119</v>
      </c>
      <c r="B121" s="9" t="n">
        <f aca="false">MOD(4*A121^2,10)</f>
        <v>4</v>
      </c>
      <c r="C121" s="9" t="n">
        <f aca="false">(26*B121-5*B121^2)/24</f>
        <v>1</v>
      </c>
      <c r="D121" s="9" t="n">
        <f aca="false">(A121^2+4*C121)/5</f>
        <v>2833</v>
      </c>
      <c r="E121" s="9" t="n">
        <f aca="false">MOD(D121,10)</f>
        <v>3</v>
      </c>
      <c r="F121" s="9" t="n">
        <f aca="false">2*D121</f>
        <v>5666</v>
      </c>
      <c r="G121" s="9" t="n">
        <f aca="false">MOD(F121,10)</f>
        <v>6</v>
      </c>
      <c r="H121" s="9" t="n">
        <f aca="false">G121/2</f>
        <v>3</v>
      </c>
      <c r="I121" s="9" t="str">
        <f aca="false">IF(H121=0,"—",IF(H121=1,"unison (1:1)",IF(H121=2,"octave (2:1)",IF(H121=3,"fifth (3:2)",IF(H121=4,"fourth (4:3)","?")))))</f>
        <v>fifth (3:2)</v>
      </c>
      <c r="J121" s="9" t="str">
        <f aca="false">IF(H121=0,"—",IF(H121=1,"ὁμώνυμον",IF(H121=2,"διὰ πασῶν",IF(H121=3,"διὰ πέντε",IF(H121=4,"διὰ τεσσάρων","?")))))</f>
        <v>διὰ πέντε</v>
      </c>
      <c r="K121" s="10"/>
      <c r="L121" s="14"/>
      <c r="M121" s="13"/>
    </row>
    <row r="122" customFormat="false" ht="15.75" hidden="false" customHeight="true" outlineLevel="0" collapsed="false">
      <c r="A122" s="8" t="n">
        <f aca="false">A121+1</f>
        <v>120</v>
      </c>
      <c r="B122" s="9" t="n">
        <f aca="false">MOD(4*A122^2,10)</f>
        <v>0</v>
      </c>
      <c r="C122" s="9" t="n">
        <f aca="false">(26*B122-5*B122^2)/24</f>
        <v>0</v>
      </c>
      <c r="D122" s="9" t="n">
        <f aca="false">(A122^2+4*C122)/5</f>
        <v>2880</v>
      </c>
      <c r="E122" s="9" t="n">
        <f aca="false">MOD(D122,10)</f>
        <v>0</v>
      </c>
      <c r="F122" s="9" t="n">
        <f aca="false">2*D122</f>
        <v>5760</v>
      </c>
      <c r="G122" s="9" t="n">
        <f aca="false">MOD(F122,10)</f>
        <v>0</v>
      </c>
      <c r="H122" s="9" t="n">
        <f aca="false">G122/2</f>
        <v>0</v>
      </c>
      <c r="I122" s="9" t="str">
        <f aca="false">IF(H122=0,"—",IF(H122=1,"unison (1:1)",IF(H122=2,"octave (2:1)",IF(H122=3,"fifth (3:2)",IF(H122=4,"fourth (4:3)","?")))))</f>
        <v>—</v>
      </c>
      <c r="J122" s="9" t="str">
        <f aca="false">IF(H122=0,"—",IF(H122=1,"ὁμώνυμον",IF(H122=2,"διὰ πασῶν",IF(H122=3,"διὰ πέντε",IF(H122=4,"διὰ τεσσάρων","?")))))</f>
        <v>—</v>
      </c>
      <c r="K122" s="10"/>
      <c r="L122" s="14"/>
      <c r="M122" s="13"/>
    </row>
    <row r="123" customFormat="false" ht="15.75" hidden="false" customHeight="true" outlineLevel="0" collapsed="false">
      <c r="A123" s="8" t="n">
        <f aca="false">A122+1</f>
        <v>121</v>
      </c>
      <c r="B123" s="9" t="n">
        <f aca="false">MOD(4*A123^2,10)</f>
        <v>4</v>
      </c>
      <c r="C123" s="9" t="n">
        <f aca="false">(26*B123-5*B123^2)/24</f>
        <v>1</v>
      </c>
      <c r="D123" s="9" t="n">
        <f aca="false">(A123^2+4*C123)/5</f>
        <v>2929</v>
      </c>
      <c r="E123" s="9" t="n">
        <f aca="false">MOD(D123,10)</f>
        <v>9</v>
      </c>
      <c r="F123" s="9" t="n">
        <f aca="false">2*D123</f>
        <v>5858</v>
      </c>
      <c r="G123" s="9" t="n">
        <f aca="false">MOD(F123,10)</f>
        <v>8</v>
      </c>
      <c r="H123" s="9" t="n">
        <f aca="false">G123/2</f>
        <v>4</v>
      </c>
      <c r="I123" s="9" t="str">
        <f aca="false">IF(H123=0,"—",IF(H123=1,"unison (1:1)",IF(H123=2,"octave (2:1)",IF(H123=3,"fifth (3:2)",IF(H123=4,"fourth (4:3)","?")))))</f>
        <v>fourth (4:3)</v>
      </c>
      <c r="J123" s="9" t="str">
        <f aca="false">IF(H123=0,"—",IF(H123=1,"ὁμώνυμον",IF(H123=2,"διὰ πασῶν",IF(H123=3,"διὰ πέντε",IF(H123=4,"διὰ τεσσάρων","?")))))</f>
        <v>διὰ τεσσάρων</v>
      </c>
      <c r="K123" s="10"/>
      <c r="L123" s="14"/>
      <c r="M123" s="13"/>
    </row>
    <row r="124" customFormat="false" ht="15.75" hidden="false" customHeight="true" outlineLevel="0" collapsed="false">
      <c r="A124" s="8" t="n">
        <f aca="false">A123+1</f>
        <v>122</v>
      </c>
      <c r="B124" s="9" t="n">
        <f aca="false">MOD(4*A124^2,10)</f>
        <v>6</v>
      </c>
      <c r="C124" s="9" t="n">
        <f aca="false">(26*B124-5*B124^2)/24</f>
        <v>-1</v>
      </c>
      <c r="D124" s="9" t="n">
        <f aca="false">(A124^2+4*C124)/5</f>
        <v>2976</v>
      </c>
      <c r="E124" s="9" t="n">
        <f aca="false">MOD(D124,10)</f>
        <v>6</v>
      </c>
      <c r="F124" s="9" t="n">
        <f aca="false">2*D124</f>
        <v>5952</v>
      </c>
      <c r="G124" s="9" t="n">
        <f aca="false">MOD(F124,10)</f>
        <v>2</v>
      </c>
      <c r="H124" s="9" t="n">
        <f aca="false">G124/2</f>
        <v>1</v>
      </c>
      <c r="I124" s="9" t="str">
        <f aca="false">IF(H124=0,"—",IF(H124=1,"unison (1:1)",IF(H124=2,"octave (2:1)",IF(H124=3,"fifth (3:2)",IF(H124=4,"fourth (4:3)","?")))))</f>
        <v>unison (1:1)</v>
      </c>
      <c r="J124" s="9" t="str">
        <f aca="false">IF(H124=0,"—",IF(H124=1,"ὁμώνυμον",IF(H124=2,"διὰ πασῶν",IF(H124=3,"διὰ πέντε",IF(H124=4,"διὰ τεσσάρων","?")))))</f>
        <v>ὁμώνυμον</v>
      </c>
      <c r="K124" s="10"/>
      <c r="L124" s="14"/>
      <c r="M124" s="13"/>
    </row>
    <row r="125" customFormat="false" ht="15.75" hidden="false" customHeight="true" outlineLevel="0" collapsed="false">
      <c r="A125" s="8" t="n">
        <f aca="false">A124+1</f>
        <v>123</v>
      </c>
      <c r="B125" s="9" t="n">
        <f aca="false">MOD(4*A125^2,10)</f>
        <v>6</v>
      </c>
      <c r="C125" s="9" t="n">
        <f aca="false">(26*B125-5*B125^2)/24</f>
        <v>-1</v>
      </c>
      <c r="D125" s="9" t="n">
        <f aca="false">(A125^2+4*C125)/5</f>
        <v>3025</v>
      </c>
      <c r="E125" s="9" t="n">
        <f aca="false">MOD(D125,10)</f>
        <v>5</v>
      </c>
      <c r="F125" s="9" t="n">
        <f aca="false">2*D125</f>
        <v>6050</v>
      </c>
      <c r="G125" s="9" t="n">
        <f aca="false">MOD(F125,10)</f>
        <v>0</v>
      </c>
      <c r="H125" s="9" t="n">
        <f aca="false">G125/2</f>
        <v>0</v>
      </c>
      <c r="I125" s="9" t="str">
        <f aca="false">IF(H125=0,"—",IF(H125=1,"unison (1:1)",IF(H125=2,"octave (2:1)",IF(H125=3,"fifth (3:2)",IF(H125=4,"fourth (4:3)","?")))))</f>
        <v>—</v>
      </c>
      <c r="J125" s="9" t="str">
        <f aca="false">IF(H125=0,"—",IF(H125=1,"ὁμώνυμον",IF(H125=2,"διὰ πασῶν",IF(H125=3,"διὰ πέντε",IF(H125=4,"διὰ τεσσάρων","?")))))</f>
        <v>—</v>
      </c>
      <c r="K125" s="10"/>
      <c r="L125" s="14"/>
      <c r="M125" s="13"/>
    </row>
    <row r="126" customFormat="false" ht="15.75" hidden="false" customHeight="true" outlineLevel="0" collapsed="false">
      <c r="A126" s="8" t="n">
        <f aca="false">A125+1</f>
        <v>124</v>
      </c>
      <c r="B126" s="9" t="n">
        <f aca="false">MOD(4*A126^2,10)</f>
        <v>4</v>
      </c>
      <c r="C126" s="9" t="n">
        <f aca="false">(26*B126-5*B126^2)/24</f>
        <v>1</v>
      </c>
      <c r="D126" s="9" t="n">
        <f aca="false">(A126^2+4*C126)/5</f>
        <v>3076</v>
      </c>
      <c r="E126" s="9" t="n">
        <f aca="false">MOD(D126,10)</f>
        <v>6</v>
      </c>
      <c r="F126" s="9" t="n">
        <f aca="false">2*D126</f>
        <v>6152</v>
      </c>
      <c r="G126" s="9" t="n">
        <f aca="false">MOD(F126,10)</f>
        <v>2</v>
      </c>
      <c r="H126" s="9" t="n">
        <f aca="false">G126/2</f>
        <v>1</v>
      </c>
      <c r="I126" s="9" t="str">
        <f aca="false">IF(H126=0,"—",IF(H126=1,"unison (1:1)",IF(H126=2,"octave (2:1)",IF(H126=3,"fifth (3:2)",IF(H126=4,"fourth (4:3)","?")))))</f>
        <v>unison (1:1)</v>
      </c>
      <c r="J126" s="9" t="str">
        <f aca="false">IF(H126=0,"—",IF(H126=1,"ὁμώνυμον",IF(H126=2,"διὰ πασῶν",IF(H126=3,"διὰ πέντε",IF(H126=4,"διὰ τεσσάρων","?")))))</f>
        <v>ὁμώνυμον</v>
      </c>
      <c r="K126" s="10"/>
      <c r="L126" s="14"/>
      <c r="M126" s="13"/>
    </row>
    <row r="127" customFormat="false" ht="15.75" hidden="false" customHeight="true" outlineLevel="0" collapsed="false">
      <c r="A127" s="8" t="n">
        <f aca="false">A126+1</f>
        <v>125</v>
      </c>
      <c r="B127" s="9" t="n">
        <f aca="false">MOD(4*A127^2,10)</f>
        <v>0</v>
      </c>
      <c r="C127" s="9" t="n">
        <f aca="false">(26*B127-5*B127^2)/24</f>
        <v>0</v>
      </c>
      <c r="D127" s="9" t="n">
        <f aca="false">(A127^2+4*C127)/5</f>
        <v>3125</v>
      </c>
      <c r="E127" s="9" t="n">
        <f aca="false">MOD(D127,10)</f>
        <v>5</v>
      </c>
      <c r="F127" s="9" t="n">
        <f aca="false">2*D127</f>
        <v>6250</v>
      </c>
      <c r="G127" s="9" t="n">
        <f aca="false">MOD(F127,10)</f>
        <v>0</v>
      </c>
      <c r="H127" s="9" t="n">
        <f aca="false">G127/2</f>
        <v>0</v>
      </c>
      <c r="I127" s="9" t="str">
        <f aca="false">IF(H127=0,"—",IF(H127=1,"unison (1:1)",IF(H127=2,"octave (2:1)",IF(H127=3,"fifth (3:2)",IF(H127=4,"fourth (4:3)","?")))))</f>
        <v>—</v>
      </c>
      <c r="J127" s="9" t="str">
        <f aca="false">IF(H127=0,"—",IF(H127=1,"ὁμώνυμον",IF(H127=2,"διὰ πασῶν",IF(H127=3,"διὰ πέντε",IF(H127=4,"διὰ τεσσάρων","?")))))</f>
        <v>—</v>
      </c>
      <c r="K127" s="10"/>
      <c r="L127" s="14"/>
      <c r="M127" s="13"/>
    </row>
    <row r="128" customFormat="false" ht="15.75" hidden="false" customHeight="true" outlineLevel="0" collapsed="false">
      <c r="A128" s="8" t="n">
        <f aca="false">A127+1</f>
        <v>126</v>
      </c>
      <c r="B128" s="9" t="n">
        <f aca="false">MOD(4*A128^2,10)</f>
        <v>4</v>
      </c>
      <c r="C128" s="9" t="n">
        <f aca="false">(26*B128-5*B128^2)/24</f>
        <v>1</v>
      </c>
      <c r="D128" s="9" t="n">
        <f aca="false">(A128^2+4*C128)/5</f>
        <v>3176</v>
      </c>
      <c r="E128" s="9" t="n">
        <f aca="false">MOD(D128,10)</f>
        <v>6</v>
      </c>
      <c r="F128" s="9" t="n">
        <f aca="false">2*D128</f>
        <v>6352</v>
      </c>
      <c r="G128" s="9" t="n">
        <f aca="false">MOD(F128,10)</f>
        <v>2</v>
      </c>
      <c r="H128" s="9" t="n">
        <f aca="false">G128/2</f>
        <v>1</v>
      </c>
      <c r="I128" s="9" t="str">
        <f aca="false">IF(H128=0,"—",IF(H128=1,"unison (1:1)",IF(H128=2,"octave (2:1)",IF(H128=3,"fifth (3:2)",IF(H128=4,"fourth (4:3)","?")))))</f>
        <v>unison (1:1)</v>
      </c>
      <c r="J128" s="9" t="str">
        <f aca="false">IF(H128=0,"—",IF(H128=1,"ὁμώνυμον",IF(H128=2,"διὰ πασῶν",IF(H128=3,"διὰ πέντε",IF(H128=4,"διὰ τεσσάρων","?")))))</f>
        <v>ὁμώνυμον</v>
      </c>
      <c r="K128" s="10"/>
      <c r="L128" s="14"/>
      <c r="M128" s="13"/>
    </row>
    <row r="129" customFormat="false" ht="15.75" hidden="false" customHeight="true" outlineLevel="0" collapsed="false">
      <c r="A129" s="8" t="n">
        <f aca="false">A128+1</f>
        <v>127</v>
      </c>
      <c r="B129" s="9" t="n">
        <f aca="false">MOD(4*A129^2,10)</f>
        <v>6</v>
      </c>
      <c r="C129" s="9" t="n">
        <f aca="false">(26*B129-5*B129^2)/24</f>
        <v>-1</v>
      </c>
      <c r="D129" s="9" t="n">
        <f aca="false">(A129^2+4*C129)/5</f>
        <v>3225</v>
      </c>
      <c r="E129" s="9" t="n">
        <f aca="false">MOD(D129,10)</f>
        <v>5</v>
      </c>
      <c r="F129" s="9" t="n">
        <f aca="false">2*D129</f>
        <v>6450</v>
      </c>
      <c r="G129" s="9" t="n">
        <f aca="false">MOD(F129,10)</f>
        <v>0</v>
      </c>
      <c r="H129" s="9" t="n">
        <f aca="false">G129/2</f>
        <v>0</v>
      </c>
      <c r="I129" s="9" t="str">
        <f aca="false">IF(H129=0,"—",IF(H129=1,"unison (1:1)",IF(H129=2,"octave (2:1)",IF(H129=3,"fifth (3:2)",IF(H129=4,"fourth (4:3)","?")))))</f>
        <v>—</v>
      </c>
      <c r="J129" s="9" t="str">
        <f aca="false">IF(H129=0,"—",IF(H129=1,"ὁμώνυμον",IF(H129=2,"διὰ πασῶν",IF(H129=3,"διὰ πέντε",IF(H129=4,"διὰ τεσσάρων","?")))))</f>
        <v>—</v>
      </c>
      <c r="K129" s="10"/>
      <c r="L129" s="14"/>
      <c r="M129" s="13"/>
    </row>
    <row r="130" customFormat="false" ht="15.75" hidden="false" customHeight="true" outlineLevel="0" collapsed="false">
      <c r="A130" s="8" t="n">
        <f aca="false">A129+1</f>
        <v>128</v>
      </c>
      <c r="B130" s="9" t="n">
        <f aca="false">MOD(4*A130^2,10)</f>
        <v>6</v>
      </c>
      <c r="C130" s="9" t="n">
        <f aca="false">(26*B130-5*B130^2)/24</f>
        <v>-1</v>
      </c>
      <c r="D130" s="9" t="n">
        <f aca="false">(A130^2+4*C130)/5</f>
        <v>3276</v>
      </c>
      <c r="E130" s="9" t="n">
        <f aca="false">MOD(D130,10)</f>
        <v>6</v>
      </c>
      <c r="F130" s="9" t="n">
        <f aca="false">2*D130</f>
        <v>6552</v>
      </c>
      <c r="G130" s="9" t="n">
        <f aca="false">MOD(F130,10)</f>
        <v>2</v>
      </c>
      <c r="H130" s="9" t="n">
        <f aca="false">G130/2</f>
        <v>1</v>
      </c>
      <c r="I130" s="9" t="str">
        <f aca="false">IF(H130=0,"—",IF(H130=1,"unison (1:1)",IF(H130=2,"octave (2:1)",IF(H130=3,"fifth (3:2)",IF(H130=4,"fourth (4:3)","?")))))</f>
        <v>unison (1:1)</v>
      </c>
      <c r="J130" s="9" t="str">
        <f aca="false">IF(H130=0,"—",IF(H130=1,"ὁμώνυμον",IF(H130=2,"διὰ πασῶν",IF(H130=3,"διὰ πέντε",IF(H130=4,"διὰ τεσσάρων","?")))))</f>
        <v>ὁμώνυμον</v>
      </c>
      <c r="K130" s="10"/>
      <c r="L130" s="14"/>
      <c r="M130" s="13"/>
    </row>
    <row r="131" customFormat="false" ht="15.75" hidden="false" customHeight="true" outlineLevel="0" collapsed="false">
      <c r="A131" s="8" t="n">
        <f aca="false">A130+1</f>
        <v>129</v>
      </c>
      <c r="B131" s="9" t="n">
        <f aca="false">MOD(4*A131^2,10)</f>
        <v>4</v>
      </c>
      <c r="C131" s="9" t="n">
        <f aca="false">(26*B131-5*B131^2)/24</f>
        <v>1</v>
      </c>
      <c r="D131" s="9" t="n">
        <f aca="false">(A131^2+4*C131)/5</f>
        <v>3329</v>
      </c>
      <c r="E131" s="9" t="n">
        <f aca="false">MOD(D131,10)</f>
        <v>9</v>
      </c>
      <c r="F131" s="9" t="n">
        <f aca="false">2*D131</f>
        <v>6658</v>
      </c>
      <c r="G131" s="9" t="n">
        <f aca="false">MOD(F131,10)</f>
        <v>8</v>
      </c>
      <c r="H131" s="9" t="n">
        <f aca="false">G131/2</f>
        <v>4</v>
      </c>
      <c r="I131" s="9" t="str">
        <f aca="false">IF(H131=0,"—",IF(H131=1,"unison (1:1)",IF(H131=2,"octave (2:1)",IF(H131=3,"fifth (3:2)",IF(H131=4,"fourth (4:3)","?")))))</f>
        <v>fourth (4:3)</v>
      </c>
      <c r="J131" s="9" t="str">
        <f aca="false">IF(H131=0,"—",IF(H131=1,"ὁμώνυμον",IF(H131=2,"διὰ πασῶν",IF(H131=3,"διὰ πέντε",IF(H131=4,"διὰ τεσσάρων","?")))))</f>
        <v>διὰ τεσσάρων</v>
      </c>
      <c r="K131" s="10"/>
      <c r="L131" s="14"/>
      <c r="M131" s="13"/>
    </row>
    <row r="132" customFormat="false" ht="15.75" hidden="false" customHeight="true" outlineLevel="0" collapsed="false">
      <c r="A132" s="8" t="n">
        <f aca="false">A131+1</f>
        <v>130</v>
      </c>
      <c r="B132" s="9" t="n">
        <f aca="false">MOD(4*A132^2,10)</f>
        <v>0</v>
      </c>
      <c r="C132" s="9" t="n">
        <f aca="false">(26*B132-5*B132^2)/24</f>
        <v>0</v>
      </c>
      <c r="D132" s="9" t="n">
        <f aca="false">(A132^2+4*C132)/5</f>
        <v>3380</v>
      </c>
      <c r="E132" s="9" t="n">
        <f aca="false">MOD(D132,10)</f>
        <v>0</v>
      </c>
      <c r="F132" s="9" t="n">
        <f aca="false">2*D132</f>
        <v>6760</v>
      </c>
      <c r="G132" s="9" t="n">
        <f aca="false">MOD(F132,10)</f>
        <v>0</v>
      </c>
      <c r="H132" s="9" t="n">
        <f aca="false">G132/2</f>
        <v>0</v>
      </c>
      <c r="I132" s="9" t="str">
        <f aca="false">IF(H132=0,"—",IF(H132=1,"unison (1:1)",IF(H132=2,"octave (2:1)",IF(H132=3,"fifth (3:2)",IF(H132=4,"fourth (4:3)","?")))))</f>
        <v>—</v>
      </c>
      <c r="J132" s="9" t="str">
        <f aca="false">IF(H132=0,"—",IF(H132=1,"ὁμώνυμον",IF(H132=2,"διὰ πασῶν",IF(H132=3,"διὰ πέντε",IF(H132=4,"διὰ τεσσάρων","?")))))</f>
        <v>—</v>
      </c>
      <c r="K132" s="10"/>
      <c r="L132" s="14"/>
      <c r="M132" s="13"/>
    </row>
    <row r="133" customFormat="false" ht="15.75" hidden="false" customHeight="true" outlineLevel="0" collapsed="false">
      <c r="A133" s="8" t="n">
        <f aca="false">A132+1</f>
        <v>131</v>
      </c>
      <c r="B133" s="9" t="n">
        <f aca="false">MOD(4*A133^2,10)</f>
        <v>4</v>
      </c>
      <c r="C133" s="9" t="n">
        <f aca="false">(26*B133-5*B133^2)/24</f>
        <v>1</v>
      </c>
      <c r="D133" s="9" t="n">
        <f aca="false">(A133^2+4*C133)/5</f>
        <v>3433</v>
      </c>
      <c r="E133" s="9" t="n">
        <f aca="false">MOD(D133,10)</f>
        <v>3</v>
      </c>
      <c r="F133" s="9" t="n">
        <f aca="false">2*D133</f>
        <v>6866</v>
      </c>
      <c r="G133" s="9" t="n">
        <f aca="false">MOD(F133,10)</f>
        <v>6</v>
      </c>
      <c r="H133" s="9" t="n">
        <f aca="false">G133/2</f>
        <v>3</v>
      </c>
      <c r="I133" s="9" t="str">
        <f aca="false">IF(H133=0,"—",IF(H133=1,"unison (1:1)",IF(H133=2,"octave (2:1)",IF(H133=3,"fifth (3:2)",IF(H133=4,"fourth (4:3)","?")))))</f>
        <v>fifth (3:2)</v>
      </c>
      <c r="J133" s="9" t="str">
        <f aca="false">IF(H133=0,"—",IF(H133=1,"ὁμώνυμον",IF(H133=2,"διὰ πασῶν",IF(H133=3,"διὰ πέντε",IF(H133=4,"διὰ τεσσάρων","?")))))</f>
        <v>διὰ πέντε</v>
      </c>
      <c r="K133" s="10"/>
      <c r="L133" s="14"/>
      <c r="M133" s="13"/>
    </row>
    <row r="134" customFormat="false" ht="15.75" hidden="false" customHeight="true" outlineLevel="0" collapsed="false">
      <c r="A134" s="8" t="n">
        <f aca="false">A133+1</f>
        <v>132</v>
      </c>
      <c r="B134" s="9" t="n">
        <f aca="false">MOD(4*A134^2,10)</f>
        <v>6</v>
      </c>
      <c r="C134" s="9" t="n">
        <f aca="false">(26*B134-5*B134^2)/24</f>
        <v>-1</v>
      </c>
      <c r="D134" s="9" t="n">
        <f aca="false">(A134^2+4*C134)/5</f>
        <v>3484</v>
      </c>
      <c r="E134" s="9" t="n">
        <f aca="false">MOD(D134,10)</f>
        <v>4</v>
      </c>
      <c r="F134" s="9" t="n">
        <f aca="false">2*D134</f>
        <v>6968</v>
      </c>
      <c r="G134" s="9" t="n">
        <f aca="false">MOD(F134,10)</f>
        <v>8</v>
      </c>
      <c r="H134" s="9" t="n">
        <f aca="false">G134/2</f>
        <v>4</v>
      </c>
      <c r="I134" s="9" t="str">
        <f aca="false">IF(H134=0,"—",IF(H134=1,"unison (1:1)",IF(H134=2,"octave (2:1)",IF(H134=3,"fifth (3:2)",IF(H134=4,"fourth (4:3)","?")))))</f>
        <v>fourth (4:3)</v>
      </c>
      <c r="J134" s="9" t="str">
        <f aca="false">IF(H134=0,"—",IF(H134=1,"ὁμώνυμον",IF(H134=2,"διὰ πασῶν",IF(H134=3,"διὰ πέντε",IF(H134=4,"διὰ τεσσάρων","?")))))</f>
        <v>διὰ τεσσάρων</v>
      </c>
      <c r="K134" s="10"/>
      <c r="L134" s="14"/>
      <c r="M134" s="13"/>
    </row>
    <row r="135" customFormat="false" ht="15.75" hidden="false" customHeight="true" outlineLevel="0" collapsed="false">
      <c r="A135" s="8" t="n">
        <f aca="false">A134+1</f>
        <v>133</v>
      </c>
      <c r="B135" s="9" t="n">
        <f aca="false">MOD(4*A135^2,10)</f>
        <v>6</v>
      </c>
      <c r="C135" s="9" t="n">
        <f aca="false">(26*B135-5*B135^2)/24</f>
        <v>-1</v>
      </c>
      <c r="D135" s="9" t="n">
        <f aca="false">(A135^2+4*C135)/5</f>
        <v>3537</v>
      </c>
      <c r="E135" s="9" t="n">
        <f aca="false">MOD(D135,10)</f>
        <v>7</v>
      </c>
      <c r="F135" s="9" t="n">
        <f aca="false">2*D135</f>
        <v>7074</v>
      </c>
      <c r="G135" s="9" t="n">
        <f aca="false">MOD(F135,10)</f>
        <v>4</v>
      </c>
      <c r="H135" s="9" t="n">
        <f aca="false">G135/2</f>
        <v>2</v>
      </c>
      <c r="I135" s="9" t="str">
        <f aca="false">IF(H135=0,"—",IF(H135=1,"unison (1:1)",IF(H135=2,"octave (2:1)",IF(H135=3,"fifth (3:2)",IF(H135=4,"fourth (4:3)","?")))))</f>
        <v>octave (2:1)</v>
      </c>
      <c r="J135" s="9" t="str">
        <f aca="false">IF(H135=0,"—",IF(H135=1,"ὁμώνυμον",IF(H135=2,"διὰ πασῶν",IF(H135=3,"διὰ πέντε",IF(H135=4,"διὰ τεσσάρων","?")))))</f>
        <v>διὰ πασῶν</v>
      </c>
      <c r="K135" s="10"/>
      <c r="L135" s="14"/>
      <c r="M135" s="13"/>
    </row>
    <row r="136" customFormat="false" ht="15.75" hidden="false" customHeight="true" outlineLevel="0" collapsed="false">
      <c r="A136" s="8" t="n">
        <f aca="false">A135+1</f>
        <v>134</v>
      </c>
      <c r="B136" s="9" t="n">
        <f aca="false">MOD(4*A136^2,10)</f>
        <v>4</v>
      </c>
      <c r="C136" s="9" t="n">
        <f aca="false">(26*B136-5*B136^2)/24</f>
        <v>1</v>
      </c>
      <c r="D136" s="9" t="n">
        <f aca="false">(A136^2+4*C136)/5</f>
        <v>3592</v>
      </c>
      <c r="E136" s="9" t="n">
        <f aca="false">MOD(D136,10)</f>
        <v>2</v>
      </c>
      <c r="F136" s="9" t="n">
        <f aca="false">2*D136</f>
        <v>7184</v>
      </c>
      <c r="G136" s="9" t="n">
        <f aca="false">MOD(F136,10)</f>
        <v>4</v>
      </c>
      <c r="H136" s="9" t="n">
        <f aca="false">G136/2</f>
        <v>2</v>
      </c>
      <c r="I136" s="9" t="str">
        <f aca="false">IF(H136=0,"—",IF(H136=1,"unison (1:1)",IF(H136=2,"octave (2:1)",IF(H136=3,"fifth (3:2)",IF(H136=4,"fourth (4:3)","?")))))</f>
        <v>octave (2:1)</v>
      </c>
      <c r="J136" s="9" t="str">
        <f aca="false">IF(H136=0,"—",IF(H136=1,"ὁμώνυμον",IF(H136=2,"διὰ πασῶν",IF(H136=3,"διὰ πέντε",IF(H136=4,"διὰ τεσσάρων","?")))))</f>
        <v>διὰ πασῶν</v>
      </c>
      <c r="K136" s="10"/>
      <c r="L136" s="14"/>
      <c r="M136" s="13"/>
    </row>
    <row r="137" customFormat="false" ht="15.75" hidden="false" customHeight="true" outlineLevel="0" collapsed="false">
      <c r="A137" s="8" t="n">
        <f aca="false">A136+1</f>
        <v>135</v>
      </c>
      <c r="B137" s="9" t="n">
        <f aca="false">MOD(4*A137^2,10)</f>
        <v>0</v>
      </c>
      <c r="C137" s="9" t="n">
        <f aca="false">(26*B137-5*B137^2)/24</f>
        <v>0</v>
      </c>
      <c r="D137" s="9" t="n">
        <f aca="false">(A137^2+4*C137)/5</f>
        <v>3645</v>
      </c>
      <c r="E137" s="9" t="n">
        <f aca="false">MOD(D137,10)</f>
        <v>5</v>
      </c>
      <c r="F137" s="9" t="n">
        <f aca="false">2*D137</f>
        <v>7290</v>
      </c>
      <c r="G137" s="9" t="n">
        <f aca="false">MOD(F137,10)</f>
        <v>0</v>
      </c>
      <c r="H137" s="9" t="n">
        <f aca="false">G137/2</f>
        <v>0</v>
      </c>
      <c r="I137" s="9" t="str">
        <f aca="false">IF(H137=0,"—",IF(H137=1,"unison (1:1)",IF(H137=2,"octave (2:1)",IF(H137=3,"fifth (3:2)",IF(H137=4,"fourth (4:3)","?")))))</f>
        <v>—</v>
      </c>
      <c r="J137" s="9" t="str">
        <f aca="false">IF(H137=0,"—",IF(H137=1,"ὁμώνυμον",IF(H137=2,"διὰ πασῶν",IF(H137=3,"διὰ πέντε",IF(H137=4,"διὰ τεσσάρων","?")))))</f>
        <v>—</v>
      </c>
      <c r="K137" s="10"/>
      <c r="L137" s="14"/>
      <c r="M137" s="13"/>
    </row>
    <row r="138" customFormat="false" ht="15.75" hidden="false" customHeight="true" outlineLevel="0" collapsed="false">
      <c r="A138" s="8" t="n">
        <f aca="false">A137+1</f>
        <v>136</v>
      </c>
      <c r="B138" s="9" t="n">
        <f aca="false">MOD(4*A138^2,10)</f>
        <v>4</v>
      </c>
      <c r="C138" s="9" t="n">
        <f aca="false">(26*B138-5*B138^2)/24</f>
        <v>1</v>
      </c>
      <c r="D138" s="9" t="n">
        <f aca="false">(A138^2+4*C138)/5</f>
        <v>3700</v>
      </c>
      <c r="E138" s="9" t="n">
        <f aca="false">MOD(D138,10)</f>
        <v>0</v>
      </c>
      <c r="F138" s="9" t="n">
        <f aca="false">2*D138</f>
        <v>7400</v>
      </c>
      <c r="G138" s="9" t="n">
        <f aca="false">MOD(F138,10)</f>
        <v>0</v>
      </c>
      <c r="H138" s="9" t="n">
        <f aca="false">G138/2</f>
        <v>0</v>
      </c>
      <c r="I138" s="9" t="str">
        <f aca="false">IF(H138=0,"—",IF(H138=1,"unison (1:1)",IF(H138=2,"octave (2:1)",IF(H138=3,"fifth (3:2)",IF(H138=4,"fourth (4:3)","?")))))</f>
        <v>—</v>
      </c>
      <c r="J138" s="9" t="str">
        <f aca="false">IF(H138=0,"—",IF(H138=1,"ὁμώνυμον",IF(H138=2,"διὰ πασῶν",IF(H138=3,"διὰ πέντε",IF(H138=4,"διὰ τεσσάρων","?")))))</f>
        <v>—</v>
      </c>
      <c r="K138" s="10"/>
      <c r="L138" s="14"/>
      <c r="M138" s="13"/>
    </row>
    <row r="139" customFormat="false" ht="15.75" hidden="false" customHeight="true" outlineLevel="0" collapsed="false">
      <c r="A139" s="8" t="n">
        <f aca="false">A138+1</f>
        <v>137</v>
      </c>
      <c r="B139" s="9" t="n">
        <f aca="false">MOD(4*A139^2,10)</f>
        <v>6</v>
      </c>
      <c r="C139" s="9" t="n">
        <f aca="false">(26*B139-5*B139^2)/24</f>
        <v>-1</v>
      </c>
      <c r="D139" s="9" t="n">
        <f aca="false">(A139^2+4*C139)/5</f>
        <v>3753</v>
      </c>
      <c r="E139" s="9" t="n">
        <f aca="false">MOD(D139,10)</f>
        <v>3</v>
      </c>
      <c r="F139" s="9" t="n">
        <f aca="false">2*D139</f>
        <v>7506</v>
      </c>
      <c r="G139" s="9" t="n">
        <f aca="false">MOD(F139,10)</f>
        <v>6</v>
      </c>
      <c r="H139" s="9" t="n">
        <f aca="false">G139/2</f>
        <v>3</v>
      </c>
      <c r="I139" s="9" t="str">
        <f aca="false">IF(H139=0,"—",IF(H139=1,"unison (1:1)",IF(H139=2,"octave (2:1)",IF(H139=3,"fifth (3:2)",IF(H139=4,"fourth (4:3)","?")))))</f>
        <v>fifth (3:2)</v>
      </c>
      <c r="J139" s="9" t="str">
        <f aca="false">IF(H139=0,"—",IF(H139=1,"ὁμώνυμον",IF(H139=2,"διὰ πασῶν",IF(H139=3,"διὰ πέντε",IF(H139=4,"διὰ τεσσάρων","?")))))</f>
        <v>διὰ πέντε</v>
      </c>
      <c r="K139" s="10"/>
      <c r="L139" s="14"/>
      <c r="M139" s="13"/>
    </row>
    <row r="140" customFormat="false" ht="15.75" hidden="false" customHeight="true" outlineLevel="0" collapsed="false">
      <c r="A140" s="8" t="n">
        <f aca="false">A139+1</f>
        <v>138</v>
      </c>
      <c r="B140" s="9" t="n">
        <f aca="false">MOD(4*A140^2,10)</f>
        <v>6</v>
      </c>
      <c r="C140" s="9" t="n">
        <f aca="false">(26*B140-5*B140^2)/24</f>
        <v>-1</v>
      </c>
      <c r="D140" s="9" t="n">
        <f aca="false">(A140^2+4*C140)/5</f>
        <v>3808</v>
      </c>
      <c r="E140" s="9" t="n">
        <f aca="false">MOD(D140,10)</f>
        <v>8</v>
      </c>
      <c r="F140" s="9" t="n">
        <f aca="false">2*D140</f>
        <v>7616</v>
      </c>
      <c r="G140" s="9" t="n">
        <f aca="false">MOD(F140,10)</f>
        <v>6</v>
      </c>
      <c r="H140" s="9" t="n">
        <f aca="false">G140/2</f>
        <v>3</v>
      </c>
      <c r="I140" s="9" t="str">
        <f aca="false">IF(H140=0,"—",IF(H140=1,"unison (1:1)",IF(H140=2,"octave (2:1)",IF(H140=3,"fifth (3:2)",IF(H140=4,"fourth (4:3)","?")))))</f>
        <v>fifth (3:2)</v>
      </c>
      <c r="J140" s="9" t="str">
        <f aca="false">IF(H140=0,"—",IF(H140=1,"ὁμώνυμον",IF(H140=2,"διὰ πασῶν",IF(H140=3,"διὰ πέντε",IF(H140=4,"διὰ τεσσάρων","?")))))</f>
        <v>διὰ πέντε</v>
      </c>
      <c r="K140" s="10"/>
      <c r="L140" s="14"/>
      <c r="M140" s="13"/>
    </row>
    <row r="141" customFormat="false" ht="15.75" hidden="false" customHeight="true" outlineLevel="0" collapsed="false">
      <c r="A141" s="8" t="n">
        <f aca="false">A140+1</f>
        <v>139</v>
      </c>
      <c r="B141" s="9" t="n">
        <f aca="false">MOD(4*A141^2,10)</f>
        <v>4</v>
      </c>
      <c r="C141" s="9" t="n">
        <f aca="false">(26*B141-5*B141^2)/24</f>
        <v>1</v>
      </c>
      <c r="D141" s="9" t="n">
        <f aca="false">(A141^2+4*C141)/5</f>
        <v>3865</v>
      </c>
      <c r="E141" s="9" t="n">
        <f aca="false">MOD(D141,10)</f>
        <v>5</v>
      </c>
      <c r="F141" s="9" t="n">
        <f aca="false">2*D141</f>
        <v>7730</v>
      </c>
      <c r="G141" s="9" t="n">
        <f aca="false">MOD(F141,10)</f>
        <v>0</v>
      </c>
      <c r="H141" s="9" t="n">
        <f aca="false">G141/2</f>
        <v>0</v>
      </c>
      <c r="I141" s="9" t="str">
        <f aca="false">IF(H141=0,"—",IF(H141=1,"unison (1:1)",IF(H141=2,"octave (2:1)",IF(H141=3,"fifth (3:2)",IF(H141=4,"fourth (4:3)","?")))))</f>
        <v>—</v>
      </c>
      <c r="J141" s="9" t="str">
        <f aca="false">IF(H141=0,"—",IF(H141=1,"ὁμώνυμον",IF(H141=2,"διὰ πασῶν",IF(H141=3,"διὰ πέντε",IF(H141=4,"διὰ τεσσάρων","?")))))</f>
        <v>—</v>
      </c>
      <c r="K141" s="10"/>
      <c r="L141" s="14"/>
      <c r="M141" s="13"/>
    </row>
    <row r="142" customFormat="false" ht="15.75" hidden="false" customHeight="true" outlineLevel="0" collapsed="false">
      <c r="A142" s="8" t="n">
        <f aca="false">A141+1</f>
        <v>140</v>
      </c>
      <c r="B142" s="9" t="n">
        <f aca="false">MOD(4*A142^2,10)</f>
        <v>0</v>
      </c>
      <c r="C142" s="9" t="n">
        <f aca="false">(26*B142-5*B142^2)/24</f>
        <v>0</v>
      </c>
      <c r="D142" s="9" t="n">
        <f aca="false">(A142^2+4*C142)/5</f>
        <v>3920</v>
      </c>
      <c r="E142" s="9" t="n">
        <f aca="false">MOD(D142,10)</f>
        <v>0</v>
      </c>
      <c r="F142" s="9" t="n">
        <f aca="false">2*D142</f>
        <v>7840</v>
      </c>
      <c r="G142" s="9" t="n">
        <f aca="false">MOD(F142,10)</f>
        <v>0</v>
      </c>
      <c r="H142" s="9" t="n">
        <f aca="false">G142/2</f>
        <v>0</v>
      </c>
      <c r="I142" s="9" t="str">
        <f aca="false">IF(H142=0,"—",IF(H142=1,"unison (1:1)",IF(H142=2,"octave (2:1)",IF(H142=3,"fifth (3:2)",IF(H142=4,"fourth (4:3)","?")))))</f>
        <v>—</v>
      </c>
      <c r="J142" s="9" t="str">
        <f aca="false">IF(H142=0,"—",IF(H142=1,"ὁμώνυμον",IF(H142=2,"διὰ πασῶν",IF(H142=3,"διὰ πέντε",IF(H142=4,"διὰ τεσσάρων","?")))))</f>
        <v>—</v>
      </c>
      <c r="K142" s="10"/>
      <c r="L142" s="14"/>
      <c r="M142" s="13"/>
    </row>
    <row r="143" customFormat="false" ht="15.75" hidden="false" customHeight="true" outlineLevel="0" collapsed="false">
      <c r="A143" s="8" t="n">
        <f aca="false">A142+1</f>
        <v>141</v>
      </c>
      <c r="B143" s="9" t="n">
        <f aca="false">MOD(4*A143^2,10)</f>
        <v>4</v>
      </c>
      <c r="C143" s="9" t="n">
        <f aca="false">(26*B143-5*B143^2)/24</f>
        <v>1</v>
      </c>
      <c r="D143" s="9" t="n">
        <f aca="false">(A143^2+4*C143)/5</f>
        <v>3977</v>
      </c>
      <c r="E143" s="9" t="n">
        <f aca="false">MOD(D143,10)</f>
        <v>7</v>
      </c>
      <c r="F143" s="9" t="n">
        <f aca="false">2*D143</f>
        <v>7954</v>
      </c>
      <c r="G143" s="9" t="n">
        <f aca="false">MOD(F143,10)</f>
        <v>4</v>
      </c>
      <c r="H143" s="9" t="n">
        <f aca="false">G143/2</f>
        <v>2</v>
      </c>
      <c r="I143" s="9" t="str">
        <f aca="false">IF(H143=0,"—",IF(H143=1,"unison (1:1)",IF(H143=2,"octave (2:1)",IF(H143=3,"fifth (3:2)",IF(H143=4,"fourth (4:3)","?")))))</f>
        <v>octave (2:1)</v>
      </c>
      <c r="J143" s="9" t="str">
        <f aca="false">IF(H143=0,"—",IF(H143=1,"ὁμώνυμον",IF(H143=2,"διὰ πασῶν",IF(H143=3,"διὰ πέντε",IF(H143=4,"διὰ τεσσάρων","?")))))</f>
        <v>διὰ πασῶν</v>
      </c>
      <c r="K143" s="10"/>
      <c r="L143" s="14"/>
      <c r="M143" s="13"/>
    </row>
    <row r="144" customFormat="false" ht="15.75" hidden="false" customHeight="true" outlineLevel="0" collapsed="false">
      <c r="A144" s="8" t="n">
        <f aca="false">A143+1</f>
        <v>142</v>
      </c>
      <c r="B144" s="9" t="n">
        <f aca="false">MOD(4*A144^2,10)</f>
        <v>6</v>
      </c>
      <c r="C144" s="9" t="n">
        <f aca="false">(26*B144-5*B144^2)/24</f>
        <v>-1</v>
      </c>
      <c r="D144" s="9" t="n">
        <f aca="false">(A144^2+4*C144)/5</f>
        <v>4032</v>
      </c>
      <c r="E144" s="9" t="n">
        <f aca="false">MOD(D144,10)</f>
        <v>2</v>
      </c>
      <c r="F144" s="9" t="n">
        <f aca="false">2*D144</f>
        <v>8064</v>
      </c>
      <c r="G144" s="9" t="n">
        <f aca="false">MOD(F144,10)</f>
        <v>4</v>
      </c>
      <c r="H144" s="9" t="n">
        <f aca="false">G144/2</f>
        <v>2</v>
      </c>
      <c r="I144" s="9" t="str">
        <f aca="false">IF(H144=0,"—",IF(H144=1,"unison (1:1)",IF(H144=2,"octave (2:1)",IF(H144=3,"fifth (3:2)",IF(H144=4,"fourth (4:3)","?")))))</f>
        <v>octave (2:1)</v>
      </c>
      <c r="J144" s="9" t="str">
        <f aca="false">IF(H144=0,"—",IF(H144=1,"ὁμώνυμον",IF(H144=2,"διὰ πασῶν",IF(H144=3,"διὰ πέντε",IF(H144=4,"διὰ τεσσάρων","?")))))</f>
        <v>διὰ πασῶν</v>
      </c>
      <c r="K144" s="10"/>
      <c r="L144" s="14"/>
      <c r="M144" s="13"/>
    </row>
    <row r="145" customFormat="false" ht="15.75" hidden="false" customHeight="true" outlineLevel="0" collapsed="false">
      <c r="A145" s="8" t="n">
        <f aca="false">A144+1</f>
        <v>143</v>
      </c>
      <c r="B145" s="9" t="n">
        <f aca="false">MOD(4*A145^2,10)</f>
        <v>6</v>
      </c>
      <c r="C145" s="9" t="n">
        <f aca="false">(26*B145-5*B145^2)/24</f>
        <v>-1</v>
      </c>
      <c r="D145" s="9" t="n">
        <f aca="false">(A145^2+4*C145)/5</f>
        <v>4089</v>
      </c>
      <c r="E145" s="9" t="n">
        <f aca="false">MOD(D145,10)</f>
        <v>9</v>
      </c>
      <c r="F145" s="9" t="n">
        <f aca="false">2*D145</f>
        <v>8178</v>
      </c>
      <c r="G145" s="9" t="n">
        <f aca="false">MOD(F145,10)</f>
        <v>8</v>
      </c>
      <c r="H145" s="9" t="n">
        <f aca="false">G145/2</f>
        <v>4</v>
      </c>
      <c r="I145" s="9" t="str">
        <f aca="false">IF(H145=0,"—",IF(H145=1,"unison (1:1)",IF(H145=2,"octave (2:1)",IF(H145=3,"fifth (3:2)",IF(H145=4,"fourth (4:3)","?")))))</f>
        <v>fourth (4:3)</v>
      </c>
      <c r="J145" s="9" t="str">
        <f aca="false">IF(H145=0,"—",IF(H145=1,"ὁμώνυμον",IF(H145=2,"διὰ πασῶν",IF(H145=3,"διὰ πέντε",IF(H145=4,"διὰ τεσσάρων","?")))))</f>
        <v>διὰ τεσσάρων</v>
      </c>
      <c r="K145" s="10"/>
      <c r="L145" s="14"/>
      <c r="M145" s="13"/>
    </row>
    <row r="146" customFormat="false" ht="15.75" hidden="false" customHeight="true" outlineLevel="0" collapsed="false">
      <c r="A146" s="8" t="n">
        <f aca="false">A145+1</f>
        <v>144</v>
      </c>
      <c r="B146" s="9" t="n">
        <f aca="false">MOD(4*A146^2,10)</f>
        <v>4</v>
      </c>
      <c r="C146" s="9" t="n">
        <f aca="false">(26*B146-5*B146^2)/24</f>
        <v>1</v>
      </c>
      <c r="D146" s="9" t="n">
        <f aca="false">(A146^2+4*C146)/5</f>
        <v>4148</v>
      </c>
      <c r="E146" s="9" t="n">
        <f aca="false">MOD(D146,10)</f>
        <v>8</v>
      </c>
      <c r="F146" s="9" t="n">
        <f aca="false">2*D146</f>
        <v>8296</v>
      </c>
      <c r="G146" s="9" t="n">
        <f aca="false">MOD(F146,10)</f>
        <v>6</v>
      </c>
      <c r="H146" s="9" t="n">
        <f aca="false">G146/2</f>
        <v>3</v>
      </c>
      <c r="I146" s="9" t="str">
        <f aca="false">IF(H146=0,"—",IF(H146=1,"unison (1:1)",IF(H146=2,"octave (2:1)",IF(H146=3,"fifth (3:2)",IF(H146=4,"fourth (4:3)","?")))))</f>
        <v>fifth (3:2)</v>
      </c>
      <c r="J146" s="9" t="str">
        <f aca="false">IF(H146=0,"—",IF(H146=1,"ὁμώνυμον",IF(H146=2,"διὰ πασῶν",IF(H146=3,"διὰ πέντε",IF(H146=4,"διὰ τεσσάρων","?")))))</f>
        <v>διὰ πέντε</v>
      </c>
      <c r="K146" s="10"/>
      <c r="L146" s="14"/>
      <c r="M146" s="13"/>
    </row>
    <row r="147" customFormat="false" ht="15.75" hidden="false" customHeight="true" outlineLevel="0" collapsed="false">
      <c r="A147" s="8" t="n">
        <f aca="false">A146+1</f>
        <v>145</v>
      </c>
      <c r="B147" s="9" t="n">
        <f aca="false">MOD(4*A147^2,10)</f>
        <v>0</v>
      </c>
      <c r="C147" s="9" t="n">
        <f aca="false">(26*B147-5*B147^2)/24</f>
        <v>0</v>
      </c>
      <c r="D147" s="9" t="n">
        <f aca="false">(A147^2+4*C147)/5</f>
        <v>4205</v>
      </c>
      <c r="E147" s="9" t="n">
        <f aca="false">MOD(D147,10)</f>
        <v>5</v>
      </c>
      <c r="F147" s="9" t="n">
        <f aca="false">2*D147</f>
        <v>8410</v>
      </c>
      <c r="G147" s="9" t="n">
        <f aca="false">MOD(F147,10)</f>
        <v>0</v>
      </c>
      <c r="H147" s="9" t="n">
        <f aca="false">G147/2</f>
        <v>0</v>
      </c>
      <c r="I147" s="9" t="str">
        <f aca="false">IF(H147=0,"—",IF(H147=1,"unison (1:1)",IF(H147=2,"octave (2:1)",IF(H147=3,"fifth (3:2)",IF(H147=4,"fourth (4:3)","?")))))</f>
        <v>—</v>
      </c>
      <c r="J147" s="9" t="str">
        <f aca="false">IF(H147=0,"—",IF(H147=1,"ὁμώνυμον",IF(H147=2,"διὰ πασῶν",IF(H147=3,"διὰ πέντε",IF(H147=4,"διὰ τεσσάρων","?")))))</f>
        <v>—</v>
      </c>
      <c r="K147" s="10"/>
      <c r="L147" s="14"/>
      <c r="M147" s="13"/>
    </row>
    <row r="148" customFormat="false" ht="15.75" hidden="false" customHeight="true" outlineLevel="0" collapsed="false">
      <c r="A148" s="8" t="n">
        <f aca="false">A147+1</f>
        <v>146</v>
      </c>
      <c r="B148" s="9" t="n">
        <f aca="false">MOD(4*A148^2,10)</f>
        <v>4</v>
      </c>
      <c r="C148" s="9" t="n">
        <f aca="false">(26*B148-5*B148^2)/24</f>
        <v>1</v>
      </c>
      <c r="D148" s="9" t="n">
        <f aca="false">(A148^2+4*C148)/5</f>
        <v>4264</v>
      </c>
      <c r="E148" s="9" t="n">
        <f aca="false">MOD(D148,10)</f>
        <v>4</v>
      </c>
      <c r="F148" s="9" t="n">
        <f aca="false">2*D148</f>
        <v>8528</v>
      </c>
      <c r="G148" s="9" t="n">
        <f aca="false">MOD(F148,10)</f>
        <v>8</v>
      </c>
      <c r="H148" s="9" t="n">
        <f aca="false">G148/2</f>
        <v>4</v>
      </c>
      <c r="I148" s="9" t="str">
        <f aca="false">IF(H148=0,"—",IF(H148=1,"unison (1:1)",IF(H148=2,"octave (2:1)",IF(H148=3,"fifth (3:2)",IF(H148=4,"fourth (4:3)","?")))))</f>
        <v>fourth (4:3)</v>
      </c>
      <c r="J148" s="9" t="str">
        <f aca="false">IF(H148=0,"—",IF(H148=1,"ὁμώνυμον",IF(H148=2,"διὰ πασῶν",IF(H148=3,"διὰ πέντε",IF(H148=4,"διὰ τεσσάρων","?")))))</f>
        <v>διὰ τεσσάρων</v>
      </c>
      <c r="K148" s="10"/>
      <c r="L148" s="14"/>
      <c r="M148" s="13"/>
    </row>
    <row r="149" customFormat="false" ht="15.75" hidden="false" customHeight="true" outlineLevel="0" collapsed="false">
      <c r="A149" s="8" t="n">
        <f aca="false">A148+1</f>
        <v>147</v>
      </c>
      <c r="B149" s="9" t="n">
        <f aca="false">MOD(4*A149^2,10)</f>
        <v>6</v>
      </c>
      <c r="C149" s="9" t="n">
        <f aca="false">(26*B149-5*B149^2)/24</f>
        <v>-1</v>
      </c>
      <c r="D149" s="9" t="n">
        <f aca="false">(A149^2+4*C149)/5</f>
        <v>4321</v>
      </c>
      <c r="E149" s="9" t="n">
        <f aca="false">MOD(D149,10)</f>
        <v>1</v>
      </c>
      <c r="F149" s="9" t="n">
        <f aca="false">2*D149</f>
        <v>8642</v>
      </c>
      <c r="G149" s="9" t="n">
        <f aca="false">MOD(F149,10)</f>
        <v>2</v>
      </c>
      <c r="H149" s="9" t="n">
        <f aca="false">G149/2</f>
        <v>1</v>
      </c>
      <c r="I149" s="9" t="str">
        <f aca="false">IF(H149=0,"—",IF(H149=1,"unison (1:1)",IF(H149=2,"octave (2:1)",IF(H149=3,"fifth (3:2)",IF(H149=4,"fourth (4:3)","?")))))</f>
        <v>unison (1:1)</v>
      </c>
      <c r="J149" s="9" t="str">
        <f aca="false">IF(H149=0,"—",IF(H149=1,"ὁμώνυμον",IF(H149=2,"διὰ πασῶν",IF(H149=3,"διὰ πέντε",IF(H149=4,"διὰ τεσσάρων","?")))))</f>
        <v>ὁμώνυμον</v>
      </c>
      <c r="K149" s="10"/>
      <c r="L149" s="14"/>
      <c r="M149" s="13"/>
    </row>
    <row r="150" customFormat="false" ht="15.75" hidden="false" customHeight="true" outlineLevel="0" collapsed="false">
      <c r="A150" s="8" t="n">
        <f aca="false">A149+1</f>
        <v>148</v>
      </c>
      <c r="B150" s="9" t="n">
        <f aca="false">MOD(4*A150^2,10)</f>
        <v>6</v>
      </c>
      <c r="C150" s="9" t="n">
        <f aca="false">(26*B150-5*B150^2)/24</f>
        <v>-1</v>
      </c>
      <c r="D150" s="9" t="n">
        <f aca="false">(A150^2+4*C150)/5</f>
        <v>4380</v>
      </c>
      <c r="E150" s="9" t="n">
        <f aca="false">MOD(D150,10)</f>
        <v>0</v>
      </c>
      <c r="F150" s="9" t="n">
        <f aca="false">2*D150</f>
        <v>8760</v>
      </c>
      <c r="G150" s="9" t="n">
        <f aca="false">MOD(F150,10)</f>
        <v>0</v>
      </c>
      <c r="H150" s="9" t="n">
        <f aca="false">G150/2</f>
        <v>0</v>
      </c>
      <c r="I150" s="9" t="str">
        <f aca="false">IF(H150=0,"—",IF(H150=1,"unison (1:1)",IF(H150=2,"octave (2:1)",IF(H150=3,"fifth (3:2)",IF(H150=4,"fourth (4:3)","?")))))</f>
        <v>—</v>
      </c>
      <c r="J150" s="9" t="str">
        <f aca="false">IF(H150=0,"—",IF(H150=1,"ὁμώνυμον",IF(H150=2,"διὰ πασῶν",IF(H150=3,"διὰ πέντε",IF(H150=4,"διὰ τεσσάρων","?")))))</f>
        <v>—</v>
      </c>
      <c r="K150" s="10"/>
      <c r="L150" s="14"/>
      <c r="M150" s="13"/>
    </row>
    <row r="151" customFormat="false" ht="15.75" hidden="false" customHeight="true" outlineLevel="0" collapsed="false">
      <c r="A151" s="8" t="n">
        <f aca="false">A150+1</f>
        <v>149</v>
      </c>
      <c r="B151" s="9" t="n">
        <f aca="false">MOD(4*A151^2,10)</f>
        <v>4</v>
      </c>
      <c r="C151" s="9" t="n">
        <f aca="false">(26*B151-5*B151^2)/24</f>
        <v>1</v>
      </c>
      <c r="D151" s="9" t="n">
        <f aca="false">(A151^2+4*C151)/5</f>
        <v>4441</v>
      </c>
      <c r="E151" s="9" t="n">
        <f aca="false">MOD(D151,10)</f>
        <v>1</v>
      </c>
      <c r="F151" s="9" t="n">
        <f aca="false">2*D151</f>
        <v>8882</v>
      </c>
      <c r="G151" s="9" t="n">
        <f aca="false">MOD(F151,10)</f>
        <v>2</v>
      </c>
      <c r="H151" s="9" t="n">
        <f aca="false">G151/2</f>
        <v>1</v>
      </c>
      <c r="I151" s="9" t="str">
        <f aca="false">IF(H151=0,"—",IF(H151=1,"unison (1:1)",IF(H151=2,"octave (2:1)",IF(H151=3,"fifth (3:2)",IF(H151=4,"fourth (4:3)","?")))))</f>
        <v>unison (1:1)</v>
      </c>
      <c r="J151" s="9" t="str">
        <f aca="false">IF(H151=0,"—",IF(H151=1,"ὁμώνυμον",IF(H151=2,"διὰ πασῶν",IF(H151=3,"διὰ πέντε",IF(H151=4,"διὰ τεσσάρων","?")))))</f>
        <v>ὁμώνυμον</v>
      </c>
      <c r="K151" s="10"/>
      <c r="L151" s="14"/>
      <c r="M151" s="13"/>
    </row>
    <row r="152" customFormat="false" ht="15.75" hidden="false" customHeight="true" outlineLevel="0" collapsed="false">
      <c r="A152" s="8" t="n">
        <f aca="false">A151+1</f>
        <v>150</v>
      </c>
      <c r="B152" s="9" t="n">
        <f aca="false">MOD(4*A152^2,10)</f>
        <v>0</v>
      </c>
      <c r="C152" s="9" t="n">
        <f aca="false">(26*B152-5*B152^2)/24</f>
        <v>0</v>
      </c>
      <c r="D152" s="9" t="n">
        <f aca="false">(A152^2+4*C152)/5</f>
        <v>4500</v>
      </c>
      <c r="E152" s="9" t="n">
        <f aca="false">MOD(D152,10)</f>
        <v>0</v>
      </c>
      <c r="F152" s="9" t="n">
        <f aca="false">2*D152</f>
        <v>9000</v>
      </c>
      <c r="G152" s="9" t="n">
        <f aca="false">MOD(F152,10)</f>
        <v>0</v>
      </c>
      <c r="H152" s="9" t="n">
        <f aca="false">G152/2</f>
        <v>0</v>
      </c>
      <c r="I152" s="9" t="str">
        <f aca="false">IF(H152=0,"—",IF(H152=1,"unison (1:1)",IF(H152=2,"octave (2:1)",IF(H152=3,"fifth (3:2)",IF(H152=4,"fourth (4:3)","?")))))</f>
        <v>—</v>
      </c>
      <c r="J152" s="9" t="str">
        <f aca="false">IF(H152=0,"—",IF(H152=1,"ὁμώνυμον",IF(H152=2,"διὰ πασῶν",IF(H152=3,"διὰ πέντε",IF(H152=4,"διὰ τεσσάρων","?")))))</f>
        <v>—</v>
      </c>
      <c r="K152" s="10"/>
      <c r="L152" s="14"/>
      <c r="M152" s="13"/>
    </row>
    <row r="153" customFormat="false" ht="15.75" hidden="false" customHeight="true" outlineLevel="0" collapsed="false">
      <c r="A153" s="8" t="n">
        <f aca="false">A152+1</f>
        <v>151</v>
      </c>
      <c r="B153" s="9" t="n">
        <f aca="false">MOD(4*A153^2,10)</f>
        <v>4</v>
      </c>
      <c r="C153" s="9" t="n">
        <f aca="false">(26*B153-5*B153^2)/24</f>
        <v>1</v>
      </c>
      <c r="D153" s="9" t="n">
        <f aca="false">(A153^2+4*C153)/5</f>
        <v>4561</v>
      </c>
      <c r="E153" s="9" t="n">
        <f aca="false">MOD(D153,10)</f>
        <v>1</v>
      </c>
      <c r="F153" s="9" t="n">
        <f aca="false">2*D153</f>
        <v>9122</v>
      </c>
      <c r="G153" s="9" t="n">
        <f aca="false">MOD(F153,10)</f>
        <v>2</v>
      </c>
      <c r="H153" s="9" t="n">
        <f aca="false">G153/2</f>
        <v>1</v>
      </c>
      <c r="I153" s="9" t="str">
        <f aca="false">IF(H153=0,"—",IF(H153=1,"unison (1:1)",IF(H153=2,"octave (2:1)",IF(H153=3,"fifth (3:2)",IF(H153=4,"fourth (4:3)","?")))))</f>
        <v>unison (1:1)</v>
      </c>
      <c r="J153" s="9" t="str">
        <f aca="false">IF(H153=0,"—",IF(H153=1,"ὁμώνυμον",IF(H153=2,"διὰ πασῶν",IF(H153=3,"διὰ πέντε",IF(H153=4,"διὰ τεσσάρων","?")))))</f>
        <v>ὁμώνυμον</v>
      </c>
      <c r="K153" s="10"/>
      <c r="L153" s="14"/>
      <c r="M153" s="13"/>
    </row>
    <row r="154" customFormat="false" ht="15.75" hidden="false" customHeight="true" outlineLevel="0" collapsed="false">
      <c r="A154" s="8" t="n">
        <f aca="false">A153+1</f>
        <v>152</v>
      </c>
      <c r="B154" s="9" t="n">
        <f aca="false">MOD(4*A154^2,10)</f>
        <v>6</v>
      </c>
      <c r="C154" s="9" t="n">
        <f aca="false">(26*B154-5*B154^2)/24</f>
        <v>-1</v>
      </c>
      <c r="D154" s="9" t="n">
        <f aca="false">(A154^2+4*C154)/5</f>
        <v>4620</v>
      </c>
      <c r="E154" s="9" t="n">
        <f aca="false">MOD(D154,10)</f>
        <v>0</v>
      </c>
      <c r="F154" s="9" t="n">
        <f aca="false">2*D154</f>
        <v>9240</v>
      </c>
      <c r="G154" s="9" t="n">
        <f aca="false">MOD(F154,10)</f>
        <v>0</v>
      </c>
      <c r="H154" s="9" t="n">
        <f aca="false">G154/2</f>
        <v>0</v>
      </c>
      <c r="I154" s="9" t="str">
        <f aca="false">IF(H154=0,"—",IF(H154=1,"unison (1:1)",IF(H154=2,"octave (2:1)",IF(H154=3,"fifth (3:2)",IF(H154=4,"fourth (4:3)","?")))))</f>
        <v>—</v>
      </c>
      <c r="J154" s="9" t="str">
        <f aca="false">IF(H154=0,"—",IF(H154=1,"ὁμώνυμον",IF(H154=2,"διὰ πασῶν",IF(H154=3,"διὰ πέντε",IF(H154=4,"διὰ τεσσάρων","?")))))</f>
        <v>—</v>
      </c>
      <c r="K154" s="10"/>
      <c r="L154" s="14"/>
      <c r="M154" s="13"/>
    </row>
    <row r="155" customFormat="false" ht="15.75" hidden="false" customHeight="true" outlineLevel="0" collapsed="false">
      <c r="A155" s="8" t="n">
        <f aca="false">A154+1</f>
        <v>153</v>
      </c>
      <c r="B155" s="9" t="n">
        <f aca="false">MOD(4*A155^2,10)</f>
        <v>6</v>
      </c>
      <c r="C155" s="9" t="n">
        <f aca="false">(26*B155-5*B155^2)/24</f>
        <v>-1</v>
      </c>
      <c r="D155" s="9" t="n">
        <f aca="false">(A155^2+4*C155)/5</f>
        <v>4681</v>
      </c>
      <c r="E155" s="9" t="n">
        <f aca="false">MOD(D155,10)</f>
        <v>1</v>
      </c>
      <c r="F155" s="9" t="n">
        <f aca="false">2*D155</f>
        <v>9362</v>
      </c>
      <c r="G155" s="9" t="n">
        <f aca="false">MOD(F155,10)</f>
        <v>2</v>
      </c>
      <c r="H155" s="9" t="n">
        <f aca="false">G155/2</f>
        <v>1</v>
      </c>
      <c r="I155" s="9" t="str">
        <f aca="false">IF(H155=0,"—",IF(H155=1,"unison (1:1)",IF(H155=2,"octave (2:1)",IF(H155=3,"fifth (3:2)",IF(H155=4,"fourth (4:3)","?")))))</f>
        <v>unison (1:1)</v>
      </c>
      <c r="J155" s="9" t="str">
        <f aca="false">IF(H155=0,"—",IF(H155=1,"ὁμώνυμον",IF(H155=2,"διὰ πασῶν",IF(H155=3,"διὰ πέντε",IF(H155=4,"διὰ τεσσάρων","?")))))</f>
        <v>ὁμώνυμον</v>
      </c>
      <c r="K155" s="10"/>
      <c r="L155" s="14"/>
      <c r="M155" s="13"/>
    </row>
    <row r="156" customFormat="false" ht="15.75" hidden="false" customHeight="true" outlineLevel="0" collapsed="false">
      <c r="A156" s="8" t="n">
        <f aca="false">A155+1</f>
        <v>154</v>
      </c>
      <c r="B156" s="9" t="n">
        <f aca="false">MOD(4*A156^2,10)</f>
        <v>4</v>
      </c>
      <c r="C156" s="9" t="n">
        <f aca="false">(26*B156-5*B156^2)/24</f>
        <v>1</v>
      </c>
      <c r="D156" s="9" t="n">
        <f aca="false">(A156^2+4*C156)/5</f>
        <v>4744</v>
      </c>
      <c r="E156" s="9" t="n">
        <f aca="false">MOD(D156,10)</f>
        <v>4</v>
      </c>
      <c r="F156" s="9" t="n">
        <f aca="false">2*D156</f>
        <v>9488</v>
      </c>
      <c r="G156" s="9" t="n">
        <f aca="false">MOD(F156,10)</f>
        <v>8</v>
      </c>
      <c r="H156" s="9" t="n">
        <f aca="false">G156/2</f>
        <v>4</v>
      </c>
      <c r="I156" s="9" t="str">
        <f aca="false">IF(H156=0,"—",IF(H156=1,"unison (1:1)",IF(H156=2,"octave (2:1)",IF(H156=3,"fifth (3:2)",IF(H156=4,"fourth (4:3)","?")))))</f>
        <v>fourth (4:3)</v>
      </c>
      <c r="J156" s="9" t="str">
        <f aca="false">IF(H156=0,"—",IF(H156=1,"ὁμώνυμον",IF(H156=2,"διὰ πασῶν",IF(H156=3,"διὰ πέντε",IF(H156=4,"διὰ τεσσάρων","?")))))</f>
        <v>διὰ τεσσάρων</v>
      </c>
      <c r="K156" s="10"/>
      <c r="L156" s="14"/>
      <c r="M156" s="13"/>
    </row>
    <row r="157" customFormat="false" ht="15.75" hidden="false" customHeight="true" outlineLevel="0" collapsed="false">
      <c r="A157" s="8" t="n">
        <f aca="false">A156+1</f>
        <v>155</v>
      </c>
      <c r="B157" s="9" t="n">
        <f aca="false">MOD(4*A157^2,10)</f>
        <v>0</v>
      </c>
      <c r="C157" s="9" t="n">
        <f aca="false">(26*B157-5*B157^2)/24</f>
        <v>0</v>
      </c>
      <c r="D157" s="9" t="n">
        <f aca="false">(A157^2+4*C157)/5</f>
        <v>4805</v>
      </c>
      <c r="E157" s="9" t="n">
        <f aca="false">MOD(D157,10)</f>
        <v>5</v>
      </c>
      <c r="F157" s="9" t="n">
        <f aca="false">2*D157</f>
        <v>9610</v>
      </c>
      <c r="G157" s="9" t="n">
        <f aca="false">MOD(F157,10)</f>
        <v>0</v>
      </c>
      <c r="H157" s="9" t="n">
        <f aca="false">G157/2</f>
        <v>0</v>
      </c>
      <c r="I157" s="9" t="str">
        <f aca="false">IF(H157=0,"—",IF(H157=1,"unison (1:1)",IF(H157=2,"octave (2:1)",IF(H157=3,"fifth (3:2)",IF(H157=4,"fourth (4:3)","?")))))</f>
        <v>—</v>
      </c>
      <c r="J157" s="9" t="str">
        <f aca="false">IF(H157=0,"—",IF(H157=1,"ὁμώνυμον",IF(H157=2,"διὰ πασῶν",IF(H157=3,"διὰ πέντε",IF(H157=4,"διὰ τεσσάρων","?")))))</f>
        <v>—</v>
      </c>
      <c r="K157" s="10"/>
      <c r="L157" s="14"/>
      <c r="M157" s="13"/>
    </row>
    <row r="158" customFormat="false" ht="15.75" hidden="false" customHeight="true" outlineLevel="0" collapsed="false">
      <c r="A158" s="8" t="n">
        <f aca="false">A157+1</f>
        <v>156</v>
      </c>
      <c r="B158" s="9" t="n">
        <f aca="false">MOD(4*A158^2,10)</f>
        <v>4</v>
      </c>
      <c r="C158" s="9" t="n">
        <f aca="false">(26*B158-5*B158^2)/24</f>
        <v>1</v>
      </c>
      <c r="D158" s="9" t="n">
        <f aca="false">(A158^2+4*C158)/5</f>
        <v>4868</v>
      </c>
      <c r="E158" s="9" t="n">
        <f aca="false">MOD(D158,10)</f>
        <v>8</v>
      </c>
      <c r="F158" s="9" t="n">
        <f aca="false">2*D158</f>
        <v>9736</v>
      </c>
      <c r="G158" s="9" t="n">
        <f aca="false">MOD(F158,10)</f>
        <v>6</v>
      </c>
      <c r="H158" s="9" t="n">
        <f aca="false">G158/2</f>
        <v>3</v>
      </c>
      <c r="I158" s="9" t="str">
        <f aca="false">IF(H158=0,"—",IF(H158=1,"unison (1:1)",IF(H158=2,"octave (2:1)",IF(H158=3,"fifth (3:2)",IF(H158=4,"fourth (4:3)","?")))))</f>
        <v>fifth (3:2)</v>
      </c>
      <c r="J158" s="9" t="str">
        <f aca="false">IF(H158=0,"—",IF(H158=1,"ὁμώνυμον",IF(H158=2,"διὰ πασῶν",IF(H158=3,"διὰ πέντε",IF(H158=4,"διὰ τεσσάρων","?")))))</f>
        <v>διὰ πέντε</v>
      </c>
      <c r="K158" s="10"/>
      <c r="L158" s="14"/>
      <c r="M158" s="13"/>
    </row>
    <row r="159" customFormat="false" ht="15.75" hidden="false" customHeight="true" outlineLevel="0" collapsed="false">
      <c r="A159" s="8" t="n">
        <f aca="false">A158+1</f>
        <v>157</v>
      </c>
      <c r="B159" s="9" t="n">
        <f aca="false">MOD(4*A159^2,10)</f>
        <v>6</v>
      </c>
      <c r="C159" s="9" t="n">
        <f aca="false">(26*B159-5*B159^2)/24</f>
        <v>-1</v>
      </c>
      <c r="D159" s="9" t="n">
        <f aca="false">(A159^2+4*C159)/5</f>
        <v>4929</v>
      </c>
      <c r="E159" s="9" t="n">
        <f aca="false">MOD(D159,10)</f>
        <v>9</v>
      </c>
      <c r="F159" s="9" t="n">
        <f aca="false">2*D159</f>
        <v>9858</v>
      </c>
      <c r="G159" s="9" t="n">
        <f aca="false">MOD(F159,10)</f>
        <v>8</v>
      </c>
      <c r="H159" s="9" t="n">
        <f aca="false">G159/2</f>
        <v>4</v>
      </c>
      <c r="I159" s="9" t="str">
        <f aca="false">IF(H159=0,"—",IF(H159=1,"unison (1:1)",IF(H159=2,"octave (2:1)",IF(H159=3,"fifth (3:2)",IF(H159=4,"fourth (4:3)","?")))))</f>
        <v>fourth (4:3)</v>
      </c>
      <c r="J159" s="9" t="str">
        <f aca="false">IF(H159=0,"—",IF(H159=1,"ὁμώνυμον",IF(H159=2,"διὰ πασῶν",IF(H159=3,"διὰ πέντε",IF(H159=4,"διὰ τεσσάρων","?")))))</f>
        <v>διὰ τεσσάρων</v>
      </c>
      <c r="K159" s="10"/>
      <c r="L159" s="14"/>
      <c r="M159" s="13"/>
    </row>
    <row r="160" customFormat="false" ht="15.75" hidden="false" customHeight="true" outlineLevel="0" collapsed="false">
      <c r="A160" s="8" t="n">
        <f aca="false">A159+1</f>
        <v>158</v>
      </c>
      <c r="B160" s="9" t="n">
        <f aca="false">MOD(4*A160^2,10)</f>
        <v>6</v>
      </c>
      <c r="C160" s="9" t="n">
        <f aca="false">(26*B160-5*B160^2)/24</f>
        <v>-1</v>
      </c>
      <c r="D160" s="9" t="n">
        <f aca="false">(A160^2+4*C160)/5</f>
        <v>4992</v>
      </c>
      <c r="E160" s="9" t="n">
        <f aca="false">MOD(D160,10)</f>
        <v>2</v>
      </c>
      <c r="F160" s="9" t="n">
        <f aca="false">2*D160</f>
        <v>9984</v>
      </c>
      <c r="G160" s="9" t="n">
        <f aca="false">MOD(F160,10)</f>
        <v>4</v>
      </c>
      <c r="H160" s="9" t="n">
        <f aca="false">G160/2</f>
        <v>2</v>
      </c>
      <c r="I160" s="9" t="str">
        <f aca="false">IF(H160=0,"—",IF(H160=1,"unison (1:1)",IF(H160=2,"octave (2:1)",IF(H160=3,"fifth (3:2)",IF(H160=4,"fourth (4:3)","?")))))</f>
        <v>octave (2:1)</v>
      </c>
      <c r="J160" s="9" t="str">
        <f aca="false">IF(H160=0,"—",IF(H160=1,"ὁμώνυμον",IF(H160=2,"διὰ πασῶν",IF(H160=3,"διὰ πέντε",IF(H160=4,"διὰ τεσσάρων","?")))))</f>
        <v>διὰ πασῶν</v>
      </c>
      <c r="K160" s="10"/>
      <c r="L160" s="14"/>
      <c r="M160" s="13"/>
    </row>
    <row r="161" customFormat="false" ht="15.75" hidden="false" customHeight="true" outlineLevel="0" collapsed="false">
      <c r="A161" s="8" t="n">
        <f aca="false">A160+1</f>
        <v>159</v>
      </c>
      <c r="B161" s="9" t="n">
        <f aca="false">MOD(4*A161^2,10)</f>
        <v>4</v>
      </c>
      <c r="C161" s="9" t="n">
        <f aca="false">(26*B161-5*B161^2)/24</f>
        <v>1</v>
      </c>
      <c r="D161" s="9" t="n">
        <f aca="false">(A161^2+4*C161)/5</f>
        <v>5057</v>
      </c>
      <c r="E161" s="9" t="n">
        <f aca="false">MOD(D161,10)</f>
        <v>7</v>
      </c>
      <c r="F161" s="9" t="n">
        <f aca="false">2*D161</f>
        <v>10114</v>
      </c>
      <c r="G161" s="9" t="n">
        <f aca="false">MOD(F161,10)</f>
        <v>4</v>
      </c>
      <c r="H161" s="9" t="n">
        <f aca="false">G161/2</f>
        <v>2</v>
      </c>
      <c r="I161" s="9" t="str">
        <f aca="false">IF(H161=0,"—",IF(H161=1,"unison (1:1)",IF(H161=2,"octave (2:1)",IF(H161=3,"fifth (3:2)",IF(H161=4,"fourth (4:3)","?")))))</f>
        <v>octave (2:1)</v>
      </c>
      <c r="J161" s="9" t="str">
        <f aca="false">IF(H161=0,"—",IF(H161=1,"ὁμώνυμον",IF(H161=2,"διὰ πασῶν",IF(H161=3,"διὰ πέντε",IF(H161=4,"διὰ τεσσάρων","?")))))</f>
        <v>διὰ πασῶν</v>
      </c>
      <c r="K161" s="10"/>
      <c r="L161" s="14"/>
      <c r="M161" s="13"/>
    </row>
    <row r="162" customFormat="false" ht="15.75" hidden="false" customHeight="true" outlineLevel="0" collapsed="false">
      <c r="A162" s="8" t="n">
        <f aca="false">A161+1</f>
        <v>160</v>
      </c>
      <c r="B162" s="9" t="n">
        <f aca="false">MOD(4*A162^2,10)</f>
        <v>0</v>
      </c>
      <c r="C162" s="9" t="n">
        <f aca="false">(26*B162-5*B162^2)/24</f>
        <v>0</v>
      </c>
      <c r="D162" s="9" t="n">
        <f aca="false">(A162^2+4*C162)/5</f>
        <v>5120</v>
      </c>
      <c r="E162" s="9" t="n">
        <f aca="false">MOD(D162,10)</f>
        <v>0</v>
      </c>
      <c r="F162" s="9" t="n">
        <f aca="false">2*D162</f>
        <v>10240</v>
      </c>
      <c r="G162" s="9" t="n">
        <f aca="false">MOD(F162,10)</f>
        <v>0</v>
      </c>
      <c r="H162" s="9" t="n">
        <f aca="false">G162/2</f>
        <v>0</v>
      </c>
      <c r="I162" s="9" t="str">
        <f aca="false">IF(H162=0,"—",IF(H162=1,"unison (1:1)",IF(H162=2,"octave (2:1)",IF(H162=3,"fifth (3:2)",IF(H162=4,"fourth (4:3)","?")))))</f>
        <v>—</v>
      </c>
      <c r="J162" s="9" t="str">
        <f aca="false">IF(H162=0,"—",IF(H162=1,"ὁμώνυμον",IF(H162=2,"διὰ πασῶν",IF(H162=3,"διὰ πέντε",IF(H162=4,"διὰ τεσσάρων","?")))))</f>
        <v>—</v>
      </c>
      <c r="K162" s="10"/>
      <c r="L162" s="14"/>
      <c r="M162" s="13"/>
    </row>
    <row r="163" customFormat="false" ht="15.75" hidden="false" customHeight="true" outlineLevel="0" collapsed="false">
      <c r="A163" s="8" t="n">
        <f aca="false">A162+1</f>
        <v>161</v>
      </c>
      <c r="B163" s="9" t="n">
        <f aca="false">MOD(4*A163^2,10)</f>
        <v>4</v>
      </c>
      <c r="C163" s="9" t="n">
        <f aca="false">(26*B163-5*B163^2)/24</f>
        <v>1</v>
      </c>
      <c r="D163" s="9" t="n">
        <f aca="false">(A163^2+4*C163)/5</f>
        <v>5185</v>
      </c>
      <c r="E163" s="9" t="n">
        <f aca="false">MOD(D163,10)</f>
        <v>5</v>
      </c>
      <c r="F163" s="9" t="n">
        <f aca="false">2*D163</f>
        <v>10370</v>
      </c>
      <c r="G163" s="9" t="n">
        <f aca="false">MOD(F163,10)</f>
        <v>0</v>
      </c>
      <c r="H163" s="9" t="n">
        <f aca="false">G163/2</f>
        <v>0</v>
      </c>
      <c r="I163" s="9" t="str">
        <f aca="false">IF(H163=0,"—",IF(H163=1,"unison (1:1)",IF(H163=2,"octave (2:1)",IF(H163=3,"fifth (3:2)",IF(H163=4,"fourth (4:3)","?")))))</f>
        <v>—</v>
      </c>
      <c r="J163" s="9" t="str">
        <f aca="false">IF(H163=0,"—",IF(H163=1,"ὁμώνυμον",IF(H163=2,"διὰ πασῶν",IF(H163=3,"διὰ πέντε",IF(H163=4,"διὰ τεσσάρων","?")))))</f>
        <v>—</v>
      </c>
      <c r="K163" s="10"/>
      <c r="L163" s="14"/>
      <c r="M163" s="13"/>
    </row>
    <row r="164" customFormat="false" ht="15.75" hidden="false" customHeight="true" outlineLevel="0" collapsed="false">
      <c r="A164" s="8" t="n">
        <f aca="false">A163+1</f>
        <v>162</v>
      </c>
      <c r="B164" s="9" t="n">
        <f aca="false">MOD(4*A164^2,10)</f>
        <v>6</v>
      </c>
      <c r="C164" s="9" t="n">
        <f aca="false">(26*B164-5*B164^2)/24</f>
        <v>-1</v>
      </c>
      <c r="D164" s="9" t="n">
        <f aca="false">(A164^2+4*C164)/5</f>
        <v>5248</v>
      </c>
      <c r="E164" s="9" t="n">
        <f aca="false">MOD(D164,10)</f>
        <v>8</v>
      </c>
      <c r="F164" s="9" t="n">
        <f aca="false">2*D164</f>
        <v>10496</v>
      </c>
      <c r="G164" s="9" t="n">
        <f aca="false">MOD(F164,10)</f>
        <v>6</v>
      </c>
      <c r="H164" s="9" t="n">
        <f aca="false">G164/2</f>
        <v>3</v>
      </c>
      <c r="I164" s="9" t="str">
        <f aca="false">IF(H164=0,"—",IF(H164=1,"unison (1:1)",IF(H164=2,"octave (2:1)",IF(H164=3,"fifth (3:2)",IF(H164=4,"fourth (4:3)","?")))))</f>
        <v>fifth (3:2)</v>
      </c>
      <c r="J164" s="9" t="str">
        <f aca="false">IF(H164=0,"—",IF(H164=1,"ὁμώνυμον",IF(H164=2,"διὰ πασῶν",IF(H164=3,"διὰ πέντε",IF(H164=4,"διὰ τεσσάρων","?")))))</f>
        <v>διὰ πέντε</v>
      </c>
      <c r="K164" s="10"/>
      <c r="L164" s="14"/>
      <c r="M164" s="13"/>
    </row>
    <row r="165" customFormat="false" ht="15.75" hidden="false" customHeight="true" outlineLevel="0" collapsed="false">
      <c r="A165" s="8" t="n">
        <f aca="false">A164+1</f>
        <v>163</v>
      </c>
      <c r="B165" s="9" t="n">
        <f aca="false">MOD(4*A165^2,10)</f>
        <v>6</v>
      </c>
      <c r="C165" s="9" t="n">
        <f aca="false">(26*B165-5*B165^2)/24</f>
        <v>-1</v>
      </c>
      <c r="D165" s="9" t="n">
        <f aca="false">(A165^2+4*C165)/5</f>
        <v>5313</v>
      </c>
      <c r="E165" s="9" t="n">
        <f aca="false">MOD(D165,10)</f>
        <v>3</v>
      </c>
      <c r="F165" s="9" t="n">
        <f aca="false">2*D165</f>
        <v>10626</v>
      </c>
      <c r="G165" s="9" t="n">
        <f aca="false">MOD(F165,10)</f>
        <v>6</v>
      </c>
      <c r="H165" s="9" t="n">
        <f aca="false">G165/2</f>
        <v>3</v>
      </c>
      <c r="I165" s="9" t="str">
        <f aca="false">IF(H165=0,"—",IF(H165=1,"unison (1:1)",IF(H165=2,"octave (2:1)",IF(H165=3,"fifth (3:2)",IF(H165=4,"fourth (4:3)","?")))))</f>
        <v>fifth (3:2)</v>
      </c>
      <c r="J165" s="9" t="str">
        <f aca="false">IF(H165=0,"—",IF(H165=1,"ὁμώνυμον",IF(H165=2,"διὰ πασῶν",IF(H165=3,"διὰ πέντε",IF(H165=4,"διὰ τεσσάρων","?")))))</f>
        <v>διὰ πέντε</v>
      </c>
      <c r="K165" s="10"/>
      <c r="L165" s="14"/>
      <c r="M165" s="13"/>
    </row>
    <row r="166" customFormat="false" ht="15.75" hidden="false" customHeight="true" outlineLevel="0" collapsed="false">
      <c r="A166" s="8" t="n">
        <f aca="false">A165+1</f>
        <v>164</v>
      </c>
      <c r="B166" s="9" t="n">
        <f aca="false">MOD(4*A166^2,10)</f>
        <v>4</v>
      </c>
      <c r="C166" s="9" t="n">
        <f aca="false">(26*B166-5*B166^2)/24</f>
        <v>1</v>
      </c>
      <c r="D166" s="9" t="n">
        <f aca="false">(A166^2+4*C166)/5</f>
        <v>5380</v>
      </c>
      <c r="E166" s="9" t="n">
        <f aca="false">MOD(D166,10)</f>
        <v>0</v>
      </c>
      <c r="F166" s="9" t="n">
        <f aca="false">2*D166</f>
        <v>10760</v>
      </c>
      <c r="G166" s="9" t="n">
        <f aca="false">MOD(F166,10)</f>
        <v>0</v>
      </c>
      <c r="H166" s="9" t="n">
        <f aca="false">G166/2</f>
        <v>0</v>
      </c>
      <c r="I166" s="9" t="str">
        <f aca="false">IF(H166=0,"—",IF(H166=1,"unison (1:1)",IF(H166=2,"octave (2:1)",IF(H166=3,"fifth (3:2)",IF(H166=4,"fourth (4:3)","?")))))</f>
        <v>—</v>
      </c>
      <c r="J166" s="9" t="str">
        <f aca="false">IF(H166=0,"—",IF(H166=1,"ὁμώνυμον",IF(H166=2,"διὰ πασῶν",IF(H166=3,"διὰ πέντε",IF(H166=4,"διὰ τεσσάρων","?")))))</f>
        <v>—</v>
      </c>
      <c r="K166" s="10"/>
      <c r="L166" s="14"/>
      <c r="M166" s="13"/>
    </row>
    <row r="167" customFormat="false" ht="15.75" hidden="false" customHeight="true" outlineLevel="0" collapsed="false">
      <c r="A167" s="8" t="n">
        <f aca="false">A166+1</f>
        <v>165</v>
      </c>
      <c r="B167" s="9" t="n">
        <f aca="false">MOD(4*A167^2,10)</f>
        <v>0</v>
      </c>
      <c r="C167" s="9" t="n">
        <f aca="false">(26*B167-5*B167^2)/24</f>
        <v>0</v>
      </c>
      <c r="D167" s="9" t="n">
        <f aca="false">(A167^2+4*C167)/5</f>
        <v>5445</v>
      </c>
      <c r="E167" s="9" t="n">
        <f aca="false">MOD(D167,10)</f>
        <v>5</v>
      </c>
      <c r="F167" s="9" t="n">
        <f aca="false">2*D167</f>
        <v>10890</v>
      </c>
      <c r="G167" s="9" t="n">
        <f aca="false">MOD(F167,10)</f>
        <v>0</v>
      </c>
      <c r="H167" s="9" t="n">
        <f aca="false">G167/2</f>
        <v>0</v>
      </c>
      <c r="I167" s="9" t="str">
        <f aca="false">IF(H167=0,"—",IF(H167=1,"unison (1:1)",IF(H167=2,"octave (2:1)",IF(H167=3,"fifth (3:2)",IF(H167=4,"fourth (4:3)","?")))))</f>
        <v>—</v>
      </c>
      <c r="J167" s="9" t="str">
        <f aca="false">IF(H167=0,"—",IF(H167=1,"ὁμώνυμον",IF(H167=2,"διὰ πασῶν",IF(H167=3,"διὰ πέντε",IF(H167=4,"διὰ τεσσάρων","?")))))</f>
        <v>—</v>
      </c>
      <c r="K167" s="10"/>
      <c r="L167" s="14"/>
      <c r="M167" s="13"/>
    </row>
    <row r="168" customFormat="false" ht="15.75" hidden="false" customHeight="true" outlineLevel="0" collapsed="false">
      <c r="A168" s="8" t="n">
        <f aca="false">A167+1</f>
        <v>166</v>
      </c>
      <c r="B168" s="9" t="n">
        <f aca="false">MOD(4*A168^2,10)</f>
        <v>4</v>
      </c>
      <c r="C168" s="9" t="n">
        <f aca="false">(26*B168-5*B168^2)/24</f>
        <v>1</v>
      </c>
      <c r="D168" s="9" t="n">
        <f aca="false">(A168^2+4*C168)/5</f>
        <v>5512</v>
      </c>
      <c r="E168" s="9" t="n">
        <f aca="false">MOD(D168,10)</f>
        <v>2</v>
      </c>
      <c r="F168" s="9" t="n">
        <f aca="false">2*D168</f>
        <v>11024</v>
      </c>
      <c r="G168" s="9" t="n">
        <f aca="false">MOD(F168,10)</f>
        <v>4</v>
      </c>
      <c r="H168" s="9" t="n">
        <f aca="false">G168/2</f>
        <v>2</v>
      </c>
      <c r="I168" s="9" t="str">
        <f aca="false">IF(H168=0,"—",IF(H168=1,"unison (1:1)",IF(H168=2,"octave (2:1)",IF(H168=3,"fifth (3:2)",IF(H168=4,"fourth (4:3)","?")))))</f>
        <v>octave (2:1)</v>
      </c>
      <c r="J168" s="9" t="str">
        <f aca="false">IF(H168=0,"—",IF(H168=1,"ὁμώνυμον",IF(H168=2,"διὰ πασῶν",IF(H168=3,"διὰ πέντε",IF(H168=4,"διὰ τεσσάρων","?")))))</f>
        <v>διὰ πασῶν</v>
      </c>
      <c r="K168" s="10"/>
      <c r="L168" s="14"/>
      <c r="M168" s="13"/>
    </row>
    <row r="169" customFormat="false" ht="15.75" hidden="false" customHeight="true" outlineLevel="0" collapsed="false">
      <c r="A169" s="8" t="n">
        <f aca="false">A168+1</f>
        <v>167</v>
      </c>
      <c r="B169" s="9" t="n">
        <f aca="false">MOD(4*A169^2,10)</f>
        <v>6</v>
      </c>
      <c r="C169" s="9" t="n">
        <f aca="false">(26*B169-5*B169^2)/24</f>
        <v>-1</v>
      </c>
      <c r="D169" s="9" t="n">
        <f aca="false">(A169^2+4*C169)/5</f>
        <v>5577</v>
      </c>
      <c r="E169" s="9" t="n">
        <f aca="false">MOD(D169,10)</f>
        <v>7</v>
      </c>
      <c r="F169" s="9" t="n">
        <f aca="false">2*D169</f>
        <v>11154</v>
      </c>
      <c r="G169" s="9" t="n">
        <f aca="false">MOD(F169,10)</f>
        <v>4</v>
      </c>
      <c r="H169" s="9" t="n">
        <f aca="false">G169/2</f>
        <v>2</v>
      </c>
      <c r="I169" s="9" t="str">
        <f aca="false">IF(H169=0,"—",IF(H169=1,"unison (1:1)",IF(H169=2,"octave (2:1)",IF(H169=3,"fifth (3:2)",IF(H169=4,"fourth (4:3)","?")))))</f>
        <v>octave (2:1)</v>
      </c>
      <c r="J169" s="9" t="str">
        <f aca="false">IF(H169=0,"—",IF(H169=1,"ὁμώνυμον",IF(H169=2,"διὰ πασῶν",IF(H169=3,"διὰ πέντε",IF(H169=4,"διὰ τεσσάρων","?")))))</f>
        <v>διὰ πασῶν</v>
      </c>
      <c r="K169" s="10"/>
      <c r="L169" s="14"/>
      <c r="M169" s="13"/>
    </row>
    <row r="170" customFormat="false" ht="15.75" hidden="false" customHeight="true" outlineLevel="0" collapsed="false">
      <c r="A170" s="8" t="n">
        <f aca="false">A169+1</f>
        <v>168</v>
      </c>
      <c r="B170" s="9" t="n">
        <f aca="false">MOD(4*A170^2,10)</f>
        <v>6</v>
      </c>
      <c r="C170" s="9" t="n">
        <f aca="false">(26*B170-5*B170^2)/24</f>
        <v>-1</v>
      </c>
      <c r="D170" s="9" t="n">
        <f aca="false">(A170^2+4*C170)/5</f>
        <v>5644</v>
      </c>
      <c r="E170" s="9" t="n">
        <f aca="false">MOD(D170,10)</f>
        <v>4</v>
      </c>
      <c r="F170" s="9" t="n">
        <f aca="false">2*D170</f>
        <v>11288</v>
      </c>
      <c r="G170" s="9" t="n">
        <f aca="false">MOD(F170,10)</f>
        <v>8</v>
      </c>
      <c r="H170" s="9" t="n">
        <f aca="false">G170/2</f>
        <v>4</v>
      </c>
      <c r="I170" s="9" t="str">
        <f aca="false">IF(H170=0,"—",IF(H170=1,"unison (1:1)",IF(H170=2,"octave (2:1)",IF(H170=3,"fifth (3:2)",IF(H170=4,"fourth (4:3)","?")))))</f>
        <v>fourth (4:3)</v>
      </c>
      <c r="J170" s="9" t="str">
        <f aca="false">IF(H170=0,"—",IF(H170=1,"ὁμώνυμον",IF(H170=2,"διὰ πασῶν",IF(H170=3,"διὰ πέντε",IF(H170=4,"διὰ τεσσάρων","?")))))</f>
        <v>διὰ τεσσάρων</v>
      </c>
      <c r="K170" s="10"/>
      <c r="L170" s="14"/>
      <c r="M170" s="13"/>
    </row>
    <row r="171" customFormat="false" ht="15.75" hidden="false" customHeight="true" outlineLevel="0" collapsed="false">
      <c r="A171" s="8" t="n">
        <f aca="false">A170+1</f>
        <v>169</v>
      </c>
      <c r="B171" s="9" t="n">
        <f aca="false">MOD(4*A171^2,10)</f>
        <v>4</v>
      </c>
      <c r="C171" s="9" t="n">
        <f aca="false">(26*B171-5*B171^2)/24</f>
        <v>1</v>
      </c>
      <c r="D171" s="9" t="n">
        <f aca="false">(A171^2+4*C171)/5</f>
        <v>5713</v>
      </c>
      <c r="E171" s="9" t="n">
        <f aca="false">MOD(D171,10)</f>
        <v>3</v>
      </c>
      <c r="F171" s="9" t="n">
        <f aca="false">2*D171</f>
        <v>11426</v>
      </c>
      <c r="G171" s="9" t="n">
        <f aca="false">MOD(F171,10)</f>
        <v>6</v>
      </c>
      <c r="H171" s="9" t="n">
        <f aca="false">G171/2</f>
        <v>3</v>
      </c>
      <c r="I171" s="9" t="str">
        <f aca="false">IF(H171=0,"—",IF(H171=1,"unison (1:1)",IF(H171=2,"octave (2:1)",IF(H171=3,"fifth (3:2)",IF(H171=4,"fourth (4:3)","?")))))</f>
        <v>fifth (3:2)</v>
      </c>
      <c r="J171" s="9" t="str">
        <f aca="false">IF(H171=0,"—",IF(H171=1,"ὁμώνυμον",IF(H171=2,"διὰ πασῶν",IF(H171=3,"διὰ πέντε",IF(H171=4,"διὰ τεσσάρων","?")))))</f>
        <v>διὰ πέντε</v>
      </c>
      <c r="K171" s="10"/>
      <c r="L171" s="14"/>
      <c r="M171" s="13"/>
    </row>
    <row r="172" customFormat="false" ht="15.75" hidden="false" customHeight="true" outlineLevel="0" collapsed="false">
      <c r="A172" s="8" t="n">
        <f aca="false">A171+1</f>
        <v>170</v>
      </c>
      <c r="B172" s="9" t="n">
        <f aca="false">MOD(4*A172^2,10)</f>
        <v>0</v>
      </c>
      <c r="C172" s="9" t="n">
        <f aca="false">(26*B172-5*B172^2)/24</f>
        <v>0</v>
      </c>
      <c r="D172" s="9" t="n">
        <f aca="false">(A172^2+4*C172)/5</f>
        <v>5780</v>
      </c>
      <c r="E172" s="9" t="n">
        <f aca="false">MOD(D172,10)</f>
        <v>0</v>
      </c>
      <c r="F172" s="9" t="n">
        <f aca="false">2*D172</f>
        <v>11560</v>
      </c>
      <c r="G172" s="9" t="n">
        <f aca="false">MOD(F172,10)</f>
        <v>0</v>
      </c>
      <c r="H172" s="9" t="n">
        <f aca="false">G172/2</f>
        <v>0</v>
      </c>
      <c r="I172" s="9" t="str">
        <f aca="false">IF(H172=0,"—",IF(H172=1,"unison (1:1)",IF(H172=2,"octave (2:1)",IF(H172=3,"fifth (3:2)",IF(H172=4,"fourth (4:3)","?")))))</f>
        <v>—</v>
      </c>
      <c r="J172" s="9" t="str">
        <f aca="false">IF(H172=0,"—",IF(H172=1,"ὁμώνυμον",IF(H172=2,"διὰ πασῶν",IF(H172=3,"διὰ πέντε",IF(H172=4,"διὰ τεσσάρων","?")))))</f>
        <v>—</v>
      </c>
      <c r="K172" s="10"/>
      <c r="L172" s="14"/>
      <c r="M172" s="13"/>
    </row>
    <row r="173" customFormat="false" ht="15.75" hidden="false" customHeight="true" outlineLevel="0" collapsed="false">
      <c r="A173" s="8" t="n">
        <f aca="false">A172+1</f>
        <v>171</v>
      </c>
      <c r="B173" s="9" t="n">
        <f aca="false">MOD(4*A173^2,10)</f>
        <v>4</v>
      </c>
      <c r="C173" s="9" t="n">
        <f aca="false">(26*B173-5*B173^2)/24</f>
        <v>1</v>
      </c>
      <c r="D173" s="9" t="n">
        <f aca="false">(A173^2+4*C173)/5</f>
        <v>5849</v>
      </c>
      <c r="E173" s="9" t="n">
        <f aca="false">MOD(D173,10)</f>
        <v>9</v>
      </c>
      <c r="F173" s="9" t="n">
        <f aca="false">2*D173</f>
        <v>11698</v>
      </c>
      <c r="G173" s="9" t="n">
        <f aca="false">MOD(F173,10)</f>
        <v>8</v>
      </c>
      <c r="H173" s="9" t="n">
        <f aca="false">G173/2</f>
        <v>4</v>
      </c>
      <c r="I173" s="9" t="str">
        <f aca="false">IF(H173=0,"—",IF(H173=1,"unison (1:1)",IF(H173=2,"octave (2:1)",IF(H173=3,"fifth (3:2)",IF(H173=4,"fourth (4:3)","?")))))</f>
        <v>fourth (4:3)</v>
      </c>
      <c r="J173" s="9" t="str">
        <f aca="false">IF(H173=0,"—",IF(H173=1,"ὁμώνυμον",IF(H173=2,"διὰ πασῶν",IF(H173=3,"διὰ πέντε",IF(H173=4,"διὰ τεσσάρων","?")))))</f>
        <v>διὰ τεσσάρων</v>
      </c>
      <c r="K173" s="10"/>
      <c r="L173" s="14"/>
      <c r="M173" s="13"/>
    </row>
    <row r="174" customFormat="false" ht="15.75" hidden="false" customHeight="true" outlineLevel="0" collapsed="false">
      <c r="A174" s="8" t="n">
        <f aca="false">A173+1</f>
        <v>172</v>
      </c>
      <c r="B174" s="9" t="n">
        <f aca="false">MOD(4*A174^2,10)</f>
        <v>6</v>
      </c>
      <c r="C174" s="9" t="n">
        <f aca="false">(26*B174-5*B174^2)/24</f>
        <v>-1</v>
      </c>
      <c r="D174" s="9" t="n">
        <f aca="false">(A174^2+4*C174)/5</f>
        <v>5916</v>
      </c>
      <c r="E174" s="9" t="n">
        <f aca="false">MOD(D174,10)</f>
        <v>6</v>
      </c>
      <c r="F174" s="9" t="n">
        <f aca="false">2*D174</f>
        <v>11832</v>
      </c>
      <c r="G174" s="9" t="n">
        <f aca="false">MOD(F174,10)</f>
        <v>2</v>
      </c>
      <c r="H174" s="9" t="n">
        <f aca="false">G174/2</f>
        <v>1</v>
      </c>
      <c r="I174" s="9" t="str">
        <f aca="false">IF(H174=0,"—",IF(H174=1,"unison (1:1)",IF(H174=2,"octave (2:1)",IF(H174=3,"fifth (3:2)",IF(H174=4,"fourth (4:3)","?")))))</f>
        <v>unison (1:1)</v>
      </c>
      <c r="J174" s="9" t="str">
        <f aca="false">IF(H174=0,"—",IF(H174=1,"ὁμώνυμον",IF(H174=2,"διὰ πασῶν",IF(H174=3,"διὰ πέντε",IF(H174=4,"διὰ τεσσάρων","?")))))</f>
        <v>ὁμώνυμον</v>
      </c>
      <c r="K174" s="10"/>
      <c r="L174" s="14"/>
      <c r="M174" s="13"/>
    </row>
    <row r="175" customFormat="false" ht="15.75" hidden="false" customHeight="true" outlineLevel="0" collapsed="false">
      <c r="A175" s="8" t="n">
        <f aca="false">A174+1</f>
        <v>173</v>
      </c>
      <c r="B175" s="9" t="n">
        <f aca="false">MOD(4*A175^2,10)</f>
        <v>6</v>
      </c>
      <c r="C175" s="9" t="n">
        <f aca="false">(26*B175-5*B175^2)/24</f>
        <v>-1</v>
      </c>
      <c r="D175" s="9" t="n">
        <f aca="false">(A175^2+4*C175)/5</f>
        <v>5985</v>
      </c>
      <c r="E175" s="9" t="n">
        <f aca="false">MOD(D175,10)</f>
        <v>5</v>
      </c>
      <c r="F175" s="9" t="n">
        <f aca="false">2*D175</f>
        <v>11970</v>
      </c>
      <c r="G175" s="9" t="n">
        <f aca="false">MOD(F175,10)</f>
        <v>0</v>
      </c>
      <c r="H175" s="9" t="n">
        <f aca="false">G175/2</f>
        <v>0</v>
      </c>
      <c r="I175" s="9" t="str">
        <f aca="false">IF(H175=0,"—",IF(H175=1,"unison (1:1)",IF(H175=2,"octave (2:1)",IF(H175=3,"fifth (3:2)",IF(H175=4,"fourth (4:3)","?")))))</f>
        <v>—</v>
      </c>
      <c r="J175" s="9" t="str">
        <f aca="false">IF(H175=0,"—",IF(H175=1,"ὁμώνυμον",IF(H175=2,"διὰ πασῶν",IF(H175=3,"διὰ πέντε",IF(H175=4,"διὰ τεσσάρων","?")))))</f>
        <v>—</v>
      </c>
      <c r="K175" s="10"/>
      <c r="L175" s="14"/>
      <c r="M175" s="13"/>
    </row>
    <row r="176" customFormat="false" ht="15.75" hidden="false" customHeight="true" outlineLevel="0" collapsed="false">
      <c r="A176" s="8" t="n">
        <f aca="false">A175+1</f>
        <v>174</v>
      </c>
      <c r="B176" s="9" t="n">
        <f aca="false">MOD(4*A176^2,10)</f>
        <v>4</v>
      </c>
      <c r="C176" s="9" t="n">
        <f aca="false">(26*B176-5*B176^2)/24</f>
        <v>1</v>
      </c>
      <c r="D176" s="9" t="n">
        <f aca="false">(A176^2+4*C176)/5</f>
        <v>6056</v>
      </c>
      <c r="E176" s="9" t="n">
        <f aca="false">MOD(D176,10)</f>
        <v>6</v>
      </c>
      <c r="F176" s="9" t="n">
        <f aca="false">2*D176</f>
        <v>12112</v>
      </c>
      <c r="G176" s="9" t="n">
        <f aca="false">MOD(F176,10)</f>
        <v>2</v>
      </c>
      <c r="H176" s="9" t="n">
        <f aca="false">G176/2</f>
        <v>1</v>
      </c>
      <c r="I176" s="9" t="str">
        <f aca="false">IF(H176=0,"—",IF(H176=1,"unison (1:1)",IF(H176=2,"octave (2:1)",IF(H176=3,"fifth (3:2)",IF(H176=4,"fourth (4:3)","?")))))</f>
        <v>unison (1:1)</v>
      </c>
      <c r="J176" s="9" t="str">
        <f aca="false">IF(H176=0,"—",IF(H176=1,"ὁμώνυμον",IF(H176=2,"διὰ πασῶν",IF(H176=3,"διὰ πέντε",IF(H176=4,"διὰ τεσσάρων","?")))))</f>
        <v>ὁμώνυμον</v>
      </c>
      <c r="K176" s="10"/>
      <c r="L176" s="14"/>
      <c r="M176" s="13"/>
    </row>
    <row r="177" customFormat="false" ht="15.75" hidden="false" customHeight="true" outlineLevel="0" collapsed="false">
      <c r="A177" s="8" t="n">
        <f aca="false">A176+1</f>
        <v>175</v>
      </c>
      <c r="B177" s="9" t="n">
        <f aca="false">MOD(4*A177^2,10)</f>
        <v>0</v>
      </c>
      <c r="C177" s="9" t="n">
        <f aca="false">(26*B177-5*B177^2)/24</f>
        <v>0</v>
      </c>
      <c r="D177" s="9" t="n">
        <f aca="false">(A177^2+4*C177)/5</f>
        <v>6125</v>
      </c>
      <c r="E177" s="9" t="n">
        <f aca="false">MOD(D177,10)</f>
        <v>5</v>
      </c>
      <c r="F177" s="9" t="n">
        <f aca="false">2*D177</f>
        <v>12250</v>
      </c>
      <c r="G177" s="9" t="n">
        <f aca="false">MOD(F177,10)</f>
        <v>0</v>
      </c>
      <c r="H177" s="9" t="n">
        <f aca="false">G177/2</f>
        <v>0</v>
      </c>
      <c r="I177" s="9" t="str">
        <f aca="false">IF(H177=0,"—",IF(H177=1,"unison (1:1)",IF(H177=2,"octave (2:1)",IF(H177=3,"fifth (3:2)",IF(H177=4,"fourth (4:3)","?")))))</f>
        <v>—</v>
      </c>
      <c r="J177" s="9" t="str">
        <f aca="false">IF(H177=0,"—",IF(H177=1,"ὁμώνυμον",IF(H177=2,"διὰ πασῶν",IF(H177=3,"διὰ πέντε",IF(H177=4,"διὰ τεσσάρων","?")))))</f>
        <v>—</v>
      </c>
      <c r="K177" s="10"/>
      <c r="L177" s="14"/>
      <c r="M177" s="13"/>
    </row>
    <row r="178" customFormat="false" ht="15.75" hidden="false" customHeight="true" outlineLevel="0" collapsed="false">
      <c r="A178" s="8" t="n">
        <f aca="false">A177+1</f>
        <v>176</v>
      </c>
      <c r="B178" s="9" t="n">
        <f aca="false">MOD(4*A178^2,10)</f>
        <v>4</v>
      </c>
      <c r="C178" s="9" t="n">
        <f aca="false">(26*B178-5*B178^2)/24</f>
        <v>1</v>
      </c>
      <c r="D178" s="9" t="n">
        <f aca="false">(A178^2+4*C178)/5</f>
        <v>6196</v>
      </c>
      <c r="E178" s="9" t="n">
        <f aca="false">MOD(D178,10)</f>
        <v>6</v>
      </c>
      <c r="F178" s="9" t="n">
        <f aca="false">2*D178</f>
        <v>12392</v>
      </c>
      <c r="G178" s="9" t="n">
        <f aca="false">MOD(F178,10)</f>
        <v>2</v>
      </c>
      <c r="H178" s="9" t="n">
        <f aca="false">G178/2</f>
        <v>1</v>
      </c>
      <c r="I178" s="9" t="str">
        <f aca="false">IF(H178=0,"—",IF(H178=1,"unison (1:1)",IF(H178=2,"octave (2:1)",IF(H178=3,"fifth (3:2)",IF(H178=4,"fourth (4:3)","?")))))</f>
        <v>unison (1:1)</v>
      </c>
      <c r="J178" s="9" t="str">
        <f aca="false">IF(H178=0,"—",IF(H178=1,"ὁμώνυμον",IF(H178=2,"διὰ πασῶν",IF(H178=3,"διὰ πέντε",IF(H178=4,"διὰ τεσσάρων","?")))))</f>
        <v>ὁμώνυμον</v>
      </c>
      <c r="K178" s="10"/>
      <c r="L178" s="14"/>
      <c r="M178" s="13"/>
    </row>
    <row r="179" customFormat="false" ht="15.75" hidden="false" customHeight="true" outlineLevel="0" collapsed="false">
      <c r="A179" s="8" t="n">
        <f aca="false">A178+1</f>
        <v>177</v>
      </c>
      <c r="B179" s="9" t="n">
        <f aca="false">MOD(4*A179^2,10)</f>
        <v>6</v>
      </c>
      <c r="C179" s="9" t="n">
        <f aca="false">(26*B179-5*B179^2)/24</f>
        <v>-1</v>
      </c>
      <c r="D179" s="9" t="n">
        <f aca="false">(A179^2+4*C179)/5</f>
        <v>6265</v>
      </c>
      <c r="E179" s="9" t="n">
        <f aca="false">MOD(D179,10)</f>
        <v>5</v>
      </c>
      <c r="F179" s="9" t="n">
        <f aca="false">2*D179</f>
        <v>12530</v>
      </c>
      <c r="G179" s="9" t="n">
        <f aca="false">MOD(F179,10)</f>
        <v>0</v>
      </c>
      <c r="H179" s="9" t="n">
        <f aca="false">G179/2</f>
        <v>0</v>
      </c>
      <c r="I179" s="9" t="str">
        <f aca="false">IF(H179=0,"—",IF(H179=1,"unison (1:1)",IF(H179=2,"octave (2:1)",IF(H179=3,"fifth (3:2)",IF(H179=4,"fourth (4:3)","?")))))</f>
        <v>—</v>
      </c>
      <c r="J179" s="9" t="str">
        <f aca="false">IF(H179=0,"—",IF(H179=1,"ὁμώνυμον",IF(H179=2,"διὰ πασῶν",IF(H179=3,"διὰ πέντε",IF(H179=4,"διὰ τεσσάρων","?")))))</f>
        <v>—</v>
      </c>
      <c r="K179" s="10"/>
      <c r="L179" s="14"/>
      <c r="M179" s="13"/>
    </row>
    <row r="180" customFormat="false" ht="15.75" hidden="false" customHeight="true" outlineLevel="0" collapsed="false">
      <c r="A180" s="8" t="n">
        <f aca="false">A179+1</f>
        <v>178</v>
      </c>
      <c r="B180" s="9" t="n">
        <f aca="false">MOD(4*A180^2,10)</f>
        <v>6</v>
      </c>
      <c r="C180" s="9" t="n">
        <f aca="false">(26*B180-5*B180^2)/24</f>
        <v>-1</v>
      </c>
      <c r="D180" s="9" t="n">
        <f aca="false">(A180^2+4*C180)/5</f>
        <v>6336</v>
      </c>
      <c r="E180" s="9" t="n">
        <f aca="false">MOD(D180,10)</f>
        <v>6</v>
      </c>
      <c r="F180" s="9" t="n">
        <f aca="false">2*D180</f>
        <v>12672</v>
      </c>
      <c r="G180" s="9" t="n">
        <f aca="false">MOD(F180,10)</f>
        <v>2</v>
      </c>
      <c r="H180" s="9" t="n">
        <f aca="false">G180/2</f>
        <v>1</v>
      </c>
      <c r="I180" s="9" t="str">
        <f aca="false">IF(H180=0,"—",IF(H180=1,"unison (1:1)",IF(H180=2,"octave (2:1)",IF(H180=3,"fifth (3:2)",IF(H180=4,"fourth (4:3)","?")))))</f>
        <v>unison (1:1)</v>
      </c>
      <c r="J180" s="9" t="str">
        <f aca="false">IF(H180=0,"—",IF(H180=1,"ὁμώνυμον",IF(H180=2,"διὰ πασῶν",IF(H180=3,"διὰ πέντε",IF(H180=4,"διὰ τεσσάρων","?")))))</f>
        <v>ὁμώνυμον</v>
      </c>
      <c r="K180" s="10"/>
      <c r="L180" s="14"/>
      <c r="M180" s="13"/>
    </row>
    <row r="181" customFormat="false" ht="15.75" hidden="false" customHeight="true" outlineLevel="0" collapsed="false">
      <c r="A181" s="8" t="n">
        <f aca="false">A180+1</f>
        <v>179</v>
      </c>
      <c r="B181" s="9" t="n">
        <f aca="false">MOD(4*A181^2,10)</f>
        <v>4</v>
      </c>
      <c r="C181" s="9" t="n">
        <f aca="false">(26*B181-5*B181^2)/24</f>
        <v>1</v>
      </c>
      <c r="D181" s="9" t="n">
        <f aca="false">(A181^2+4*C181)/5</f>
        <v>6409</v>
      </c>
      <c r="E181" s="9" t="n">
        <f aca="false">MOD(D181,10)</f>
        <v>9</v>
      </c>
      <c r="F181" s="9" t="n">
        <f aca="false">2*D181</f>
        <v>12818</v>
      </c>
      <c r="G181" s="9" t="n">
        <f aca="false">MOD(F181,10)</f>
        <v>8</v>
      </c>
      <c r="H181" s="9" t="n">
        <f aca="false">G181/2</f>
        <v>4</v>
      </c>
      <c r="I181" s="9" t="str">
        <f aca="false">IF(H181=0,"—",IF(H181=1,"unison (1:1)",IF(H181=2,"octave (2:1)",IF(H181=3,"fifth (3:2)",IF(H181=4,"fourth (4:3)","?")))))</f>
        <v>fourth (4:3)</v>
      </c>
      <c r="J181" s="9" t="str">
        <f aca="false">IF(H181=0,"—",IF(H181=1,"ὁμώνυμον",IF(H181=2,"διὰ πασῶν",IF(H181=3,"διὰ πέντε",IF(H181=4,"διὰ τεσσάρων","?")))))</f>
        <v>διὰ τεσσάρων</v>
      </c>
      <c r="K181" s="10"/>
      <c r="L181" s="14"/>
      <c r="M181" s="13"/>
    </row>
    <row r="182" customFormat="false" ht="15.75" hidden="false" customHeight="true" outlineLevel="0" collapsed="false">
      <c r="A182" s="8" t="n">
        <f aca="false">A181+1</f>
        <v>180</v>
      </c>
      <c r="B182" s="9" t="n">
        <f aca="false">MOD(4*A182^2,10)</f>
        <v>0</v>
      </c>
      <c r="C182" s="9" t="n">
        <f aca="false">(26*B182-5*B182^2)/24</f>
        <v>0</v>
      </c>
      <c r="D182" s="9" t="n">
        <f aca="false">(A182^2+4*C182)/5</f>
        <v>6480</v>
      </c>
      <c r="E182" s="9" t="n">
        <f aca="false">MOD(D182,10)</f>
        <v>0</v>
      </c>
      <c r="F182" s="9" t="n">
        <f aca="false">2*D182</f>
        <v>12960</v>
      </c>
      <c r="G182" s="9" t="n">
        <f aca="false">MOD(F182,10)</f>
        <v>0</v>
      </c>
      <c r="H182" s="9" t="n">
        <f aca="false">G182/2</f>
        <v>0</v>
      </c>
      <c r="I182" s="9" t="str">
        <f aca="false">IF(H182=0,"—",IF(H182=1,"unison (1:1)",IF(H182=2,"octave (2:1)",IF(H182=3,"fifth (3:2)",IF(H182=4,"fourth (4:3)","?")))))</f>
        <v>—</v>
      </c>
      <c r="J182" s="9" t="str">
        <f aca="false">IF(H182=0,"—",IF(H182=1,"ὁμώνυμον",IF(H182=2,"διὰ πασῶν",IF(H182=3,"διὰ πέντε",IF(H182=4,"διὰ τεσσάρων","?")))))</f>
        <v>—</v>
      </c>
      <c r="K182" s="10"/>
      <c r="L182" s="14"/>
      <c r="M182" s="13"/>
    </row>
    <row r="183" customFormat="false" ht="15.75" hidden="false" customHeight="true" outlineLevel="0" collapsed="false">
      <c r="A183" s="8" t="n">
        <f aca="false">A182+1</f>
        <v>181</v>
      </c>
      <c r="B183" s="9" t="n">
        <f aca="false">MOD(4*A183^2,10)</f>
        <v>4</v>
      </c>
      <c r="C183" s="9" t="n">
        <f aca="false">(26*B183-5*B183^2)/24</f>
        <v>1</v>
      </c>
      <c r="D183" s="9" t="n">
        <f aca="false">(A183^2+4*C183)/5</f>
        <v>6553</v>
      </c>
      <c r="E183" s="9" t="n">
        <f aca="false">MOD(D183,10)</f>
        <v>3</v>
      </c>
      <c r="F183" s="9" t="n">
        <f aca="false">2*D183</f>
        <v>13106</v>
      </c>
      <c r="G183" s="9" t="n">
        <f aca="false">MOD(F183,10)</f>
        <v>6</v>
      </c>
      <c r="H183" s="9" t="n">
        <f aca="false">G183/2</f>
        <v>3</v>
      </c>
      <c r="I183" s="9" t="str">
        <f aca="false">IF(H183=0,"—",IF(H183=1,"unison (1:1)",IF(H183=2,"octave (2:1)",IF(H183=3,"fifth (3:2)",IF(H183=4,"fourth (4:3)","?")))))</f>
        <v>fifth (3:2)</v>
      </c>
      <c r="J183" s="9" t="str">
        <f aca="false">IF(H183=0,"—",IF(H183=1,"ὁμώνυμον",IF(H183=2,"διὰ πασῶν",IF(H183=3,"διὰ πέντε",IF(H183=4,"διὰ τεσσάρων","?")))))</f>
        <v>διὰ πέντε</v>
      </c>
      <c r="K183" s="10"/>
      <c r="L183" s="14"/>
      <c r="M183" s="13"/>
    </row>
    <row r="184" customFormat="false" ht="15.75" hidden="false" customHeight="true" outlineLevel="0" collapsed="false">
      <c r="A184" s="8" t="n">
        <f aca="false">A183+1</f>
        <v>182</v>
      </c>
      <c r="B184" s="9" t="n">
        <f aca="false">MOD(4*A184^2,10)</f>
        <v>6</v>
      </c>
      <c r="C184" s="9" t="n">
        <f aca="false">(26*B184-5*B184^2)/24</f>
        <v>-1</v>
      </c>
      <c r="D184" s="9" t="n">
        <f aca="false">(A184^2+4*C184)/5</f>
        <v>6624</v>
      </c>
      <c r="E184" s="9" t="n">
        <f aca="false">MOD(D184,10)</f>
        <v>4</v>
      </c>
      <c r="F184" s="9" t="n">
        <f aca="false">2*D184</f>
        <v>13248</v>
      </c>
      <c r="G184" s="9" t="n">
        <f aca="false">MOD(F184,10)</f>
        <v>8</v>
      </c>
      <c r="H184" s="9" t="n">
        <f aca="false">G184/2</f>
        <v>4</v>
      </c>
      <c r="I184" s="9" t="str">
        <f aca="false">IF(H184=0,"—",IF(H184=1,"unison (1:1)",IF(H184=2,"octave (2:1)",IF(H184=3,"fifth (3:2)",IF(H184=4,"fourth (4:3)","?")))))</f>
        <v>fourth (4:3)</v>
      </c>
      <c r="J184" s="9" t="str">
        <f aca="false">IF(H184=0,"—",IF(H184=1,"ὁμώνυμον",IF(H184=2,"διὰ πασῶν",IF(H184=3,"διὰ πέντε",IF(H184=4,"διὰ τεσσάρων","?")))))</f>
        <v>διὰ τεσσάρων</v>
      </c>
      <c r="K184" s="10"/>
      <c r="L184" s="14"/>
      <c r="M184" s="13"/>
    </row>
    <row r="185" customFormat="false" ht="15.75" hidden="false" customHeight="true" outlineLevel="0" collapsed="false">
      <c r="A185" s="8" t="n">
        <f aca="false">A184+1</f>
        <v>183</v>
      </c>
      <c r="B185" s="9" t="n">
        <f aca="false">MOD(4*A185^2,10)</f>
        <v>6</v>
      </c>
      <c r="C185" s="9" t="n">
        <f aca="false">(26*B185-5*B185^2)/24</f>
        <v>-1</v>
      </c>
      <c r="D185" s="9" t="n">
        <f aca="false">(A185^2+4*C185)/5</f>
        <v>6697</v>
      </c>
      <c r="E185" s="9" t="n">
        <f aca="false">MOD(D185,10)</f>
        <v>7</v>
      </c>
      <c r="F185" s="9" t="n">
        <f aca="false">2*D185</f>
        <v>13394</v>
      </c>
      <c r="G185" s="9" t="n">
        <f aca="false">MOD(F185,10)</f>
        <v>4</v>
      </c>
      <c r="H185" s="9" t="n">
        <f aca="false">G185/2</f>
        <v>2</v>
      </c>
      <c r="I185" s="9" t="str">
        <f aca="false">IF(H185=0,"—",IF(H185=1,"unison (1:1)",IF(H185=2,"octave (2:1)",IF(H185=3,"fifth (3:2)",IF(H185=4,"fourth (4:3)","?")))))</f>
        <v>octave (2:1)</v>
      </c>
      <c r="J185" s="9" t="str">
        <f aca="false">IF(H185=0,"—",IF(H185=1,"ὁμώνυμον",IF(H185=2,"διὰ πασῶν",IF(H185=3,"διὰ πέντε",IF(H185=4,"διὰ τεσσάρων","?")))))</f>
        <v>διὰ πασῶν</v>
      </c>
      <c r="K185" s="10"/>
      <c r="L185" s="14"/>
      <c r="M185" s="13"/>
    </row>
    <row r="186" customFormat="false" ht="15.75" hidden="false" customHeight="true" outlineLevel="0" collapsed="false">
      <c r="A186" s="8" t="n">
        <f aca="false">A185+1</f>
        <v>184</v>
      </c>
      <c r="B186" s="9" t="n">
        <f aca="false">MOD(4*A186^2,10)</f>
        <v>4</v>
      </c>
      <c r="C186" s="9" t="n">
        <f aca="false">(26*B186-5*B186^2)/24</f>
        <v>1</v>
      </c>
      <c r="D186" s="9" t="n">
        <f aca="false">(A186^2+4*C186)/5</f>
        <v>6772</v>
      </c>
      <c r="E186" s="9" t="n">
        <f aca="false">MOD(D186,10)</f>
        <v>2</v>
      </c>
      <c r="F186" s="9" t="n">
        <f aca="false">2*D186</f>
        <v>13544</v>
      </c>
      <c r="G186" s="9" t="n">
        <f aca="false">MOD(F186,10)</f>
        <v>4</v>
      </c>
      <c r="H186" s="9" t="n">
        <f aca="false">G186/2</f>
        <v>2</v>
      </c>
      <c r="I186" s="9" t="str">
        <f aca="false">IF(H186=0,"—",IF(H186=1,"unison (1:1)",IF(H186=2,"octave (2:1)",IF(H186=3,"fifth (3:2)",IF(H186=4,"fourth (4:3)","?")))))</f>
        <v>octave (2:1)</v>
      </c>
      <c r="J186" s="9" t="str">
        <f aca="false">IF(H186=0,"—",IF(H186=1,"ὁμώνυμον",IF(H186=2,"διὰ πασῶν",IF(H186=3,"διὰ πέντε",IF(H186=4,"διὰ τεσσάρων","?")))))</f>
        <v>διὰ πασῶν</v>
      </c>
      <c r="K186" s="10"/>
      <c r="L186" s="14"/>
      <c r="M186" s="13"/>
    </row>
    <row r="187" customFormat="false" ht="15.75" hidden="false" customHeight="true" outlineLevel="0" collapsed="false">
      <c r="A187" s="8" t="n">
        <f aca="false">A186+1</f>
        <v>185</v>
      </c>
      <c r="B187" s="9" t="n">
        <f aca="false">MOD(4*A187^2,10)</f>
        <v>0</v>
      </c>
      <c r="C187" s="9" t="n">
        <f aca="false">(26*B187-5*B187^2)/24</f>
        <v>0</v>
      </c>
      <c r="D187" s="9" t="n">
        <f aca="false">(A187^2+4*C187)/5</f>
        <v>6845</v>
      </c>
      <c r="E187" s="9" t="n">
        <f aca="false">MOD(D187,10)</f>
        <v>5</v>
      </c>
      <c r="F187" s="9" t="n">
        <f aca="false">2*D187</f>
        <v>13690</v>
      </c>
      <c r="G187" s="9" t="n">
        <f aca="false">MOD(F187,10)</f>
        <v>0</v>
      </c>
      <c r="H187" s="9" t="n">
        <f aca="false">G187/2</f>
        <v>0</v>
      </c>
      <c r="I187" s="9" t="str">
        <f aca="false">IF(H187=0,"—",IF(H187=1,"unison (1:1)",IF(H187=2,"octave (2:1)",IF(H187=3,"fifth (3:2)",IF(H187=4,"fourth (4:3)","?")))))</f>
        <v>—</v>
      </c>
      <c r="J187" s="9" t="str">
        <f aca="false">IF(H187=0,"—",IF(H187=1,"ὁμώνυμον",IF(H187=2,"διὰ πασῶν",IF(H187=3,"διὰ πέντε",IF(H187=4,"διὰ τεσσάρων","?")))))</f>
        <v>—</v>
      </c>
      <c r="K187" s="10"/>
      <c r="L187" s="14"/>
      <c r="M187" s="13"/>
    </row>
    <row r="188" customFormat="false" ht="15.75" hidden="false" customHeight="true" outlineLevel="0" collapsed="false">
      <c r="A188" s="8" t="n">
        <f aca="false">A187+1</f>
        <v>186</v>
      </c>
      <c r="B188" s="9" t="n">
        <f aca="false">MOD(4*A188^2,10)</f>
        <v>4</v>
      </c>
      <c r="C188" s="9" t="n">
        <f aca="false">(26*B188-5*B188^2)/24</f>
        <v>1</v>
      </c>
      <c r="D188" s="9" t="n">
        <f aca="false">(A188^2+4*C188)/5</f>
        <v>6920</v>
      </c>
      <c r="E188" s="9" t="n">
        <f aca="false">MOD(D188,10)</f>
        <v>0</v>
      </c>
      <c r="F188" s="9" t="n">
        <f aca="false">2*D188</f>
        <v>13840</v>
      </c>
      <c r="G188" s="9" t="n">
        <f aca="false">MOD(F188,10)</f>
        <v>0</v>
      </c>
      <c r="H188" s="9" t="n">
        <f aca="false">G188/2</f>
        <v>0</v>
      </c>
      <c r="I188" s="9" t="str">
        <f aca="false">IF(H188=0,"—",IF(H188=1,"unison (1:1)",IF(H188=2,"octave (2:1)",IF(H188=3,"fifth (3:2)",IF(H188=4,"fourth (4:3)","?")))))</f>
        <v>—</v>
      </c>
      <c r="J188" s="9" t="str">
        <f aca="false">IF(H188=0,"—",IF(H188=1,"ὁμώνυμον",IF(H188=2,"διὰ πασῶν",IF(H188=3,"διὰ πέντε",IF(H188=4,"διὰ τεσσάρων","?")))))</f>
        <v>—</v>
      </c>
      <c r="K188" s="10"/>
      <c r="L188" s="14"/>
      <c r="M188" s="13"/>
    </row>
    <row r="189" customFormat="false" ht="15.75" hidden="false" customHeight="true" outlineLevel="0" collapsed="false">
      <c r="A189" s="8" t="n">
        <f aca="false">A188+1</f>
        <v>187</v>
      </c>
      <c r="B189" s="9" t="n">
        <f aca="false">MOD(4*A189^2,10)</f>
        <v>6</v>
      </c>
      <c r="C189" s="9" t="n">
        <f aca="false">(26*B189-5*B189^2)/24</f>
        <v>-1</v>
      </c>
      <c r="D189" s="9" t="n">
        <f aca="false">(A189^2+4*C189)/5</f>
        <v>6993</v>
      </c>
      <c r="E189" s="9" t="n">
        <f aca="false">MOD(D189,10)</f>
        <v>3</v>
      </c>
      <c r="F189" s="9" t="n">
        <f aca="false">2*D189</f>
        <v>13986</v>
      </c>
      <c r="G189" s="9" t="n">
        <f aca="false">MOD(F189,10)</f>
        <v>6</v>
      </c>
      <c r="H189" s="9" t="n">
        <f aca="false">G189/2</f>
        <v>3</v>
      </c>
      <c r="I189" s="9" t="str">
        <f aca="false">IF(H189=0,"—",IF(H189=1,"unison (1:1)",IF(H189=2,"octave (2:1)",IF(H189=3,"fifth (3:2)",IF(H189=4,"fourth (4:3)","?")))))</f>
        <v>fifth (3:2)</v>
      </c>
      <c r="J189" s="9" t="str">
        <f aca="false">IF(H189=0,"—",IF(H189=1,"ὁμώνυμον",IF(H189=2,"διὰ πασῶν",IF(H189=3,"διὰ πέντε",IF(H189=4,"διὰ τεσσάρων","?")))))</f>
        <v>διὰ πέντε</v>
      </c>
      <c r="K189" s="10"/>
      <c r="L189" s="14"/>
      <c r="M189" s="13"/>
    </row>
    <row r="190" customFormat="false" ht="15.75" hidden="false" customHeight="true" outlineLevel="0" collapsed="false">
      <c r="A190" s="8" t="n">
        <f aca="false">A189+1</f>
        <v>188</v>
      </c>
      <c r="B190" s="9" t="n">
        <f aca="false">MOD(4*A190^2,10)</f>
        <v>6</v>
      </c>
      <c r="C190" s="9" t="n">
        <f aca="false">(26*B190-5*B190^2)/24</f>
        <v>-1</v>
      </c>
      <c r="D190" s="9" t="n">
        <f aca="false">(A190^2+4*C190)/5</f>
        <v>7068</v>
      </c>
      <c r="E190" s="9" t="n">
        <f aca="false">MOD(D190,10)</f>
        <v>8</v>
      </c>
      <c r="F190" s="9" t="n">
        <f aca="false">2*D190</f>
        <v>14136</v>
      </c>
      <c r="G190" s="9" t="n">
        <f aca="false">MOD(F190,10)</f>
        <v>6</v>
      </c>
      <c r="H190" s="9" t="n">
        <f aca="false">G190/2</f>
        <v>3</v>
      </c>
      <c r="I190" s="9" t="str">
        <f aca="false">IF(H190=0,"—",IF(H190=1,"unison (1:1)",IF(H190=2,"octave (2:1)",IF(H190=3,"fifth (3:2)",IF(H190=4,"fourth (4:3)","?")))))</f>
        <v>fifth (3:2)</v>
      </c>
      <c r="J190" s="9" t="str">
        <f aca="false">IF(H190=0,"—",IF(H190=1,"ὁμώνυμον",IF(H190=2,"διὰ πασῶν",IF(H190=3,"διὰ πέντε",IF(H190=4,"διὰ τεσσάρων","?")))))</f>
        <v>διὰ πέντε</v>
      </c>
      <c r="K190" s="10"/>
      <c r="L190" s="14"/>
      <c r="M190" s="13"/>
    </row>
    <row r="191" customFormat="false" ht="15.75" hidden="false" customHeight="true" outlineLevel="0" collapsed="false">
      <c r="A191" s="8" t="n">
        <f aca="false">A190+1</f>
        <v>189</v>
      </c>
      <c r="B191" s="9" t="n">
        <f aca="false">MOD(4*A191^2,10)</f>
        <v>4</v>
      </c>
      <c r="C191" s="9" t="n">
        <f aca="false">(26*B191-5*B191^2)/24</f>
        <v>1</v>
      </c>
      <c r="D191" s="9" t="n">
        <f aca="false">(A191^2+4*C191)/5</f>
        <v>7145</v>
      </c>
      <c r="E191" s="9" t="n">
        <f aca="false">MOD(D191,10)</f>
        <v>5</v>
      </c>
      <c r="F191" s="9" t="n">
        <f aca="false">2*D191</f>
        <v>14290</v>
      </c>
      <c r="G191" s="9" t="n">
        <f aca="false">MOD(F191,10)</f>
        <v>0</v>
      </c>
      <c r="H191" s="9" t="n">
        <f aca="false">G191/2</f>
        <v>0</v>
      </c>
      <c r="I191" s="9" t="str">
        <f aca="false">IF(H191=0,"—",IF(H191=1,"unison (1:1)",IF(H191=2,"octave (2:1)",IF(H191=3,"fifth (3:2)",IF(H191=4,"fourth (4:3)","?")))))</f>
        <v>—</v>
      </c>
      <c r="J191" s="9" t="str">
        <f aca="false">IF(H191=0,"—",IF(H191=1,"ὁμώνυμον",IF(H191=2,"διὰ πασῶν",IF(H191=3,"διὰ πέντε",IF(H191=4,"διὰ τεσσάρων","?")))))</f>
        <v>—</v>
      </c>
      <c r="K191" s="10"/>
      <c r="L191" s="14"/>
      <c r="M191" s="13"/>
    </row>
    <row r="192" customFormat="false" ht="15.75" hidden="false" customHeight="true" outlineLevel="0" collapsed="false">
      <c r="A192" s="8" t="n">
        <f aca="false">A191+1</f>
        <v>190</v>
      </c>
      <c r="B192" s="9" t="n">
        <f aca="false">MOD(4*A192^2,10)</f>
        <v>0</v>
      </c>
      <c r="C192" s="9" t="n">
        <f aca="false">(26*B192-5*B192^2)/24</f>
        <v>0</v>
      </c>
      <c r="D192" s="9" t="n">
        <f aca="false">(A192^2+4*C192)/5</f>
        <v>7220</v>
      </c>
      <c r="E192" s="9" t="n">
        <f aca="false">MOD(D192,10)</f>
        <v>0</v>
      </c>
      <c r="F192" s="9" t="n">
        <f aca="false">2*D192</f>
        <v>14440</v>
      </c>
      <c r="G192" s="9" t="n">
        <f aca="false">MOD(F192,10)</f>
        <v>0</v>
      </c>
      <c r="H192" s="9" t="n">
        <f aca="false">G192/2</f>
        <v>0</v>
      </c>
      <c r="I192" s="9" t="str">
        <f aca="false">IF(H192=0,"—",IF(H192=1,"unison (1:1)",IF(H192=2,"octave (2:1)",IF(H192=3,"fifth (3:2)",IF(H192=4,"fourth (4:3)","?")))))</f>
        <v>—</v>
      </c>
      <c r="J192" s="9" t="str">
        <f aca="false">IF(H192=0,"—",IF(H192=1,"ὁμώνυμον",IF(H192=2,"διὰ πασῶν",IF(H192=3,"διὰ πέντε",IF(H192=4,"διὰ τεσσάρων","?")))))</f>
        <v>—</v>
      </c>
      <c r="K192" s="10"/>
      <c r="L192" s="14"/>
      <c r="M192" s="13"/>
    </row>
    <row r="193" customFormat="false" ht="15.75" hidden="false" customHeight="true" outlineLevel="0" collapsed="false">
      <c r="A193" s="8" t="n">
        <f aca="false">A192+1</f>
        <v>191</v>
      </c>
      <c r="B193" s="9" t="n">
        <f aca="false">MOD(4*A193^2,10)</f>
        <v>4</v>
      </c>
      <c r="C193" s="9" t="n">
        <f aca="false">(26*B193-5*B193^2)/24</f>
        <v>1</v>
      </c>
      <c r="D193" s="9" t="n">
        <f aca="false">(A193^2+4*C193)/5</f>
        <v>7297</v>
      </c>
      <c r="E193" s="9" t="n">
        <f aca="false">MOD(D193,10)</f>
        <v>7</v>
      </c>
      <c r="F193" s="9" t="n">
        <f aca="false">2*D193</f>
        <v>14594</v>
      </c>
      <c r="G193" s="9" t="n">
        <f aca="false">MOD(F193,10)</f>
        <v>4</v>
      </c>
      <c r="H193" s="9" t="n">
        <f aca="false">G193/2</f>
        <v>2</v>
      </c>
      <c r="I193" s="9" t="str">
        <f aca="false">IF(H193=0,"—",IF(H193=1,"unison (1:1)",IF(H193=2,"octave (2:1)",IF(H193=3,"fifth (3:2)",IF(H193=4,"fourth (4:3)","?")))))</f>
        <v>octave (2:1)</v>
      </c>
      <c r="J193" s="9" t="str">
        <f aca="false">IF(H193=0,"—",IF(H193=1,"ὁμώνυμον",IF(H193=2,"διὰ πασῶν",IF(H193=3,"διὰ πέντε",IF(H193=4,"διὰ τεσσάρων","?")))))</f>
        <v>διὰ πασῶν</v>
      </c>
      <c r="K193" s="10"/>
      <c r="L193" s="14"/>
      <c r="M193" s="13"/>
    </row>
    <row r="194" customFormat="false" ht="15.75" hidden="false" customHeight="true" outlineLevel="0" collapsed="false">
      <c r="A194" s="8" t="n">
        <f aca="false">A193+1</f>
        <v>192</v>
      </c>
      <c r="B194" s="9" t="n">
        <f aca="false">MOD(4*A194^2,10)</f>
        <v>6</v>
      </c>
      <c r="C194" s="9" t="n">
        <f aca="false">(26*B194-5*B194^2)/24</f>
        <v>-1</v>
      </c>
      <c r="D194" s="9" t="n">
        <f aca="false">(A194^2+4*C194)/5</f>
        <v>7372</v>
      </c>
      <c r="E194" s="9" t="n">
        <f aca="false">MOD(D194,10)</f>
        <v>2</v>
      </c>
      <c r="F194" s="9" t="n">
        <f aca="false">2*D194</f>
        <v>14744</v>
      </c>
      <c r="G194" s="9" t="n">
        <f aca="false">MOD(F194,10)</f>
        <v>4</v>
      </c>
      <c r="H194" s="9" t="n">
        <f aca="false">G194/2</f>
        <v>2</v>
      </c>
      <c r="I194" s="9" t="str">
        <f aca="false">IF(H194=0,"—",IF(H194=1,"unison (1:1)",IF(H194=2,"octave (2:1)",IF(H194=3,"fifth (3:2)",IF(H194=4,"fourth (4:3)","?")))))</f>
        <v>octave (2:1)</v>
      </c>
      <c r="J194" s="9" t="str">
        <f aca="false">IF(H194=0,"—",IF(H194=1,"ὁμώνυμον",IF(H194=2,"διὰ πασῶν",IF(H194=3,"διὰ πέντε",IF(H194=4,"διὰ τεσσάρων","?")))))</f>
        <v>διὰ πασῶν</v>
      </c>
      <c r="K194" s="10"/>
      <c r="L194" s="14"/>
      <c r="M194" s="13"/>
    </row>
    <row r="195" customFormat="false" ht="15.75" hidden="false" customHeight="true" outlineLevel="0" collapsed="false">
      <c r="A195" s="8" t="n">
        <f aca="false">A194+1</f>
        <v>193</v>
      </c>
      <c r="B195" s="9" t="n">
        <f aca="false">MOD(4*A195^2,10)</f>
        <v>6</v>
      </c>
      <c r="C195" s="9" t="n">
        <f aca="false">(26*B195-5*B195^2)/24</f>
        <v>-1</v>
      </c>
      <c r="D195" s="9" t="n">
        <f aca="false">(A195^2+4*C195)/5</f>
        <v>7449</v>
      </c>
      <c r="E195" s="9" t="n">
        <f aca="false">MOD(D195,10)</f>
        <v>9</v>
      </c>
      <c r="F195" s="9" t="n">
        <f aca="false">2*D195</f>
        <v>14898</v>
      </c>
      <c r="G195" s="9" t="n">
        <f aca="false">MOD(F195,10)</f>
        <v>8</v>
      </c>
      <c r="H195" s="9" t="n">
        <f aca="false">G195/2</f>
        <v>4</v>
      </c>
      <c r="I195" s="9" t="str">
        <f aca="false">IF(H195=0,"—",IF(H195=1,"unison (1:1)",IF(H195=2,"octave (2:1)",IF(H195=3,"fifth (3:2)",IF(H195=4,"fourth (4:3)","?")))))</f>
        <v>fourth (4:3)</v>
      </c>
      <c r="J195" s="9" t="str">
        <f aca="false">IF(H195=0,"—",IF(H195=1,"ὁμώνυμον",IF(H195=2,"διὰ πασῶν",IF(H195=3,"διὰ πέντε",IF(H195=4,"διὰ τεσσάρων","?")))))</f>
        <v>διὰ τεσσάρων</v>
      </c>
      <c r="K195" s="10"/>
      <c r="L195" s="14"/>
      <c r="M195" s="13"/>
    </row>
    <row r="196" customFormat="false" ht="15.75" hidden="false" customHeight="true" outlineLevel="0" collapsed="false">
      <c r="A196" s="8" t="n">
        <f aca="false">A195+1</f>
        <v>194</v>
      </c>
      <c r="B196" s="9" t="n">
        <f aca="false">MOD(4*A196^2,10)</f>
        <v>4</v>
      </c>
      <c r="C196" s="9" t="n">
        <f aca="false">(26*B196-5*B196^2)/24</f>
        <v>1</v>
      </c>
      <c r="D196" s="9" t="n">
        <f aca="false">(A196^2+4*C196)/5</f>
        <v>7528</v>
      </c>
      <c r="E196" s="9" t="n">
        <f aca="false">MOD(D196,10)</f>
        <v>8</v>
      </c>
      <c r="F196" s="9" t="n">
        <f aca="false">2*D196</f>
        <v>15056</v>
      </c>
      <c r="G196" s="9" t="n">
        <f aca="false">MOD(F196,10)</f>
        <v>6</v>
      </c>
      <c r="H196" s="9" t="n">
        <f aca="false">G196/2</f>
        <v>3</v>
      </c>
      <c r="I196" s="9" t="str">
        <f aca="false">IF(H196=0,"—",IF(H196=1,"unison (1:1)",IF(H196=2,"octave (2:1)",IF(H196=3,"fifth (3:2)",IF(H196=4,"fourth (4:3)","?")))))</f>
        <v>fifth (3:2)</v>
      </c>
      <c r="J196" s="9" t="str">
        <f aca="false">IF(H196=0,"—",IF(H196=1,"ὁμώνυμον",IF(H196=2,"διὰ πασῶν",IF(H196=3,"διὰ πέντε",IF(H196=4,"διὰ τεσσάρων","?")))))</f>
        <v>διὰ πέντε</v>
      </c>
      <c r="K196" s="10"/>
      <c r="L196" s="14"/>
      <c r="M196" s="13"/>
    </row>
    <row r="197" customFormat="false" ht="15.75" hidden="false" customHeight="true" outlineLevel="0" collapsed="false">
      <c r="A197" s="8" t="n">
        <f aca="false">A196+1</f>
        <v>195</v>
      </c>
      <c r="B197" s="9" t="n">
        <f aca="false">MOD(4*A197^2,10)</f>
        <v>0</v>
      </c>
      <c r="C197" s="9" t="n">
        <f aca="false">(26*B197-5*B197^2)/24</f>
        <v>0</v>
      </c>
      <c r="D197" s="9" t="n">
        <f aca="false">(A197^2+4*C197)/5</f>
        <v>7605</v>
      </c>
      <c r="E197" s="9" t="n">
        <f aca="false">MOD(D197,10)</f>
        <v>5</v>
      </c>
      <c r="F197" s="9" t="n">
        <f aca="false">2*D197</f>
        <v>15210</v>
      </c>
      <c r="G197" s="9" t="n">
        <f aca="false">MOD(F197,10)</f>
        <v>0</v>
      </c>
      <c r="H197" s="9" t="n">
        <f aca="false">G197/2</f>
        <v>0</v>
      </c>
      <c r="I197" s="9" t="str">
        <f aca="false">IF(H197=0,"—",IF(H197=1,"unison (1:1)",IF(H197=2,"octave (2:1)",IF(H197=3,"fifth (3:2)",IF(H197=4,"fourth (4:3)","?")))))</f>
        <v>—</v>
      </c>
      <c r="J197" s="9" t="str">
        <f aca="false">IF(H197=0,"—",IF(H197=1,"ὁμώνυμον",IF(H197=2,"διὰ πασῶν",IF(H197=3,"διὰ πέντε",IF(H197=4,"διὰ τεσσάρων","?")))))</f>
        <v>—</v>
      </c>
      <c r="K197" s="10"/>
      <c r="L197" s="14"/>
      <c r="M197" s="13"/>
    </row>
    <row r="198" customFormat="false" ht="15.75" hidden="false" customHeight="true" outlineLevel="0" collapsed="false">
      <c r="A198" s="8" t="n">
        <f aca="false">A197+1</f>
        <v>196</v>
      </c>
      <c r="B198" s="9" t="n">
        <f aca="false">MOD(4*A198^2,10)</f>
        <v>4</v>
      </c>
      <c r="C198" s="9" t="n">
        <f aca="false">(26*B198-5*B198^2)/24</f>
        <v>1</v>
      </c>
      <c r="D198" s="9" t="n">
        <f aca="false">(A198^2+4*C198)/5</f>
        <v>7684</v>
      </c>
      <c r="E198" s="9" t="n">
        <f aca="false">MOD(D198,10)</f>
        <v>4</v>
      </c>
      <c r="F198" s="9" t="n">
        <f aca="false">2*D198</f>
        <v>15368</v>
      </c>
      <c r="G198" s="9" t="n">
        <f aca="false">MOD(F198,10)</f>
        <v>8</v>
      </c>
      <c r="H198" s="9" t="n">
        <f aca="false">G198/2</f>
        <v>4</v>
      </c>
      <c r="I198" s="9" t="str">
        <f aca="false">IF(H198=0,"—",IF(H198=1,"unison (1:1)",IF(H198=2,"octave (2:1)",IF(H198=3,"fifth (3:2)",IF(H198=4,"fourth (4:3)","?")))))</f>
        <v>fourth (4:3)</v>
      </c>
      <c r="J198" s="9" t="str">
        <f aca="false">IF(H198=0,"—",IF(H198=1,"ὁμώνυμον",IF(H198=2,"διὰ πασῶν",IF(H198=3,"διὰ πέντε",IF(H198=4,"διὰ τεσσάρων","?")))))</f>
        <v>διὰ τεσσάρων</v>
      </c>
      <c r="K198" s="10"/>
      <c r="L198" s="14"/>
      <c r="M198" s="13"/>
    </row>
    <row r="199" customFormat="false" ht="15.75" hidden="false" customHeight="true" outlineLevel="0" collapsed="false">
      <c r="A199" s="8" t="n">
        <f aca="false">A198+1</f>
        <v>197</v>
      </c>
      <c r="B199" s="9" t="n">
        <f aca="false">MOD(4*A199^2,10)</f>
        <v>6</v>
      </c>
      <c r="C199" s="9" t="n">
        <f aca="false">(26*B199-5*B199^2)/24</f>
        <v>-1</v>
      </c>
      <c r="D199" s="9" t="n">
        <f aca="false">(A199^2+4*C199)/5</f>
        <v>7761</v>
      </c>
      <c r="E199" s="9" t="n">
        <f aca="false">MOD(D199,10)</f>
        <v>1</v>
      </c>
      <c r="F199" s="9" t="n">
        <f aca="false">2*D199</f>
        <v>15522</v>
      </c>
      <c r="G199" s="9" t="n">
        <f aca="false">MOD(F199,10)</f>
        <v>2</v>
      </c>
      <c r="H199" s="9" t="n">
        <f aca="false">G199/2</f>
        <v>1</v>
      </c>
      <c r="I199" s="9" t="str">
        <f aca="false">IF(H199=0,"—",IF(H199=1,"unison (1:1)",IF(H199=2,"octave (2:1)",IF(H199=3,"fifth (3:2)",IF(H199=4,"fourth (4:3)","?")))))</f>
        <v>unison (1:1)</v>
      </c>
      <c r="J199" s="9" t="str">
        <f aca="false">IF(H199=0,"—",IF(H199=1,"ὁμώνυμον",IF(H199=2,"διὰ πασῶν",IF(H199=3,"διὰ πέντε",IF(H199=4,"διὰ τεσσάρων","?")))))</f>
        <v>ὁμώνυμον</v>
      </c>
      <c r="K199" s="10"/>
      <c r="L199" s="14"/>
      <c r="M199" s="13"/>
    </row>
    <row r="200" customFormat="false" ht="15.75" hidden="false" customHeight="true" outlineLevel="0" collapsed="false">
      <c r="A200" s="8" t="n">
        <f aca="false">A199+1</f>
        <v>198</v>
      </c>
      <c r="B200" s="9" t="n">
        <f aca="false">MOD(4*A200^2,10)</f>
        <v>6</v>
      </c>
      <c r="C200" s="9" t="n">
        <f aca="false">(26*B200-5*B200^2)/24</f>
        <v>-1</v>
      </c>
      <c r="D200" s="9" t="n">
        <f aca="false">(A200^2+4*C200)/5</f>
        <v>7840</v>
      </c>
      <c r="E200" s="9" t="n">
        <f aca="false">MOD(D200,10)</f>
        <v>0</v>
      </c>
      <c r="F200" s="9" t="n">
        <f aca="false">2*D200</f>
        <v>15680</v>
      </c>
      <c r="G200" s="9" t="n">
        <f aca="false">MOD(F200,10)</f>
        <v>0</v>
      </c>
      <c r="H200" s="9" t="n">
        <f aca="false">G200/2</f>
        <v>0</v>
      </c>
      <c r="I200" s="9" t="str">
        <f aca="false">IF(H200=0,"—",IF(H200=1,"unison (1:1)",IF(H200=2,"octave (2:1)",IF(H200=3,"fifth (3:2)",IF(H200=4,"fourth (4:3)","?")))))</f>
        <v>—</v>
      </c>
      <c r="J200" s="9" t="str">
        <f aca="false">IF(H200=0,"—",IF(H200=1,"ὁμώνυμον",IF(H200=2,"διὰ πασῶν",IF(H200=3,"διὰ πέντε",IF(H200=4,"διὰ τεσσάρων","?")))))</f>
        <v>—</v>
      </c>
      <c r="K200" s="10"/>
      <c r="L200" s="14"/>
      <c r="M200" s="13"/>
    </row>
    <row r="201" customFormat="false" ht="15.75" hidden="false" customHeight="true" outlineLevel="0" collapsed="false">
      <c r="A201" s="8" t="n">
        <f aca="false">A200+1</f>
        <v>199</v>
      </c>
      <c r="B201" s="9" t="n">
        <f aca="false">MOD(4*A201^2,10)</f>
        <v>4</v>
      </c>
      <c r="C201" s="9" t="n">
        <f aca="false">(26*B201-5*B201^2)/24</f>
        <v>1</v>
      </c>
      <c r="D201" s="9" t="n">
        <f aca="false">(A201^2+4*C201)/5</f>
        <v>7921</v>
      </c>
      <c r="E201" s="9" t="n">
        <f aca="false">MOD(D201,10)</f>
        <v>1</v>
      </c>
      <c r="F201" s="9" t="n">
        <f aca="false">2*D201</f>
        <v>15842</v>
      </c>
      <c r="G201" s="9" t="n">
        <f aca="false">MOD(F201,10)</f>
        <v>2</v>
      </c>
      <c r="H201" s="9" t="n">
        <f aca="false">G201/2</f>
        <v>1</v>
      </c>
      <c r="I201" s="9" t="str">
        <f aca="false">IF(H201=0,"—",IF(H201=1,"unison (1:1)",IF(H201=2,"octave (2:1)",IF(H201=3,"fifth (3:2)",IF(H201=4,"fourth (4:3)","?")))))</f>
        <v>unison (1:1)</v>
      </c>
      <c r="J201" s="9" t="str">
        <f aca="false">IF(H201=0,"—",IF(H201=1,"ὁμώνυμον",IF(H201=2,"διὰ πασῶν",IF(H201=3,"διὰ πέντε",IF(H201=4,"διὰ τεσσάρων","?")))))</f>
        <v>ὁμώνυμον</v>
      </c>
      <c r="K201" s="10"/>
      <c r="L201" s="14"/>
      <c r="M201" s="13"/>
    </row>
    <row r="202" customFormat="false" ht="15.75" hidden="false" customHeight="true" outlineLevel="0" collapsed="false">
      <c r="A202" s="8" t="n">
        <f aca="false">A201+1</f>
        <v>200</v>
      </c>
      <c r="B202" s="9" t="n">
        <f aca="false">MOD(4*A202^2,10)</f>
        <v>0</v>
      </c>
      <c r="C202" s="9" t="n">
        <f aca="false">(26*B202-5*B202^2)/24</f>
        <v>0</v>
      </c>
      <c r="D202" s="9" t="n">
        <f aca="false">(A202^2+4*C202)/5</f>
        <v>8000</v>
      </c>
      <c r="E202" s="9" t="n">
        <f aca="false">MOD(D202,10)</f>
        <v>0</v>
      </c>
      <c r="F202" s="9" t="n">
        <f aca="false">2*D202</f>
        <v>16000</v>
      </c>
      <c r="G202" s="9" t="n">
        <f aca="false">MOD(F202,10)</f>
        <v>0</v>
      </c>
      <c r="H202" s="9" t="n">
        <f aca="false">G202/2</f>
        <v>0</v>
      </c>
      <c r="I202" s="9" t="str">
        <f aca="false">IF(H202=0,"—",IF(H202=1,"unison (1:1)",IF(H202=2,"octave (2:1)",IF(H202=3,"fifth (3:2)",IF(H202=4,"fourth (4:3)","?")))))</f>
        <v>—</v>
      </c>
      <c r="J202" s="9" t="str">
        <f aca="false">IF(H202=0,"—",IF(H202=1,"ὁμώνυμον",IF(H202=2,"διὰ πασῶν",IF(H202=3,"διὰ πέντε",IF(H202=4,"διὰ τεσσάρων","?")))))</f>
        <v>—</v>
      </c>
      <c r="K202" s="10"/>
      <c r="L202" s="14"/>
      <c r="M202" s="13"/>
    </row>
    <row r="203" customFormat="false" ht="15.75" hidden="false" customHeight="true" outlineLevel="0" collapsed="false">
      <c r="A203" s="8" t="n">
        <f aca="false">A202+1</f>
        <v>201</v>
      </c>
      <c r="B203" s="9" t="n">
        <f aca="false">MOD(4*A203^2,10)</f>
        <v>4</v>
      </c>
      <c r="C203" s="9" t="n">
        <f aca="false">(26*B203-5*B203^2)/24</f>
        <v>1</v>
      </c>
      <c r="D203" s="9" t="n">
        <f aca="false">(A203^2+4*C203)/5</f>
        <v>8081</v>
      </c>
      <c r="E203" s="9" t="n">
        <f aca="false">MOD(D203,10)</f>
        <v>1</v>
      </c>
      <c r="F203" s="9" t="n">
        <f aca="false">2*D203</f>
        <v>16162</v>
      </c>
      <c r="G203" s="9" t="n">
        <f aca="false">MOD(F203,10)</f>
        <v>2</v>
      </c>
      <c r="H203" s="9" t="n">
        <f aca="false">G203/2</f>
        <v>1</v>
      </c>
      <c r="I203" s="9" t="str">
        <f aca="false">IF(H203=0,"—",IF(H203=1,"unison (1:1)",IF(H203=2,"octave (2:1)",IF(H203=3,"fifth (3:2)",IF(H203=4,"fourth (4:3)","?")))))</f>
        <v>unison (1:1)</v>
      </c>
      <c r="J203" s="9" t="str">
        <f aca="false">IF(H203=0,"—",IF(H203=1,"ὁμώνυμον",IF(H203=2,"διὰ πασῶν",IF(H203=3,"διὰ πέντε",IF(H203=4,"διὰ τεσσάρων","?")))))</f>
        <v>ὁμώνυμον</v>
      </c>
      <c r="K203" s="10"/>
      <c r="L203" s="14"/>
      <c r="M203" s="13"/>
    </row>
    <row r="204" customFormat="false" ht="15.75" hidden="false" customHeight="true" outlineLevel="0" collapsed="false">
      <c r="A204" s="8" t="n">
        <f aca="false">A203+1</f>
        <v>202</v>
      </c>
      <c r="B204" s="9" t="n">
        <f aca="false">MOD(4*A204^2,10)</f>
        <v>6</v>
      </c>
      <c r="C204" s="9" t="n">
        <f aca="false">(26*B204-5*B204^2)/24</f>
        <v>-1</v>
      </c>
      <c r="D204" s="9" t="n">
        <f aca="false">(A204^2+4*C204)/5</f>
        <v>8160</v>
      </c>
      <c r="E204" s="9" t="n">
        <f aca="false">MOD(D204,10)</f>
        <v>0</v>
      </c>
      <c r="F204" s="9" t="n">
        <f aca="false">2*D204</f>
        <v>16320</v>
      </c>
      <c r="G204" s="9" t="n">
        <f aca="false">MOD(F204,10)</f>
        <v>0</v>
      </c>
      <c r="H204" s="9" t="n">
        <f aca="false">G204/2</f>
        <v>0</v>
      </c>
      <c r="I204" s="9" t="str">
        <f aca="false">IF(H204=0,"—",IF(H204=1,"unison (1:1)",IF(H204=2,"octave (2:1)",IF(H204=3,"fifth (3:2)",IF(H204=4,"fourth (4:3)","?")))))</f>
        <v>—</v>
      </c>
      <c r="J204" s="9" t="str">
        <f aca="false">IF(H204=0,"—",IF(H204=1,"ὁμώνυμον",IF(H204=2,"διὰ πασῶν",IF(H204=3,"διὰ πέντε",IF(H204=4,"διὰ τεσσάρων","?")))))</f>
        <v>—</v>
      </c>
      <c r="K204" s="10"/>
      <c r="L204" s="14"/>
      <c r="M204" s="13"/>
    </row>
    <row r="205" customFormat="false" ht="15.75" hidden="false" customHeight="true" outlineLevel="0" collapsed="false">
      <c r="A205" s="8" t="n">
        <f aca="false">A204+1</f>
        <v>203</v>
      </c>
      <c r="B205" s="9" t="n">
        <f aca="false">MOD(4*A205^2,10)</f>
        <v>6</v>
      </c>
      <c r="C205" s="9" t="n">
        <f aca="false">(26*B205-5*B205^2)/24</f>
        <v>-1</v>
      </c>
      <c r="D205" s="9" t="n">
        <f aca="false">(A205^2+4*C205)/5</f>
        <v>8241</v>
      </c>
      <c r="E205" s="9" t="n">
        <f aca="false">MOD(D205,10)</f>
        <v>1</v>
      </c>
      <c r="F205" s="9" t="n">
        <f aca="false">2*D205</f>
        <v>16482</v>
      </c>
      <c r="G205" s="9" t="n">
        <f aca="false">MOD(F205,10)</f>
        <v>2</v>
      </c>
      <c r="H205" s="9" t="n">
        <f aca="false">G205/2</f>
        <v>1</v>
      </c>
      <c r="I205" s="9" t="str">
        <f aca="false">IF(H205=0,"—",IF(H205=1,"unison (1:1)",IF(H205=2,"octave (2:1)",IF(H205=3,"fifth (3:2)",IF(H205=4,"fourth (4:3)","?")))))</f>
        <v>unison (1:1)</v>
      </c>
      <c r="J205" s="9" t="str">
        <f aca="false">IF(H205=0,"—",IF(H205=1,"ὁμώνυμον",IF(H205=2,"διὰ πασῶν",IF(H205=3,"διὰ πέντε",IF(H205=4,"διὰ τεσσάρων","?")))))</f>
        <v>ὁμώνυμον</v>
      </c>
      <c r="K205" s="10"/>
      <c r="L205" s="14"/>
      <c r="M205" s="13"/>
    </row>
    <row r="206" customFormat="false" ht="15.75" hidden="false" customHeight="true" outlineLevel="0" collapsed="false">
      <c r="A206" s="8" t="n">
        <f aca="false">A205+1</f>
        <v>204</v>
      </c>
      <c r="B206" s="9" t="n">
        <f aca="false">MOD(4*A206^2,10)</f>
        <v>4</v>
      </c>
      <c r="C206" s="9" t="n">
        <f aca="false">(26*B206-5*B206^2)/24</f>
        <v>1</v>
      </c>
      <c r="D206" s="9" t="n">
        <f aca="false">(A206^2+4*C206)/5</f>
        <v>8324</v>
      </c>
      <c r="E206" s="9" t="n">
        <f aca="false">MOD(D206,10)</f>
        <v>4</v>
      </c>
      <c r="F206" s="9" t="n">
        <f aca="false">2*D206</f>
        <v>16648</v>
      </c>
      <c r="G206" s="9" t="n">
        <f aca="false">MOD(F206,10)</f>
        <v>8</v>
      </c>
      <c r="H206" s="9" t="n">
        <f aca="false">G206/2</f>
        <v>4</v>
      </c>
      <c r="I206" s="9" t="str">
        <f aca="false">IF(H206=0,"—",IF(H206=1,"unison (1:1)",IF(H206=2,"octave (2:1)",IF(H206=3,"fifth (3:2)",IF(H206=4,"fourth (4:3)","?")))))</f>
        <v>fourth (4:3)</v>
      </c>
      <c r="J206" s="9" t="str">
        <f aca="false">IF(H206=0,"—",IF(H206=1,"ὁμώνυμον",IF(H206=2,"διὰ πασῶν",IF(H206=3,"διὰ πέντε",IF(H206=4,"διὰ τεσσάρων","?")))))</f>
        <v>διὰ τεσσάρων</v>
      </c>
      <c r="K206" s="10"/>
      <c r="L206" s="14"/>
      <c r="M206" s="13"/>
    </row>
    <row r="207" customFormat="false" ht="15.75" hidden="false" customHeight="true" outlineLevel="0" collapsed="false">
      <c r="A207" s="8" t="n">
        <f aca="false">A206+1</f>
        <v>205</v>
      </c>
      <c r="B207" s="9" t="n">
        <f aca="false">MOD(4*A207^2,10)</f>
        <v>0</v>
      </c>
      <c r="C207" s="9" t="n">
        <f aca="false">(26*B207-5*B207^2)/24</f>
        <v>0</v>
      </c>
      <c r="D207" s="9" t="n">
        <f aca="false">(A207^2+4*C207)/5</f>
        <v>8405</v>
      </c>
      <c r="E207" s="9" t="n">
        <f aca="false">MOD(D207,10)</f>
        <v>5</v>
      </c>
      <c r="F207" s="9" t="n">
        <f aca="false">2*D207</f>
        <v>16810</v>
      </c>
      <c r="G207" s="9" t="n">
        <f aca="false">MOD(F207,10)</f>
        <v>0</v>
      </c>
      <c r="H207" s="9" t="n">
        <f aca="false">G207/2</f>
        <v>0</v>
      </c>
      <c r="I207" s="9" t="str">
        <f aca="false">IF(H207=0,"—",IF(H207=1,"unison (1:1)",IF(H207=2,"octave (2:1)",IF(H207=3,"fifth (3:2)",IF(H207=4,"fourth (4:3)","?")))))</f>
        <v>—</v>
      </c>
      <c r="J207" s="9" t="str">
        <f aca="false">IF(H207=0,"—",IF(H207=1,"ὁμώνυμον",IF(H207=2,"διὰ πασῶν",IF(H207=3,"διὰ πέντε",IF(H207=4,"διὰ τεσσάρων","?")))))</f>
        <v>—</v>
      </c>
      <c r="K207" s="10"/>
      <c r="L207" s="14"/>
      <c r="M207" s="13"/>
    </row>
    <row r="208" customFormat="false" ht="15.75" hidden="false" customHeight="true" outlineLevel="0" collapsed="false">
      <c r="A208" s="8" t="n">
        <f aca="false">A207+1</f>
        <v>206</v>
      </c>
      <c r="B208" s="9" t="n">
        <f aca="false">MOD(4*A208^2,10)</f>
        <v>4</v>
      </c>
      <c r="C208" s="9" t="n">
        <f aca="false">(26*B208-5*B208^2)/24</f>
        <v>1</v>
      </c>
      <c r="D208" s="9" t="n">
        <f aca="false">(A208^2+4*C208)/5</f>
        <v>8488</v>
      </c>
      <c r="E208" s="9" t="n">
        <f aca="false">MOD(D208,10)</f>
        <v>8</v>
      </c>
      <c r="F208" s="9" t="n">
        <f aca="false">2*D208</f>
        <v>16976</v>
      </c>
      <c r="G208" s="9" t="n">
        <f aca="false">MOD(F208,10)</f>
        <v>6</v>
      </c>
      <c r="H208" s="9" t="n">
        <f aca="false">G208/2</f>
        <v>3</v>
      </c>
      <c r="I208" s="9" t="str">
        <f aca="false">IF(H208=0,"—",IF(H208=1,"unison (1:1)",IF(H208=2,"octave (2:1)",IF(H208=3,"fifth (3:2)",IF(H208=4,"fourth (4:3)","?")))))</f>
        <v>fifth (3:2)</v>
      </c>
      <c r="J208" s="9" t="str">
        <f aca="false">IF(H208=0,"—",IF(H208=1,"ὁμώνυμον",IF(H208=2,"διὰ πασῶν",IF(H208=3,"διὰ πέντε",IF(H208=4,"διὰ τεσσάρων","?")))))</f>
        <v>διὰ πέντε</v>
      </c>
      <c r="K208" s="10"/>
      <c r="L208" s="14"/>
      <c r="M208" s="13"/>
    </row>
    <row r="209" customFormat="false" ht="15.75" hidden="false" customHeight="true" outlineLevel="0" collapsed="false">
      <c r="A209" s="8" t="n">
        <f aca="false">A208+1</f>
        <v>207</v>
      </c>
      <c r="B209" s="9" t="n">
        <f aca="false">MOD(4*A209^2,10)</f>
        <v>6</v>
      </c>
      <c r="C209" s="9" t="n">
        <f aca="false">(26*B209-5*B209^2)/24</f>
        <v>-1</v>
      </c>
      <c r="D209" s="9" t="n">
        <f aca="false">(A209^2+4*C209)/5</f>
        <v>8569</v>
      </c>
      <c r="E209" s="9" t="n">
        <f aca="false">MOD(D209,10)</f>
        <v>9</v>
      </c>
      <c r="F209" s="9" t="n">
        <f aca="false">2*D209</f>
        <v>17138</v>
      </c>
      <c r="G209" s="9" t="n">
        <f aca="false">MOD(F209,10)</f>
        <v>8</v>
      </c>
      <c r="H209" s="9" t="n">
        <f aca="false">G209/2</f>
        <v>4</v>
      </c>
      <c r="I209" s="9" t="str">
        <f aca="false">IF(H209=0,"—",IF(H209=1,"unison (1:1)",IF(H209=2,"octave (2:1)",IF(H209=3,"fifth (3:2)",IF(H209=4,"fourth (4:3)","?")))))</f>
        <v>fourth (4:3)</v>
      </c>
      <c r="J209" s="9" t="str">
        <f aca="false">IF(H209=0,"—",IF(H209=1,"ὁμώνυμον",IF(H209=2,"διὰ πασῶν",IF(H209=3,"διὰ πέντε",IF(H209=4,"διὰ τεσσάρων","?")))))</f>
        <v>διὰ τεσσάρων</v>
      </c>
      <c r="K209" s="10"/>
      <c r="L209" s="14"/>
      <c r="M209" s="13"/>
    </row>
    <row r="210" customFormat="false" ht="15.75" hidden="false" customHeight="true" outlineLevel="0" collapsed="false">
      <c r="A210" s="8" t="n">
        <f aca="false">A209+1</f>
        <v>208</v>
      </c>
      <c r="B210" s="9" t="n">
        <f aca="false">MOD(4*A210^2,10)</f>
        <v>6</v>
      </c>
      <c r="C210" s="9" t="n">
        <f aca="false">(26*B210-5*B210^2)/24</f>
        <v>-1</v>
      </c>
      <c r="D210" s="9" t="n">
        <f aca="false">(A210^2+4*C210)/5</f>
        <v>8652</v>
      </c>
      <c r="E210" s="9" t="n">
        <f aca="false">MOD(D210,10)</f>
        <v>2</v>
      </c>
      <c r="F210" s="9" t="n">
        <f aca="false">2*D210</f>
        <v>17304</v>
      </c>
      <c r="G210" s="9" t="n">
        <f aca="false">MOD(F210,10)</f>
        <v>4</v>
      </c>
      <c r="H210" s="9" t="n">
        <f aca="false">G210/2</f>
        <v>2</v>
      </c>
      <c r="I210" s="9" t="str">
        <f aca="false">IF(H210=0,"—",IF(H210=1,"unison (1:1)",IF(H210=2,"octave (2:1)",IF(H210=3,"fifth (3:2)",IF(H210=4,"fourth (4:3)","?")))))</f>
        <v>octave (2:1)</v>
      </c>
      <c r="J210" s="9" t="str">
        <f aca="false">IF(H210=0,"—",IF(H210=1,"ὁμώνυμον",IF(H210=2,"διὰ πασῶν",IF(H210=3,"διὰ πέντε",IF(H210=4,"διὰ τεσσάρων","?")))))</f>
        <v>διὰ πασῶν</v>
      </c>
      <c r="K210" s="10"/>
      <c r="L210" s="14"/>
      <c r="M210" s="13"/>
    </row>
    <row r="211" customFormat="false" ht="15.75" hidden="false" customHeight="true" outlineLevel="0" collapsed="false">
      <c r="A211" s="8" t="n">
        <f aca="false">A210+1</f>
        <v>209</v>
      </c>
      <c r="B211" s="9" t="n">
        <f aca="false">MOD(4*A211^2,10)</f>
        <v>4</v>
      </c>
      <c r="C211" s="9" t="n">
        <f aca="false">(26*B211-5*B211^2)/24</f>
        <v>1</v>
      </c>
      <c r="D211" s="9" t="n">
        <f aca="false">(A211^2+4*C211)/5</f>
        <v>8737</v>
      </c>
      <c r="E211" s="9" t="n">
        <f aca="false">MOD(D211,10)</f>
        <v>7</v>
      </c>
      <c r="F211" s="9" t="n">
        <f aca="false">2*D211</f>
        <v>17474</v>
      </c>
      <c r="G211" s="9" t="n">
        <f aca="false">MOD(F211,10)</f>
        <v>4</v>
      </c>
      <c r="H211" s="9" t="n">
        <f aca="false">G211/2</f>
        <v>2</v>
      </c>
      <c r="I211" s="9" t="str">
        <f aca="false">IF(H211=0,"—",IF(H211=1,"unison (1:1)",IF(H211=2,"octave (2:1)",IF(H211=3,"fifth (3:2)",IF(H211=4,"fourth (4:3)","?")))))</f>
        <v>octave (2:1)</v>
      </c>
      <c r="J211" s="9" t="str">
        <f aca="false">IF(H211=0,"—",IF(H211=1,"ὁμώνυμον",IF(H211=2,"διὰ πασῶν",IF(H211=3,"διὰ πέντε",IF(H211=4,"διὰ τεσσάρων","?")))))</f>
        <v>διὰ πασῶν</v>
      </c>
      <c r="K211" s="10"/>
      <c r="L211" s="14"/>
      <c r="M211" s="13"/>
    </row>
    <row r="212" customFormat="false" ht="15.75" hidden="false" customHeight="true" outlineLevel="0" collapsed="false">
      <c r="A212" s="8" t="n">
        <f aca="false">A211+1</f>
        <v>210</v>
      </c>
      <c r="B212" s="9" t="n">
        <f aca="false">MOD(4*A212^2,10)</f>
        <v>0</v>
      </c>
      <c r="C212" s="9" t="n">
        <f aca="false">(26*B212-5*B212^2)/24</f>
        <v>0</v>
      </c>
      <c r="D212" s="9" t="n">
        <f aca="false">(A212^2+4*C212)/5</f>
        <v>8820</v>
      </c>
      <c r="E212" s="9" t="n">
        <f aca="false">MOD(D212,10)</f>
        <v>0</v>
      </c>
      <c r="F212" s="9" t="n">
        <f aca="false">2*D212</f>
        <v>17640</v>
      </c>
      <c r="G212" s="9" t="n">
        <f aca="false">MOD(F212,10)</f>
        <v>0</v>
      </c>
      <c r="H212" s="9" t="n">
        <f aca="false">G212/2</f>
        <v>0</v>
      </c>
      <c r="I212" s="9" t="str">
        <f aca="false">IF(H212=0,"—",IF(H212=1,"unison (1:1)",IF(H212=2,"octave (2:1)",IF(H212=3,"fifth (3:2)",IF(H212=4,"fourth (4:3)","?")))))</f>
        <v>—</v>
      </c>
      <c r="J212" s="9" t="str">
        <f aca="false">IF(H212=0,"—",IF(H212=1,"ὁμώνυμον",IF(H212=2,"διὰ πασῶν",IF(H212=3,"διὰ πέντε",IF(H212=4,"διὰ τεσσάρων","?")))))</f>
        <v>—</v>
      </c>
      <c r="K212" s="10"/>
      <c r="L212" s="14"/>
      <c r="M212" s="13"/>
    </row>
    <row r="213" customFormat="false" ht="15.75" hidden="false" customHeight="true" outlineLevel="0" collapsed="false">
      <c r="A213" s="8" t="n">
        <f aca="false">A212+1</f>
        <v>211</v>
      </c>
      <c r="B213" s="9" t="n">
        <f aca="false">MOD(4*A213^2,10)</f>
        <v>4</v>
      </c>
      <c r="C213" s="9" t="n">
        <f aca="false">(26*B213-5*B213^2)/24</f>
        <v>1</v>
      </c>
      <c r="D213" s="9" t="n">
        <f aca="false">(A213^2+4*C213)/5</f>
        <v>8905</v>
      </c>
      <c r="E213" s="9" t="n">
        <f aca="false">MOD(D213,10)</f>
        <v>5</v>
      </c>
      <c r="F213" s="9" t="n">
        <f aca="false">2*D213</f>
        <v>17810</v>
      </c>
      <c r="G213" s="9" t="n">
        <f aca="false">MOD(F213,10)</f>
        <v>0</v>
      </c>
      <c r="H213" s="9" t="n">
        <f aca="false">G213/2</f>
        <v>0</v>
      </c>
      <c r="I213" s="9" t="str">
        <f aca="false">IF(H213=0,"—",IF(H213=1,"unison (1:1)",IF(H213=2,"octave (2:1)",IF(H213=3,"fifth (3:2)",IF(H213=4,"fourth (4:3)","?")))))</f>
        <v>—</v>
      </c>
      <c r="J213" s="9" t="str">
        <f aca="false">IF(H213=0,"—",IF(H213=1,"ὁμώνυμον",IF(H213=2,"διὰ πασῶν",IF(H213=3,"διὰ πέντε",IF(H213=4,"διὰ τεσσάρων","?")))))</f>
        <v>—</v>
      </c>
      <c r="K213" s="10"/>
      <c r="L213" s="14"/>
      <c r="M213" s="13"/>
    </row>
    <row r="214" customFormat="false" ht="15.75" hidden="false" customHeight="true" outlineLevel="0" collapsed="false">
      <c r="A214" s="8" t="n">
        <f aca="false">A213+1</f>
        <v>212</v>
      </c>
      <c r="B214" s="9" t="n">
        <f aca="false">MOD(4*A214^2,10)</f>
        <v>6</v>
      </c>
      <c r="C214" s="9" t="n">
        <f aca="false">(26*B214-5*B214^2)/24</f>
        <v>-1</v>
      </c>
      <c r="D214" s="9" t="n">
        <f aca="false">(A214^2+4*C214)/5</f>
        <v>8988</v>
      </c>
      <c r="E214" s="9" t="n">
        <f aca="false">MOD(D214,10)</f>
        <v>8</v>
      </c>
      <c r="F214" s="9" t="n">
        <f aca="false">2*D214</f>
        <v>17976</v>
      </c>
      <c r="G214" s="9" t="n">
        <f aca="false">MOD(F214,10)</f>
        <v>6</v>
      </c>
      <c r="H214" s="9" t="n">
        <f aca="false">G214/2</f>
        <v>3</v>
      </c>
      <c r="I214" s="9" t="str">
        <f aca="false">IF(H214=0,"—",IF(H214=1,"unison (1:1)",IF(H214=2,"octave (2:1)",IF(H214=3,"fifth (3:2)",IF(H214=4,"fourth (4:3)","?")))))</f>
        <v>fifth (3:2)</v>
      </c>
      <c r="J214" s="9" t="str">
        <f aca="false">IF(H214=0,"—",IF(H214=1,"ὁμώνυμον",IF(H214=2,"διὰ πασῶν",IF(H214=3,"διὰ πέντε",IF(H214=4,"διὰ τεσσάρων","?")))))</f>
        <v>διὰ πέντε</v>
      </c>
      <c r="K214" s="10"/>
      <c r="L214" s="14"/>
      <c r="M214" s="13"/>
    </row>
    <row r="215" customFormat="false" ht="15.75" hidden="false" customHeight="true" outlineLevel="0" collapsed="false">
      <c r="A215" s="8" t="n">
        <f aca="false">A214+1</f>
        <v>213</v>
      </c>
      <c r="B215" s="9" t="n">
        <f aca="false">MOD(4*A215^2,10)</f>
        <v>6</v>
      </c>
      <c r="C215" s="9" t="n">
        <f aca="false">(26*B215-5*B215^2)/24</f>
        <v>-1</v>
      </c>
      <c r="D215" s="9" t="n">
        <f aca="false">(A215^2+4*C215)/5</f>
        <v>9073</v>
      </c>
      <c r="E215" s="9" t="n">
        <f aca="false">MOD(D215,10)</f>
        <v>3</v>
      </c>
      <c r="F215" s="9" t="n">
        <f aca="false">2*D215</f>
        <v>18146</v>
      </c>
      <c r="G215" s="9" t="n">
        <f aca="false">MOD(F215,10)</f>
        <v>6</v>
      </c>
      <c r="H215" s="9" t="n">
        <f aca="false">G215/2</f>
        <v>3</v>
      </c>
      <c r="I215" s="9" t="str">
        <f aca="false">IF(H215=0,"—",IF(H215=1,"unison (1:1)",IF(H215=2,"octave (2:1)",IF(H215=3,"fifth (3:2)",IF(H215=4,"fourth (4:3)","?")))))</f>
        <v>fifth (3:2)</v>
      </c>
      <c r="J215" s="9" t="str">
        <f aca="false">IF(H215=0,"—",IF(H215=1,"ὁμώνυμον",IF(H215=2,"διὰ πασῶν",IF(H215=3,"διὰ πέντε",IF(H215=4,"διὰ τεσσάρων","?")))))</f>
        <v>διὰ πέντε</v>
      </c>
      <c r="K215" s="10"/>
      <c r="L215" s="14"/>
      <c r="M215" s="13"/>
    </row>
    <row r="216" customFormat="false" ht="15.75" hidden="false" customHeight="true" outlineLevel="0" collapsed="false">
      <c r="A216" s="8" t="n">
        <f aca="false">A215+1</f>
        <v>214</v>
      </c>
      <c r="B216" s="9" t="n">
        <f aca="false">MOD(4*A216^2,10)</f>
        <v>4</v>
      </c>
      <c r="C216" s="9" t="n">
        <f aca="false">(26*B216-5*B216^2)/24</f>
        <v>1</v>
      </c>
      <c r="D216" s="9" t="n">
        <f aca="false">(A216^2+4*C216)/5</f>
        <v>9160</v>
      </c>
      <c r="E216" s="9" t="n">
        <f aca="false">MOD(D216,10)</f>
        <v>0</v>
      </c>
      <c r="F216" s="9" t="n">
        <f aca="false">2*D216</f>
        <v>18320</v>
      </c>
      <c r="G216" s="9" t="n">
        <f aca="false">MOD(F216,10)</f>
        <v>0</v>
      </c>
      <c r="H216" s="9" t="n">
        <f aca="false">G216/2</f>
        <v>0</v>
      </c>
      <c r="I216" s="9" t="str">
        <f aca="false">IF(H216=0,"—",IF(H216=1,"unison (1:1)",IF(H216=2,"octave (2:1)",IF(H216=3,"fifth (3:2)",IF(H216=4,"fourth (4:3)","?")))))</f>
        <v>—</v>
      </c>
      <c r="J216" s="9" t="str">
        <f aca="false">IF(H216=0,"—",IF(H216=1,"ὁμώνυμον",IF(H216=2,"διὰ πασῶν",IF(H216=3,"διὰ πέντε",IF(H216=4,"διὰ τεσσάρων","?")))))</f>
        <v>—</v>
      </c>
      <c r="K216" s="10"/>
      <c r="L216" s="14"/>
      <c r="M216" s="13"/>
    </row>
    <row r="217" customFormat="false" ht="15.75" hidden="false" customHeight="true" outlineLevel="0" collapsed="false">
      <c r="A217" s="8" t="n">
        <f aca="false">A216+1</f>
        <v>215</v>
      </c>
      <c r="B217" s="9" t="n">
        <f aca="false">MOD(4*A217^2,10)</f>
        <v>0</v>
      </c>
      <c r="C217" s="9" t="n">
        <f aca="false">(26*B217-5*B217^2)/24</f>
        <v>0</v>
      </c>
      <c r="D217" s="9" t="n">
        <f aca="false">(A217^2+4*C217)/5</f>
        <v>9245</v>
      </c>
      <c r="E217" s="9" t="n">
        <f aca="false">MOD(D217,10)</f>
        <v>5</v>
      </c>
      <c r="F217" s="9" t="n">
        <f aca="false">2*D217</f>
        <v>18490</v>
      </c>
      <c r="G217" s="9" t="n">
        <f aca="false">MOD(F217,10)</f>
        <v>0</v>
      </c>
      <c r="H217" s="9" t="n">
        <f aca="false">G217/2</f>
        <v>0</v>
      </c>
      <c r="I217" s="9" t="str">
        <f aca="false">IF(H217=0,"—",IF(H217=1,"unison (1:1)",IF(H217=2,"octave (2:1)",IF(H217=3,"fifth (3:2)",IF(H217=4,"fourth (4:3)","?")))))</f>
        <v>—</v>
      </c>
      <c r="J217" s="9" t="str">
        <f aca="false">IF(H217=0,"—",IF(H217=1,"ὁμώνυμον",IF(H217=2,"διὰ πασῶν",IF(H217=3,"διὰ πέντε",IF(H217=4,"διὰ τεσσάρων","?")))))</f>
        <v>—</v>
      </c>
      <c r="K217" s="10"/>
      <c r="L217" s="14"/>
      <c r="M217" s="13"/>
    </row>
    <row r="218" customFormat="false" ht="15.75" hidden="false" customHeight="true" outlineLevel="0" collapsed="false">
      <c r="A218" s="8" t="n">
        <f aca="false">A217+1</f>
        <v>216</v>
      </c>
      <c r="B218" s="9" t="n">
        <f aca="false">MOD(4*A218^2,10)</f>
        <v>4</v>
      </c>
      <c r="C218" s="9" t="n">
        <f aca="false">(26*B218-5*B218^2)/24</f>
        <v>1</v>
      </c>
      <c r="D218" s="9" t="n">
        <f aca="false">(A218^2+4*C218)/5</f>
        <v>9332</v>
      </c>
      <c r="E218" s="9" t="n">
        <f aca="false">MOD(D218,10)</f>
        <v>2</v>
      </c>
      <c r="F218" s="9" t="n">
        <f aca="false">2*D218</f>
        <v>18664</v>
      </c>
      <c r="G218" s="9" t="n">
        <f aca="false">MOD(F218,10)</f>
        <v>4</v>
      </c>
      <c r="H218" s="9" t="n">
        <f aca="false">G218/2</f>
        <v>2</v>
      </c>
      <c r="I218" s="9" t="str">
        <f aca="false">IF(H218=0,"—",IF(H218=1,"unison (1:1)",IF(H218=2,"octave (2:1)",IF(H218=3,"fifth (3:2)",IF(H218=4,"fourth (4:3)","?")))))</f>
        <v>octave (2:1)</v>
      </c>
      <c r="J218" s="9" t="str">
        <f aca="false">IF(H218=0,"—",IF(H218=1,"ὁμώνυμον",IF(H218=2,"διὰ πασῶν",IF(H218=3,"διὰ πέντε",IF(H218=4,"διὰ τεσσάρων","?")))))</f>
        <v>διὰ πασῶν</v>
      </c>
      <c r="K218" s="10"/>
      <c r="L218" s="14"/>
      <c r="M218" s="13"/>
    </row>
    <row r="219" customFormat="false" ht="15.75" hidden="false" customHeight="true" outlineLevel="0" collapsed="false">
      <c r="A219" s="8" t="n">
        <f aca="false">A218+1</f>
        <v>217</v>
      </c>
      <c r="B219" s="9" t="n">
        <f aca="false">MOD(4*A219^2,10)</f>
        <v>6</v>
      </c>
      <c r="C219" s="9" t="n">
        <f aca="false">(26*B219-5*B219^2)/24</f>
        <v>-1</v>
      </c>
      <c r="D219" s="9" t="n">
        <f aca="false">(A219^2+4*C219)/5</f>
        <v>9417</v>
      </c>
      <c r="E219" s="9" t="n">
        <f aca="false">MOD(D219,10)</f>
        <v>7</v>
      </c>
      <c r="F219" s="9" t="n">
        <f aca="false">2*D219</f>
        <v>18834</v>
      </c>
      <c r="G219" s="9" t="n">
        <f aca="false">MOD(F219,10)</f>
        <v>4</v>
      </c>
      <c r="H219" s="9" t="n">
        <f aca="false">G219/2</f>
        <v>2</v>
      </c>
      <c r="I219" s="9" t="str">
        <f aca="false">IF(H219=0,"—",IF(H219=1,"unison (1:1)",IF(H219=2,"octave (2:1)",IF(H219=3,"fifth (3:2)",IF(H219=4,"fourth (4:3)","?")))))</f>
        <v>octave (2:1)</v>
      </c>
      <c r="J219" s="9" t="str">
        <f aca="false">IF(H219=0,"—",IF(H219=1,"ὁμώνυμον",IF(H219=2,"διὰ πασῶν",IF(H219=3,"διὰ πέντε",IF(H219=4,"διὰ τεσσάρων","?")))))</f>
        <v>διὰ πασῶν</v>
      </c>
      <c r="K219" s="10"/>
      <c r="L219" s="14"/>
      <c r="M219" s="13"/>
    </row>
    <row r="220" customFormat="false" ht="15.75" hidden="false" customHeight="true" outlineLevel="0" collapsed="false">
      <c r="A220" s="8" t="n">
        <f aca="false">A219+1</f>
        <v>218</v>
      </c>
      <c r="B220" s="9" t="n">
        <f aca="false">MOD(4*A220^2,10)</f>
        <v>6</v>
      </c>
      <c r="C220" s="9" t="n">
        <f aca="false">(26*B220-5*B220^2)/24</f>
        <v>-1</v>
      </c>
      <c r="D220" s="9" t="n">
        <f aca="false">(A220^2+4*C220)/5</f>
        <v>9504</v>
      </c>
      <c r="E220" s="9" t="n">
        <f aca="false">MOD(D220,10)</f>
        <v>4</v>
      </c>
      <c r="F220" s="9" t="n">
        <f aca="false">2*D220</f>
        <v>19008</v>
      </c>
      <c r="G220" s="9" t="n">
        <f aca="false">MOD(F220,10)</f>
        <v>8</v>
      </c>
      <c r="H220" s="9" t="n">
        <f aca="false">G220/2</f>
        <v>4</v>
      </c>
      <c r="I220" s="9" t="str">
        <f aca="false">IF(H220=0,"—",IF(H220=1,"unison (1:1)",IF(H220=2,"octave (2:1)",IF(H220=3,"fifth (3:2)",IF(H220=4,"fourth (4:3)","?")))))</f>
        <v>fourth (4:3)</v>
      </c>
      <c r="J220" s="9" t="str">
        <f aca="false">IF(H220=0,"—",IF(H220=1,"ὁμώνυμον",IF(H220=2,"διὰ πασῶν",IF(H220=3,"διὰ πέντε",IF(H220=4,"διὰ τεσσάρων","?")))))</f>
        <v>διὰ τεσσάρων</v>
      </c>
      <c r="K220" s="10"/>
      <c r="L220" s="14"/>
      <c r="M220" s="13"/>
    </row>
    <row r="221" customFormat="false" ht="15.75" hidden="false" customHeight="true" outlineLevel="0" collapsed="false">
      <c r="A221" s="8" t="n">
        <f aca="false">A220+1</f>
        <v>219</v>
      </c>
      <c r="B221" s="9" t="n">
        <f aca="false">MOD(4*A221^2,10)</f>
        <v>4</v>
      </c>
      <c r="C221" s="9" t="n">
        <f aca="false">(26*B221-5*B221^2)/24</f>
        <v>1</v>
      </c>
      <c r="D221" s="9" t="n">
        <f aca="false">(A221^2+4*C221)/5</f>
        <v>9593</v>
      </c>
      <c r="E221" s="9" t="n">
        <f aca="false">MOD(D221,10)</f>
        <v>3</v>
      </c>
      <c r="F221" s="9" t="n">
        <f aca="false">2*D221</f>
        <v>19186</v>
      </c>
      <c r="G221" s="9" t="n">
        <f aca="false">MOD(F221,10)</f>
        <v>6</v>
      </c>
      <c r="H221" s="9" t="n">
        <f aca="false">G221/2</f>
        <v>3</v>
      </c>
      <c r="I221" s="9" t="str">
        <f aca="false">IF(H221=0,"—",IF(H221=1,"unison (1:1)",IF(H221=2,"octave (2:1)",IF(H221=3,"fifth (3:2)",IF(H221=4,"fourth (4:3)","?")))))</f>
        <v>fifth (3:2)</v>
      </c>
      <c r="J221" s="9" t="str">
        <f aca="false">IF(H221=0,"—",IF(H221=1,"ὁμώνυμον",IF(H221=2,"διὰ πασῶν",IF(H221=3,"διὰ πέντε",IF(H221=4,"διὰ τεσσάρων","?")))))</f>
        <v>διὰ πέντε</v>
      </c>
      <c r="K221" s="10"/>
      <c r="L221" s="14"/>
      <c r="M221" s="13"/>
    </row>
    <row r="222" customFormat="false" ht="15.75" hidden="false" customHeight="true" outlineLevel="0" collapsed="false">
      <c r="A222" s="8" t="n">
        <f aca="false">A221+1</f>
        <v>220</v>
      </c>
      <c r="B222" s="9" t="n">
        <f aca="false">MOD(4*A222^2,10)</f>
        <v>0</v>
      </c>
      <c r="C222" s="9" t="n">
        <f aca="false">(26*B222-5*B222^2)/24</f>
        <v>0</v>
      </c>
      <c r="D222" s="9" t="n">
        <f aca="false">(A222^2+4*C222)/5</f>
        <v>9680</v>
      </c>
      <c r="E222" s="9" t="n">
        <f aca="false">MOD(D222,10)</f>
        <v>0</v>
      </c>
      <c r="F222" s="9" t="n">
        <f aca="false">2*D222</f>
        <v>19360</v>
      </c>
      <c r="G222" s="9" t="n">
        <f aca="false">MOD(F222,10)</f>
        <v>0</v>
      </c>
      <c r="H222" s="9" t="n">
        <f aca="false">G222/2</f>
        <v>0</v>
      </c>
      <c r="I222" s="9" t="str">
        <f aca="false">IF(H222=0,"—",IF(H222=1,"unison (1:1)",IF(H222=2,"octave (2:1)",IF(H222=3,"fifth (3:2)",IF(H222=4,"fourth (4:3)","?")))))</f>
        <v>—</v>
      </c>
      <c r="J222" s="9" t="str">
        <f aca="false">IF(H222=0,"—",IF(H222=1,"ὁμώνυμον",IF(H222=2,"διὰ πασῶν",IF(H222=3,"διὰ πέντε",IF(H222=4,"διὰ τεσσάρων","?")))))</f>
        <v>—</v>
      </c>
      <c r="K222" s="10"/>
      <c r="L222" s="14"/>
      <c r="M222" s="13"/>
    </row>
    <row r="223" customFormat="false" ht="15.75" hidden="false" customHeight="true" outlineLevel="0" collapsed="false">
      <c r="A223" s="8" t="n">
        <f aca="false">A222+1</f>
        <v>221</v>
      </c>
      <c r="B223" s="9" t="n">
        <f aca="false">MOD(4*A223^2,10)</f>
        <v>4</v>
      </c>
      <c r="C223" s="9" t="n">
        <f aca="false">(26*B223-5*B223^2)/24</f>
        <v>1</v>
      </c>
      <c r="D223" s="9" t="n">
        <f aca="false">(A223^2+4*C223)/5</f>
        <v>9769</v>
      </c>
      <c r="E223" s="9" t="n">
        <f aca="false">MOD(D223,10)</f>
        <v>9</v>
      </c>
      <c r="F223" s="9" t="n">
        <f aca="false">2*D223</f>
        <v>19538</v>
      </c>
      <c r="G223" s="9" t="n">
        <f aca="false">MOD(F223,10)</f>
        <v>8</v>
      </c>
      <c r="H223" s="9" t="n">
        <f aca="false">G223/2</f>
        <v>4</v>
      </c>
      <c r="I223" s="9" t="str">
        <f aca="false">IF(H223=0,"—",IF(H223=1,"unison (1:1)",IF(H223=2,"octave (2:1)",IF(H223=3,"fifth (3:2)",IF(H223=4,"fourth (4:3)","?")))))</f>
        <v>fourth (4:3)</v>
      </c>
      <c r="J223" s="9" t="str">
        <f aca="false">IF(H223=0,"—",IF(H223=1,"ὁμώνυμον",IF(H223=2,"διὰ πασῶν",IF(H223=3,"διὰ πέντε",IF(H223=4,"διὰ τεσσάρων","?")))))</f>
        <v>διὰ τεσσάρων</v>
      </c>
      <c r="K223" s="10"/>
      <c r="L223" s="14"/>
      <c r="M223" s="13"/>
    </row>
    <row r="224" customFormat="false" ht="15.75" hidden="false" customHeight="true" outlineLevel="0" collapsed="false">
      <c r="A224" s="8" t="n">
        <f aca="false">A223+1</f>
        <v>222</v>
      </c>
      <c r="B224" s="9" t="n">
        <f aca="false">MOD(4*A224^2,10)</f>
        <v>6</v>
      </c>
      <c r="C224" s="9" t="n">
        <f aca="false">(26*B224-5*B224^2)/24</f>
        <v>-1</v>
      </c>
      <c r="D224" s="9" t="n">
        <f aca="false">(A224^2+4*C224)/5</f>
        <v>9856</v>
      </c>
      <c r="E224" s="9" t="n">
        <f aca="false">MOD(D224,10)</f>
        <v>6</v>
      </c>
      <c r="F224" s="9" t="n">
        <f aca="false">2*D224</f>
        <v>19712</v>
      </c>
      <c r="G224" s="9" t="n">
        <f aca="false">MOD(F224,10)</f>
        <v>2</v>
      </c>
      <c r="H224" s="9" t="n">
        <f aca="false">G224/2</f>
        <v>1</v>
      </c>
      <c r="I224" s="9" t="str">
        <f aca="false">IF(H224=0,"—",IF(H224=1,"unison (1:1)",IF(H224=2,"octave (2:1)",IF(H224=3,"fifth (3:2)",IF(H224=4,"fourth (4:3)","?")))))</f>
        <v>unison (1:1)</v>
      </c>
      <c r="J224" s="9" t="str">
        <f aca="false">IF(H224=0,"—",IF(H224=1,"ὁμώνυμον",IF(H224=2,"διὰ πασῶν",IF(H224=3,"διὰ πέντε",IF(H224=4,"διὰ τεσσάρων","?")))))</f>
        <v>ὁμώνυμον</v>
      </c>
      <c r="K224" s="10"/>
      <c r="L224" s="14"/>
      <c r="M224" s="13"/>
    </row>
    <row r="225" customFormat="false" ht="15.75" hidden="false" customHeight="true" outlineLevel="0" collapsed="false">
      <c r="A225" s="8" t="n">
        <f aca="false">A224+1</f>
        <v>223</v>
      </c>
      <c r="B225" s="9" t="n">
        <f aca="false">MOD(4*A225^2,10)</f>
        <v>6</v>
      </c>
      <c r="C225" s="9" t="n">
        <f aca="false">(26*B225-5*B225^2)/24</f>
        <v>-1</v>
      </c>
      <c r="D225" s="9" t="n">
        <f aca="false">(A225^2+4*C225)/5</f>
        <v>9945</v>
      </c>
      <c r="E225" s="9" t="n">
        <f aca="false">MOD(D225,10)</f>
        <v>5</v>
      </c>
      <c r="F225" s="9" t="n">
        <f aca="false">2*D225</f>
        <v>19890</v>
      </c>
      <c r="G225" s="9" t="n">
        <f aca="false">MOD(F225,10)</f>
        <v>0</v>
      </c>
      <c r="H225" s="9" t="n">
        <f aca="false">G225/2</f>
        <v>0</v>
      </c>
      <c r="I225" s="9" t="str">
        <f aca="false">IF(H225=0,"—",IF(H225=1,"unison (1:1)",IF(H225=2,"octave (2:1)",IF(H225=3,"fifth (3:2)",IF(H225=4,"fourth (4:3)","?")))))</f>
        <v>—</v>
      </c>
      <c r="J225" s="9" t="str">
        <f aca="false">IF(H225=0,"—",IF(H225=1,"ὁμώνυμον",IF(H225=2,"διὰ πασῶν",IF(H225=3,"διὰ πέντε",IF(H225=4,"διὰ τεσσάρων","?")))))</f>
        <v>—</v>
      </c>
      <c r="K225" s="10"/>
      <c r="L225" s="14"/>
      <c r="M225" s="13"/>
    </row>
    <row r="226" customFormat="false" ht="15.75" hidden="false" customHeight="true" outlineLevel="0" collapsed="false">
      <c r="A226" s="8" t="n">
        <f aca="false">A225+1</f>
        <v>224</v>
      </c>
      <c r="B226" s="9" t="n">
        <f aca="false">MOD(4*A226^2,10)</f>
        <v>4</v>
      </c>
      <c r="C226" s="9" t="n">
        <f aca="false">(26*B226-5*B226^2)/24</f>
        <v>1</v>
      </c>
      <c r="D226" s="9" t="n">
        <f aca="false">(A226^2+4*C226)/5</f>
        <v>10036</v>
      </c>
      <c r="E226" s="9" t="n">
        <f aca="false">MOD(D226,10)</f>
        <v>6</v>
      </c>
      <c r="F226" s="9" t="n">
        <f aca="false">2*D226</f>
        <v>20072</v>
      </c>
      <c r="G226" s="9" t="n">
        <f aca="false">MOD(F226,10)</f>
        <v>2</v>
      </c>
      <c r="H226" s="9" t="n">
        <f aca="false">G226/2</f>
        <v>1</v>
      </c>
      <c r="I226" s="9" t="str">
        <f aca="false">IF(H226=0,"—",IF(H226=1,"unison (1:1)",IF(H226=2,"octave (2:1)",IF(H226=3,"fifth (3:2)",IF(H226=4,"fourth (4:3)","?")))))</f>
        <v>unison (1:1)</v>
      </c>
      <c r="J226" s="9" t="str">
        <f aca="false">IF(H226=0,"—",IF(H226=1,"ὁμώνυμον",IF(H226=2,"διὰ πασῶν",IF(H226=3,"διὰ πέντε",IF(H226=4,"διὰ τεσσάρων","?")))))</f>
        <v>ὁμώνυμον</v>
      </c>
      <c r="K226" s="10"/>
      <c r="L226" s="14"/>
      <c r="M226" s="13"/>
    </row>
    <row r="227" customFormat="false" ht="15.75" hidden="false" customHeight="true" outlineLevel="0" collapsed="false">
      <c r="A227" s="8" t="n">
        <f aca="false">A226+1</f>
        <v>225</v>
      </c>
      <c r="B227" s="9" t="n">
        <f aca="false">MOD(4*A227^2,10)</f>
        <v>0</v>
      </c>
      <c r="C227" s="9" t="n">
        <f aca="false">(26*B227-5*B227^2)/24</f>
        <v>0</v>
      </c>
      <c r="D227" s="9" t="n">
        <f aca="false">(A227^2+4*C227)/5</f>
        <v>10125</v>
      </c>
      <c r="E227" s="9" t="n">
        <f aca="false">MOD(D227,10)</f>
        <v>5</v>
      </c>
      <c r="F227" s="9" t="n">
        <f aca="false">2*D227</f>
        <v>20250</v>
      </c>
      <c r="G227" s="9" t="n">
        <f aca="false">MOD(F227,10)</f>
        <v>0</v>
      </c>
      <c r="H227" s="9" t="n">
        <f aca="false">G227/2</f>
        <v>0</v>
      </c>
      <c r="I227" s="9" t="str">
        <f aca="false">IF(H227=0,"—",IF(H227=1,"unison (1:1)",IF(H227=2,"octave (2:1)",IF(H227=3,"fifth (3:2)",IF(H227=4,"fourth (4:3)","?")))))</f>
        <v>—</v>
      </c>
      <c r="J227" s="9" t="str">
        <f aca="false">IF(H227=0,"—",IF(H227=1,"ὁμώνυμον",IF(H227=2,"διὰ πασῶν",IF(H227=3,"διὰ πέντε",IF(H227=4,"διὰ τεσσάρων","?")))))</f>
        <v>—</v>
      </c>
      <c r="K227" s="10"/>
      <c r="L227" s="14"/>
      <c r="M227" s="13"/>
    </row>
    <row r="228" customFormat="false" ht="15.75" hidden="false" customHeight="true" outlineLevel="0" collapsed="false">
      <c r="A228" s="8" t="n">
        <f aca="false">A227+1</f>
        <v>226</v>
      </c>
      <c r="B228" s="9" t="n">
        <f aca="false">MOD(4*A228^2,10)</f>
        <v>4</v>
      </c>
      <c r="C228" s="9" t="n">
        <f aca="false">(26*B228-5*B228^2)/24</f>
        <v>1</v>
      </c>
      <c r="D228" s="9" t="n">
        <f aca="false">(A228^2+4*C228)/5</f>
        <v>10216</v>
      </c>
      <c r="E228" s="9" t="n">
        <f aca="false">MOD(D228,10)</f>
        <v>6</v>
      </c>
      <c r="F228" s="9" t="n">
        <f aca="false">2*D228</f>
        <v>20432</v>
      </c>
      <c r="G228" s="9" t="n">
        <f aca="false">MOD(F228,10)</f>
        <v>2</v>
      </c>
      <c r="H228" s="9" t="n">
        <f aca="false">G228/2</f>
        <v>1</v>
      </c>
      <c r="I228" s="9" t="str">
        <f aca="false">IF(H228=0,"—",IF(H228=1,"unison (1:1)",IF(H228=2,"octave (2:1)",IF(H228=3,"fifth (3:2)",IF(H228=4,"fourth (4:3)","?")))))</f>
        <v>unison (1:1)</v>
      </c>
      <c r="J228" s="9" t="str">
        <f aca="false">IF(H228=0,"—",IF(H228=1,"ὁμώνυμον",IF(H228=2,"διὰ πασῶν",IF(H228=3,"διὰ πέντε",IF(H228=4,"διὰ τεσσάρων","?")))))</f>
        <v>ὁμώνυμον</v>
      </c>
      <c r="K228" s="10"/>
      <c r="L228" s="14"/>
      <c r="M228" s="13"/>
    </row>
    <row r="229" customFormat="false" ht="15.75" hidden="false" customHeight="true" outlineLevel="0" collapsed="false">
      <c r="A229" s="8" t="n">
        <f aca="false">A228+1</f>
        <v>227</v>
      </c>
      <c r="B229" s="9" t="n">
        <f aca="false">MOD(4*A229^2,10)</f>
        <v>6</v>
      </c>
      <c r="C229" s="9" t="n">
        <f aca="false">(26*B229-5*B229^2)/24</f>
        <v>-1</v>
      </c>
      <c r="D229" s="9" t="n">
        <f aca="false">(A229^2+4*C229)/5</f>
        <v>10305</v>
      </c>
      <c r="E229" s="9" t="n">
        <f aca="false">MOD(D229,10)</f>
        <v>5</v>
      </c>
      <c r="F229" s="9" t="n">
        <f aca="false">2*D229</f>
        <v>20610</v>
      </c>
      <c r="G229" s="9" t="n">
        <f aca="false">MOD(F229,10)</f>
        <v>0</v>
      </c>
      <c r="H229" s="9" t="n">
        <f aca="false">G229/2</f>
        <v>0</v>
      </c>
      <c r="I229" s="9" t="str">
        <f aca="false">IF(H229=0,"—",IF(H229=1,"unison (1:1)",IF(H229=2,"octave (2:1)",IF(H229=3,"fifth (3:2)",IF(H229=4,"fourth (4:3)","?")))))</f>
        <v>—</v>
      </c>
      <c r="J229" s="9" t="str">
        <f aca="false">IF(H229=0,"—",IF(H229=1,"ὁμώνυμον",IF(H229=2,"διὰ πασῶν",IF(H229=3,"διὰ πέντε",IF(H229=4,"διὰ τεσσάρων","?")))))</f>
        <v>—</v>
      </c>
      <c r="K229" s="10"/>
      <c r="L229" s="14"/>
      <c r="M229" s="13"/>
    </row>
    <row r="230" customFormat="false" ht="15.75" hidden="false" customHeight="true" outlineLevel="0" collapsed="false">
      <c r="A230" s="8" t="n">
        <f aca="false">A229+1</f>
        <v>228</v>
      </c>
      <c r="B230" s="9" t="n">
        <f aca="false">MOD(4*A230^2,10)</f>
        <v>6</v>
      </c>
      <c r="C230" s="9" t="n">
        <f aca="false">(26*B230-5*B230^2)/24</f>
        <v>-1</v>
      </c>
      <c r="D230" s="9" t="n">
        <f aca="false">(A230^2+4*C230)/5</f>
        <v>10396</v>
      </c>
      <c r="E230" s="9" t="n">
        <f aca="false">MOD(D230,10)</f>
        <v>6</v>
      </c>
      <c r="F230" s="9" t="n">
        <f aca="false">2*D230</f>
        <v>20792</v>
      </c>
      <c r="G230" s="9" t="n">
        <f aca="false">MOD(F230,10)</f>
        <v>2</v>
      </c>
      <c r="H230" s="9" t="n">
        <f aca="false">G230/2</f>
        <v>1</v>
      </c>
      <c r="I230" s="9" t="str">
        <f aca="false">IF(H230=0,"—",IF(H230=1,"unison (1:1)",IF(H230=2,"octave (2:1)",IF(H230=3,"fifth (3:2)",IF(H230=4,"fourth (4:3)","?")))))</f>
        <v>unison (1:1)</v>
      </c>
      <c r="J230" s="9" t="str">
        <f aca="false">IF(H230=0,"—",IF(H230=1,"ὁμώνυμον",IF(H230=2,"διὰ πασῶν",IF(H230=3,"διὰ πέντε",IF(H230=4,"διὰ τεσσάρων","?")))))</f>
        <v>ὁμώνυμον</v>
      </c>
      <c r="K230" s="10"/>
      <c r="L230" s="14"/>
      <c r="M230" s="13"/>
    </row>
    <row r="231" customFormat="false" ht="15.75" hidden="false" customHeight="true" outlineLevel="0" collapsed="false">
      <c r="A231" s="8" t="n">
        <f aca="false">A230+1</f>
        <v>229</v>
      </c>
      <c r="B231" s="9" t="n">
        <f aca="false">MOD(4*A231^2,10)</f>
        <v>4</v>
      </c>
      <c r="C231" s="9" t="n">
        <f aca="false">(26*B231-5*B231^2)/24</f>
        <v>1</v>
      </c>
      <c r="D231" s="9" t="n">
        <f aca="false">(A231^2+4*C231)/5</f>
        <v>10489</v>
      </c>
      <c r="E231" s="9" t="n">
        <f aca="false">MOD(D231,10)</f>
        <v>9</v>
      </c>
      <c r="F231" s="9" t="n">
        <f aca="false">2*D231</f>
        <v>20978</v>
      </c>
      <c r="G231" s="9" t="n">
        <f aca="false">MOD(F231,10)</f>
        <v>8</v>
      </c>
      <c r="H231" s="9" t="n">
        <f aca="false">G231/2</f>
        <v>4</v>
      </c>
      <c r="I231" s="9" t="str">
        <f aca="false">IF(H231=0,"—",IF(H231=1,"unison (1:1)",IF(H231=2,"octave (2:1)",IF(H231=3,"fifth (3:2)",IF(H231=4,"fourth (4:3)","?")))))</f>
        <v>fourth (4:3)</v>
      </c>
      <c r="J231" s="9" t="str">
        <f aca="false">IF(H231=0,"—",IF(H231=1,"ὁμώνυμον",IF(H231=2,"διὰ πασῶν",IF(H231=3,"διὰ πέντε",IF(H231=4,"διὰ τεσσάρων","?")))))</f>
        <v>διὰ τεσσάρων</v>
      </c>
      <c r="K231" s="10"/>
      <c r="L231" s="14"/>
      <c r="M231" s="13"/>
    </row>
    <row r="232" customFormat="false" ht="15.75" hidden="false" customHeight="true" outlineLevel="0" collapsed="false">
      <c r="A232" s="8" t="n">
        <f aca="false">A231+1</f>
        <v>230</v>
      </c>
      <c r="B232" s="9" t="n">
        <f aca="false">MOD(4*A232^2,10)</f>
        <v>0</v>
      </c>
      <c r="C232" s="9" t="n">
        <f aca="false">(26*B232-5*B232^2)/24</f>
        <v>0</v>
      </c>
      <c r="D232" s="9" t="n">
        <f aca="false">(A232^2+4*C232)/5</f>
        <v>10580</v>
      </c>
      <c r="E232" s="9" t="n">
        <f aca="false">MOD(D232,10)</f>
        <v>0</v>
      </c>
      <c r="F232" s="9" t="n">
        <f aca="false">2*D232</f>
        <v>21160</v>
      </c>
      <c r="G232" s="9" t="n">
        <f aca="false">MOD(F232,10)</f>
        <v>0</v>
      </c>
      <c r="H232" s="9" t="n">
        <f aca="false">G232/2</f>
        <v>0</v>
      </c>
      <c r="I232" s="9" t="str">
        <f aca="false">IF(H232=0,"—",IF(H232=1,"unison (1:1)",IF(H232=2,"octave (2:1)",IF(H232=3,"fifth (3:2)",IF(H232=4,"fourth (4:3)","?")))))</f>
        <v>—</v>
      </c>
      <c r="J232" s="9" t="str">
        <f aca="false">IF(H232=0,"—",IF(H232=1,"ὁμώνυμον",IF(H232=2,"διὰ πασῶν",IF(H232=3,"διὰ πέντε",IF(H232=4,"διὰ τεσσάρων","?")))))</f>
        <v>—</v>
      </c>
      <c r="K232" s="10"/>
      <c r="L232" s="14"/>
      <c r="M232" s="13"/>
    </row>
    <row r="233" customFormat="false" ht="15.75" hidden="false" customHeight="true" outlineLevel="0" collapsed="false">
      <c r="A233" s="8" t="n">
        <f aca="false">A232+1</f>
        <v>231</v>
      </c>
      <c r="B233" s="9" t="n">
        <f aca="false">MOD(4*A233^2,10)</f>
        <v>4</v>
      </c>
      <c r="C233" s="9" t="n">
        <f aca="false">(26*B233-5*B233^2)/24</f>
        <v>1</v>
      </c>
      <c r="D233" s="9" t="n">
        <f aca="false">(A233^2+4*C233)/5</f>
        <v>10673</v>
      </c>
      <c r="E233" s="9" t="n">
        <f aca="false">MOD(D233,10)</f>
        <v>3</v>
      </c>
      <c r="F233" s="9" t="n">
        <f aca="false">2*D233</f>
        <v>21346</v>
      </c>
      <c r="G233" s="9" t="n">
        <f aca="false">MOD(F233,10)</f>
        <v>6</v>
      </c>
      <c r="H233" s="9" t="n">
        <f aca="false">G233/2</f>
        <v>3</v>
      </c>
      <c r="I233" s="9" t="str">
        <f aca="false">IF(H233=0,"—",IF(H233=1,"unison (1:1)",IF(H233=2,"octave (2:1)",IF(H233=3,"fifth (3:2)",IF(H233=4,"fourth (4:3)","?")))))</f>
        <v>fifth (3:2)</v>
      </c>
      <c r="J233" s="9" t="str">
        <f aca="false">IF(H233=0,"—",IF(H233=1,"ὁμώνυμον",IF(H233=2,"διὰ πασῶν",IF(H233=3,"διὰ πέντε",IF(H233=4,"διὰ τεσσάρων","?")))))</f>
        <v>διὰ πέντε</v>
      </c>
      <c r="K233" s="10"/>
      <c r="L233" s="14"/>
      <c r="M233" s="13"/>
    </row>
    <row r="234" customFormat="false" ht="15.75" hidden="false" customHeight="true" outlineLevel="0" collapsed="false">
      <c r="A234" s="8" t="n">
        <f aca="false">A233+1</f>
        <v>232</v>
      </c>
      <c r="B234" s="9" t="n">
        <f aca="false">MOD(4*A234^2,10)</f>
        <v>6</v>
      </c>
      <c r="C234" s="9" t="n">
        <f aca="false">(26*B234-5*B234^2)/24</f>
        <v>-1</v>
      </c>
      <c r="D234" s="9" t="n">
        <f aca="false">(A234^2+4*C234)/5</f>
        <v>10764</v>
      </c>
      <c r="E234" s="9" t="n">
        <f aca="false">MOD(D234,10)</f>
        <v>4</v>
      </c>
      <c r="F234" s="9" t="n">
        <f aca="false">2*D234</f>
        <v>21528</v>
      </c>
      <c r="G234" s="9" t="n">
        <f aca="false">MOD(F234,10)</f>
        <v>8</v>
      </c>
      <c r="H234" s="9" t="n">
        <f aca="false">G234/2</f>
        <v>4</v>
      </c>
      <c r="I234" s="9" t="str">
        <f aca="false">IF(H234=0,"—",IF(H234=1,"unison (1:1)",IF(H234=2,"octave (2:1)",IF(H234=3,"fifth (3:2)",IF(H234=4,"fourth (4:3)","?")))))</f>
        <v>fourth (4:3)</v>
      </c>
      <c r="J234" s="9" t="str">
        <f aca="false">IF(H234=0,"—",IF(H234=1,"ὁμώνυμον",IF(H234=2,"διὰ πασῶν",IF(H234=3,"διὰ πέντε",IF(H234=4,"διὰ τεσσάρων","?")))))</f>
        <v>διὰ τεσσάρων</v>
      </c>
      <c r="K234" s="10"/>
      <c r="L234" s="14"/>
      <c r="M234" s="13"/>
    </row>
    <row r="235" customFormat="false" ht="15.75" hidden="false" customHeight="true" outlineLevel="0" collapsed="false">
      <c r="A235" s="8" t="n">
        <f aca="false">A234+1</f>
        <v>233</v>
      </c>
      <c r="B235" s="9" t="n">
        <f aca="false">MOD(4*A235^2,10)</f>
        <v>6</v>
      </c>
      <c r="C235" s="9" t="n">
        <f aca="false">(26*B235-5*B235^2)/24</f>
        <v>-1</v>
      </c>
      <c r="D235" s="9" t="n">
        <f aca="false">(A235^2+4*C235)/5</f>
        <v>10857</v>
      </c>
      <c r="E235" s="9" t="n">
        <f aca="false">MOD(D235,10)</f>
        <v>7</v>
      </c>
      <c r="F235" s="9" t="n">
        <f aca="false">2*D235</f>
        <v>21714</v>
      </c>
      <c r="G235" s="9" t="n">
        <f aca="false">MOD(F235,10)</f>
        <v>4</v>
      </c>
      <c r="H235" s="9" t="n">
        <f aca="false">G235/2</f>
        <v>2</v>
      </c>
      <c r="I235" s="9" t="str">
        <f aca="false">IF(H235=0,"—",IF(H235=1,"unison (1:1)",IF(H235=2,"octave (2:1)",IF(H235=3,"fifth (3:2)",IF(H235=4,"fourth (4:3)","?")))))</f>
        <v>octave (2:1)</v>
      </c>
      <c r="J235" s="9" t="str">
        <f aca="false">IF(H235=0,"—",IF(H235=1,"ὁμώνυμον",IF(H235=2,"διὰ πασῶν",IF(H235=3,"διὰ πέντε",IF(H235=4,"διὰ τεσσάρων","?")))))</f>
        <v>διὰ πασῶν</v>
      </c>
      <c r="K235" s="10"/>
      <c r="L235" s="14"/>
      <c r="M235" s="13"/>
    </row>
    <row r="236" customFormat="false" ht="15.75" hidden="false" customHeight="true" outlineLevel="0" collapsed="false">
      <c r="A236" s="8" t="n">
        <f aca="false">A235+1</f>
        <v>234</v>
      </c>
      <c r="B236" s="9" t="n">
        <f aca="false">MOD(4*A236^2,10)</f>
        <v>4</v>
      </c>
      <c r="C236" s="9" t="n">
        <f aca="false">(26*B236-5*B236^2)/24</f>
        <v>1</v>
      </c>
      <c r="D236" s="9" t="n">
        <f aca="false">(A236^2+4*C236)/5</f>
        <v>10952</v>
      </c>
      <c r="E236" s="9" t="n">
        <f aca="false">MOD(D236,10)</f>
        <v>2</v>
      </c>
      <c r="F236" s="9" t="n">
        <f aca="false">2*D236</f>
        <v>21904</v>
      </c>
      <c r="G236" s="9" t="n">
        <f aca="false">MOD(F236,10)</f>
        <v>4</v>
      </c>
      <c r="H236" s="9" t="n">
        <f aca="false">G236/2</f>
        <v>2</v>
      </c>
      <c r="I236" s="9" t="str">
        <f aca="false">IF(H236=0,"—",IF(H236=1,"unison (1:1)",IF(H236=2,"octave (2:1)",IF(H236=3,"fifth (3:2)",IF(H236=4,"fourth (4:3)","?")))))</f>
        <v>octave (2:1)</v>
      </c>
      <c r="J236" s="9" t="str">
        <f aca="false">IF(H236=0,"—",IF(H236=1,"ὁμώνυμον",IF(H236=2,"διὰ πασῶν",IF(H236=3,"διὰ πέντε",IF(H236=4,"διὰ τεσσάρων","?")))))</f>
        <v>διὰ πασῶν</v>
      </c>
      <c r="K236" s="10"/>
      <c r="L236" s="14"/>
      <c r="M236" s="13"/>
    </row>
    <row r="237" customFormat="false" ht="15.75" hidden="false" customHeight="true" outlineLevel="0" collapsed="false">
      <c r="A237" s="8" t="n">
        <f aca="false">A236+1</f>
        <v>235</v>
      </c>
      <c r="B237" s="9" t="n">
        <f aca="false">MOD(4*A237^2,10)</f>
        <v>0</v>
      </c>
      <c r="C237" s="9" t="n">
        <f aca="false">(26*B237-5*B237^2)/24</f>
        <v>0</v>
      </c>
      <c r="D237" s="9" t="n">
        <f aca="false">(A237^2+4*C237)/5</f>
        <v>11045</v>
      </c>
      <c r="E237" s="9" t="n">
        <f aca="false">MOD(D237,10)</f>
        <v>5</v>
      </c>
      <c r="F237" s="9" t="n">
        <f aca="false">2*D237</f>
        <v>22090</v>
      </c>
      <c r="G237" s="9" t="n">
        <f aca="false">MOD(F237,10)</f>
        <v>0</v>
      </c>
      <c r="H237" s="9" t="n">
        <f aca="false">G237/2</f>
        <v>0</v>
      </c>
      <c r="I237" s="9" t="str">
        <f aca="false">IF(H237=0,"—",IF(H237=1,"unison (1:1)",IF(H237=2,"octave (2:1)",IF(H237=3,"fifth (3:2)",IF(H237=4,"fourth (4:3)","?")))))</f>
        <v>—</v>
      </c>
      <c r="J237" s="9" t="str">
        <f aca="false">IF(H237=0,"—",IF(H237=1,"ὁμώνυμον",IF(H237=2,"διὰ πασῶν",IF(H237=3,"διὰ πέντε",IF(H237=4,"διὰ τεσσάρων","?")))))</f>
        <v>—</v>
      </c>
      <c r="K237" s="10"/>
      <c r="L237" s="14"/>
      <c r="M237" s="13"/>
    </row>
    <row r="238" customFormat="false" ht="15.75" hidden="false" customHeight="true" outlineLevel="0" collapsed="false">
      <c r="A238" s="8" t="n">
        <f aca="false">A237+1</f>
        <v>236</v>
      </c>
      <c r="B238" s="9" t="n">
        <f aca="false">MOD(4*A238^2,10)</f>
        <v>4</v>
      </c>
      <c r="C238" s="9" t="n">
        <f aca="false">(26*B238-5*B238^2)/24</f>
        <v>1</v>
      </c>
      <c r="D238" s="9" t="n">
        <f aca="false">(A238^2+4*C238)/5</f>
        <v>11140</v>
      </c>
      <c r="E238" s="9" t="n">
        <f aca="false">MOD(D238,10)</f>
        <v>0</v>
      </c>
      <c r="F238" s="9" t="n">
        <f aca="false">2*D238</f>
        <v>22280</v>
      </c>
      <c r="G238" s="9" t="n">
        <f aca="false">MOD(F238,10)</f>
        <v>0</v>
      </c>
      <c r="H238" s="9" t="n">
        <f aca="false">G238/2</f>
        <v>0</v>
      </c>
      <c r="I238" s="9" t="str">
        <f aca="false">IF(H238=0,"—",IF(H238=1,"unison (1:1)",IF(H238=2,"octave (2:1)",IF(H238=3,"fifth (3:2)",IF(H238=4,"fourth (4:3)","?")))))</f>
        <v>—</v>
      </c>
      <c r="J238" s="9" t="str">
        <f aca="false">IF(H238=0,"—",IF(H238=1,"ὁμώνυμον",IF(H238=2,"διὰ πασῶν",IF(H238=3,"διὰ πέντε",IF(H238=4,"διὰ τεσσάρων","?")))))</f>
        <v>—</v>
      </c>
      <c r="K238" s="10"/>
      <c r="L238" s="14"/>
      <c r="M238" s="13"/>
    </row>
    <row r="239" customFormat="false" ht="15.75" hidden="false" customHeight="true" outlineLevel="0" collapsed="false">
      <c r="A239" s="8" t="n">
        <f aca="false">A238+1</f>
        <v>237</v>
      </c>
      <c r="B239" s="9" t="n">
        <f aca="false">MOD(4*A239^2,10)</f>
        <v>6</v>
      </c>
      <c r="C239" s="9" t="n">
        <f aca="false">(26*B239-5*B239^2)/24</f>
        <v>-1</v>
      </c>
      <c r="D239" s="9" t="n">
        <f aca="false">(A239^2+4*C239)/5</f>
        <v>11233</v>
      </c>
      <c r="E239" s="9" t="n">
        <f aca="false">MOD(D239,10)</f>
        <v>3</v>
      </c>
      <c r="F239" s="9" t="n">
        <f aca="false">2*D239</f>
        <v>22466</v>
      </c>
      <c r="G239" s="9" t="n">
        <f aca="false">MOD(F239,10)</f>
        <v>6</v>
      </c>
      <c r="H239" s="9" t="n">
        <f aca="false">G239/2</f>
        <v>3</v>
      </c>
      <c r="I239" s="9" t="str">
        <f aca="false">IF(H239=0,"—",IF(H239=1,"unison (1:1)",IF(H239=2,"octave (2:1)",IF(H239=3,"fifth (3:2)",IF(H239=4,"fourth (4:3)","?")))))</f>
        <v>fifth (3:2)</v>
      </c>
      <c r="J239" s="9" t="str">
        <f aca="false">IF(H239=0,"—",IF(H239=1,"ὁμώνυμον",IF(H239=2,"διὰ πασῶν",IF(H239=3,"διὰ πέντε",IF(H239=4,"διὰ τεσσάρων","?")))))</f>
        <v>διὰ πέντε</v>
      </c>
      <c r="K239" s="10"/>
      <c r="L239" s="14"/>
      <c r="M239" s="13"/>
    </row>
    <row r="240" customFormat="false" ht="15.75" hidden="false" customHeight="true" outlineLevel="0" collapsed="false">
      <c r="A240" s="8" t="n">
        <f aca="false">A239+1</f>
        <v>238</v>
      </c>
      <c r="B240" s="9" t="n">
        <f aca="false">MOD(4*A240^2,10)</f>
        <v>6</v>
      </c>
      <c r="C240" s="9" t="n">
        <f aca="false">(26*B240-5*B240^2)/24</f>
        <v>-1</v>
      </c>
      <c r="D240" s="9" t="n">
        <f aca="false">(A240^2+4*C240)/5</f>
        <v>11328</v>
      </c>
      <c r="E240" s="9" t="n">
        <f aca="false">MOD(D240,10)</f>
        <v>8</v>
      </c>
      <c r="F240" s="9" t="n">
        <f aca="false">2*D240</f>
        <v>22656</v>
      </c>
      <c r="G240" s="9" t="n">
        <f aca="false">MOD(F240,10)</f>
        <v>6</v>
      </c>
      <c r="H240" s="9" t="n">
        <f aca="false">G240/2</f>
        <v>3</v>
      </c>
      <c r="I240" s="9" t="str">
        <f aca="false">IF(H240=0,"—",IF(H240=1,"unison (1:1)",IF(H240=2,"octave (2:1)",IF(H240=3,"fifth (3:2)",IF(H240=4,"fourth (4:3)","?")))))</f>
        <v>fifth (3:2)</v>
      </c>
      <c r="J240" s="9" t="str">
        <f aca="false">IF(H240=0,"—",IF(H240=1,"ὁμώνυμον",IF(H240=2,"διὰ πασῶν",IF(H240=3,"διὰ πέντε",IF(H240=4,"διὰ τεσσάρων","?")))))</f>
        <v>διὰ πέντε</v>
      </c>
      <c r="K240" s="10"/>
      <c r="L240" s="14"/>
      <c r="M240" s="13"/>
    </row>
    <row r="241" customFormat="false" ht="15.75" hidden="false" customHeight="true" outlineLevel="0" collapsed="false">
      <c r="A241" s="8" t="n">
        <f aca="false">A240+1</f>
        <v>239</v>
      </c>
      <c r="B241" s="9" t="n">
        <f aca="false">MOD(4*A241^2,10)</f>
        <v>4</v>
      </c>
      <c r="C241" s="9" t="n">
        <f aca="false">(26*B241-5*B241^2)/24</f>
        <v>1</v>
      </c>
      <c r="D241" s="9" t="n">
        <f aca="false">(A241^2+4*C241)/5</f>
        <v>11425</v>
      </c>
      <c r="E241" s="9" t="n">
        <f aca="false">MOD(D241,10)</f>
        <v>5</v>
      </c>
      <c r="F241" s="9" t="n">
        <f aca="false">2*D241</f>
        <v>22850</v>
      </c>
      <c r="G241" s="9" t="n">
        <f aca="false">MOD(F241,10)</f>
        <v>0</v>
      </c>
      <c r="H241" s="9" t="n">
        <f aca="false">G241/2</f>
        <v>0</v>
      </c>
      <c r="I241" s="9" t="str">
        <f aca="false">IF(H241=0,"—",IF(H241=1,"unison (1:1)",IF(H241=2,"octave (2:1)",IF(H241=3,"fifth (3:2)",IF(H241=4,"fourth (4:3)","?")))))</f>
        <v>—</v>
      </c>
      <c r="J241" s="9" t="str">
        <f aca="false">IF(H241=0,"—",IF(H241=1,"ὁμώνυμον",IF(H241=2,"διὰ πασῶν",IF(H241=3,"διὰ πέντε",IF(H241=4,"διὰ τεσσάρων","?")))))</f>
        <v>—</v>
      </c>
      <c r="K241" s="10"/>
      <c r="L241" s="14"/>
      <c r="M241" s="13"/>
    </row>
    <row r="242" customFormat="false" ht="15.75" hidden="false" customHeight="true" outlineLevel="0" collapsed="false">
      <c r="A242" s="8" t="n">
        <f aca="false">A241+1</f>
        <v>240</v>
      </c>
      <c r="B242" s="9" t="n">
        <f aca="false">MOD(4*A242^2,10)</f>
        <v>0</v>
      </c>
      <c r="C242" s="9" t="n">
        <f aca="false">(26*B242-5*B242^2)/24</f>
        <v>0</v>
      </c>
      <c r="D242" s="9" t="n">
        <f aca="false">(A242^2+4*C242)/5</f>
        <v>11520</v>
      </c>
      <c r="E242" s="9" t="n">
        <f aca="false">MOD(D242,10)</f>
        <v>0</v>
      </c>
      <c r="F242" s="9" t="n">
        <f aca="false">2*D242</f>
        <v>23040</v>
      </c>
      <c r="G242" s="9" t="n">
        <f aca="false">MOD(F242,10)</f>
        <v>0</v>
      </c>
      <c r="H242" s="9" t="n">
        <f aca="false">G242/2</f>
        <v>0</v>
      </c>
      <c r="I242" s="9" t="str">
        <f aca="false">IF(H242=0,"—",IF(H242=1,"unison (1:1)",IF(H242=2,"octave (2:1)",IF(H242=3,"fifth (3:2)",IF(H242=4,"fourth (4:3)","?")))))</f>
        <v>—</v>
      </c>
      <c r="J242" s="9" t="str">
        <f aca="false">IF(H242=0,"—",IF(H242=1,"ὁμώνυμον",IF(H242=2,"διὰ πασῶν",IF(H242=3,"διὰ πέντε",IF(H242=4,"διὰ τεσσάρων","?")))))</f>
        <v>—</v>
      </c>
      <c r="K242" s="10"/>
      <c r="L242" s="14"/>
      <c r="M242" s="13"/>
    </row>
    <row r="243" customFormat="false" ht="15.75" hidden="false" customHeight="true" outlineLevel="0" collapsed="false">
      <c r="A243" s="8" t="n">
        <f aca="false">A242+1</f>
        <v>241</v>
      </c>
      <c r="B243" s="9" t="n">
        <f aca="false">MOD(4*A243^2,10)</f>
        <v>4</v>
      </c>
      <c r="C243" s="9" t="n">
        <f aca="false">(26*B243-5*B243^2)/24</f>
        <v>1</v>
      </c>
      <c r="D243" s="9" t="n">
        <f aca="false">(A243^2+4*C243)/5</f>
        <v>11617</v>
      </c>
      <c r="E243" s="9" t="n">
        <f aca="false">MOD(D243,10)</f>
        <v>7</v>
      </c>
      <c r="F243" s="9" t="n">
        <f aca="false">2*D243</f>
        <v>23234</v>
      </c>
      <c r="G243" s="9" t="n">
        <f aca="false">MOD(F243,10)</f>
        <v>4</v>
      </c>
      <c r="H243" s="9" t="n">
        <f aca="false">G243/2</f>
        <v>2</v>
      </c>
      <c r="I243" s="9" t="str">
        <f aca="false">IF(H243=0,"—",IF(H243=1,"unison (1:1)",IF(H243=2,"octave (2:1)",IF(H243=3,"fifth (3:2)",IF(H243=4,"fourth (4:3)","?")))))</f>
        <v>octave (2:1)</v>
      </c>
      <c r="J243" s="9" t="str">
        <f aca="false">IF(H243=0,"—",IF(H243=1,"ὁμώνυμον",IF(H243=2,"διὰ πασῶν",IF(H243=3,"διὰ πέντε",IF(H243=4,"διὰ τεσσάρων","?")))))</f>
        <v>διὰ πασῶν</v>
      </c>
      <c r="K243" s="10"/>
      <c r="L243" s="14"/>
      <c r="M243" s="13"/>
    </row>
    <row r="244" customFormat="false" ht="15.75" hidden="false" customHeight="true" outlineLevel="0" collapsed="false">
      <c r="A244" s="8" t="n">
        <f aca="false">A243+1</f>
        <v>242</v>
      </c>
      <c r="B244" s="9" t="n">
        <f aca="false">MOD(4*A244^2,10)</f>
        <v>6</v>
      </c>
      <c r="C244" s="9" t="n">
        <f aca="false">(26*B244-5*B244^2)/24</f>
        <v>-1</v>
      </c>
      <c r="D244" s="9" t="n">
        <f aca="false">(A244^2+4*C244)/5</f>
        <v>11712</v>
      </c>
      <c r="E244" s="9" t="n">
        <f aca="false">MOD(D244,10)</f>
        <v>2</v>
      </c>
      <c r="F244" s="9" t="n">
        <f aca="false">2*D244</f>
        <v>23424</v>
      </c>
      <c r="G244" s="9" t="n">
        <f aca="false">MOD(F244,10)</f>
        <v>4</v>
      </c>
      <c r="H244" s="9" t="n">
        <f aca="false">G244/2</f>
        <v>2</v>
      </c>
      <c r="I244" s="9" t="str">
        <f aca="false">IF(H244=0,"—",IF(H244=1,"unison (1:1)",IF(H244=2,"octave (2:1)",IF(H244=3,"fifth (3:2)",IF(H244=4,"fourth (4:3)","?")))))</f>
        <v>octave (2:1)</v>
      </c>
      <c r="J244" s="9" t="str">
        <f aca="false">IF(H244=0,"—",IF(H244=1,"ὁμώνυμον",IF(H244=2,"διὰ πασῶν",IF(H244=3,"διὰ πέντε",IF(H244=4,"διὰ τεσσάρων","?")))))</f>
        <v>διὰ πασῶν</v>
      </c>
      <c r="K244" s="10"/>
      <c r="L244" s="14"/>
      <c r="M244" s="13"/>
    </row>
    <row r="245" customFormat="false" ht="15.75" hidden="false" customHeight="true" outlineLevel="0" collapsed="false">
      <c r="A245" s="8" t="n">
        <f aca="false">A244+1</f>
        <v>243</v>
      </c>
      <c r="B245" s="9" t="n">
        <f aca="false">MOD(4*A245^2,10)</f>
        <v>6</v>
      </c>
      <c r="C245" s="9" t="n">
        <f aca="false">(26*B245-5*B245^2)/24</f>
        <v>-1</v>
      </c>
      <c r="D245" s="9" t="n">
        <f aca="false">(A245^2+4*C245)/5</f>
        <v>11809</v>
      </c>
      <c r="E245" s="9" t="n">
        <f aca="false">MOD(D245,10)</f>
        <v>9</v>
      </c>
      <c r="F245" s="9" t="n">
        <f aca="false">2*D245</f>
        <v>23618</v>
      </c>
      <c r="G245" s="9" t="n">
        <f aca="false">MOD(F245,10)</f>
        <v>8</v>
      </c>
      <c r="H245" s="9" t="n">
        <f aca="false">G245/2</f>
        <v>4</v>
      </c>
      <c r="I245" s="9" t="str">
        <f aca="false">IF(H245=0,"—",IF(H245=1,"unison (1:1)",IF(H245=2,"octave (2:1)",IF(H245=3,"fifth (3:2)",IF(H245=4,"fourth (4:3)","?")))))</f>
        <v>fourth (4:3)</v>
      </c>
      <c r="J245" s="9" t="str">
        <f aca="false">IF(H245=0,"—",IF(H245=1,"ὁμώνυμον",IF(H245=2,"διὰ πασῶν",IF(H245=3,"διὰ πέντε",IF(H245=4,"διὰ τεσσάρων","?")))))</f>
        <v>διὰ τεσσάρων</v>
      </c>
      <c r="K245" s="10"/>
      <c r="L245" s="14"/>
      <c r="M245" s="13"/>
    </row>
    <row r="246" customFormat="false" ht="15.75" hidden="false" customHeight="true" outlineLevel="0" collapsed="false">
      <c r="A246" s="8" t="n">
        <f aca="false">A245+1</f>
        <v>244</v>
      </c>
      <c r="B246" s="9" t="n">
        <f aca="false">MOD(4*A246^2,10)</f>
        <v>4</v>
      </c>
      <c r="C246" s="9" t="n">
        <f aca="false">(26*B246-5*B246^2)/24</f>
        <v>1</v>
      </c>
      <c r="D246" s="9" t="n">
        <f aca="false">(A246^2+4*C246)/5</f>
        <v>11908</v>
      </c>
      <c r="E246" s="9" t="n">
        <f aca="false">MOD(D246,10)</f>
        <v>8</v>
      </c>
      <c r="F246" s="9" t="n">
        <f aca="false">2*D246</f>
        <v>23816</v>
      </c>
      <c r="G246" s="9" t="n">
        <f aca="false">MOD(F246,10)</f>
        <v>6</v>
      </c>
      <c r="H246" s="9" t="n">
        <f aca="false">G246/2</f>
        <v>3</v>
      </c>
      <c r="I246" s="9" t="str">
        <f aca="false">IF(H246=0,"—",IF(H246=1,"unison (1:1)",IF(H246=2,"octave (2:1)",IF(H246=3,"fifth (3:2)",IF(H246=4,"fourth (4:3)","?")))))</f>
        <v>fifth (3:2)</v>
      </c>
      <c r="J246" s="9" t="str">
        <f aca="false">IF(H246=0,"—",IF(H246=1,"ὁμώνυμον",IF(H246=2,"διὰ πασῶν",IF(H246=3,"διὰ πέντε",IF(H246=4,"διὰ τεσσάρων","?")))))</f>
        <v>διὰ πέντε</v>
      </c>
      <c r="K246" s="10"/>
      <c r="L246" s="14"/>
      <c r="M246" s="13"/>
    </row>
    <row r="247" customFormat="false" ht="15.75" hidden="false" customHeight="true" outlineLevel="0" collapsed="false">
      <c r="A247" s="8" t="n">
        <f aca="false">A246+1</f>
        <v>245</v>
      </c>
      <c r="B247" s="9" t="n">
        <f aca="false">MOD(4*A247^2,10)</f>
        <v>0</v>
      </c>
      <c r="C247" s="9" t="n">
        <f aca="false">(26*B247-5*B247^2)/24</f>
        <v>0</v>
      </c>
      <c r="D247" s="9" t="n">
        <f aca="false">(A247^2+4*C247)/5</f>
        <v>12005</v>
      </c>
      <c r="E247" s="9" t="n">
        <f aca="false">MOD(D247,10)</f>
        <v>5</v>
      </c>
      <c r="F247" s="9" t="n">
        <f aca="false">2*D247</f>
        <v>24010</v>
      </c>
      <c r="G247" s="9" t="n">
        <f aca="false">MOD(F247,10)</f>
        <v>0</v>
      </c>
      <c r="H247" s="9" t="n">
        <f aca="false">G247/2</f>
        <v>0</v>
      </c>
      <c r="I247" s="9" t="str">
        <f aca="false">IF(H247=0,"—",IF(H247=1,"unison (1:1)",IF(H247=2,"octave (2:1)",IF(H247=3,"fifth (3:2)",IF(H247=4,"fourth (4:3)","?")))))</f>
        <v>—</v>
      </c>
      <c r="J247" s="9" t="str">
        <f aca="false">IF(H247=0,"—",IF(H247=1,"ὁμώνυμον",IF(H247=2,"διὰ πασῶν",IF(H247=3,"διὰ πέντε",IF(H247=4,"διὰ τεσσάρων","?")))))</f>
        <v>—</v>
      </c>
      <c r="K247" s="10"/>
      <c r="L247" s="14"/>
      <c r="M247" s="13"/>
    </row>
    <row r="248" customFormat="false" ht="15.75" hidden="false" customHeight="true" outlineLevel="0" collapsed="false">
      <c r="A248" s="8" t="n">
        <f aca="false">A247+1</f>
        <v>246</v>
      </c>
      <c r="B248" s="9" t="n">
        <f aca="false">MOD(4*A248^2,10)</f>
        <v>4</v>
      </c>
      <c r="C248" s="9" t="n">
        <f aca="false">(26*B248-5*B248^2)/24</f>
        <v>1</v>
      </c>
      <c r="D248" s="9" t="n">
        <f aca="false">(A248^2+4*C248)/5</f>
        <v>12104</v>
      </c>
      <c r="E248" s="9" t="n">
        <f aca="false">MOD(D248,10)</f>
        <v>4</v>
      </c>
      <c r="F248" s="9" t="n">
        <f aca="false">2*D248</f>
        <v>24208</v>
      </c>
      <c r="G248" s="9" t="n">
        <f aca="false">MOD(F248,10)</f>
        <v>8</v>
      </c>
      <c r="H248" s="9" t="n">
        <f aca="false">G248/2</f>
        <v>4</v>
      </c>
      <c r="I248" s="9" t="str">
        <f aca="false">IF(H248=0,"—",IF(H248=1,"unison (1:1)",IF(H248=2,"octave (2:1)",IF(H248=3,"fifth (3:2)",IF(H248=4,"fourth (4:3)","?")))))</f>
        <v>fourth (4:3)</v>
      </c>
      <c r="J248" s="9" t="str">
        <f aca="false">IF(H248=0,"—",IF(H248=1,"ὁμώνυμον",IF(H248=2,"διὰ πασῶν",IF(H248=3,"διὰ πέντε",IF(H248=4,"διὰ τεσσάρων","?")))))</f>
        <v>διὰ τεσσάρων</v>
      </c>
      <c r="K248" s="10"/>
      <c r="L248" s="14"/>
      <c r="M248" s="13"/>
    </row>
    <row r="249" customFormat="false" ht="15.75" hidden="false" customHeight="true" outlineLevel="0" collapsed="false">
      <c r="A249" s="8" t="n">
        <f aca="false">A248+1</f>
        <v>247</v>
      </c>
      <c r="B249" s="9" t="n">
        <f aca="false">MOD(4*A249^2,10)</f>
        <v>6</v>
      </c>
      <c r="C249" s="9" t="n">
        <f aca="false">(26*B249-5*B249^2)/24</f>
        <v>-1</v>
      </c>
      <c r="D249" s="9" t="n">
        <f aca="false">(A249^2+4*C249)/5</f>
        <v>12201</v>
      </c>
      <c r="E249" s="9" t="n">
        <f aca="false">MOD(D249,10)</f>
        <v>1</v>
      </c>
      <c r="F249" s="9" t="n">
        <f aca="false">2*D249</f>
        <v>24402</v>
      </c>
      <c r="G249" s="9" t="n">
        <f aca="false">MOD(F249,10)</f>
        <v>2</v>
      </c>
      <c r="H249" s="9" t="n">
        <f aca="false">G249/2</f>
        <v>1</v>
      </c>
      <c r="I249" s="9" t="str">
        <f aca="false">IF(H249=0,"—",IF(H249=1,"unison (1:1)",IF(H249=2,"octave (2:1)",IF(H249=3,"fifth (3:2)",IF(H249=4,"fourth (4:3)","?")))))</f>
        <v>unison (1:1)</v>
      </c>
      <c r="J249" s="9" t="str">
        <f aca="false">IF(H249=0,"—",IF(H249=1,"ὁμώνυμον",IF(H249=2,"διὰ πασῶν",IF(H249=3,"διὰ πέντε",IF(H249=4,"διὰ τεσσάρων","?")))))</f>
        <v>ὁμώνυμον</v>
      </c>
      <c r="K249" s="10"/>
      <c r="L249" s="14"/>
      <c r="M249" s="13"/>
    </row>
    <row r="250" customFormat="false" ht="15.75" hidden="false" customHeight="true" outlineLevel="0" collapsed="false">
      <c r="A250" s="8" t="n">
        <f aca="false">A249+1</f>
        <v>248</v>
      </c>
      <c r="B250" s="9" t="n">
        <f aca="false">MOD(4*A250^2,10)</f>
        <v>6</v>
      </c>
      <c r="C250" s="9" t="n">
        <f aca="false">(26*B250-5*B250^2)/24</f>
        <v>-1</v>
      </c>
      <c r="D250" s="9" t="n">
        <f aca="false">(A250^2+4*C250)/5</f>
        <v>12300</v>
      </c>
      <c r="E250" s="9" t="n">
        <f aca="false">MOD(D250,10)</f>
        <v>0</v>
      </c>
      <c r="F250" s="9" t="n">
        <f aca="false">2*D250</f>
        <v>24600</v>
      </c>
      <c r="G250" s="9" t="n">
        <f aca="false">MOD(F250,10)</f>
        <v>0</v>
      </c>
      <c r="H250" s="9" t="n">
        <f aca="false">G250/2</f>
        <v>0</v>
      </c>
      <c r="I250" s="9" t="str">
        <f aca="false">IF(H250=0,"—",IF(H250=1,"unison (1:1)",IF(H250=2,"octave (2:1)",IF(H250=3,"fifth (3:2)",IF(H250=4,"fourth (4:3)","?")))))</f>
        <v>—</v>
      </c>
      <c r="J250" s="9" t="str">
        <f aca="false">IF(H250=0,"—",IF(H250=1,"ὁμώνυμον",IF(H250=2,"διὰ πασῶν",IF(H250=3,"διὰ πέντε",IF(H250=4,"διὰ τεσσάρων","?")))))</f>
        <v>—</v>
      </c>
      <c r="K250" s="10"/>
      <c r="L250" s="14"/>
      <c r="M250" s="13"/>
    </row>
    <row r="251" customFormat="false" ht="15.75" hidden="false" customHeight="true" outlineLevel="0" collapsed="false">
      <c r="A251" s="8" t="n">
        <f aca="false">A250+1</f>
        <v>249</v>
      </c>
      <c r="B251" s="9" t="n">
        <f aca="false">MOD(4*A251^2,10)</f>
        <v>4</v>
      </c>
      <c r="C251" s="9" t="n">
        <f aca="false">(26*B251-5*B251^2)/24</f>
        <v>1</v>
      </c>
      <c r="D251" s="9" t="n">
        <f aca="false">(A251^2+4*C251)/5</f>
        <v>12401</v>
      </c>
      <c r="E251" s="9" t="n">
        <f aca="false">MOD(D251,10)</f>
        <v>1</v>
      </c>
      <c r="F251" s="9" t="n">
        <f aca="false">2*D251</f>
        <v>24802</v>
      </c>
      <c r="G251" s="9" t="n">
        <f aca="false">MOD(F251,10)</f>
        <v>2</v>
      </c>
      <c r="H251" s="9" t="n">
        <f aca="false">G251/2</f>
        <v>1</v>
      </c>
      <c r="I251" s="9" t="str">
        <f aca="false">IF(H251=0,"—",IF(H251=1,"unison (1:1)",IF(H251=2,"octave (2:1)",IF(H251=3,"fifth (3:2)",IF(H251=4,"fourth (4:3)","?")))))</f>
        <v>unison (1:1)</v>
      </c>
      <c r="J251" s="9" t="str">
        <f aca="false">IF(H251=0,"—",IF(H251=1,"ὁμώνυμον",IF(H251=2,"διὰ πασῶν",IF(H251=3,"διὰ πέντε",IF(H251=4,"διὰ τεσσάρων","?")))))</f>
        <v>ὁμώνυμον</v>
      </c>
      <c r="K251" s="10"/>
      <c r="L251" s="14"/>
      <c r="M251" s="13"/>
    </row>
    <row r="252" customFormat="false" ht="15.75" hidden="false" customHeight="true" outlineLevel="0" collapsed="false">
      <c r="A252" s="8" t="n">
        <f aca="false">A251+1</f>
        <v>250</v>
      </c>
      <c r="B252" s="9" t="n">
        <f aca="false">MOD(4*A252^2,10)</f>
        <v>0</v>
      </c>
      <c r="C252" s="9" t="n">
        <f aca="false">(26*B252-5*B252^2)/24</f>
        <v>0</v>
      </c>
      <c r="D252" s="9" t="n">
        <f aca="false">(A252^2+4*C252)/5</f>
        <v>12500</v>
      </c>
      <c r="E252" s="9" t="n">
        <f aca="false">MOD(D252,10)</f>
        <v>0</v>
      </c>
      <c r="F252" s="9" t="n">
        <f aca="false">2*D252</f>
        <v>25000</v>
      </c>
      <c r="G252" s="9" t="n">
        <f aca="false">MOD(F252,10)</f>
        <v>0</v>
      </c>
      <c r="H252" s="9" t="n">
        <f aca="false">G252/2</f>
        <v>0</v>
      </c>
      <c r="I252" s="9" t="str">
        <f aca="false">IF(H252=0,"—",IF(H252=1,"unison (1:1)",IF(H252=2,"octave (2:1)",IF(H252=3,"fifth (3:2)",IF(H252=4,"fourth (4:3)","?")))))</f>
        <v>—</v>
      </c>
      <c r="J252" s="9" t="str">
        <f aca="false">IF(H252=0,"—",IF(H252=1,"ὁμώνυμον",IF(H252=2,"διὰ πασῶν",IF(H252=3,"διὰ πέντε",IF(H252=4,"διὰ τεσσάρων","?")))))</f>
        <v>—</v>
      </c>
      <c r="K252" s="10"/>
      <c r="L252" s="14"/>
      <c r="M252" s="13"/>
    </row>
    <row r="253" customFormat="false" ht="15.75" hidden="false" customHeight="true" outlineLevel="0" collapsed="false">
      <c r="A253" s="8" t="n">
        <f aca="false">A252+1</f>
        <v>251</v>
      </c>
      <c r="B253" s="9" t="n">
        <f aca="false">MOD(4*A253^2,10)</f>
        <v>4</v>
      </c>
      <c r="C253" s="9" t="n">
        <f aca="false">(26*B253-5*B253^2)/24</f>
        <v>1</v>
      </c>
      <c r="D253" s="9" t="n">
        <f aca="false">(A253^2+4*C253)/5</f>
        <v>12601</v>
      </c>
      <c r="E253" s="9" t="n">
        <f aca="false">MOD(D253,10)</f>
        <v>1</v>
      </c>
      <c r="F253" s="9" t="n">
        <f aca="false">2*D253</f>
        <v>25202</v>
      </c>
      <c r="G253" s="9" t="n">
        <f aca="false">MOD(F253,10)</f>
        <v>2</v>
      </c>
      <c r="H253" s="9" t="n">
        <f aca="false">G253/2</f>
        <v>1</v>
      </c>
      <c r="I253" s="9" t="str">
        <f aca="false">IF(H253=0,"—",IF(H253=1,"unison (1:1)",IF(H253=2,"octave (2:1)",IF(H253=3,"fifth (3:2)",IF(H253=4,"fourth (4:3)","?")))))</f>
        <v>unison (1:1)</v>
      </c>
      <c r="J253" s="9" t="str">
        <f aca="false">IF(H253=0,"—",IF(H253=1,"ὁμώνυμον",IF(H253=2,"διὰ πασῶν",IF(H253=3,"διὰ πέντε",IF(H253=4,"διὰ τεσσάρων","?")))))</f>
        <v>ὁμώνυμον</v>
      </c>
      <c r="K253" s="10"/>
      <c r="L253" s="14"/>
      <c r="M253" s="13"/>
    </row>
    <row r="254" customFormat="false" ht="15.75" hidden="false" customHeight="true" outlineLevel="0" collapsed="false">
      <c r="A254" s="8" t="n">
        <f aca="false">A253+1</f>
        <v>252</v>
      </c>
      <c r="B254" s="9" t="n">
        <f aca="false">MOD(4*A254^2,10)</f>
        <v>6</v>
      </c>
      <c r="C254" s="9" t="n">
        <f aca="false">(26*B254-5*B254^2)/24</f>
        <v>-1</v>
      </c>
      <c r="D254" s="9" t="n">
        <f aca="false">(A254^2+4*C254)/5</f>
        <v>12700</v>
      </c>
      <c r="E254" s="9" t="n">
        <f aca="false">MOD(D254,10)</f>
        <v>0</v>
      </c>
      <c r="F254" s="9" t="n">
        <f aca="false">2*D254</f>
        <v>25400</v>
      </c>
      <c r="G254" s="9" t="n">
        <f aca="false">MOD(F254,10)</f>
        <v>0</v>
      </c>
      <c r="H254" s="9" t="n">
        <f aca="false">G254/2</f>
        <v>0</v>
      </c>
      <c r="I254" s="9" t="str">
        <f aca="false">IF(H254=0,"—",IF(H254=1,"unison (1:1)",IF(H254=2,"octave (2:1)",IF(H254=3,"fifth (3:2)",IF(H254=4,"fourth (4:3)","?")))))</f>
        <v>—</v>
      </c>
      <c r="J254" s="9" t="str">
        <f aca="false">IF(H254=0,"—",IF(H254=1,"ὁμώνυμον",IF(H254=2,"διὰ πασῶν",IF(H254=3,"διὰ πέντε",IF(H254=4,"διὰ τεσσάρων","?")))))</f>
        <v>—</v>
      </c>
      <c r="K254" s="10"/>
      <c r="L254" s="14"/>
      <c r="M254" s="13"/>
    </row>
    <row r="255" customFormat="false" ht="15.75" hidden="false" customHeight="true" outlineLevel="0" collapsed="false">
      <c r="A255" s="8" t="n">
        <f aca="false">A254+1</f>
        <v>253</v>
      </c>
      <c r="B255" s="9" t="n">
        <f aca="false">MOD(4*A255^2,10)</f>
        <v>6</v>
      </c>
      <c r="C255" s="9" t="n">
        <f aca="false">(26*B255-5*B255^2)/24</f>
        <v>-1</v>
      </c>
      <c r="D255" s="9" t="n">
        <f aca="false">(A255^2+4*C255)/5</f>
        <v>12801</v>
      </c>
      <c r="E255" s="9" t="n">
        <f aca="false">MOD(D255,10)</f>
        <v>1</v>
      </c>
      <c r="F255" s="9" t="n">
        <f aca="false">2*D255</f>
        <v>25602</v>
      </c>
      <c r="G255" s="9" t="n">
        <f aca="false">MOD(F255,10)</f>
        <v>2</v>
      </c>
      <c r="H255" s="9" t="n">
        <f aca="false">G255/2</f>
        <v>1</v>
      </c>
      <c r="I255" s="9" t="str">
        <f aca="false">IF(H255=0,"—",IF(H255=1,"unison (1:1)",IF(H255=2,"octave (2:1)",IF(H255=3,"fifth (3:2)",IF(H255=4,"fourth (4:3)","?")))))</f>
        <v>unison (1:1)</v>
      </c>
      <c r="J255" s="9" t="str">
        <f aca="false">IF(H255=0,"—",IF(H255=1,"ὁμώνυμον",IF(H255=2,"διὰ πασῶν",IF(H255=3,"διὰ πέντε",IF(H255=4,"διὰ τεσσάρων","?")))))</f>
        <v>ὁμώνυμον</v>
      </c>
      <c r="K255" s="10"/>
      <c r="L255" s="14"/>
      <c r="M255" s="13"/>
    </row>
    <row r="256" customFormat="false" ht="15.75" hidden="false" customHeight="true" outlineLevel="0" collapsed="false">
      <c r="A256" s="8" t="n">
        <f aca="false">A255+1</f>
        <v>254</v>
      </c>
      <c r="B256" s="9" t="n">
        <f aca="false">MOD(4*A256^2,10)</f>
        <v>4</v>
      </c>
      <c r="C256" s="9" t="n">
        <f aca="false">(26*B256-5*B256^2)/24</f>
        <v>1</v>
      </c>
      <c r="D256" s="9" t="n">
        <f aca="false">(A256^2+4*C256)/5</f>
        <v>12904</v>
      </c>
      <c r="E256" s="9" t="n">
        <f aca="false">MOD(D256,10)</f>
        <v>4</v>
      </c>
      <c r="F256" s="9" t="n">
        <f aca="false">2*D256</f>
        <v>25808</v>
      </c>
      <c r="G256" s="9" t="n">
        <f aca="false">MOD(F256,10)</f>
        <v>8</v>
      </c>
      <c r="H256" s="9" t="n">
        <f aca="false">G256/2</f>
        <v>4</v>
      </c>
      <c r="I256" s="9" t="str">
        <f aca="false">IF(H256=0,"—",IF(H256=1,"unison (1:1)",IF(H256=2,"octave (2:1)",IF(H256=3,"fifth (3:2)",IF(H256=4,"fourth (4:3)","?")))))</f>
        <v>fourth (4:3)</v>
      </c>
      <c r="J256" s="9" t="str">
        <f aca="false">IF(H256=0,"—",IF(H256=1,"ὁμώνυμον",IF(H256=2,"διὰ πασῶν",IF(H256=3,"διὰ πέντε",IF(H256=4,"διὰ τεσσάρων","?")))))</f>
        <v>διὰ τεσσάρων</v>
      </c>
      <c r="K256" s="10"/>
      <c r="L256" s="14"/>
      <c r="M256" s="13"/>
    </row>
    <row r="257" customFormat="false" ht="15.75" hidden="false" customHeight="true" outlineLevel="0" collapsed="false">
      <c r="A257" s="8" t="n">
        <f aca="false">A256+1</f>
        <v>255</v>
      </c>
      <c r="B257" s="9" t="n">
        <f aca="false">MOD(4*A257^2,10)</f>
        <v>0</v>
      </c>
      <c r="C257" s="9" t="n">
        <f aca="false">(26*B257-5*B257^2)/24</f>
        <v>0</v>
      </c>
      <c r="D257" s="9" t="n">
        <f aca="false">(A257^2+4*C257)/5</f>
        <v>13005</v>
      </c>
      <c r="E257" s="9" t="n">
        <f aca="false">MOD(D257,10)</f>
        <v>5</v>
      </c>
      <c r="F257" s="9" t="n">
        <f aca="false">2*D257</f>
        <v>26010</v>
      </c>
      <c r="G257" s="9" t="n">
        <f aca="false">MOD(F257,10)</f>
        <v>0</v>
      </c>
      <c r="H257" s="9" t="n">
        <f aca="false">G257/2</f>
        <v>0</v>
      </c>
      <c r="I257" s="9" t="str">
        <f aca="false">IF(H257=0,"—",IF(H257=1,"unison (1:1)",IF(H257=2,"octave (2:1)",IF(H257=3,"fifth (3:2)",IF(H257=4,"fourth (4:3)","?")))))</f>
        <v>—</v>
      </c>
      <c r="J257" s="9" t="str">
        <f aca="false">IF(H257=0,"—",IF(H257=1,"ὁμώνυμον",IF(H257=2,"διὰ πασῶν",IF(H257=3,"διὰ πέντε",IF(H257=4,"διὰ τεσσάρων","?")))))</f>
        <v>—</v>
      </c>
      <c r="K257" s="10"/>
      <c r="L257" s="14"/>
      <c r="M257" s="13"/>
    </row>
    <row r="258" customFormat="false" ht="15.75" hidden="false" customHeight="true" outlineLevel="0" collapsed="false">
      <c r="A258" s="8" t="n">
        <f aca="false">A257+1</f>
        <v>256</v>
      </c>
      <c r="B258" s="9" t="n">
        <f aca="false">MOD(4*A258^2,10)</f>
        <v>4</v>
      </c>
      <c r="C258" s="9" t="n">
        <f aca="false">(26*B258-5*B258^2)/24</f>
        <v>1</v>
      </c>
      <c r="D258" s="9" t="n">
        <f aca="false">(A258^2+4*C258)/5</f>
        <v>13108</v>
      </c>
      <c r="E258" s="9" t="n">
        <f aca="false">MOD(D258,10)</f>
        <v>8</v>
      </c>
      <c r="F258" s="9" t="n">
        <f aca="false">2*D258</f>
        <v>26216</v>
      </c>
      <c r="G258" s="9" t="n">
        <f aca="false">MOD(F258,10)</f>
        <v>6</v>
      </c>
      <c r="H258" s="9" t="n">
        <f aca="false">G258/2</f>
        <v>3</v>
      </c>
      <c r="I258" s="9" t="str">
        <f aca="false">IF(H258=0,"—",IF(H258=1,"unison (1:1)",IF(H258=2,"octave (2:1)",IF(H258=3,"fifth (3:2)",IF(H258=4,"fourth (4:3)","?")))))</f>
        <v>fifth (3:2)</v>
      </c>
      <c r="J258" s="9" t="str">
        <f aca="false">IF(H258=0,"—",IF(H258=1,"ὁμώνυμον",IF(H258=2,"διὰ πασῶν",IF(H258=3,"διὰ πέντε",IF(H258=4,"διὰ τεσσάρων","?")))))</f>
        <v>διὰ πέντε</v>
      </c>
      <c r="K258" s="10"/>
      <c r="L258" s="14"/>
      <c r="M258" s="13"/>
    </row>
    <row r="259" customFormat="false" ht="15.75" hidden="false" customHeight="true" outlineLevel="0" collapsed="false">
      <c r="A259" s="8" t="n">
        <f aca="false">A258+1</f>
        <v>257</v>
      </c>
      <c r="B259" s="9" t="n">
        <f aca="false">MOD(4*A259^2,10)</f>
        <v>6</v>
      </c>
      <c r="C259" s="9" t="n">
        <f aca="false">(26*B259-5*B259^2)/24</f>
        <v>-1</v>
      </c>
      <c r="D259" s="9" t="n">
        <f aca="false">(A259^2+4*C259)/5</f>
        <v>13209</v>
      </c>
      <c r="E259" s="9" t="n">
        <f aca="false">MOD(D259,10)</f>
        <v>9</v>
      </c>
      <c r="F259" s="9" t="n">
        <f aca="false">2*D259</f>
        <v>26418</v>
      </c>
      <c r="G259" s="9" t="n">
        <f aca="false">MOD(F259,10)</f>
        <v>8</v>
      </c>
      <c r="H259" s="9" t="n">
        <f aca="false">G259/2</f>
        <v>4</v>
      </c>
      <c r="I259" s="9" t="str">
        <f aca="false">IF(H259=0,"—",IF(H259=1,"unison (1:1)",IF(H259=2,"octave (2:1)",IF(H259=3,"fifth (3:2)",IF(H259=4,"fourth (4:3)","?")))))</f>
        <v>fourth (4:3)</v>
      </c>
      <c r="J259" s="9" t="str">
        <f aca="false">IF(H259=0,"—",IF(H259=1,"ὁμώνυμον",IF(H259=2,"διὰ πασῶν",IF(H259=3,"διὰ πέντε",IF(H259=4,"διὰ τεσσάρων","?")))))</f>
        <v>διὰ τεσσάρων</v>
      </c>
      <c r="K259" s="10"/>
      <c r="L259" s="14"/>
      <c r="M259" s="13"/>
    </row>
    <row r="260" customFormat="false" ht="15.75" hidden="false" customHeight="true" outlineLevel="0" collapsed="false">
      <c r="A260" s="8" t="n">
        <f aca="false">A259+1</f>
        <v>258</v>
      </c>
      <c r="B260" s="9" t="n">
        <f aca="false">MOD(4*A260^2,10)</f>
        <v>6</v>
      </c>
      <c r="C260" s="9" t="n">
        <f aca="false">(26*B260-5*B260^2)/24</f>
        <v>-1</v>
      </c>
      <c r="D260" s="9" t="n">
        <f aca="false">(A260^2+4*C260)/5</f>
        <v>13312</v>
      </c>
      <c r="E260" s="9" t="n">
        <f aca="false">MOD(D260,10)</f>
        <v>2</v>
      </c>
      <c r="F260" s="9" t="n">
        <f aca="false">2*D260</f>
        <v>26624</v>
      </c>
      <c r="G260" s="9" t="n">
        <f aca="false">MOD(F260,10)</f>
        <v>4</v>
      </c>
      <c r="H260" s="9" t="n">
        <f aca="false">G260/2</f>
        <v>2</v>
      </c>
      <c r="I260" s="9" t="str">
        <f aca="false">IF(H260=0,"—",IF(H260=1,"unison (1:1)",IF(H260=2,"octave (2:1)",IF(H260=3,"fifth (3:2)",IF(H260=4,"fourth (4:3)","?")))))</f>
        <v>octave (2:1)</v>
      </c>
      <c r="J260" s="9" t="str">
        <f aca="false">IF(H260=0,"—",IF(H260=1,"ὁμώνυμον",IF(H260=2,"διὰ πασῶν",IF(H260=3,"διὰ πέντε",IF(H260=4,"διὰ τεσσάρων","?")))))</f>
        <v>διὰ πασῶν</v>
      </c>
      <c r="K260" s="10"/>
      <c r="L260" s="14"/>
      <c r="M260" s="13"/>
    </row>
    <row r="261" customFormat="false" ht="15.75" hidden="false" customHeight="true" outlineLevel="0" collapsed="false">
      <c r="A261" s="8" t="n">
        <f aca="false">A260+1</f>
        <v>259</v>
      </c>
      <c r="B261" s="9" t="n">
        <f aca="false">MOD(4*A261^2,10)</f>
        <v>4</v>
      </c>
      <c r="C261" s="9" t="n">
        <f aca="false">(26*B261-5*B261^2)/24</f>
        <v>1</v>
      </c>
      <c r="D261" s="9" t="n">
        <f aca="false">(A261^2+4*C261)/5</f>
        <v>13417</v>
      </c>
      <c r="E261" s="9" t="n">
        <f aca="false">MOD(D261,10)</f>
        <v>7</v>
      </c>
      <c r="F261" s="9" t="n">
        <f aca="false">2*D261</f>
        <v>26834</v>
      </c>
      <c r="G261" s="9" t="n">
        <f aca="false">MOD(F261,10)</f>
        <v>4</v>
      </c>
      <c r="H261" s="9" t="n">
        <f aca="false">G261/2</f>
        <v>2</v>
      </c>
      <c r="I261" s="9" t="str">
        <f aca="false">IF(H261=0,"—",IF(H261=1,"unison (1:1)",IF(H261=2,"octave (2:1)",IF(H261=3,"fifth (3:2)",IF(H261=4,"fourth (4:3)","?")))))</f>
        <v>octave (2:1)</v>
      </c>
      <c r="J261" s="9" t="str">
        <f aca="false">IF(H261=0,"—",IF(H261=1,"ὁμώνυμον",IF(H261=2,"διὰ πασῶν",IF(H261=3,"διὰ πέντε",IF(H261=4,"διὰ τεσσάρων","?")))))</f>
        <v>διὰ πασῶν</v>
      </c>
      <c r="K261" s="10"/>
      <c r="L261" s="14"/>
      <c r="M261" s="13"/>
    </row>
    <row r="262" customFormat="false" ht="15.75" hidden="false" customHeight="true" outlineLevel="0" collapsed="false">
      <c r="A262" s="8" t="n">
        <f aca="false">A261+1</f>
        <v>260</v>
      </c>
      <c r="B262" s="9" t="n">
        <f aca="false">MOD(4*A262^2,10)</f>
        <v>0</v>
      </c>
      <c r="C262" s="9" t="n">
        <f aca="false">(26*B262-5*B262^2)/24</f>
        <v>0</v>
      </c>
      <c r="D262" s="9" t="n">
        <f aca="false">(A262^2+4*C262)/5</f>
        <v>13520</v>
      </c>
      <c r="E262" s="9" t="n">
        <f aca="false">MOD(D262,10)</f>
        <v>0</v>
      </c>
      <c r="F262" s="9" t="n">
        <f aca="false">2*D262</f>
        <v>27040</v>
      </c>
      <c r="G262" s="9" t="n">
        <f aca="false">MOD(F262,10)</f>
        <v>0</v>
      </c>
      <c r="H262" s="9" t="n">
        <f aca="false">G262/2</f>
        <v>0</v>
      </c>
      <c r="I262" s="9" t="str">
        <f aca="false">IF(H262=0,"—",IF(H262=1,"unison (1:1)",IF(H262=2,"octave (2:1)",IF(H262=3,"fifth (3:2)",IF(H262=4,"fourth (4:3)","?")))))</f>
        <v>—</v>
      </c>
      <c r="J262" s="9" t="str">
        <f aca="false">IF(H262=0,"—",IF(H262=1,"ὁμώνυμον",IF(H262=2,"διὰ πασῶν",IF(H262=3,"διὰ πέντε",IF(H262=4,"διὰ τεσσάρων","?")))))</f>
        <v>—</v>
      </c>
      <c r="K262" s="10"/>
      <c r="L262" s="14"/>
      <c r="M262" s="13"/>
    </row>
    <row r="263" customFormat="false" ht="15.75" hidden="false" customHeight="true" outlineLevel="0" collapsed="false">
      <c r="A263" s="8" t="n">
        <f aca="false">A262+1</f>
        <v>261</v>
      </c>
      <c r="B263" s="9" t="n">
        <f aca="false">MOD(4*A263^2,10)</f>
        <v>4</v>
      </c>
      <c r="C263" s="9" t="n">
        <f aca="false">(26*B263-5*B263^2)/24</f>
        <v>1</v>
      </c>
      <c r="D263" s="9" t="n">
        <f aca="false">(A263^2+4*C263)/5</f>
        <v>13625</v>
      </c>
      <c r="E263" s="9" t="n">
        <f aca="false">MOD(D263,10)</f>
        <v>5</v>
      </c>
      <c r="F263" s="9" t="n">
        <f aca="false">2*D263</f>
        <v>27250</v>
      </c>
      <c r="G263" s="9" t="n">
        <f aca="false">MOD(F263,10)</f>
        <v>0</v>
      </c>
      <c r="H263" s="9" t="n">
        <f aca="false">G263/2</f>
        <v>0</v>
      </c>
      <c r="I263" s="9" t="str">
        <f aca="false">IF(H263=0,"—",IF(H263=1,"unison (1:1)",IF(H263=2,"octave (2:1)",IF(H263=3,"fifth (3:2)",IF(H263=4,"fourth (4:3)","?")))))</f>
        <v>—</v>
      </c>
      <c r="J263" s="9" t="str">
        <f aca="false">IF(H263=0,"—",IF(H263=1,"ὁμώνυμον",IF(H263=2,"διὰ πασῶν",IF(H263=3,"διὰ πέντε",IF(H263=4,"διὰ τεσσάρων","?")))))</f>
        <v>—</v>
      </c>
      <c r="K263" s="10"/>
      <c r="L263" s="14"/>
      <c r="M263" s="13"/>
    </row>
    <row r="264" customFormat="false" ht="15.75" hidden="false" customHeight="true" outlineLevel="0" collapsed="false">
      <c r="A264" s="8" t="n">
        <f aca="false">A263+1</f>
        <v>262</v>
      </c>
      <c r="B264" s="9" t="n">
        <f aca="false">MOD(4*A264^2,10)</f>
        <v>6</v>
      </c>
      <c r="C264" s="9" t="n">
        <f aca="false">(26*B264-5*B264^2)/24</f>
        <v>-1</v>
      </c>
      <c r="D264" s="9" t="n">
        <f aca="false">(A264^2+4*C264)/5</f>
        <v>13728</v>
      </c>
      <c r="E264" s="9" t="n">
        <f aca="false">MOD(D264,10)</f>
        <v>8</v>
      </c>
      <c r="F264" s="9" t="n">
        <f aca="false">2*D264</f>
        <v>27456</v>
      </c>
      <c r="G264" s="9" t="n">
        <f aca="false">MOD(F264,10)</f>
        <v>6</v>
      </c>
      <c r="H264" s="9" t="n">
        <f aca="false">G264/2</f>
        <v>3</v>
      </c>
      <c r="I264" s="9" t="str">
        <f aca="false">IF(H264=0,"—",IF(H264=1,"unison (1:1)",IF(H264=2,"octave (2:1)",IF(H264=3,"fifth (3:2)",IF(H264=4,"fourth (4:3)","?")))))</f>
        <v>fifth (3:2)</v>
      </c>
      <c r="J264" s="9" t="str">
        <f aca="false">IF(H264=0,"—",IF(H264=1,"ὁμώνυμον",IF(H264=2,"διὰ πασῶν",IF(H264=3,"διὰ πέντε",IF(H264=4,"διὰ τεσσάρων","?")))))</f>
        <v>διὰ πέντε</v>
      </c>
      <c r="K264" s="10"/>
      <c r="L264" s="14"/>
      <c r="M264" s="13"/>
    </row>
    <row r="265" customFormat="false" ht="15.75" hidden="false" customHeight="true" outlineLevel="0" collapsed="false">
      <c r="A265" s="8" t="n">
        <f aca="false">A264+1</f>
        <v>263</v>
      </c>
      <c r="B265" s="9" t="n">
        <f aca="false">MOD(4*A265^2,10)</f>
        <v>6</v>
      </c>
      <c r="C265" s="9" t="n">
        <f aca="false">(26*B265-5*B265^2)/24</f>
        <v>-1</v>
      </c>
      <c r="D265" s="9" t="n">
        <f aca="false">(A265^2+4*C265)/5</f>
        <v>13833</v>
      </c>
      <c r="E265" s="9" t="n">
        <f aca="false">MOD(D265,10)</f>
        <v>3</v>
      </c>
      <c r="F265" s="9" t="n">
        <f aca="false">2*D265</f>
        <v>27666</v>
      </c>
      <c r="G265" s="9" t="n">
        <f aca="false">MOD(F265,10)</f>
        <v>6</v>
      </c>
      <c r="H265" s="9" t="n">
        <f aca="false">G265/2</f>
        <v>3</v>
      </c>
      <c r="I265" s="9" t="str">
        <f aca="false">IF(H265=0,"—",IF(H265=1,"unison (1:1)",IF(H265=2,"octave (2:1)",IF(H265=3,"fifth (3:2)",IF(H265=4,"fourth (4:3)","?")))))</f>
        <v>fifth (3:2)</v>
      </c>
      <c r="J265" s="9" t="str">
        <f aca="false">IF(H265=0,"—",IF(H265=1,"ὁμώνυμον",IF(H265=2,"διὰ πασῶν",IF(H265=3,"διὰ πέντε",IF(H265=4,"διὰ τεσσάρων","?")))))</f>
        <v>διὰ πέντε</v>
      </c>
      <c r="K265" s="10"/>
      <c r="L265" s="14"/>
      <c r="M265" s="13"/>
    </row>
    <row r="266" customFormat="false" ht="15.75" hidden="false" customHeight="true" outlineLevel="0" collapsed="false">
      <c r="A266" s="8" t="n">
        <f aca="false">A265+1</f>
        <v>264</v>
      </c>
      <c r="B266" s="9" t="n">
        <f aca="false">MOD(4*A266^2,10)</f>
        <v>4</v>
      </c>
      <c r="C266" s="9" t="n">
        <f aca="false">(26*B266-5*B266^2)/24</f>
        <v>1</v>
      </c>
      <c r="D266" s="9" t="n">
        <f aca="false">(A266^2+4*C266)/5</f>
        <v>13940</v>
      </c>
      <c r="E266" s="9" t="n">
        <f aca="false">MOD(D266,10)</f>
        <v>0</v>
      </c>
      <c r="F266" s="9" t="n">
        <f aca="false">2*D266</f>
        <v>27880</v>
      </c>
      <c r="G266" s="9" t="n">
        <f aca="false">MOD(F266,10)</f>
        <v>0</v>
      </c>
      <c r="H266" s="9" t="n">
        <f aca="false">G266/2</f>
        <v>0</v>
      </c>
      <c r="I266" s="9" t="str">
        <f aca="false">IF(H266=0,"—",IF(H266=1,"unison (1:1)",IF(H266=2,"octave (2:1)",IF(H266=3,"fifth (3:2)",IF(H266=4,"fourth (4:3)","?")))))</f>
        <v>—</v>
      </c>
      <c r="J266" s="9" t="str">
        <f aca="false">IF(H266=0,"—",IF(H266=1,"ὁμώνυμον",IF(H266=2,"διὰ πασῶν",IF(H266=3,"διὰ πέντε",IF(H266=4,"διὰ τεσσάρων","?")))))</f>
        <v>—</v>
      </c>
      <c r="K266" s="10"/>
      <c r="L266" s="14"/>
      <c r="M266" s="13"/>
    </row>
    <row r="267" customFormat="false" ht="15.75" hidden="false" customHeight="true" outlineLevel="0" collapsed="false">
      <c r="A267" s="8" t="n">
        <f aca="false">A266+1</f>
        <v>265</v>
      </c>
      <c r="B267" s="9" t="n">
        <f aca="false">MOD(4*A267^2,10)</f>
        <v>0</v>
      </c>
      <c r="C267" s="9" t="n">
        <f aca="false">(26*B267-5*B267^2)/24</f>
        <v>0</v>
      </c>
      <c r="D267" s="9" t="n">
        <f aca="false">(A267^2+4*C267)/5</f>
        <v>14045</v>
      </c>
      <c r="E267" s="9" t="n">
        <f aca="false">MOD(D267,10)</f>
        <v>5</v>
      </c>
      <c r="F267" s="9" t="n">
        <f aca="false">2*D267</f>
        <v>28090</v>
      </c>
      <c r="G267" s="9" t="n">
        <f aca="false">MOD(F267,10)</f>
        <v>0</v>
      </c>
      <c r="H267" s="9" t="n">
        <f aca="false">G267/2</f>
        <v>0</v>
      </c>
      <c r="I267" s="9" t="str">
        <f aca="false">IF(H267=0,"—",IF(H267=1,"unison (1:1)",IF(H267=2,"octave (2:1)",IF(H267=3,"fifth (3:2)",IF(H267=4,"fourth (4:3)","?")))))</f>
        <v>—</v>
      </c>
      <c r="J267" s="9" t="str">
        <f aca="false">IF(H267=0,"—",IF(H267=1,"ὁμώνυμον",IF(H267=2,"διὰ πασῶν",IF(H267=3,"διὰ πέντε",IF(H267=4,"διὰ τεσσάρων","?")))))</f>
        <v>—</v>
      </c>
      <c r="K267" s="10"/>
      <c r="L267" s="14"/>
      <c r="M267" s="13"/>
    </row>
    <row r="268" customFormat="false" ht="15.75" hidden="false" customHeight="true" outlineLevel="0" collapsed="false">
      <c r="A268" s="8" t="n">
        <f aca="false">A267+1</f>
        <v>266</v>
      </c>
      <c r="B268" s="9" t="n">
        <f aca="false">MOD(4*A268^2,10)</f>
        <v>4</v>
      </c>
      <c r="C268" s="9" t="n">
        <f aca="false">(26*B268-5*B268^2)/24</f>
        <v>1</v>
      </c>
      <c r="D268" s="9" t="n">
        <f aca="false">(A268^2+4*C268)/5</f>
        <v>14152</v>
      </c>
      <c r="E268" s="9" t="n">
        <f aca="false">MOD(D268,10)</f>
        <v>2</v>
      </c>
      <c r="F268" s="9" t="n">
        <f aca="false">2*D268</f>
        <v>28304</v>
      </c>
      <c r="G268" s="9" t="n">
        <f aca="false">MOD(F268,10)</f>
        <v>4</v>
      </c>
      <c r="H268" s="9" t="n">
        <f aca="false">G268/2</f>
        <v>2</v>
      </c>
      <c r="I268" s="9" t="str">
        <f aca="false">IF(H268=0,"—",IF(H268=1,"unison (1:1)",IF(H268=2,"octave (2:1)",IF(H268=3,"fifth (3:2)",IF(H268=4,"fourth (4:3)","?")))))</f>
        <v>octave (2:1)</v>
      </c>
      <c r="J268" s="9" t="str">
        <f aca="false">IF(H268=0,"—",IF(H268=1,"ὁμώνυμον",IF(H268=2,"διὰ πασῶν",IF(H268=3,"διὰ πέντε",IF(H268=4,"διὰ τεσσάρων","?")))))</f>
        <v>διὰ πασῶν</v>
      </c>
      <c r="K268" s="10"/>
      <c r="L268" s="14"/>
      <c r="M268" s="13"/>
    </row>
    <row r="269" customFormat="false" ht="15.75" hidden="false" customHeight="true" outlineLevel="0" collapsed="false">
      <c r="A269" s="8" t="n">
        <f aca="false">A268+1</f>
        <v>267</v>
      </c>
      <c r="B269" s="9" t="n">
        <f aca="false">MOD(4*A269^2,10)</f>
        <v>6</v>
      </c>
      <c r="C269" s="9" t="n">
        <f aca="false">(26*B269-5*B269^2)/24</f>
        <v>-1</v>
      </c>
      <c r="D269" s="9" t="n">
        <f aca="false">(A269^2+4*C269)/5</f>
        <v>14257</v>
      </c>
      <c r="E269" s="9" t="n">
        <f aca="false">MOD(D269,10)</f>
        <v>7</v>
      </c>
      <c r="F269" s="9" t="n">
        <f aca="false">2*D269</f>
        <v>28514</v>
      </c>
      <c r="G269" s="9" t="n">
        <f aca="false">MOD(F269,10)</f>
        <v>4</v>
      </c>
      <c r="H269" s="9" t="n">
        <f aca="false">G269/2</f>
        <v>2</v>
      </c>
      <c r="I269" s="9" t="str">
        <f aca="false">IF(H269=0,"—",IF(H269=1,"unison (1:1)",IF(H269=2,"octave (2:1)",IF(H269=3,"fifth (3:2)",IF(H269=4,"fourth (4:3)","?")))))</f>
        <v>octave (2:1)</v>
      </c>
      <c r="J269" s="9" t="str">
        <f aca="false">IF(H269=0,"—",IF(H269=1,"ὁμώνυμον",IF(H269=2,"διὰ πασῶν",IF(H269=3,"διὰ πέντε",IF(H269=4,"διὰ τεσσάρων","?")))))</f>
        <v>διὰ πασῶν</v>
      </c>
      <c r="K269" s="10"/>
      <c r="L269" s="14"/>
      <c r="M269" s="13"/>
    </row>
    <row r="270" customFormat="false" ht="15.75" hidden="false" customHeight="true" outlineLevel="0" collapsed="false">
      <c r="A270" s="8" t="n">
        <f aca="false">A269+1</f>
        <v>268</v>
      </c>
      <c r="B270" s="9" t="n">
        <f aca="false">MOD(4*A270^2,10)</f>
        <v>6</v>
      </c>
      <c r="C270" s="9" t="n">
        <f aca="false">(26*B270-5*B270^2)/24</f>
        <v>-1</v>
      </c>
      <c r="D270" s="9" t="n">
        <f aca="false">(A270^2+4*C270)/5</f>
        <v>14364</v>
      </c>
      <c r="E270" s="9" t="n">
        <f aca="false">MOD(D270,10)</f>
        <v>4</v>
      </c>
      <c r="F270" s="9" t="n">
        <f aca="false">2*D270</f>
        <v>28728</v>
      </c>
      <c r="G270" s="9" t="n">
        <f aca="false">MOD(F270,10)</f>
        <v>8</v>
      </c>
      <c r="H270" s="9" t="n">
        <f aca="false">G270/2</f>
        <v>4</v>
      </c>
      <c r="I270" s="9" t="str">
        <f aca="false">IF(H270=0,"—",IF(H270=1,"unison (1:1)",IF(H270=2,"octave (2:1)",IF(H270=3,"fifth (3:2)",IF(H270=4,"fourth (4:3)","?")))))</f>
        <v>fourth (4:3)</v>
      </c>
      <c r="J270" s="9" t="str">
        <f aca="false">IF(H270=0,"—",IF(H270=1,"ὁμώνυμον",IF(H270=2,"διὰ πασῶν",IF(H270=3,"διὰ πέντε",IF(H270=4,"διὰ τεσσάρων","?")))))</f>
        <v>διὰ τεσσάρων</v>
      </c>
      <c r="K270" s="10"/>
      <c r="L270" s="14"/>
      <c r="M270" s="13"/>
    </row>
    <row r="271" customFormat="false" ht="15.75" hidden="false" customHeight="true" outlineLevel="0" collapsed="false">
      <c r="A271" s="8" t="n">
        <f aca="false">A270+1</f>
        <v>269</v>
      </c>
      <c r="B271" s="9" t="n">
        <f aca="false">MOD(4*A271^2,10)</f>
        <v>4</v>
      </c>
      <c r="C271" s="9" t="n">
        <f aca="false">(26*B271-5*B271^2)/24</f>
        <v>1</v>
      </c>
      <c r="D271" s="9" t="n">
        <f aca="false">(A271^2+4*C271)/5</f>
        <v>14473</v>
      </c>
      <c r="E271" s="9" t="n">
        <f aca="false">MOD(D271,10)</f>
        <v>3</v>
      </c>
      <c r="F271" s="9" t="n">
        <f aca="false">2*D271</f>
        <v>28946</v>
      </c>
      <c r="G271" s="9" t="n">
        <f aca="false">MOD(F271,10)</f>
        <v>6</v>
      </c>
      <c r="H271" s="9" t="n">
        <f aca="false">G271/2</f>
        <v>3</v>
      </c>
      <c r="I271" s="9" t="str">
        <f aca="false">IF(H271=0,"—",IF(H271=1,"unison (1:1)",IF(H271=2,"octave (2:1)",IF(H271=3,"fifth (3:2)",IF(H271=4,"fourth (4:3)","?")))))</f>
        <v>fifth (3:2)</v>
      </c>
      <c r="J271" s="9" t="str">
        <f aca="false">IF(H271=0,"—",IF(H271=1,"ὁμώνυμον",IF(H271=2,"διὰ πασῶν",IF(H271=3,"διὰ πέντε",IF(H271=4,"διὰ τεσσάρων","?")))))</f>
        <v>διὰ πέντε</v>
      </c>
      <c r="K271" s="10"/>
      <c r="L271" s="14"/>
      <c r="M271" s="13"/>
    </row>
    <row r="272" customFormat="false" ht="15.75" hidden="false" customHeight="true" outlineLevel="0" collapsed="false">
      <c r="A272" s="8" t="n">
        <f aca="false">A271+1</f>
        <v>270</v>
      </c>
      <c r="B272" s="9" t="n">
        <f aca="false">MOD(4*A272^2,10)</f>
        <v>0</v>
      </c>
      <c r="C272" s="9" t="n">
        <f aca="false">(26*B272-5*B272^2)/24</f>
        <v>0</v>
      </c>
      <c r="D272" s="9" t="n">
        <f aca="false">(A272^2+4*C272)/5</f>
        <v>14580</v>
      </c>
      <c r="E272" s="9" t="n">
        <f aca="false">MOD(D272,10)</f>
        <v>0</v>
      </c>
      <c r="F272" s="9" t="n">
        <f aca="false">2*D272</f>
        <v>29160</v>
      </c>
      <c r="G272" s="9" t="n">
        <f aca="false">MOD(F272,10)</f>
        <v>0</v>
      </c>
      <c r="H272" s="9" t="n">
        <f aca="false">G272/2</f>
        <v>0</v>
      </c>
      <c r="I272" s="9" t="str">
        <f aca="false">IF(H272=0,"—",IF(H272=1,"unison (1:1)",IF(H272=2,"octave (2:1)",IF(H272=3,"fifth (3:2)",IF(H272=4,"fourth (4:3)","?")))))</f>
        <v>—</v>
      </c>
      <c r="J272" s="9" t="str">
        <f aca="false">IF(H272=0,"—",IF(H272=1,"ὁμώνυμον",IF(H272=2,"διὰ πασῶν",IF(H272=3,"διὰ πέντε",IF(H272=4,"διὰ τεσσάρων","?")))))</f>
        <v>—</v>
      </c>
      <c r="K272" s="10"/>
      <c r="L272" s="14"/>
      <c r="M272" s="13"/>
    </row>
    <row r="273" customFormat="false" ht="15.75" hidden="false" customHeight="true" outlineLevel="0" collapsed="false">
      <c r="A273" s="8" t="n">
        <f aca="false">A272+1</f>
        <v>271</v>
      </c>
      <c r="B273" s="9" t="n">
        <f aca="false">MOD(4*A273^2,10)</f>
        <v>4</v>
      </c>
      <c r="C273" s="9" t="n">
        <f aca="false">(26*B273-5*B273^2)/24</f>
        <v>1</v>
      </c>
      <c r="D273" s="9" t="n">
        <f aca="false">(A273^2+4*C273)/5</f>
        <v>14689</v>
      </c>
      <c r="E273" s="9" t="n">
        <f aca="false">MOD(D273,10)</f>
        <v>9</v>
      </c>
      <c r="F273" s="9" t="n">
        <f aca="false">2*D273</f>
        <v>29378</v>
      </c>
      <c r="G273" s="9" t="n">
        <f aca="false">MOD(F273,10)</f>
        <v>8</v>
      </c>
      <c r="H273" s="9" t="n">
        <f aca="false">G273/2</f>
        <v>4</v>
      </c>
      <c r="I273" s="9" t="str">
        <f aca="false">IF(H273=0,"—",IF(H273=1,"unison (1:1)",IF(H273=2,"octave (2:1)",IF(H273=3,"fifth (3:2)",IF(H273=4,"fourth (4:3)","?")))))</f>
        <v>fourth (4:3)</v>
      </c>
      <c r="J273" s="9" t="str">
        <f aca="false">IF(H273=0,"—",IF(H273=1,"ὁμώνυμον",IF(H273=2,"διὰ πασῶν",IF(H273=3,"διὰ πέντε",IF(H273=4,"διὰ τεσσάρων","?")))))</f>
        <v>διὰ τεσσάρων</v>
      </c>
      <c r="K273" s="10"/>
      <c r="L273" s="14"/>
      <c r="M273" s="13"/>
    </row>
    <row r="274" customFormat="false" ht="15.75" hidden="false" customHeight="true" outlineLevel="0" collapsed="false">
      <c r="A274" s="8" t="n">
        <f aca="false">A273+1</f>
        <v>272</v>
      </c>
      <c r="B274" s="9" t="n">
        <f aca="false">MOD(4*A274^2,10)</f>
        <v>6</v>
      </c>
      <c r="C274" s="9" t="n">
        <f aca="false">(26*B274-5*B274^2)/24</f>
        <v>-1</v>
      </c>
      <c r="D274" s="9" t="n">
        <f aca="false">(A274^2+4*C274)/5</f>
        <v>14796</v>
      </c>
      <c r="E274" s="9" t="n">
        <f aca="false">MOD(D274,10)</f>
        <v>6</v>
      </c>
      <c r="F274" s="9" t="n">
        <f aca="false">2*D274</f>
        <v>29592</v>
      </c>
      <c r="G274" s="9" t="n">
        <f aca="false">MOD(F274,10)</f>
        <v>2</v>
      </c>
      <c r="H274" s="9" t="n">
        <f aca="false">G274/2</f>
        <v>1</v>
      </c>
      <c r="I274" s="9" t="str">
        <f aca="false">IF(H274=0,"—",IF(H274=1,"unison (1:1)",IF(H274=2,"octave (2:1)",IF(H274=3,"fifth (3:2)",IF(H274=4,"fourth (4:3)","?")))))</f>
        <v>unison (1:1)</v>
      </c>
      <c r="J274" s="9" t="str">
        <f aca="false">IF(H274=0,"—",IF(H274=1,"ὁμώνυμον",IF(H274=2,"διὰ πασῶν",IF(H274=3,"διὰ πέντε",IF(H274=4,"διὰ τεσσάρων","?")))))</f>
        <v>ὁμώνυμον</v>
      </c>
      <c r="K274" s="10"/>
      <c r="L274" s="14"/>
      <c r="M274" s="13"/>
    </row>
    <row r="275" customFormat="false" ht="15.75" hidden="false" customHeight="true" outlineLevel="0" collapsed="false">
      <c r="A275" s="8" t="n">
        <f aca="false">A274+1</f>
        <v>273</v>
      </c>
      <c r="B275" s="9" t="n">
        <f aca="false">MOD(4*A275^2,10)</f>
        <v>6</v>
      </c>
      <c r="C275" s="9" t="n">
        <f aca="false">(26*B275-5*B275^2)/24</f>
        <v>-1</v>
      </c>
      <c r="D275" s="9" t="n">
        <f aca="false">(A275^2+4*C275)/5</f>
        <v>14905</v>
      </c>
      <c r="E275" s="9" t="n">
        <f aca="false">MOD(D275,10)</f>
        <v>5</v>
      </c>
      <c r="F275" s="9" t="n">
        <f aca="false">2*D275</f>
        <v>29810</v>
      </c>
      <c r="G275" s="9" t="n">
        <f aca="false">MOD(F275,10)</f>
        <v>0</v>
      </c>
      <c r="H275" s="9" t="n">
        <f aca="false">G275/2</f>
        <v>0</v>
      </c>
      <c r="I275" s="9" t="str">
        <f aca="false">IF(H275=0,"—",IF(H275=1,"unison (1:1)",IF(H275=2,"octave (2:1)",IF(H275=3,"fifth (3:2)",IF(H275=4,"fourth (4:3)","?")))))</f>
        <v>—</v>
      </c>
      <c r="J275" s="9" t="str">
        <f aca="false">IF(H275=0,"—",IF(H275=1,"ὁμώνυμον",IF(H275=2,"διὰ πασῶν",IF(H275=3,"διὰ πέντε",IF(H275=4,"διὰ τεσσάρων","?")))))</f>
        <v>—</v>
      </c>
      <c r="K275" s="10"/>
      <c r="L275" s="14"/>
      <c r="M275" s="13"/>
    </row>
    <row r="276" customFormat="false" ht="15.75" hidden="false" customHeight="true" outlineLevel="0" collapsed="false">
      <c r="A276" s="8" t="n">
        <f aca="false">A275+1</f>
        <v>274</v>
      </c>
      <c r="B276" s="9" t="n">
        <f aca="false">MOD(4*A276^2,10)</f>
        <v>4</v>
      </c>
      <c r="C276" s="9" t="n">
        <f aca="false">(26*B276-5*B276^2)/24</f>
        <v>1</v>
      </c>
      <c r="D276" s="9" t="n">
        <f aca="false">(A276^2+4*C276)/5</f>
        <v>15016</v>
      </c>
      <c r="E276" s="9" t="n">
        <f aca="false">MOD(D276,10)</f>
        <v>6</v>
      </c>
      <c r="F276" s="9" t="n">
        <f aca="false">2*D276</f>
        <v>30032</v>
      </c>
      <c r="G276" s="9" t="n">
        <f aca="false">MOD(F276,10)</f>
        <v>2</v>
      </c>
      <c r="H276" s="9" t="n">
        <f aca="false">G276/2</f>
        <v>1</v>
      </c>
      <c r="I276" s="9" t="str">
        <f aca="false">IF(H276=0,"—",IF(H276=1,"unison (1:1)",IF(H276=2,"octave (2:1)",IF(H276=3,"fifth (3:2)",IF(H276=4,"fourth (4:3)","?")))))</f>
        <v>unison (1:1)</v>
      </c>
      <c r="J276" s="9" t="str">
        <f aca="false">IF(H276=0,"—",IF(H276=1,"ὁμώνυμον",IF(H276=2,"διὰ πασῶν",IF(H276=3,"διὰ πέντε",IF(H276=4,"διὰ τεσσάρων","?")))))</f>
        <v>ὁμώνυμον</v>
      </c>
      <c r="K276" s="10"/>
      <c r="L276" s="14"/>
      <c r="M276" s="13"/>
    </row>
    <row r="277" customFormat="false" ht="15.75" hidden="false" customHeight="true" outlineLevel="0" collapsed="false">
      <c r="A277" s="8" t="n">
        <f aca="false">A276+1</f>
        <v>275</v>
      </c>
      <c r="B277" s="9" t="n">
        <f aca="false">MOD(4*A277^2,10)</f>
        <v>0</v>
      </c>
      <c r="C277" s="9" t="n">
        <f aca="false">(26*B277-5*B277^2)/24</f>
        <v>0</v>
      </c>
      <c r="D277" s="9" t="n">
        <f aca="false">(A277^2+4*C277)/5</f>
        <v>15125</v>
      </c>
      <c r="E277" s="9" t="n">
        <f aca="false">MOD(D277,10)</f>
        <v>5</v>
      </c>
      <c r="F277" s="9" t="n">
        <f aca="false">2*D277</f>
        <v>30250</v>
      </c>
      <c r="G277" s="9" t="n">
        <f aca="false">MOD(F277,10)</f>
        <v>0</v>
      </c>
      <c r="H277" s="9" t="n">
        <f aca="false">G277/2</f>
        <v>0</v>
      </c>
      <c r="I277" s="9" t="str">
        <f aca="false">IF(H277=0,"—",IF(H277=1,"unison (1:1)",IF(H277=2,"octave (2:1)",IF(H277=3,"fifth (3:2)",IF(H277=4,"fourth (4:3)","?")))))</f>
        <v>—</v>
      </c>
      <c r="J277" s="9" t="str">
        <f aca="false">IF(H277=0,"—",IF(H277=1,"ὁμώνυμον",IF(H277=2,"διὰ πασῶν",IF(H277=3,"διὰ πέντε",IF(H277=4,"διὰ τεσσάρων","?")))))</f>
        <v>—</v>
      </c>
      <c r="K277" s="10"/>
      <c r="L277" s="14"/>
      <c r="M277" s="13"/>
    </row>
    <row r="278" customFormat="false" ht="15.75" hidden="false" customHeight="true" outlineLevel="0" collapsed="false">
      <c r="A278" s="8" t="n">
        <f aca="false">A277+1</f>
        <v>276</v>
      </c>
      <c r="B278" s="9" t="n">
        <f aca="false">MOD(4*A278^2,10)</f>
        <v>4</v>
      </c>
      <c r="C278" s="9" t="n">
        <f aca="false">(26*B278-5*B278^2)/24</f>
        <v>1</v>
      </c>
      <c r="D278" s="9" t="n">
        <f aca="false">(A278^2+4*C278)/5</f>
        <v>15236</v>
      </c>
      <c r="E278" s="9" t="n">
        <f aca="false">MOD(D278,10)</f>
        <v>6</v>
      </c>
      <c r="F278" s="9" t="n">
        <f aca="false">2*D278</f>
        <v>30472</v>
      </c>
      <c r="G278" s="9" t="n">
        <f aca="false">MOD(F278,10)</f>
        <v>2</v>
      </c>
      <c r="H278" s="9" t="n">
        <f aca="false">G278/2</f>
        <v>1</v>
      </c>
      <c r="I278" s="9" t="str">
        <f aca="false">IF(H278=0,"—",IF(H278=1,"unison (1:1)",IF(H278=2,"octave (2:1)",IF(H278=3,"fifth (3:2)",IF(H278=4,"fourth (4:3)","?")))))</f>
        <v>unison (1:1)</v>
      </c>
      <c r="J278" s="9" t="str">
        <f aca="false">IF(H278=0,"—",IF(H278=1,"ὁμώνυμον",IF(H278=2,"διὰ πασῶν",IF(H278=3,"διὰ πέντε",IF(H278=4,"διὰ τεσσάρων","?")))))</f>
        <v>ὁμώνυμον</v>
      </c>
      <c r="K278" s="10"/>
      <c r="L278" s="14"/>
      <c r="M278" s="13"/>
    </row>
    <row r="279" customFormat="false" ht="15.75" hidden="false" customHeight="true" outlineLevel="0" collapsed="false">
      <c r="A279" s="8" t="n">
        <f aca="false">A278+1</f>
        <v>277</v>
      </c>
      <c r="B279" s="9" t="n">
        <f aca="false">MOD(4*A279^2,10)</f>
        <v>6</v>
      </c>
      <c r="C279" s="9" t="n">
        <f aca="false">(26*B279-5*B279^2)/24</f>
        <v>-1</v>
      </c>
      <c r="D279" s="9" t="n">
        <f aca="false">(A279^2+4*C279)/5</f>
        <v>15345</v>
      </c>
      <c r="E279" s="9" t="n">
        <f aca="false">MOD(D279,10)</f>
        <v>5</v>
      </c>
      <c r="F279" s="9" t="n">
        <f aca="false">2*D279</f>
        <v>30690</v>
      </c>
      <c r="G279" s="9" t="n">
        <f aca="false">MOD(F279,10)</f>
        <v>0</v>
      </c>
      <c r="H279" s="9" t="n">
        <f aca="false">G279/2</f>
        <v>0</v>
      </c>
      <c r="I279" s="9" t="str">
        <f aca="false">IF(H279=0,"—",IF(H279=1,"unison (1:1)",IF(H279=2,"octave (2:1)",IF(H279=3,"fifth (3:2)",IF(H279=4,"fourth (4:3)","?")))))</f>
        <v>—</v>
      </c>
      <c r="J279" s="9" t="str">
        <f aca="false">IF(H279=0,"—",IF(H279=1,"ὁμώνυμον",IF(H279=2,"διὰ πασῶν",IF(H279=3,"διὰ πέντε",IF(H279=4,"διὰ τεσσάρων","?")))))</f>
        <v>—</v>
      </c>
      <c r="K279" s="10"/>
      <c r="L279" s="14"/>
      <c r="M279" s="13"/>
    </row>
    <row r="280" customFormat="false" ht="15.75" hidden="false" customHeight="true" outlineLevel="0" collapsed="false">
      <c r="A280" s="8" t="n">
        <f aca="false">A279+1</f>
        <v>278</v>
      </c>
      <c r="B280" s="9" t="n">
        <f aca="false">MOD(4*A280^2,10)</f>
        <v>6</v>
      </c>
      <c r="C280" s="9" t="n">
        <f aca="false">(26*B280-5*B280^2)/24</f>
        <v>-1</v>
      </c>
      <c r="D280" s="9" t="n">
        <f aca="false">(A280^2+4*C280)/5</f>
        <v>15456</v>
      </c>
      <c r="E280" s="9" t="n">
        <f aca="false">MOD(D280,10)</f>
        <v>6</v>
      </c>
      <c r="F280" s="9" t="n">
        <f aca="false">2*D280</f>
        <v>30912</v>
      </c>
      <c r="G280" s="9" t="n">
        <f aca="false">MOD(F280,10)</f>
        <v>2</v>
      </c>
      <c r="H280" s="9" t="n">
        <f aca="false">G280/2</f>
        <v>1</v>
      </c>
      <c r="I280" s="9" t="str">
        <f aca="false">IF(H280=0,"—",IF(H280=1,"unison (1:1)",IF(H280=2,"octave (2:1)",IF(H280=3,"fifth (3:2)",IF(H280=4,"fourth (4:3)","?")))))</f>
        <v>unison (1:1)</v>
      </c>
      <c r="J280" s="9" t="str">
        <f aca="false">IF(H280=0,"—",IF(H280=1,"ὁμώνυμον",IF(H280=2,"διὰ πασῶν",IF(H280=3,"διὰ πέντε",IF(H280=4,"διὰ τεσσάρων","?")))))</f>
        <v>ὁμώνυμον</v>
      </c>
      <c r="K280" s="10"/>
      <c r="L280" s="14"/>
      <c r="M280" s="13"/>
    </row>
    <row r="281" customFormat="false" ht="15.75" hidden="false" customHeight="true" outlineLevel="0" collapsed="false">
      <c r="A281" s="8" t="n">
        <f aca="false">A280+1</f>
        <v>279</v>
      </c>
      <c r="B281" s="9" t="n">
        <f aca="false">MOD(4*A281^2,10)</f>
        <v>4</v>
      </c>
      <c r="C281" s="9" t="n">
        <f aca="false">(26*B281-5*B281^2)/24</f>
        <v>1</v>
      </c>
      <c r="D281" s="9" t="n">
        <f aca="false">(A281^2+4*C281)/5</f>
        <v>15569</v>
      </c>
      <c r="E281" s="9" t="n">
        <f aca="false">MOD(D281,10)</f>
        <v>9</v>
      </c>
      <c r="F281" s="9" t="n">
        <f aca="false">2*D281</f>
        <v>31138</v>
      </c>
      <c r="G281" s="9" t="n">
        <f aca="false">MOD(F281,10)</f>
        <v>8</v>
      </c>
      <c r="H281" s="9" t="n">
        <f aca="false">G281/2</f>
        <v>4</v>
      </c>
      <c r="I281" s="9" t="str">
        <f aca="false">IF(H281=0,"—",IF(H281=1,"unison (1:1)",IF(H281=2,"octave (2:1)",IF(H281=3,"fifth (3:2)",IF(H281=4,"fourth (4:3)","?")))))</f>
        <v>fourth (4:3)</v>
      </c>
      <c r="J281" s="9" t="str">
        <f aca="false">IF(H281=0,"—",IF(H281=1,"ὁμώνυμον",IF(H281=2,"διὰ πασῶν",IF(H281=3,"διὰ πέντε",IF(H281=4,"διὰ τεσσάρων","?")))))</f>
        <v>διὰ τεσσάρων</v>
      </c>
      <c r="K281" s="10"/>
      <c r="L281" s="14"/>
      <c r="M281" s="13"/>
    </row>
    <row r="282" customFormat="false" ht="15.75" hidden="false" customHeight="true" outlineLevel="0" collapsed="false">
      <c r="A282" s="8" t="n">
        <f aca="false">A281+1</f>
        <v>280</v>
      </c>
      <c r="B282" s="9" t="n">
        <f aca="false">MOD(4*A282^2,10)</f>
        <v>0</v>
      </c>
      <c r="C282" s="9" t="n">
        <f aca="false">(26*B282-5*B282^2)/24</f>
        <v>0</v>
      </c>
      <c r="D282" s="9" t="n">
        <f aca="false">(A282^2+4*C282)/5</f>
        <v>15680</v>
      </c>
      <c r="E282" s="9" t="n">
        <f aca="false">MOD(D282,10)</f>
        <v>0</v>
      </c>
      <c r="F282" s="9" t="n">
        <f aca="false">2*D282</f>
        <v>31360</v>
      </c>
      <c r="G282" s="9" t="n">
        <f aca="false">MOD(F282,10)</f>
        <v>0</v>
      </c>
      <c r="H282" s="9" t="n">
        <f aca="false">G282/2</f>
        <v>0</v>
      </c>
      <c r="I282" s="9" t="str">
        <f aca="false">IF(H282=0,"—",IF(H282=1,"unison (1:1)",IF(H282=2,"octave (2:1)",IF(H282=3,"fifth (3:2)",IF(H282=4,"fourth (4:3)","?")))))</f>
        <v>—</v>
      </c>
      <c r="J282" s="9" t="str">
        <f aca="false">IF(H282=0,"—",IF(H282=1,"ὁμώνυμον",IF(H282=2,"διὰ πασῶν",IF(H282=3,"διὰ πέντε",IF(H282=4,"διὰ τεσσάρων","?")))))</f>
        <v>—</v>
      </c>
      <c r="K282" s="10"/>
      <c r="L282" s="14"/>
      <c r="M282" s="13"/>
    </row>
    <row r="283" customFormat="false" ht="15.75" hidden="false" customHeight="true" outlineLevel="0" collapsed="false">
      <c r="A283" s="8" t="n">
        <f aca="false">A282+1</f>
        <v>281</v>
      </c>
      <c r="B283" s="9" t="n">
        <f aca="false">MOD(4*A283^2,10)</f>
        <v>4</v>
      </c>
      <c r="C283" s="9" t="n">
        <f aca="false">(26*B283-5*B283^2)/24</f>
        <v>1</v>
      </c>
      <c r="D283" s="9" t="n">
        <f aca="false">(A283^2+4*C283)/5</f>
        <v>15793</v>
      </c>
      <c r="E283" s="9" t="n">
        <f aca="false">MOD(D283,10)</f>
        <v>3</v>
      </c>
      <c r="F283" s="9" t="n">
        <f aca="false">2*D283</f>
        <v>31586</v>
      </c>
      <c r="G283" s="9" t="n">
        <f aca="false">MOD(F283,10)</f>
        <v>6</v>
      </c>
      <c r="H283" s="9" t="n">
        <f aca="false">G283/2</f>
        <v>3</v>
      </c>
      <c r="I283" s="9" t="str">
        <f aca="false">IF(H283=0,"—",IF(H283=1,"unison (1:1)",IF(H283=2,"octave (2:1)",IF(H283=3,"fifth (3:2)",IF(H283=4,"fourth (4:3)","?")))))</f>
        <v>fifth (3:2)</v>
      </c>
      <c r="J283" s="9" t="str">
        <f aca="false">IF(H283=0,"—",IF(H283=1,"ὁμώνυμον",IF(H283=2,"διὰ πασῶν",IF(H283=3,"διὰ πέντε",IF(H283=4,"διὰ τεσσάρων","?")))))</f>
        <v>διὰ πέντε</v>
      </c>
      <c r="K283" s="10"/>
      <c r="L283" s="14"/>
      <c r="M283" s="13"/>
    </row>
    <row r="284" customFormat="false" ht="15.75" hidden="false" customHeight="true" outlineLevel="0" collapsed="false">
      <c r="A284" s="8" t="n">
        <f aca="false">A283+1</f>
        <v>282</v>
      </c>
      <c r="B284" s="9" t="n">
        <f aca="false">MOD(4*A284^2,10)</f>
        <v>6</v>
      </c>
      <c r="C284" s="9" t="n">
        <f aca="false">(26*B284-5*B284^2)/24</f>
        <v>-1</v>
      </c>
      <c r="D284" s="9" t="n">
        <f aca="false">(A284^2+4*C284)/5</f>
        <v>15904</v>
      </c>
      <c r="E284" s="9" t="n">
        <f aca="false">MOD(D284,10)</f>
        <v>4</v>
      </c>
      <c r="F284" s="9" t="n">
        <f aca="false">2*D284</f>
        <v>31808</v>
      </c>
      <c r="G284" s="9" t="n">
        <f aca="false">MOD(F284,10)</f>
        <v>8</v>
      </c>
      <c r="H284" s="9" t="n">
        <f aca="false">G284/2</f>
        <v>4</v>
      </c>
      <c r="I284" s="9" t="str">
        <f aca="false">IF(H284=0,"—",IF(H284=1,"unison (1:1)",IF(H284=2,"octave (2:1)",IF(H284=3,"fifth (3:2)",IF(H284=4,"fourth (4:3)","?")))))</f>
        <v>fourth (4:3)</v>
      </c>
      <c r="J284" s="9" t="str">
        <f aca="false">IF(H284=0,"—",IF(H284=1,"ὁμώνυμον",IF(H284=2,"διὰ πασῶν",IF(H284=3,"διὰ πέντε",IF(H284=4,"διὰ τεσσάρων","?")))))</f>
        <v>διὰ τεσσάρων</v>
      </c>
      <c r="K284" s="10"/>
      <c r="L284" s="14"/>
      <c r="M284" s="13"/>
    </row>
    <row r="285" customFormat="false" ht="15.75" hidden="false" customHeight="true" outlineLevel="0" collapsed="false">
      <c r="A285" s="8" t="n">
        <f aca="false">A284+1</f>
        <v>283</v>
      </c>
      <c r="B285" s="9" t="n">
        <f aca="false">MOD(4*A285^2,10)</f>
        <v>6</v>
      </c>
      <c r="C285" s="9" t="n">
        <f aca="false">(26*B285-5*B285^2)/24</f>
        <v>-1</v>
      </c>
      <c r="D285" s="9" t="n">
        <f aca="false">(A285^2+4*C285)/5</f>
        <v>16017</v>
      </c>
      <c r="E285" s="9" t="n">
        <f aca="false">MOD(D285,10)</f>
        <v>7</v>
      </c>
      <c r="F285" s="9" t="n">
        <f aca="false">2*D285</f>
        <v>32034</v>
      </c>
      <c r="G285" s="9" t="n">
        <f aca="false">MOD(F285,10)</f>
        <v>4</v>
      </c>
      <c r="H285" s="9" t="n">
        <f aca="false">G285/2</f>
        <v>2</v>
      </c>
      <c r="I285" s="9" t="str">
        <f aca="false">IF(H285=0,"—",IF(H285=1,"unison (1:1)",IF(H285=2,"octave (2:1)",IF(H285=3,"fifth (3:2)",IF(H285=4,"fourth (4:3)","?")))))</f>
        <v>octave (2:1)</v>
      </c>
      <c r="J285" s="9" t="str">
        <f aca="false">IF(H285=0,"—",IF(H285=1,"ὁμώνυμον",IF(H285=2,"διὰ πασῶν",IF(H285=3,"διὰ πέντε",IF(H285=4,"διὰ τεσσάρων","?")))))</f>
        <v>διὰ πασῶν</v>
      </c>
      <c r="K285" s="10"/>
      <c r="L285" s="14"/>
      <c r="M285" s="13"/>
    </row>
    <row r="286" customFormat="false" ht="15.75" hidden="false" customHeight="true" outlineLevel="0" collapsed="false">
      <c r="A286" s="8" t="n">
        <f aca="false">A285+1</f>
        <v>284</v>
      </c>
      <c r="B286" s="9" t="n">
        <f aca="false">MOD(4*A286^2,10)</f>
        <v>4</v>
      </c>
      <c r="C286" s="9" t="n">
        <f aca="false">(26*B286-5*B286^2)/24</f>
        <v>1</v>
      </c>
      <c r="D286" s="9" t="n">
        <f aca="false">(A286^2+4*C286)/5</f>
        <v>16132</v>
      </c>
      <c r="E286" s="9" t="n">
        <f aca="false">MOD(D286,10)</f>
        <v>2</v>
      </c>
      <c r="F286" s="9" t="n">
        <f aca="false">2*D286</f>
        <v>32264</v>
      </c>
      <c r="G286" s="9" t="n">
        <f aca="false">MOD(F286,10)</f>
        <v>4</v>
      </c>
      <c r="H286" s="9" t="n">
        <f aca="false">G286/2</f>
        <v>2</v>
      </c>
      <c r="I286" s="9" t="str">
        <f aca="false">IF(H286=0,"—",IF(H286=1,"unison (1:1)",IF(H286=2,"octave (2:1)",IF(H286=3,"fifth (3:2)",IF(H286=4,"fourth (4:3)","?")))))</f>
        <v>octave (2:1)</v>
      </c>
      <c r="J286" s="9" t="str">
        <f aca="false">IF(H286=0,"—",IF(H286=1,"ὁμώνυμον",IF(H286=2,"διὰ πασῶν",IF(H286=3,"διὰ πέντε",IF(H286=4,"διὰ τεσσάρων","?")))))</f>
        <v>διὰ πασῶν</v>
      </c>
      <c r="K286" s="10"/>
      <c r="L286" s="14"/>
      <c r="M286" s="13"/>
    </row>
    <row r="287" customFormat="false" ht="15.75" hidden="false" customHeight="true" outlineLevel="0" collapsed="false">
      <c r="A287" s="8" t="n">
        <f aca="false">A286+1</f>
        <v>285</v>
      </c>
      <c r="B287" s="9" t="n">
        <f aca="false">MOD(4*A287^2,10)</f>
        <v>0</v>
      </c>
      <c r="C287" s="9" t="n">
        <f aca="false">(26*B287-5*B287^2)/24</f>
        <v>0</v>
      </c>
      <c r="D287" s="9" t="n">
        <f aca="false">(A287^2+4*C287)/5</f>
        <v>16245</v>
      </c>
      <c r="E287" s="9" t="n">
        <f aca="false">MOD(D287,10)</f>
        <v>5</v>
      </c>
      <c r="F287" s="9" t="n">
        <f aca="false">2*D287</f>
        <v>32490</v>
      </c>
      <c r="G287" s="9" t="n">
        <f aca="false">MOD(F287,10)</f>
        <v>0</v>
      </c>
      <c r="H287" s="9" t="n">
        <f aca="false">G287/2</f>
        <v>0</v>
      </c>
      <c r="I287" s="9" t="str">
        <f aca="false">IF(H287=0,"—",IF(H287=1,"unison (1:1)",IF(H287=2,"octave (2:1)",IF(H287=3,"fifth (3:2)",IF(H287=4,"fourth (4:3)","?")))))</f>
        <v>—</v>
      </c>
      <c r="J287" s="9" t="str">
        <f aca="false">IF(H287=0,"—",IF(H287=1,"ὁμώνυμον",IF(H287=2,"διὰ πασῶν",IF(H287=3,"διὰ πέντε",IF(H287=4,"διὰ τεσσάρων","?")))))</f>
        <v>—</v>
      </c>
      <c r="K287" s="10"/>
      <c r="L287" s="14"/>
      <c r="M287" s="13"/>
    </row>
    <row r="288" customFormat="false" ht="15.75" hidden="false" customHeight="true" outlineLevel="0" collapsed="false">
      <c r="A288" s="8" t="n">
        <f aca="false">A287+1</f>
        <v>286</v>
      </c>
      <c r="B288" s="9" t="n">
        <f aca="false">MOD(4*A288^2,10)</f>
        <v>4</v>
      </c>
      <c r="C288" s="9" t="n">
        <f aca="false">(26*B288-5*B288^2)/24</f>
        <v>1</v>
      </c>
      <c r="D288" s="9" t="n">
        <f aca="false">(A288^2+4*C288)/5</f>
        <v>16360</v>
      </c>
      <c r="E288" s="9" t="n">
        <f aca="false">MOD(D288,10)</f>
        <v>0</v>
      </c>
      <c r="F288" s="9" t="n">
        <f aca="false">2*D288</f>
        <v>32720</v>
      </c>
      <c r="G288" s="9" t="n">
        <f aca="false">MOD(F288,10)</f>
        <v>0</v>
      </c>
      <c r="H288" s="9" t="n">
        <f aca="false">G288/2</f>
        <v>0</v>
      </c>
      <c r="I288" s="9" t="str">
        <f aca="false">IF(H288=0,"—",IF(H288=1,"unison (1:1)",IF(H288=2,"octave (2:1)",IF(H288=3,"fifth (3:2)",IF(H288=4,"fourth (4:3)","?")))))</f>
        <v>—</v>
      </c>
      <c r="J288" s="9" t="str">
        <f aca="false">IF(H288=0,"—",IF(H288=1,"ὁμώνυμον",IF(H288=2,"διὰ πασῶν",IF(H288=3,"διὰ πέντε",IF(H288=4,"διὰ τεσσάρων","?")))))</f>
        <v>—</v>
      </c>
      <c r="K288" s="10"/>
      <c r="L288" s="14"/>
      <c r="M288" s="13"/>
    </row>
    <row r="289" customFormat="false" ht="15.75" hidden="false" customHeight="true" outlineLevel="0" collapsed="false">
      <c r="A289" s="8" t="n">
        <f aca="false">A288+1</f>
        <v>287</v>
      </c>
      <c r="B289" s="9" t="n">
        <f aca="false">MOD(4*A289^2,10)</f>
        <v>6</v>
      </c>
      <c r="C289" s="9" t="n">
        <f aca="false">(26*B289-5*B289^2)/24</f>
        <v>-1</v>
      </c>
      <c r="D289" s="9" t="n">
        <f aca="false">(A289^2+4*C289)/5</f>
        <v>16473</v>
      </c>
      <c r="E289" s="9" t="n">
        <f aca="false">MOD(D289,10)</f>
        <v>3</v>
      </c>
      <c r="F289" s="9" t="n">
        <f aca="false">2*D289</f>
        <v>32946</v>
      </c>
      <c r="G289" s="9" t="n">
        <f aca="false">MOD(F289,10)</f>
        <v>6</v>
      </c>
      <c r="H289" s="9" t="n">
        <f aca="false">G289/2</f>
        <v>3</v>
      </c>
      <c r="I289" s="9" t="str">
        <f aca="false">IF(H289=0,"—",IF(H289=1,"unison (1:1)",IF(H289=2,"octave (2:1)",IF(H289=3,"fifth (3:2)",IF(H289=4,"fourth (4:3)","?")))))</f>
        <v>fifth (3:2)</v>
      </c>
      <c r="J289" s="9" t="str">
        <f aca="false">IF(H289=0,"—",IF(H289=1,"ὁμώνυμον",IF(H289=2,"διὰ πασῶν",IF(H289=3,"διὰ πέντε",IF(H289=4,"διὰ τεσσάρων","?")))))</f>
        <v>διὰ πέντε</v>
      </c>
      <c r="K289" s="10"/>
      <c r="L289" s="14"/>
      <c r="M289" s="13"/>
    </row>
    <row r="290" customFormat="false" ht="15.75" hidden="false" customHeight="true" outlineLevel="0" collapsed="false">
      <c r="A290" s="8" t="n">
        <f aca="false">A289+1</f>
        <v>288</v>
      </c>
      <c r="B290" s="9" t="n">
        <f aca="false">MOD(4*A290^2,10)</f>
        <v>6</v>
      </c>
      <c r="C290" s="9" t="n">
        <f aca="false">(26*B290-5*B290^2)/24</f>
        <v>-1</v>
      </c>
      <c r="D290" s="9" t="n">
        <f aca="false">(A290^2+4*C290)/5</f>
        <v>16588</v>
      </c>
      <c r="E290" s="9" t="n">
        <f aca="false">MOD(D290,10)</f>
        <v>8</v>
      </c>
      <c r="F290" s="9" t="n">
        <f aca="false">2*D290</f>
        <v>33176</v>
      </c>
      <c r="G290" s="9" t="n">
        <f aca="false">MOD(F290,10)</f>
        <v>6</v>
      </c>
      <c r="H290" s="9" t="n">
        <f aca="false">G290/2</f>
        <v>3</v>
      </c>
      <c r="I290" s="9" t="str">
        <f aca="false">IF(H290=0,"—",IF(H290=1,"unison (1:1)",IF(H290=2,"octave (2:1)",IF(H290=3,"fifth (3:2)",IF(H290=4,"fourth (4:3)","?")))))</f>
        <v>fifth (3:2)</v>
      </c>
      <c r="J290" s="9" t="str">
        <f aca="false">IF(H290=0,"—",IF(H290=1,"ὁμώνυμον",IF(H290=2,"διὰ πασῶν",IF(H290=3,"διὰ πέντε",IF(H290=4,"διὰ τεσσάρων","?")))))</f>
        <v>διὰ πέντε</v>
      </c>
      <c r="K290" s="10"/>
      <c r="L290" s="14"/>
      <c r="M290" s="13"/>
    </row>
    <row r="291" customFormat="false" ht="15.75" hidden="false" customHeight="true" outlineLevel="0" collapsed="false">
      <c r="A291" s="8" t="n">
        <f aca="false">A290+1</f>
        <v>289</v>
      </c>
      <c r="B291" s="9" t="n">
        <f aca="false">MOD(4*A291^2,10)</f>
        <v>4</v>
      </c>
      <c r="C291" s="9" t="n">
        <f aca="false">(26*B291-5*B291^2)/24</f>
        <v>1</v>
      </c>
      <c r="D291" s="9" t="n">
        <f aca="false">(A291^2+4*C291)/5</f>
        <v>16705</v>
      </c>
      <c r="E291" s="9" t="n">
        <f aca="false">MOD(D291,10)</f>
        <v>5</v>
      </c>
      <c r="F291" s="9" t="n">
        <f aca="false">2*D291</f>
        <v>33410</v>
      </c>
      <c r="G291" s="9" t="n">
        <f aca="false">MOD(F291,10)</f>
        <v>0</v>
      </c>
      <c r="H291" s="9" t="n">
        <f aca="false">G291/2</f>
        <v>0</v>
      </c>
      <c r="I291" s="9" t="str">
        <f aca="false">IF(H291=0,"—",IF(H291=1,"unison (1:1)",IF(H291=2,"octave (2:1)",IF(H291=3,"fifth (3:2)",IF(H291=4,"fourth (4:3)","?")))))</f>
        <v>—</v>
      </c>
      <c r="J291" s="9" t="str">
        <f aca="false">IF(H291=0,"—",IF(H291=1,"ὁμώνυμον",IF(H291=2,"διὰ πασῶν",IF(H291=3,"διὰ πέντε",IF(H291=4,"διὰ τεσσάρων","?")))))</f>
        <v>—</v>
      </c>
      <c r="K291" s="10"/>
      <c r="L291" s="14"/>
      <c r="M291" s="13"/>
    </row>
    <row r="292" customFormat="false" ht="15.75" hidden="false" customHeight="true" outlineLevel="0" collapsed="false">
      <c r="A292" s="8" t="n">
        <f aca="false">A291+1</f>
        <v>290</v>
      </c>
      <c r="B292" s="9" t="n">
        <f aca="false">MOD(4*A292^2,10)</f>
        <v>0</v>
      </c>
      <c r="C292" s="9" t="n">
        <f aca="false">(26*B292-5*B292^2)/24</f>
        <v>0</v>
      </c>
      <c r="D292" s="9" t="n">
        <f aca="false">(A292^2+4*C292)/5</f>
        <v>16820</v>
      </c>
      <c r="E292" s="9" t="n">
        <f aca="false">MOD(D292,10)</f>
        <v>0</v>
      </c>
      <c r="F292" s="9" t="n">
        <f aca="false">2*D292</f>
        <v>33640</v>
      </c>
      <c r="G292" s="9" t="n">
        <f aca="false">MOD(F292,10)</f>
        <v>0</v>
      </c>
      <c r="H292" s="9" t="n">
        <f aca="false">G292/2</f>
        <v>0</v>
      </c>
      <c r="I292" s="9" t="str">
        <f aca="false">IF(H292=0,"—",IF(H292=1,"unison (1:1)",IF(H292=2,"octave (2:1)",IF(H292=3,"fifth (3:2)",IF(H292=4,"fourth (4:3)","?")))))</f>
        <v>—</v>
      </c>
      <c r="J292" s="9" t="str">
        <f aca="false">IF(H292=0,"—",IF(H292=1,"ὁμώνυμον",IF(H292=2,"διὰ πασῶν",IF(H292=3,"διὰ πέντε",IF(H292=4,"διὰ τεσσάρων","?")))))</f>
        <v>—</v>
      </c>
      <c r="K292" s="10"/>
      <c r="L292" s="14"/>
      <c r="M292" s="13"/>
    </row>
    <row r="293" customFormat="false" ht="15.75" hidden="false" customHeight="true" outlineLevel="0" collapsed="false">
      <c r="A293" s="8" t="n">
        <f aca="false">A292+1</f>
        <v>291</v>
      </c>
      <c r="B293" s="9" t="n">
        <f aca="false">MOD(4*A293^2,10)</f>
        <v>4</v>
      </c>
      <c r="C293" s="9" t="n">
        <f aca="false">(26*B293-5*B293^2)/24</f>
        <v>1</v>
      </c>
      <c r="D293" s="9" t="n">
        <f aca="false">(A293^2+4*C293)/5</f>
        <v>16937</v>
      </c>
      <c r="E293" s="9" t="n">
        <f aca="false">MOD(D293,10)</f>
        <v>7</v>
      </c>
      <c r="F293" s="9" t="n">
        <f aca="false">2*D293</f>
        <v>33874</v>
      </c>
      <c r="G293" s="9" t="n">
        <f aca="false">MOD(F293,10)</f>
        <v>4</v>
      </c>
      <c r="H293" s="9" t="n">
        <f aca="false">G293/2</f>
        <v>2</v>
      </c>
      <c r="I293" s="9" t="str">
        <f aca="false">IF(H293=0,"—",IF(H293=1,"unison (1:1)",IF(H293=2,"octave (2:1)",IF(H293=3,"fifth (3:2)",IF(H293=4,"fourth (4:3)","?")))))</f>
        <v>octave (2:1)</v>
      </c>
      <c r="J293" s="9" t="str">
        <f aca="false">IF(H293=0,"—",IF(H293=1,"ὁμώνυμον",IF(H293=2,"διὰ πασῶν",IF(H293=3,"διὰ πέντε",IF(H293=4,"διὰ τεσσάρων","?")))))</f>
        <v>διὰ πασῶν</v>
      </c>
      <c r="K293" s="10"/>
      <c r="L293" s="14"/>
      <c r="M293" s="13"/>
    </row>
    <row r="294" customFormat="false" ht="15.75" hidden="false" customHeight="true" outlineLevel="0" collapsed="false">
      <c r="A294" s="8" t="n">
        <f aca="false">A293+1</f>
        <v>292</v>
      </c>
      <c r="B294" s="9" t="n">
        <f aca="false">MOD(4*A294^2,10)</f>
        <v>6</v>
      </c>
      <c r="C294" s="9" t="n">
        <f aca="false">(26*B294-5*B294^2)/24</f>
        <v>-1</v>
      </c>
      <c r="D294" s="9" t="n">
        <f aca="false">(A294^2+4*C294)/5</f>
        <v>17052</v>
      </c>
      <c r="E294" s="9" t="n">
        <f aca="false">MOD(D294,10)</f>
        <v>2</v>
      </c>
      <c r="F294" s="9" t="n">
        <f aca="false">2*D294</f>
        <v>34104</v>
      </c>
      <c r="G294" s="9" t="n">
        <f aca="false">MOD(F294,10)</f>
        <v>4</v>
      </c>
      <c r="H294" s="9" t="n">
        <f aca="false">G294/2</f>
        <v>2</v>
      </c>
      <c r="I294" s="9" t="str">
        <f aca="false">IF(H294=0,"—",IF(H294=1,"unison (1:1)",IF(H294=2,"octave (2:1)",IF(H294=3,"fifth (3:2)",IF(H294=4,"fourth (4:3)","?")))))</f>
        <v>octave (2:1)</v>
      </c>
      <c r="J294" s="9" t="str">
        <f aca="false">IF(H294=0,"—",IF(H294=1,"ὁμώνυμον",IF(H294=2,"διὰ πασῶν",IF(H294=3,"διὰ πέντε",IF(H294=4,"διὰ τεσσάρων","?")))))</f>
        <v>διὰ πασῶν</v>
      </c>
      <c r="K294" s="10"/>
      <c r="L294" s="14"/>
      <c r="M294" s="13"/>
    </row>
    <row r="295" customFormat="false" ht="15.75" hidden="false" customHeight="true" outlineLevel="0" collapsed="false">
      <c r="A295" s="8" t="n">
        <f aca="false">A294+1</f>
        <v>293</v>
      </c>
      <c r="B295" s="9" t="n">
        <f aca="false">MOD(4*A295^2,10)</f>
        <v>6</v>
      </c>
      <c r="C295" s="9" t="n">
        <f aca="false">(26*B295-5*B295^2)/24</f>
        <v>-1</v>
      </c>
      <c r="D295" s="9" t="n">
        <f aca="false">(A295^2+4*C295)/5</f>
        <v>17169</v>
      </c>
      <c r="E295" s="9" t="n">
        <f aca="false">MOD(D295,10)</f>
        <v>9</v>
      </c>
      <c r="F295" s="9" t="n">
        <f aca="false">2*D295</f>
        <v>34338</v>
      </c>
      <c r="G295" s="9" t="n">
        <f aca="false">MOD(F295,10)</f>
        <v>8</v>
      </c>
      <c r="H295" s="9" t="n">
        <f aca="false">G295/2</f>
        <v>4</v>
      </c>
      <c r="I295" s="9" t="str">
        <f aca="false">IF(H295=0,"—",IF(H295=1,"unison (1:1)",IF(H295=2,"octave (2:1)",IF(H295=3,"fifth (3:2)",IF(H295=4,"fourth (4:3)","?")))))</f>
        <v>fourth (4:3)</v>
      </c>
      <c r="J295" s="9" t="str">
        <f aca="false">IF(H295=0,"—",IF(H295=1,"ὁμώνυμον",IF(H295=2,"διὰ πασῶν",IF(H295=3,"διὰ πέντε",IF(H295=4,"διὰ τεσσάρων","?")))))</f>
        <v>διὰ τεσσάρων</v>
      </c>
      <c r="K295" s="10"/>
      <c r="L295" s="14"/>
      <c r="M295" s="13"/>
    </row>
    <row r="296" customFormat="false" ht="15.75" hidden="false" customHeight="true" outlineLevel="0" collapsed="false">
      <c r="A296" s="8" t="n">
        <f aca="false">A295+1</f>
        <v>294</v>
      </c>
      <c r="B296" s="9" t="n">
        <f aca="false">MOD(4*A296^2,10)</f>
        <v>4</v>
      </c>
      <c r="C296" s="9" t="n">
        <f aca="false">(26*B296-5*B296^2)/24</f>
        <v>1</v>
      </c>
      <c r="D296" s="9" t="n">
        <f aca="false">(A296^2+4*C296)/5</f>
        <v>17288</v>
      </c>
      <c r="E296" s="9" t="n">
        <f aca="false">MOD(D296,10)</f>
        <v>8</v>
      </c>
      <c r="F296" s="9" t="n">
        <f aca="false">2*D296</f>
        <v>34576</v>
      </c>
      <c r="G296" s="9" t="n">
        <f aca="false">MOD(F296,10)</f>
        <v>6</v>
      </c>
      <c r="H296" s="9" t="n">
        <f aca="false">G296/2</f>
        <v>3</v>
      </c>
      <c r="I296" s="9" t="str">
        <f aca="false">IF(H296=0,"—",IF(H296=1,"unison (1:1)",IF(H296=2,"octave (2:1)",IF(H296=3,"fifth (3:2)",IF(H296=4,"fourth (4:3)","?")))))</f>
        <v>fifth (3:2)</v>
      </c>
      <c r="J296" s="9" t="str">
        <f aca="false">IF(H296=0,"—",IF(H296=1,"ὁμώνυμον",IF(H296=2,"διὰ πασῶν",IF(H296=3,"διὰ πέντε",IF(H296=4,"διὰ τεσσάρων","?")))))</f>
        <v>διὰ πέντε</v>
      </c>
      <c r="K296" s="10"/>
      <c r="L296" s="14"/>
      <c r="M296" s="13"/>
    </row>
    <row r="297" customFormat="false" ht="15.75" hidden="false" customHeight="true" outlineLevel="0" collapsed="false">
      <c r="A297" s="8" t="n">
        <f aca="false">A296+1</f>
        <v>295</v>
      </c>
      <c r="B297" s="9" t="n">
        <f aca="false">MOD(4*A297^2,10)</f>
        <v>0</v>
      </c>
      <c r="C297" s="9" t="n">
        <f aca="false">(26*B297-5*B297^2)/24</f>
        <v>0</v>
      </c>
      <c r="D297" s="9" t="n">
        <f aca="false">(A297^2+4*C297)/5</f>
        <v>17405</v>
      </c>
      <c r="E297" s="9" t="n">
        <f aca="false">MOD(D297,10)</f>
        <v>5</v>
      </c>
      <c r="F297" s="9" t="n">
        <f aca="false">2*D297</f>
        <v>34810</v>
      </c>
      <c r="G297" s="9" t="n">
        <f aca="false">MOD(F297,10)</f>
        <v>0</v>
      </c>
      <c r="H297" s="9" t="n">
        <f aca="false">G297/2</f>
        <v>0</v>
      </c>
      <c r="I297" s="9" t="str">
        <f aca="false">IF(H297=0,"—",IF(H297=1,"unison (1:1)",IF(H297=2,"octave (2:1)",IF(H297=3,"fifth (3:2)",IF(H297=4,"fourth (4:3)","?")))))</f>
        <v>—</v>
      </c>
      <c r="J297" s="9" t="str">
        <f aca="false">IF(H297=0,"—",IF(H297=1,"ὁμώνυμον",IF(H297=2,"διὰ πασῶν",IF(H297=3,"διὰ πέντε",IF(H297=4,"διὰ τεσσάρων","?")))))</f>
        <v>—</v>
      </c>
      <c r="K297" s="10"/>
      <c r="L297" s="14"/>
      <c r="M297" s="13"/>
    </row>
    <row r="298" customFormat="false" ht="15.75" hidden="false" customHeight="true" outlineLevel="0" collapsed="false">
      <c r="A298" s="8" t="n">
        <f aca="false">A297+1</f>
        <v>296</v>
      </c>
      <c r="B298" s="9" t="n">
        <f aca="false">MOD(4*A298^2,10)</f>
        <v>4</v>
      </c>
      <c r="C298" s="9" t="n">
        <f aca="false">(26*B298-5*B298^2)/24</f>
        <v>1</v>
      </c>
      <c r="D298" s="9" t="n">
        <f aca="false">(A298^2+4*C298)/5</f>
        <v>17524</v>
      </c>
      <c r="E298" s="9" t="n">
        <f aca="false">MOD(D298,10)</f>
        <v>4</v>
      </c>
      <c r="F298" s="9" t="n">
        <f aca="false">2*D298</f>
        <v>35048</v>
      </c>
      <c r="G298" s="9" t="n">
        <f aca="false">MOD(F298,10)</f>
        <v>8</v>
      </c>
      <c r="H298" s="9" t="n">
        <f aca="false">G298/2</f>
        <v>4</v>
      </c>
      <c r="I298" s="9" t="str">
        <f aca="false">IF(H298=0,"—",IF(H298=1,"unison (1:1)",IF(H298=2,"octave (2:1)",IF(H298=3,"fifth (3:2)",IF(H298=4,"fourth (4:3)","?")))))</f>
        <v>fourth (4:3)</v>
      </c>
      <c r="J298" s="9" t="str">
        <f aca="false">IF(H298=0,"—",IF(H298=1,"ὁμώνυμον",IF(H298=2,"διὰ πασῶν",IF(H298=3,"διὰ πέντε",IF(H298=4,"διὰ τεσσάρων","?")))))</f>
        <v>διὰ τεσσάρων</v>
      </c>
      <c r="K298" s="10"/>
      <c r="L298" s="14"/>
      <c r="M298" s="13"/>
    </row>
    <row r="299" customFormat="false" ht="15.75" hidden="false" customHeight="true" outlineLevel="0" collapsed="false">
      <c r="A299" s="8" t="n">
        <f aca="false">A298+1</f>
        <v>297</v>
      </c>
      <c r="B299" s="9" t="n">
        <f aca="false">MOD(4*A299^2,10)</f>
        <v>6</v>
      </c>
      <c r="C299" s="9" t="n">
        <f aca="false">(26*B299-5*B299^2)/24</f>
        <v>-1</v>
      </c>
      <c r="D299" s="9" t="n">
        <f aca="false">(A299^2+4*C299)/5</f>
        <v>17641</v>
      </c>
      <c r="E299" s="9" t="n">
        <f aca="false">MOD(D299,10)</f>
        <v>1</v>
      </c>
      <c r="F299" s="9" t="n">
        <f aca="false">2*D299</f>
        <v>35282</v>
      </c>
      <c r="G299" s="9" t="n">
        <f aca="false">MOD(F299,10)</f>
        <v>2</v>
      </c>
      <c r="H299" s="9" t="n">
        <f aca="false">G299/2</f>
        <v>1</v>
      </c>
      <c r="I299" s="9" t="str">
        <f aca="false">IF(H299=0,"—",IF(H299=1,"unison (1:1)",IF(H299=2,"octave (2:1)",IF(H299=3,"fifth (3:2)",IF(H299=4,"fourth (4:3)","?")))))</f>
        <v>unison (1:1)</v>
      </c>
      <c r="J299" s="9" t="str">
        <f aca="false">IF(H299=0,"—",IF(H299=1,"ὁμώνυμον",IF(H299=2,"διὰ πασῶν",IF(H299=3,"διὰ πέντε",IF(H299=4,"διὰ τεσσάρων","?")))))</f>
        <v>ὁμώνυμον</v>
      </c>
      <c r="K299" s="10"/>
      <c r="L299" s="14"/>
      <c r="M299" s="13"/>
    </row>
    <row r="300" customFormat="false" ht="15.75" hidden="false" customHeight="true" outlineLevel="0" collapsed="false">
      <c r="A300" s="8" t="n">
        <f aca="false">A299+1</f>
        <v>298</v>
      </c>
      <c r="B300" s="9" t="n">
        <f aca="false">MOD(4*A300^2,10)</f>
        <v>6</v>
      </c>
      <c r="C300" s="9" t="n">
        <f aca="false">(26*B300-5*B300^2)/24</f>
        <v>-1</v>
      </c>
      <c r="D300" s="9" t="n">
        <f aca="false">(A300^2+4*C300)/5</f>
        <v>17760</v>
      </c>
      <c r="E300" s="9" t="n">
        <f aca="false">MOD(D300,10)</f>
        <v>0</v>
      </c>
      <c r="F300" s="9" t="n">
        <f aca="false">2*D300</f>
        <v>35520</v>
      </c>
      <c r="G300" s="9" t="n">
        <f aca="false">MOD(F300,10)</f>
        <v>0</v>
      </c>
      <c r="H300" s="9" t="n">
        <f aca="false">G300/2</f>
        <v>0</v>
      </c>
      <c r="I300" s="9" t="str">
        <f aca="false">IF(H300=0,"—",IF(H300=1,"unison (1:1)",IF(H300=2,"octave (2:1)",IF(H300=3,"fifth (3:2)",IF(H300=4,"fourth (4:3)","?")))))</f>
        <v>—</v>
      </c>
      <c r="J300" s="9" t="str">
        <f aca="false">IF(H300=0,"—",IF(H300=1,"ὁμώνυμον",IF(H300=2,"διὰ πασῶν",IF(H300=3,"διὰ πέντε",IF(H300=4,"διὰ τεσσάρων","?")))))</f>
        <v>—</v>
      </c>
      <c r="K300" s="10"/>
      <c r="L300" s="14"/>
      <c r="M300" s="13"/>
    </row>
    <row r="301" customFormat="false" ht="15.75" hidden="false" customHeight="true" outlineLevel="0" collapsed="false">
      <c r="A301" s="8" t="n">
        <f aca="false">A300+1</f>
        <v>299</v>
      </c>
      <c r="B301" s="9" t="n">
        <f aca="false">MOD(4*A301^2,10)</f>
        <v>4</v>
      </c>
      <c r="C301" s="9" t="n">
        <f aca="false">(26*B301-5*B301^2)/24</f>
        <v>1</v>
      </c>
      <c r="D301" s="9" t="n">
        <f aca="false">(A301^2+4*C301)/5</f>
        <v>17881</v>
      </c>
      <c r="E301" s="9" t="n">
        <f aca="false">MOD(D301,10)</f>
        <v>1</v>
      </c>
      <c r="F301" s="9" t="n">
        <f aca="false">2*D301</f>
        <v>35762</v>
      </c>
      <c r="G301" s="9" t="n">
        <f aca="false">MOD(F301,10)</f>
        <v>2</v>
      </c>
      <c r="H301" s="9" t="n">
        <f aca="false">G301/2</f>
        <v>1</v>
      </c>
      <c r="I301" s="9" t="str">
        <f aca="false">IF(H301=0,"—",IF(H301=1,"unison (1:1)",IF(H301=2,"octave (2:1)",IF(H301=3,"fifth (3:2)",IF(H301=4,"fourth (4:3)","?")))))</f>
        <v>unison (1:1)</v>
      </c>
      <c r="J301" s="9" t="str">
        <f aca="false">IF(H301=0,"—",IF(H301=1,"ὁμώνυμον",IF(H301=2,"διὰ πασῶν",IF(H301=3,"διὰ πέντε",IF(H301=4,"διὰ τεσσάρων","?")))))</f>
        <v>ὁμώνυμον</v>
      </c>
      <c r="K301" s="10"/>
      <c r="L301" s="14"/>
      <c r="M301" s="13"/>
    </row>
    <row r="302" customFormat="false" ht="15.75" hidden="false" customHeight="true" outlineLevel="0" collapsed="false">
      <c r="A302" s="8" t="n">
        <f aca="false">A301+1</f>
        <v>300</v>
      </c>
      <c r="B302" s="9" t="n">
        <f aca="false">MOD(4*A302^2,10)</f>
        <v>0</v>
      </c>
      <c r="C302" s="9" t="n">
        <f aca="false">(26*B302-5*B302^2)/24</f>
        <v>0</v>
      </c>
      <c r="D302" s="9" t="n">
        <f aca="false">(A302^2+4*C302)/5</f>
        <v>18000</v>
      </c>
      <c r="E302" s="9" t="n">
        <f aca="false">MOD(D302,10)</f>
        <v>0</v>
      </c>
      <c r="F302" s="9" t="n">
        <f aca="false">2*D302</f>
        <v>36000</v>
      </c>
      <c r="G302" s="9" t="n">
        <f aca="false">MOD(F302,10)</f>
        <v>0</v>
      </c>
      <c r="H302" s="9" t="n">
        <f aca="false">G302/2</f>
        <v>0</v>
      </c>
      <c r="I302" s="9" t="str">
        <f aca="false">IF(H302=0,"—",IF(H302=1,"unison (1:1)",IF(H302=2,"octave (2:1)",IF(H302=3,"fifth (3:2)",IF(H302=4,"fourth (4:3)","?")))))</f>
        <v>—</v>
      </c>
      <c r="J302" s="9" t="str">
        <f aca="false">IF(H302=0,"—",IF(H302=1,"ὁμώνυμον",IF(H302=2,"διὰ πασῶν",IF(H302=3,"διὰ πέντε",IF(H302=4,"διὰ τεσσάρων","?")))))</f>
        <v>—</v>
      </c>
      <c r="K302" s="10"/>
      <c r="L302" s="14"/>
      <c r="M302" s="13"/>
    </row>
    <row r="303" customFormat="false" ht="15.75" hidden="false" customHeight="true" outlineLevel="0" collapsed="false">
      <c r="A303" s="8" t="n">
        <f aca="false">A302+1</f>
        <v>301</v>
      </c>
      <c r="B303" s="9" t="n">
        <f aca="false">MOD(4*A303^2,10)</f>
        <v>4</v>
      </c>
      <c r="C303" s="9" t="n">
        <f aca="false">(26*B303-5*B303^2)/24</f>
        <v>1</v>
      </c>
      <c r="D303" s="9" t="n">
        <f aca="false">(A303^2+4*C303)/5</f>
        <v>18121</v>
      </c>
      <c r="E303" s="9" t="n">
        <f aca="false">MOD(D303,10)</f>
        <v>1</v>
      </c>
      <c r="F303" s="9" t="n">
        <f aca="false">2*D303</f>
        <v>36242</v>
      </c>
      <c r="G303" s="9" t="n">
        <f aca="false">MOD(F303,10)</f>
        <v>2</v>
      </c>
      <c r="H303" s="9" t="n">
        <f aca="false">G303/2</f>
        <v>1</v>
      </c>
      <c r="I303" s="9" t="str">
        <f aca="false">IF(H303=0,"—",IF(H303=1,"unison (1:1)",IF(H303=2,"octave (2:1)",IF(H303=3,"fifth (3:2)",IF(H303=4,"fourth (4:3)","?")))))</f>
        <v>unison (1:1)</v>
      </c>
      <c r="J303" s="9" t="str">
        <f aca="false">IF(H303=0,"—",IF(H303=1,"ὁμώνυμον",IF(H303=2,"διὰ πασῶν",IF(H303=3,"διὰ πέντε",IF(H303=4,"διὰ τεσσάρων","?")))))</f>
        <v>ὁμώνυμον</v>
      </c>
      <c r="K303" s="10"/>
      <c r="L303" s="14"/>
      <c r="M303" s="13"/>
    </row>
    <row r="304" customFormat="false" ht="15.75" hidden="false" customHeight="true" outlineLevel="0" collapsed="false">
      <c r="A304" s="8" t="n">
        <f aca="false">A303+1</f>
        <v>302</v>
      </c>
      <c r="B304" s="9" t="n">
        <f aca="false">MOD(4*A304^2,10)</f>
        <v>6</v>
      </c>
      <c r="C304" s="9" t="n">
        <f aca="false">(26*B304-5*B304^2)/24</f>
        <v>-1</v>
      </c>
      <c r="D304" s="9" t="n">
        <f aca="false">(A304^2+4*C304)/5</f>
        <v>18240</v>
      </c>
      <c r="E304" s="9" t="n">
        <f aca="false">MOD(D304,10)</f>
        <v>0</v>
      </c>
      <c r="F304" s="9" t="n">
        <f aca="false">2*D304</f>
        <v>36480</v>
      </c>
      <c r="G304" s="9" t="n">
        <f aca="false">MOD(F304,10)</f>
        <v>0</v>
      </c>
      <c r="H304" s="9" t="n">
        <f aca="false">G304/2</f>
        <v>0</v>
      </c>
      <c r="I304" s="9" t="str">
        <f aca="false">IF(H304=0,"—",IF(H304=1,"unison (1:1)",IF(H304=2,"octave (2:1)",IF(H304=3,"fifth (3:2)",IF(H304=4,"fourth (4:3)","?")))))</f>
        <v>—</v>
      </c>
      <c r="J304" s="9" t="str">
        <f aca="false">IF(H304=0,"—",IF(H304=1,"ὁμώνυμον",IF(H304=2,"διὰ πασῶν",IF(H304=3,"διὰ πέντε",IF(H304=4,"διὰ τεσσάρων","?")))))</f>
        <v>—</v>
      </c>
      <c r="K304" s="10"/>
      <c r="L304" s="14"/>
      <c r="M304" s="13"/>
    </row>
    <row r="305" customFormat="false" ht="15.75" hidden="false" customHeight="true" outlineLevel="0" collapsed="false">
      <c r="A305" s="8" t="n">
        <f aca="false">A304+1</f>
        <v>303</v>
      </c>
      <c r="B305" s="9" t="n">
        <f aca="false">MOD(4*A305^2,10)</f>
        <v>6</v>
      </c>
      <c r="C305" s="9" t="n">
        <f aca="false">(26*B305-5*B305^2)/24</f>
        <v>-1</v>
      </c>
      <c r="D305" s="9" t="n">
        <f aca="false">(A305^2+4*C305)/5</f>
        <v>18361</v>
      </c>
      <c r="E305" s="9" t="n">
        <f aca="false">MOD(D305,10)</f>
        <v>1</v>
      </c>
      <c r="F305" s="9" t="n">
        <f aca="false">2*D305</f>
        <v>36722</v>
      </c>
      <c r="G305" s="9" t="n">
        <f aca="false">MOD(F305,10)</f>
        <v>2</v>
      </c>
      <c r="H305" s="9" t="n">
        <f aca="false">G305/2</f>
        <v>1</v>
      </c>
      <c r="I305" s="9" t="str">
        <f aca="false">IF(H305=0,"—",IF(H305=1,"unison (1:1)",IF(H305=2,"octave (2:1)",IF(H305=3,"fifth (3:2)",IF(H305=4,"fourth (4:3)","?")))))</f>
        <v>unison (1:1)</v>
      </c>
      <c r="J305" s="9" t="str">
        <f aca="false">IF(H305=0,"—",IF(H305=1,"ὁμώνυμον",IF(H305=2,"διὰ πασῶν",IF(H305=3,"διὰ πέντε",IF(H305=4,"διὰ τεσσάρων","?")))))</f>
        <v>ὁμώνυμον</v>
      </c>
      <c r="K305" s="10"/>
      <c r="L305" s="14"/>
      <c r="M305" s="13"/>
    </row>
    <row r="306" customFormat="false" ht="15.75" hidden="false" customHeight="true" outlineLevel="0" collapsed="false">
      <c r="A306" s="8" t="n">
        <f aca="false">A305+1</f>
        <v>304</v>
      </c>
      <c r="B306" s="9" t="n">
        <f aca="false">MOD(4*A306^2,10)</f>
        <v>4</v>
      </c>
      <c r="C306" s="9" t="n">
        <f aca="false">(26*B306-5*B306^2)/24</f>
        <v>1</v>
      </c>
      <c r="D306" s="9" t="n">
        <f aca="false">(A306^2+4*C306)/5</f>
        <v>18484</v>
      </c>
      <c r="E306" s="9" t="n">
        <f aca="false">MOD(D306,10)</f>
        <v>4</v>
      </c>
      <c r="F306" s="9" t="n">
        <f aca="false">2*D306</f>
        <v>36968</v>
      </c>
      <c r="G306" s="9" t="n">
        <f aca="false">MOD(F306,10)</f>
        <v>8</v>
      </c>
      <c r="H306" s="9" t="n">
        <f aca="false">G306/2</f>
        <v>4</v>
      </c>
      <c r="I306" s="9" t="str">
        <f aca="false">IF(H306=0,"—",IF(H306=1,"unison (1:1)",IF(H306=2,"octave (2:1)",IF(H306=3,"fifth (3:2)",IF(H306=4,"fourth (4:3)","?")))))</f>
        <v>fourth (4:3)</v>
      </c>
      <c r="J306" s="9" t="str">
        <f aca="false">IF(H306=0,"—",IF(H306=1,"ὁμώνυμον",IF(H306=2,"διὰ πασῶν",IF(H306=3,"διὰ πέντε",IF(H306=4,"διὰ τεσσάρων","?")))))</f>
        <v>διὰ τεσσάρων</v>
      </c>
      <c r="K306" s="10"/>
      <c r="L306" s="14"/>
      <c r="M306" s="13"/>
    </row>
    <row r="307" customFormat="false" ht="15.75" hidden="false" customHeight="true" outlineLevel="0" collapsed="false">
      <c r="A307" s="8" t="n">
        <f aca="false">A306+1</f>
        <v>305</v>
      </c>
      <c r="B307" s="9" t="n">
        <f aca="false">MOD(4*A307^2,10)</f>
        <v>0</v>
      </c>
      <c r="C307" s="9" t="n">
        <f aca="false">(26*B307-5*B307^2)/24</f>
        <v>0</v>
      </c>
      <c r="D307" s="9" t="n">
        <f aca="false">(A307^2+4*C307)/5</f>
        <v>18605</v>
      </c>
      <c r="E307" s="9" t="n">
        <f aca="false">MOD(D307,10)</f>
        <v>5</v>
      </c>
      <c r="F307" s="9" t="n">
        <f aca="false">2*D307</f>
        <v>37210</v>
      </c>
      <c r="G307" s="9" t="n">
        <f aca="false">MOD(F307,10)</f>
        <v>0</v>
      </c>
      <c r="H307" s="9" t="n">
        <f aca="false">G307/2</f>
        <v>0</v>
      </c>
      <c r="I307" s="9" t="str">
        <f aca="false">IF(H307=0,"—",IF(H307=1,"unison (1:1)",IF(H307=2,"octave (2:1)",IF(H307=3,"fifth (3:2)",IF(H307=4,"fourth (4:3)","?")))))</f>
        <v>—</v>
      </c>
      <c r="J307" s="9" t="str">
        <f aca="false">IF(H307=0,"—",IF(H307=1,"ὁμώνυμον",IF(H307=2,"διὰ πασῶν",IF(H307=3,"διὰ πέντε",IF(H307=4,"διὰ τεσσάρων","?")))))</f>
        <v>—</v>
      </c>
      <c r="K307" s="10"/>
      <c r="L307" s="14"/>
      <c r="M307" s="13"/>
    </row>
    <row r="308" customFormat="false" ht="15.75" hidden="false" customHeight="true" outlineLevel="0" collapsed="false">
      <c r="A308" s="8" t="n">
        <f aca="false">A307+1</f>
        <v>306</v>
      </c>
      <c r="B308" s="9" t="n">
        <f aca="false">MOD(4*A308^2,10)</f>
        <v>4</v>
      </c>
      <c r="C308" s="9" t="n">
        <f aca="false">(26*B308-5*B308^2)/24</f>
        <v>1</v>
      </c>
      <c r="D308" s="9" t="n">
        <f aca="false">(A308^2+4*C308)/5</f>
        <v>18728</v>
      </c>
      <c r="E308" s="9" t="n">
        <f aca="false">MOD(D308,10)</f>
        <v>8</v>
      </c>
      <c r="F308" s="9" t="n">
        <f aca="false">2*D308</f>
        <v>37456</v>
      </c>
      <c r="G308" s="9" t="n">
        <f aca="false">MOD(F308,10)</f>
        <v>6</v>
      </c>
      <c r="H308" s="9" t="n">
        <f aca="false">G308/2</f>
        <v>3</v>
      </c>
      <c r="I308" s="9" t="str">
        <f aca="false">IF(H308=0,"—",IF(H308=1,"unison (1:1)",IF(H308=2,"octave (2:1)",IF(H308=3,"fifth (3:2)",IF(H308=4,"fourth (4:3)","?")))))</f>
        <v>fifth (3:2)</v>
      </c>
      <c r="J308" s="9" t="str">
        <f aca="false">IF(H308=0,"—",IF(H308=1,"ὁμώνυμον",IF(H308=2,"διὰ πασῶν",IF(H308=3,"διὰ πέντε",IF(H308=4,"διὰ τεσσάρων","?")))))</f>
        <v>διὰ πέντε</v>
      </c>
      <c r="K308" s="10"/>
      <c r="L308" s="14"/>
      <c r="M308" s="13"/>
    </row>
    <row r="309" customFormat="false" ht="15.75" hidden="false" customHeight="true" outlineLevel="0" collapsed="false">
      <c r="A309" s="8" t="n">
        <f aca="false">A308+1</f>
        <v>307</v>
      </c>
      <c r="B309" s="9" t="n">
        <f aca="false">MOD(4*A309^2,10)</f>
        <v>6</v>
      </c>
      <c r="C309" s="9" t="n">
        <f aca="false">(26*B309-5*B309^2)/24</f>
        <v>-1</v>
      </c>
      <c r="D309" s="9" t="n">
        <f aca="false">(A309^2+4*C309)/5</f>
        <v>18849</v>
      </c>
      <c r="E309" s="9" t="n">
        <f aca="false">MOD(D309,10)</f>
        <v>9</v>
      </c>
      <c r="F309" s="9" t="n">
        <f aca="false">2*D309</f>
        <v>37698</v>
      </c>
      <c r="G309" s="9" t="n">
        <f aca="false">MOD(F309,10)</f>
        <v>8</v>
      </c>
      <c r="H309" s="9" t="n">
        <f aca="false">G309/2</f>
        <v>4</v>
      </c>
      <c r="I309" s="9" t="str">
        <f aca="false">IF(H309=0,"—",IF(H309=1,"unison (1:1)",IF(H309=2,"octave (2:1)",IF(H309=3,"fifth (3:2)",IF(H309=4,"fourth (4:3)","?")))))</f>
        <v>fourth (4:3)</v>
      </c>
      <c r="J309" s="9" t="str">
        <f aca="false">IF(H309=0,"—",IF(H309=1,"ὁμώνυμον",IF(H309=2,"διὰ πασῶν",IF(H309=3,"διὰ πέντε",IF(H309=4,"διὰ τεσσάρων","?")))))</f>
        <v>διὰ τεσσάρων</v>
      </c>
      <c r="K309" s="10"/>
      <c r="L309" s="14"/>
      <c r="M309" s="13"/>
    </row>
    <row r="310" customFormat="false" ht="15.75" hidden="false" customHeight="true" outlineLevel="0" collapsed="false">
      <c r="A310" s="8" t="n">
        <f aca="false">A309+1</f>
        <v>308</v>
      </c>
      <c r="B310" s="9" t="n">
        <f aca="false">MOD(4*A310^2,10)</f>
        <v>6</v>
      </c>
      <c r="C310" s="9" t="n">
        <f aca="false">(26*B310-5*B310^2)/24</f>
        <v>-1</v>
      </c>
      <c r="D310" s="9" t="n">
        <f aca="false">(A310^2+4*C310)/5</f>
        <v>18972</v>
      </c>
      <c r="E310" s="9" t="n">
        <f aca="false">MOD(D310,10)</f>
        <v>2</v>
      </c>
      <c r="F310" s="9" t="n">
        <f aca="false">2*D310</f>
        <v>37944</v>
      </c>
      <c r="G310" s="9" t="n">
        <f aca="false">MOD(F310,10)</f>
        <v>4</v>
      </c>
      <c r="H310" s="9" t="n">
        <f aca="false">G310/2</f>
        <v>2</v>
      </c>
      <c r="I310" s="9" t="str">
        <f aca="false">IF(H310=0,"—",IF(H310=1,"unison (1:1)",IF(H310=2,"octave (2:1)",IF(H310=3,"fifth (3:2)",IF(H310=4,"fourth (4:3)","?")))))</f>
        <v>octave (2:1)</v>
      </c>
      <c r="J310" s="9" t="str">
        <f aca="false">IF(H310=0,"—",IF(H310=1,"ὁμώνυμον",IF(H310=2,"διὰ πασῶν",IF(H310=3,"διὰ πέντε",IF(H310=4,"διὰ τεσσάρων","?")))))</f>
        <v>διὰ πασῶν</v>
      </c>
      <c r="K310" s="10"/>
      <c r="L310" s="14"/>
      <c r="M310" s="13"/>
    </row>
    <row r="311" customFormat="false" ht="15.75" hidden="false" customHeight="true" outlineLevel="0" collapsed="false">
      <c r="A311" s="8" t="n">
        <f aca="false">A310+1</f>
        <v>309</v>
      </c>
      <c r="B311" s="9" t="n">
        <f aca="false">MOD(4*A311^2,10)</f>
        <v>4</v>
      </c>
      <c r="C311" s="9" t="n">
        <f aca="false">(26*B311-5*B311^2)/24</f>
        <v>1</v>
      </c>
      <c r="D311" s="9" t="n">
        <f aca="false">(A311^2+4*C311)/5</f>
        <v>19097</v>
      </c>
      <c r="E311" s="9" t="n">
        <f aca="false">MOD(D311,10)</f>
        <v>7</v>
      </c>
      <c r="F311" s="9" t="n">
        <f aca="false">2*D311</f>
        <v>38194</v>
      </c>
      <c r="G311" s="9" t="n">
        <f aca="false">MOD(F311,10)</f>
        <v>4</v>
      </c>
      <c r="H311" s="9" t="n">
        <f aca="false">G311/2</f>
        <v>2</v>
      </c>
      <c r="I311" s="9" t="str">
        <f aca="false">IF(H311=0,"—",IF(H311=1,"unison (1:1)",IF(H311=2,"octave (2:1)",IF(H311=3,"fifth (3:2)",IF(H311=4,"fourth (4:3)","?")))))</f>
        <v>octave (2:1)</v>
      </c>
      <c r="J311" s="9" t="str">
        <f aca="false">IF(H311=0,"—",IF(H311=1,"ὁμώνυμον",IF(H311=2,"διὰ πασῶν",IF(H311=3,"διὰ πέντε",IF(H311=4,"διὰ τεσσάρων","?")))))</f>
        <v>διὰ πασῶν</v>
      </c>
      <c r="K311" s="10"/>
      <c r="L311" s="14"/>
      <c r="M311" s="13"/>
    </row>
    <row r="312" customFormat="false" ht="15.75" hidden="false" customHeight="true" outlineLevel="0" collapsed="false">
      <c r="A312" s="8" t="n">
        <f aca="false">A311+1</f>
        <v>310</v>
      </c>
      <c r="B312" s="9" t="n">
        <f aca="false">MOD(4*A312^2,10)</f>
        <v>0</v>
      </c>
      <c r="C312" s="9" t="n">
        <f aca="false">(26*B312-5*B312^2)/24</f>
        <v>0</v>
      </c>
      <c r="D312" s="9" t="n">
        <f aca="false">(A312^2+4*C312)/5</f>
        <v>19220</v>
      </c>
      <c r="E312" s="9" t="n">
        <f aca="false">MOD(D312,10)</f>
        <v>0</v>
      </c>
      <c r="F312" s="9" t="n">
        <f aca="false">2*D312</f>
        <v>38440</v>
      </c>
      <c r="G312" s="9" t="n">
        <f aca="false">MOD(F312,10)</f>
        <v>0</v>
      </c>
      <c r="H312" s="9" t="n">
        <f aca="false">G312/2</f>
        <v>0</v>
      </c>
      <c r="I312" s="9" t="str">
        <f aca="false">IF(H312=0,"—",IF(H312=1,"unison (1:1)",IF(H312=2,"octave (2:1)",IF(H312=3,"fifth (3:2)",IF(H312=4,"fourth (4:3)","?")))))</f>
        <v>—</v>
      </c>
      <c r="J312" s="9" t="str">
        <f aca="false">IF(H312=0,"—",IF(H312=1,"ὁμώνυμον",IF(H312=2,"διὰ πασῶν",IF(H312=3,"διὰ πέντε",IF(H312=4,"διὰ τεσσάρων","?")))))</f>
        <v>—</v>
      </c>
      <c r="K312" s="10"/>
      <c r="L312" s="14"/>
      <c r="M312" s="13"/>
    </row>
    <row r="313" customFormat="false" ht="15.75" hidden="false" customHeight="true" outlineLevel="0" collapsed="false">
      <c r="A313" s="8" t="n">
        <f aca="false">A312+1</f>
        <v>311</v>
      </c>
      <c r="B313" s="9" t="n">
        <f aca="false">MOD(4*A313^2,10)</f>
        <v>4</v>
      </c>
      <c r="C313" s="9" t="n">
        <f aca="false">(26*B313-5*B313^2)/24</f>
        <v>1</v>
      </c>
      <c r="D313" s="9" t="n">
        <f aca="false">(A313^2+4*C313)/5</f>
        <v>19345</v>
      </c>
      <c r="E313" s="9" t="n">
        <f aca="false">MOD(D313,10)</f>
        <v>5</v>
      </c>
      <c r="F313" s="9" t="n">
        <f aca="false">2*D313</f>
        <v>38690</v>
      </c>
      <c r="G313" s="9" t="n">
        <f aca="false">MOD(F313,10)</f>
        <v>0</v>
      </c>
      <c r="H313" s="9" t="n">
        <f aca="false">G313/2</f>
        <v>0</v>
      </c>
      <c r="I313" s="9" t="str">
        <f aca="false">IF(H313=0,"—",IF(H313=1,"unison (1:1)",IF(H313=2,"octave (2:1)",IF(H313=3,"fifth (3:2)",IF(H313=4,"fourth (4:3)","?")))))</f>
        <v>—</v>
      </c>
      <c r="J313" s="9" t="str">
        <f aca="false">IF(H313=0,"—",IF(H313=1,"ὁμώνυμον",IF(H313=2,"διὰ πασῶν",IF(H313=3,"διὰ πέντε",IF(H313=4,"διὰ τεσσάρων","?")))))</f>
        <v>—</v>
      </c>
      <c r="K313" s="10"/>
      <c r="L313" s="14"/>
      <c r="M313" s="13"/>
    </row>
    <row r="314" customFormat="false" ht="15.75" hidden="false" customHeight="true" outlineLevel="0" collapsed="false">
      <c r="A314" s="8" t="n">
        <f aca="false">A313+1</f>
        <v>312</v>
      </c>
      <c r="B314" s="9" t="n">
        <f aca="false">MOD(4*A314^2,10)</f>
        <v>6</v>
      </c>
      <c r="C314" s="9" t="n">
        <f aca="false">(26*B314-5*B314^2)/24</f>
        <v>-1</v>
      </c>
      <c r="D314" s="9" t="n">
        <f aca="false">(A314^2+4*C314)/5</f>
        <v>19468</v>
      </c>
      <c r="E314" s="9" t="n">
        <f aca="false">MOD(D314,10)</f>
        <v>8</v>
      </c>
      <c r="F314" s="9" t="n">
        <f aca="false">2*D314</f>
        <v>38936</v>
      </c>
      <c r="G314" s="9" t="n">
        <f aca="false">MOD(F314,10)</f>
        <v>6</v>
      </c>
      <c r="H314" s="9" t="n">
        <f aca="false">G314/2</f>
        <v>3</v>
      </c>
      <c r="I314" s="9" t="str">
        <f aca="false">IF(H314=0,"—",IF(H314=1,"unison (1:1)",IF(H314=2,"octave (2:1)",IF(H314=3,"fifth (3:2)",IF(H314=4,"fourth (4:3)","?")))))</f>
        <v>fifth (3:2)</v>
      </c>
      <c r="J314" s="9" t="str">
        <f aca="false">IF(H314=0,"—",IF(H314=1,"ὁμώνυμον",IF(H314=2,"διὰ πασῶν",IF(H314=3,"διὰ πέντε",IF(H314=4,"διὰ τεσσάρων","?")))))</f>
        <v>διὰ πέντε</v>
      </c>
      <c r="K314" s="10"/>
      <c r="L314" s="14"/>
      <c r="M314" s="13"/>
    </row>
    <row r="315" customFormat="false" ht="15.75" hidden="false" customHeight="true" outlineLevel="0" collapsed="false">
      <c r="A315" s="8" t="n">
        <f aca="false">A314+1</f>
        <v>313</v>
      </c>
      <c r="B315" s="9" t="n">
        <f aca="false">MOD(4*A315^2,10)</f>
        <v>6</v>
      </c>
      <c r="C315" s="9" t="n">
        <f aca="false">(26*B315-5*B315^2)/24</f>
        <v>-1</v>
      </c>
      <c r="D315" s="9" t="n">
        <f aca="false">(A315^2+4*C315)/5</f>
        <v>19593</v>
      </c>
      <c r="E315" s="9" t="n">
        <f aca="false">MOD(D315,10)</f>
        <v>3</v>
      </c>
      <c r="F315" s="9" t="n">
        <f aca="false">2*D315</f>
        <v>39186</v>
      </c>
      <c r="G315" s="9" t="n">
        <f aca="false">MOD(F315,10)</f>
        <v>6</v>
      </c>
      <c r="H315" s="9" t="n">
        <f aca="false">G315/2</f>
        <v>3</v>
      </c>
      <c r="I315" s="9" t="str">
        <f aca="false">IF(H315=0,"—",IF(H315=1,"unison (1:1)",IF(H315=2,"octave (2:1)",IF(H315=3,"fifth (3:2)",IF(H315=4,"fourth (4:3)","?")))))</f>
        <v>fifth (3:2)</v>
      </c>
      <c r="J315" s="9" t="str">
        <f aca="false">IF(H315=0,"—",IF(H315=1,"ὁμώνυμον",IF(H315=2,"διὰ πασῶν",IF(H315=3,"διὰ πέντε",IF(H315=4,"διὰ τεσσάρων","?")))))</f>
        <v>διὰ πέντε</v>
      </c>
      <c r="K315" s="10"/>
      <c r="L315" s="14"/>
      <c r="M315" s="13"/>
    </row>
    <row r="316" customFormat="false" ht="15.75" hidden="false" customHeight="true" outlineLevel="0" collapsed="false">
      <c r="A316" s="8" t="n">
        <f aca="false">A315+1</f>
        <v>314</v>
      </c>
      <c r="B316" s="9" t="n">
        <f aca="false">MOD(4*A316^2,10)</f>
        <v>4</v>
      </c>
      <c r="C316" s="9" t="n">
        <f aca="false">(26*B316-5*B316^2)/24</f>
        <v>1</v>
      </c>
      <c r="D316" s="9" t="n">
        <f aca="false">(A316^2+4*C316)/5</f>
        <v>19720</v>
      </c>
      <c r="E316" s="9" t="n">
        <f aca="false">MOD(D316,10)</f>
        <v>0</v>
      </c>
      <c r="F316" s="9" t="n">
        <f aca="false">2*D316</f>
        <v>39440</v>
      </c>
      <c r="G316" s="9" t="n">
        <f aca="false">MOD(F316,10)</f>
        <v>0</v>
      </c>
      <c r="H316" s="9" t="n">
        <f aca="false">G316/2</f>
        <v>0</v>
      </c>
      <c r="I316" s="9" t="str">
        <f aca="false">IF(H316=0,"—",IF(H316=1,"unison (1:1)",IF(H316=2,"octave (2:1)",IF(H316=3,"fifth (3:2)",IF(H316=4,"fourth (4:3)","?")))))</f>
        <v>—</v>
      </c>
      <c r="J316" s="9" t="str">
        <f aca="false">IF(H316=0,"—",IF(H316=1,"ὁμώνυμον",IF(H316=2,"διὰ πασῶν",IF(H316=3,"διὰ πέντε",IF(H316=4,"διὰ τεσσάρων","?")))))</f>
        <v>—</v>
      </c>
      <c r="K316" s="10"/>
      <c r="L316" s="14"/>
      <c r="M316" s="13"/>
    </row>
    <row r="317" customFormat="false" ht="15.75" hidden="false" customHeight="true" outlineLevel="0" collapsed="false">
      <c r="A317" s="8" t="n">
        <f aca="false">A316+1</f>
        <v>315</v>
      </c>
      <c r="B317" s="9" t="n">
        <f aca="false">MOD(4*A317^2,10)</f>
        <v>0</v>
      </c>
      <c r="C317" s="9" t="n">
        <f aca="false">(26*B317-5*B317^2)/24</f>
        <v>0</v>
      </c>
      <c r="D317" s="9" t="n">
        <f aca="false">(A317^2+4*C317)/5</f>
        <v>19845</v>
      </c>
      <c r="E317" s="9" t="n">
        <f aca="false">MOD(D317,10)</f>
        <v>5</v>
      </c>
      <c r="F317" s="9" t="n">
        <f aca="false">2*D317</f>
        <v>39690</v>
      </c>
      <c r="G317" s="9" t="n">
        <f aca="false">MOD(F317,10)</f>
        <v>0</v>
      </c>
      <c r="H317" s="9" t="n">
        <f aca="false">G317/2</f>
        <v>0</v>
      </c>
      <c r="I317" s="9" t="str">
        <f aca="false">IF(H317=0,"—",IF(H317=1,"unison (1:1)",IF(H317=2,"octave (2:1)",IF(H317=3,"fifth (3:2)",IF(H317=4,"fourth (4:3)","?")))))</f>
        <v>—</v>
      </c>
      <c r="J317" s="9" t="str">
        <f aca="false">IF(H317=0,"—",IF(H317=1,"ὁμώνυμον",IF(H317=2,"διὰ πασῶν",IF(H317=3,"διὰ πέντε",IF(H317=4,"διὰ τεσσάρων","?")))))</f>
        <v>—</v>
      </c>
      <c r="K317" s="10"/>
      <c r="L317" s="14"/>
      <c r="M317" s="13"/>
    </row>
    <row r="318" customFormat="false" ht="15.75" hidden="false" customHeight="true" outlineLevel="0" collapsed="false">
      <c r="A318" s="8" t="n">
        <f aca="false">A317+1</f>
        <v>316</v>
      </c>
      <c r="B318" s="9" t="n">
        <f aca="false">MOD(4*A318^2,10)</f>
        <v>4</v>
      </c>
      <c r="C318" s="9" t="n">
        <f aca="false">(26*B318-5*B318^2)/24</f>
        <v>1</v>
      </c>
      <c r="D318" s="9" t="n">
        <f aca="false">(A318^2+4*C318)/5</f>
        <v>19972</v>
      </c>
      <c r="E318" s="9" t="n">
        <f aca="false">MOD(D318,10)</f>
        <v>2</v>
      </c>
      <c r="F318" s="9" t="n">
        <f aca="false">2*D318</f>
        <v>39944</v>
      </c>
      <c r="G318" s="9" t="n">
        <f aca="false">MOD(F318,10)</f>
        <v>4</v>
      </c>
      <c r="H318" s="9" t="n">
        <f aca="false">G318/2</f>
        <v>2</v>
      </c>
      <c r="I318" s="9" t="str">
        <f aca="false">IF(H318=0,"—",IF(H318=1,"unison (1:1)",IF(H318=2,"octave (2:1)",IF(H318=3,"fifth (3:2)",IF(H318=4,"fourth (4:3)","?")))))</f>
        <v>octave (2:1)</v>
      </c>
      <c r="J318" s="9" t="str">
        <f aca="false">IF(H318=0,"—",IF(H318=1,"ὁμώνυμον",IF(H318=2,"διὰ πασῶν",IF(H318=3,"διὰ πέντε",IF(H318=4,"διὰ τεσσάρων","?")))))</f>
        <v>διὰ πασῶν</v>
      </c>
      <c r="K318" s="10"/>
      <c r="L318" s="14"/>
      <c r="M318" s="13"/>
    </row>
    <row r="319" customFormat="false" ht="15.75" hidden="false" customHeight="true" outlineLevel="0" collapsed="false">
      <c r="A319" s="8" t="n">
        <f aca="false">A318+1</f>
        <v>317</v>
      </c>
      <c r="B319" s="9" t="n">
        <f aca="false">MOD(4*A319^2,10)</f>
        <v>6</v>
      </c>
      <c r="C319" s="9" t="n">
        <f aca="false">(26*B319-5*B319^2)/24</f>
        <v>-1</v>
      </c>
      <c r="D319" s="9" t="n">
        <f aca="false">(A319^2+4*C319)/5</f>
        <v>20097</v>
      </c>
      <c r="E319" s="9" t="n">
        <f aca="false">MOD(D319,10)</f>
        <v>7</v>
      </c>
      <c r="F319" s="9" t="n">
        <f aca="false">2*D319</f>
        <v>40194</v>
      </c>
      <c r="G319" s="9" t="n">
        <f aca="false">MOD(F319,10)</f>
        <v>4</v>
      </c>
      <c r="H319" s="9" t="n">
        <f aca="false">G319/2</f>
        <v>2</v>
      </c>
      <c r="I319" s="9" t="str">
        <f aca="false">IF(H319=0,"—",IF(H319=1,"unison (1:1)",IF(H319=2,"octave (2:1)",IF(H319=3,"fifth (3:2)",IF(H319=4,"fourth (4:3)","?")))))</f>
        <v>octave (2:1)</v>
      </c>
      <c r="J319" s="9" t="str">
        <f aca="false">IF(H319=0,"—",IF(H319=1,"ὁμώνυμον",IF(H319=2,"διὰ πασῶν",IF(H319=3,"διὰ πέντε",IF(H319=4,"διὰ τεσσάρων","?")))))</f>
        <v>διὰ πασῶν</v>
      </c>
      <c r="K319" s="10"/>
      <c r="L319" s="14"/>
      <c r="M319" s="13"/>
    </row>
    <row r="320" customFormat="false" ht="15.75" hidden="false" customHeight="true" outlineLevel="0" collapsed="false">
      <c r="A320" s="8" t="n">
        <f aca="false">A319+1</f>
        <v>318</v>
      </c>
      <c r="B320" s="9" t="n">
        <f aca="false">MOD(4*A320^2,10)</f>
        <v>6</v>
      </c>
      <c r="C320" s="9" t="n">
        <f aca="false">(26*B320-5*B320^2)/24</f>
        <v>-1</v>
      </c>
      <c r="D320" s="9" t="n">
        <f aca="false">(A320^2+4*C320)/5</f>
        <v>20224</v>
      </c>
      <c r="E320" s="9" t="n">
        <f aca="false">MOD(D320,10)</f>
        <v>4</v>
      </c>
      <c r="F320" s="9" t="n">
        <f aca="false">2*D320</f>
        <v>40448</v>
      </c>
      <c r="G320" s="9" t="n">
        <f aca="false">MOD(F320,10)</f>
        <v>8</v>
      </c>
      <c r="H320" s="9" t="n">
        <f aca="false">G320/2</f>
        <v>4</v>
      </c>
      <c r="I320" s="9" t="str">
        <f aca="false">IF(H320=0,"—",IF(H320=1,"unison (1:1)",IF(H320=2,"octave (2:1)",IF(H320=3,"fifth (3:2)",IF(H320=4,"fourth (4:3)","?")))))</f>
        <v>fourth (4:3)</v>
      </c>
      <c r="J320" s="9" t="str">
        <f aca="false">IF(H320=0,"—",IF(H320=1,"ὁμώνυμον",IF(H320=2,"διὰ πασῶν",IF(H320=3,"διὰ πέντε",IF(H320=4,"διὰ τεσσάρων","?")))))</f>
        <v>διὰ τεσσάρων</v>
      </c>
      <c r="K320" s="10"/>
      <c r="L320" s="14"/>
      <c r="M320" s="13"/>
    </row>
    <row r="321" customFormat="false" ht="15.75" hidden="false" customHeight="true" outlineLevel="0" collapsed="false">
      <c r="A321" s="8" t="n">
        <f aca="false">A320+1</f>
        <v>319</v>
      </c>
      <c r="B321" s="9" t="n">
        <f aca="false">MOD(4*A321^2,10)</f>
        <v>4</v>
      </c>
      <c r="C321" s="9" t="n">
        <f aca="false">(26*B321-5*B321^2)/24</f>
        <v>1</v>
      </c>
      <c r="D321" s="9" t="n">
        <f aca="false">(A321^2+4*C321)/5</f>
        <v>20353</v>
      </c>
      <c r="E321" s="9" t="n">
        <f aca="false">MOD(D321,10)</f>
        <v>3</v>
      </c>
      <c r="F321" s="9" t="n">
        <f aca="false">2*D321</f>
        <v>40706</v>
      </c>
      <c r="G321" s="9" t="n">
        <f aca="false">MOD(F321,10)</f>
        <v>6</v>
      </c>
      <c r="H321" s="9" t="n">
        <f aca="false">G321/2</f>
        <v>3</v>
      </c>
      <c r="I321" s="9" t="str">
        <f aca="false">IF(H321=0,"—",IF(H321=1,"unison (1:1)",IF(H321=2,"octave (2:1)",IF(H321=3,"fifth (3:2)",IF(H321=4,"fourth (4:3)","?")))))</f>
        <v>fifth (3:2)</v>
      </c>
      <c r="J321" s="9" t="str">
        <f aca="false">IF(H321=0,"—",IF(H321=1,"ὁμώνυμον",IF(H321=2,"διὰ πασῶν",IF(H321=3,"διὰ πέντε",IF(H321=4,"διὰ τεσσάρων","?")))))</f>
        <v>διὰ πέντε</v>
      </c>
      <c r="K321" s="10"/>
      <c r="L321" s="14"/>
      <c r="M321" s="13"/>
    </row>
    <row r="322" customFormat="false" ht="15.75" hidden="false" customHeight="true" outlineLevel="0" collapsed="false">
      <c r="A322" s="8" t="n">
        <f aca="false">A321+1</f>
        <v>320</v>
      </c>
      <c r="B322" s="9" t="n">
        <f aca="false">MOD(4*A322^2,10)</f>
        <v>0</v>
      </c>
      <c r="C322" s="9" t="n">
        <f aca="false">(26*B322-5*B322^2)/24</f>
        <v>0</v>
      </c>
      <c r="D322" s="9" t="n">
        <f aca="false">(A322^2+4*C322)/5</f>
        <v>20480</v>
      </c>
      <c r="E322" s="9" t="n">
        <f aca="false">MOD(D322,10)</f>
        <v>0</v>
      </c>
      <c r="F322" s="9" t="n">
        <f aca="false">2*D322</f>
        <v>40960</v>
      </c>
      <c r="G322" s="9" t="n">
        <f aca="false">MOD(F322,10)</f>
        <v>0</v>
      </c>
      <c r="H322" s="9" t="n">
        <f aca="false">G322/2</f>
        <v>0</v>
      </c>
      <c r="I322" s="9" t="str">
        <f aca="false">IF(H322=0,"—",IF(H322=1,"unison (1:1)",IF(H322=2,"octave (2:1)",IF(H322=3,"fifth (3:2)",IF(H322=4,"fourth (4:3)","?")))))</f>
        <v>—</v>
      </c>
      <c r="J322" s="9" t="str">
        <f aca="false">IF(H322=0,"—",IF(H322=1,"ὁμώνυμον",IF(H322=2,"διὰ πασῶν",IF(H322=3,"διὰ πέντε",IF(H322=4,"διὰ τεσσάρων","?")))))</f>
        <v>—</v>
      </c>
      <c r="K322" s="10"/>
      <c r="L322" s="14"/>
      <c r="M322" s="13"/>
    </row>
    <row r="323" customFormat="false" ht="15.75" hidden="false" customHeight="true" outlineLevel="0" collapsed="false">
      <c r="A323" s="8" t="n">
        <f aca="false">A322+1</f>
        <v>321</v>
      </c>
      <c r="B323" s="9" t="n">
        <f aca="false">MOD(4*A323^2,10)</f>
        <v>4</v>
      </c>
      <c r="C323" s="9" t="n">
        <f aca="false">(26*B323-5*B323^2)/24</f>
        <v>1</v>
      </c>
      <c r="D323" s="9" t="n">
        <f aca="false">(A323^2+4*C323)/5</f>
        <v>20609</v>
      </c>
      <c r="E323" s="9" t="n">
        <f aca="false">MOD(D323,10)</f>
        <v>9</v>
      </c>
      <c r="F323" s="9" t="n">
        <f aca="false">2*D323</f>
        <v>41218</v>
      </c>
      <c r="G323" s="9" t="n">
        <f aca="false">MOD(F323,10)</f>
        <v>8</v>
      </c>
      <c r="H323" s="9" t="n">
        <f aca="false">G323/2</f>
        <v>4</v>
      </c>
      <c r="I323" s="9" t="str">
        <f aca="false">IF(H323=0,"—",IF(H323=1,"unison (1:1)",IF(H323=2,"octave (2:1)",IF(H323=3,"fifth (3:2)",IF(H323=4,"fourth (4:3)","?")))))</f>
        <v>fourth (4:3)</v>
      </c>
      <c r="J323" s="9" t="str">
        <f aca="false">IF(H323=0,"—",IF(H323=1,"ὁμώνυμον",IF(H323=2,"διὰ πασῶν",IF(H323=3,"διὰ πέντε",IF(H323=4,"διὰ τεσσάρων","?")))))</f>
        <v>διὰ τεσσάρων</v>
      </c>
      <c r="K323" s="10"/>
      <c r="L323" s="14"/>
      <c r="M323" s="13"/>
    </row>
    <row r="324" customFormat="false" ht="15.75" hidden="false" customHeight="true" outlineLevel="0" collapsed="false">
      <c r="A324" s="8" t="n">
        <f aca="false">A323+1</f>
        <v>322</v>
      </c>
      <c r="B324" s="9" t="n">
        <f aca="false">MOD(4*A324^2,10)</f>
        <v>6</v>
      </c>
      <c r="C324" s="9" t="n">
        <f aca="false">(26*B324-5*B324^2)/24</f>
        <v>-1</v>
      </c>
      <c r="D324" s="9" t="n">
        <f aca="false">(A324^2+4*C324)/5</f>
        <v>20736</v>
      </c>
      <c r="E324" s="9" t="n">
        <f aca="false">MOD(D324,10)</f>
        <v>6</v>
      </c>
      <c r="F324" s="9" t="n">
        <f aca="false">2*D324</f>
        <v>41472</v>
      </c>
      <c r="G324" s="9" t="n">
        <f aca="false">MOD(F324,10)</f>
        <v>2</v>
      </c>
      <c r="H324" s="9" t="n">
        <f aca="false">G324/2</f>
        <v>1</v>
      </c>
      <c r="I324" s="9" t="str">
        <f aca="false">IF(H324=0,"—",IF(H324=1,"unison (1:1)",IF(H324=2,"octave (2:1)",IF(H324=3,"fifth (3:2)",IF(H324=4,"fourth (4:3)","?")))))</f>
        <v>unison (1:1)</v>
      </c>
      <c r="J324" s="9" t="str">
        <f aca="false">IF(H324=0,"—",IF(H324=1,"ὁμώνυμον",IF(H324=2,"διὰ πασῶν",IF(H324=3,"διὰ πέντε",IF(H324=4,"διὰ τεσσάρων","?")))))</f>
        <v>ὁμώνυμον</v>
      </c>
      <c r="K324" s="10"/>
      <c r="L324" s="14"/>
      <c r="M324" s="13"/>
    </row>
    <row r="325" customFormat="false" ht="15.75" hidden="false" customHeight="true" outlineLevel="0" collapsed="false">
      <c r="A325" s="8" t="n">
        <f aca="false">A324+1</f>
        <v>323</v>
      </c>
      <c r="B325" s="9" t="n">
        <f aca="false">MOD(4*A325^2,10)</f>
        <v>6</v>
      </c>
      <c r="C325" s="9" t="n">
        <f aca="false">(26*B325-5*B325^2)/24</f>
        <v>-1</v>
      </c>
      <c r="D325" s="9" t="n">
        <f aca="false">(A325^2+4*C325)/5</f>
        <v>20865</v>
      </c>
      <c r="E325" s="9" t="n">
        <f aca="false">MOD(D325,10)</f>
        <v>5</v>
      </c>
      <c r="F325" s="9" t="n">
        <f aca="false">2*D325</f>
        <v>41730</v>
      </c>
      <c r="G325" s="9" t="n">
        <f aca="false">MOD(F325,10)</f>
        <v>0</v>
      </c>
      <c r="H325" s="9" t="n">
        <f aca="false">G325/2</f>
        <v>0</v>
      </c>
      <c r="I325" s="9" t="str">
        <f aca="false">IF(H325=0,"—",IF(H325=1,"unison (1:1)",IF(H325=2,"octave (2:1)",IF(H325=3,"fifth (3:2)",IF(H325=4,"fourth (4:3)","?")))))</f>
        <v>—</v>
      </c>
      <c r="J325" s="9" t="str">
        <f aca="false">IF(H325=0,"—",IF(H325=1,"ὁμώνυμον",IF(H325=2,"διὰ πασῶν",IF(H325=3,"διὰ πέντε",IF(H325=4,"διὰ τεσσάρων","?")))))</f>
        <v>—</v>
      </c>
      <c r="K325" s="10"/>
      <c r="L325" s="14"/>
      <c r="M325" s="13"/>
    </row>
    <row r="326" customFormat="false" ht="15.75" hidden="false" customHeight="true" outlineLevel="0" collapsed="false">
      <c r="A326" s="8" t="n">
        <f aca="false">A325+1</f>
        <v>324</v>
      </c>
      <c r="B326" s="9" t="n">
        <f aca="false">MOD(4*A326^2,10)</f>
        <v>4</v>
      </c>
      <c r="C326" s="9" t="n">
        <f aca="false">(26*B326-5*B326^2)/24</f>
        <v>1</v>
      </c>
      <c r="D326" s="9" t="n">
        <f aca="false">(A326^2+4*C326)/5</f>
        <v>20996</v>
      </c>
      <c r="E326" s="9" t="n">
        <f aca="false">MOD(D326,10)</f>
        <v>6</v>
      </c>
      <c r="F326" s="9" t="n">
        <f aca="false">2*D326</f>
        <v>41992</v>
      </c>
      <c r="G326" s="9" t="n">
        <f aca="false">MOD(F326,10)</f>
        <v>2</v>
      </c>
      <c r="H326" s="9" t="n">
        <f aca="false">G326/2</f>
        <v>1</v>
      </c>
      <c r="I326" s="9" t="str">
        <f aca="false">IF(H326=0,"—",IF(H326=1,"unison (1:1)",IF(H326=2,"octave (2:1)",IF(H326=3,"fifth (3:2)",IF(H326=4,"fourth (4:3)","?")))))</f>
        <v>unison (1:1)</v>
      </c>
      <c r="J326" s="9" t="str">
        <f aca="false">IF(H326=0,"—",IF(H326=1,"ὁμώνυμον",IF(H326=2,"διὰ πασῶν",IF(H326=3,"διὰ πέντε",IF(H326=4,"διὰ τεσσάρων","?")))))</f>
        <v>ὁμώνυμον</v>
      </c>
      <c r="K326" s="10"/>
      <c r="L326" s="14"/>
      <c r="M326" s="13"/>
    </row>
    <row r="327" customFormat="false" ht="15.75" hidden="false" customHeight="true" outlineLevel="0" collapsed="false">
      <c r="A327" s="8" t="n">
        <f aca="false">A326+1</f>
        <v>325</v>
      </c>
      <c r="B327" s="9" t="n">
        <f aca="false">MOD(4*A327^2,10)</f>
        <v>0</v>
      </c>
      <c r="C327" s="9" t="n">
        <f aca="false">(26*B327-5*B327^2)/24</f>
        <v>0</v>
      </c>
      <c r="D327" s="9" t="n">
        <f aca="false">(A327^2+4*C327)/5</f>
        <v>21125</v>
      </c>
      <c r="E327" s="9" t="n">
        <f aca="false">MOD(D327,10)</f>
        <v>5</v>
      </c>
      <c r="F327" s="9" t="n">
        <f aca="false">2*D327</f>
        <v>42250</v>
      </c>
      <c r="G327" s="9" t="n">
        <f aca="false">MOD(F327,10)</f>
        <v>0</v>
      </c>
      <c r="H327" s="9" t="n">
        <f aca="false">G327/2</f>
        <v>0</v>
      </c>
      <c r="I327" s="9" t="str">
        <f aca="false">IF(H327=0,"—",IF(H327=1,"unison (1:1)",IF(H327=2,"octave (2:1)",IF(H327=3,"fifth (3:2)",IF(H327=4,"fourth (4:3)","?")))))</f>
        <v>—</v>
      </c>
      <c r="J327" s="9" t="str">
        <f aca="false">IF(H327=0,"—",IF(H327=1,"ὁμώνυμον",IF(H327=2,"διὰ πασῶν",IF(H327=3,"διὰ πέντε",IF(H327=4,"διὰ τεσσάρων","?")))))</f>
        <v>—</v>
      </c>
      <c r="K327" s="10"/>
      <c r="L327" s="14"/>
      <c r="M327" s="13"/>
    </row>
    <row r="328" customFormat="false" ht="15.75" hidden="false" customHeight="true" outlineLevel="0" collapsed="false">
      <c r="A328" s="8" t="n">
        <f aca="false">A327+1</f>
        <v>326</v>
      </c>
      <c r="B328" s="9" t="n">
        <f aca="false">MOD(4*A328^2,10)</f>
        <v>4</v>
      </c>
      <c r="C328" s="9" t="n">
        <f aca="false">(26*B328-5*B328^2)/24</f>
        <v>1</v>
      </c>
      <c r="D328" s="9" t="n">
        <f aca="false">(A328^2+4*C328)/5</f>
        <v>21256</v>
      </c>
      <c r="E328" s="9" t="n">
        <f aca="false">MOD(D328,10)</f>
        <v>6</v>
      </c>
      <c r="F328" s="9" t="n">
        <f aca="false">2*D328</f>
        <v>42512</v>
      </c>
      <c r="G328" s="9" t="n">
        <f aca="false">MOD(F328,10)</f>
        <v>2</v>
      </c>
      <c r="H328" s="9" t="n">
        <f aca="false">G328/2</f>
        <v>1</v>
      </c>
      <c r="I328" s="9" t="str">
        <f aca="false">IF(H328=0,"—",IF(H328=1,"unison (1:1)",IF(H328=2,"octave (2:1)",IF(H328=3,"fifth (3:2)",IF(H328=4,"fourth (4:3)","?")))))</f>
        <v>unison (1:1)</v>
      </c>
      <c r="J328" s="9" t="str">
        <f aca="false">IF(H328=0,"—",IF(H328=1,"ὁμώνυμον",IF(H328=2,"διὰ πασῶν",IF(H328=3,"διὰ πέντε",IF(H328=4,"διὰ τεσσάρων","?")))))</f>
        <v>ὁμώνυμον</v>
      </c>
      <c r="K328" s="10"/>
      <c r="L328" s="14"/>
      <c r="M328" s="13"/>
    </row>
    <row r="329" customFormat="false" ht="15.75" hidden="false" customHeight="true" outlineLevel="0" collapsed="false">
      <c r="A329" s="8" t="n">
        <f aca="false">A328+1</f>
        <v>327</v>
      </c>
      <c r="B329" s="9" t="n">
        <f aca="false">MOD(4*A329^2,10)</f>
        <v>6</v>
      </c>
      <c r="C329" s="9" t="n">
        <f aca="false">(26*B329-5*B329^2)/24</f>
        <v>-1</v>
      </c>
      <c r="D329" s="9" t="n">
        <f aca="false">(A329^2+4*C329)/5</f>
        <v>21385</v>
      </c>
      <c r="E329" s="9" t="n">
        <f aca="false">MOD(D329,10)</f>
        <v>5</v>
      </c>
      <c r="F329" s="9" t="n">
        <f aca="false">2*D329</f>
        <v>42770</v>
      </c>
      <c r="G329" s="9" t="n">
        <f aca="false">MOD(F329,10)</f>
        <v>0</v>
      </c>
      <c r="H329" s="9" t="n">
        <f aca="false">G329/2</f>
        <v>0</v>
      </c>
      <c r="I329" s="9" t="str">
        <f aca="false">IF(H329=0,"—",IF(H329=1,"unison (1:1)",IF(H329=2,"octave (2:1)",IF(H329=3,"fifth (3:2)",IF(H329=4,"fourth (4:3)","?")))))</f>
        <v>—</v>
      </c>
      <c r="J329" s="9" t="str">
        <f aca="false">IF(H329=0,"—",IF(H329=1,"ὁμώνυμον",IF(H329=2,"διὰ πασῶν",IF(H329=3,"διὰ πέντε",IF(H329=4,"διὰ τεσσάρων","?")))))</f>
        <v>—</v>
      </c>
      <c r="K329" s="10"/>
      <c r="L329" s="14"/>
      <c r="M329" s="13"/>
    </row>
    <row r="330" customFormat="false" ht="15.75" hidden="false" customHeight="true" outlineLevel="0" collapsed="false">
      <c r="A330" s="8" t="n">
        <f aca="false">A329+1</f>
        <v>328</v>
      </c>
      <c r="B330" s="9" t="n">
        <f aca="false">MOD(4*A330^2,10)</f>
        <v>6</v>
      </c>
      <c r="C330" s="9" t="n">
        <f aca="false">(26*B330-5*B330^2)/24</f>
        <v>-1</v>
      </c>
      <c r="D330" s="9" t="n">
        <f aca="false">(A330^2+4*C330)/5</f>
        <v>21516</v>
      </c>
      <c r="E330" s="9" t="n">
        <f aca="false">MOD(D330,10)</f>
        <v>6</v>
      </c>
      <c r="F330" s="9" t="n">
        <f aca="false">2*D330</f>
        <v>43032</v>
      </c>
      <c r="G330" s="9" t="n">
        <f aca="false">MOD(F330,10)</f>
        <v>2</v>
      </c>
      <c r="H330" s="9" t="n">
        <f aca="false">G330/2</f>
        <v>1</v>
      </c>
      <c r="I330" s="9" t="str">
        <f aca="false">IF(H330=0,"—",IF(H330=1,"unison (1:1)",IF(H330=2,"octave (2:1)",IF(H330=3,"fifth (3:2)",IF(H330=4,"fourth (4:3)","?")))))</f>
        <v>unison (1:1)</v>
      </c>
      <c r="J330" s="9" t="str">
        <f aca="false">IF(H330=0,"—",IF(H330=1,"ὁμώνυμον",IF(H330=2,"διὰ πασῶν",IF(H330=3,"διὰ πέντε",IF(H330=4,"διὰ τεσσάρων","?")))))</f>
        <v>ὁμώνυμον</v>
      </c>
      <c r="K330" s="10"/>
      <c r="L330" s="14"/>
      <c r="M330" s="13"/>
    </row>
    <row r="331" customFormat="false" ht="15.75" hidden="false" customHeight="true" outlineLevel="0" collapsed="false">
      <c r="A331" s="8" t="n">
        <f aca="false">A330+1</f>
        <v>329</v>
      </c>
      <c r="B331" s="9" t="n">
        <f aca="false">MOD(4*A331^2,10)</f>
        <v>4</v>
      </c>
      <c r="C331" s="9" t="n">
        <f aca="false">(26*B331-5*B331^2)/24</f>
        <v>1</v>
      </c>
      <c r="D331" s="9" t="n">
        <f aca="false">(A331^2+4*C331)/5</f>
        <v>21649</v>
      </c>
      <c r="E331" s="9" t="n">
        <f aca="false">MOD(D331,10)</f>
        <v>9</v>
      </c>
      <c r="F331" s="9" t="n">
        <f aca="false">2*D331</f>
        <v>43298</v>
      </c>
      <c r="G331" s="9" t="n">
        <f aca="false">MOD(F331,10)</f>
        <v>8</v>
      </c>
      <c r="H331" s="9" t="n">
        <f aca="false">G331/2</f>
        <v>4</v>
      </c>
      <c r="I331" s="9" t="str">
        <f aca="false">IF(H331=0,"—",IF(H331=1,"unison (1:1)",IF(H331=2,"octave (2:1)",IF(H331=3,"fifth (3:2)",IF(H331=4,"fourth (4:3)","?")))))</f>
        <v>fourth (4:3)</v>
      </c>
      <c r="J331" s="9" t="str">
        <f aca="false">IF(H331=0,"—",IF(H331=1,"ὁμώνυμον",IF(H331=2,"διὰ πασῶν",IF(H331=3,"διὰ πέντε",IF(H331=4,"διὰ τεσσάρων","?")))))</f>
        <v>διὰ τεσσάρων</v>
      </c>
      <c r="K331" s="10"/>
      <c r="L331" s="14"/>
      <c r="M331" s="13"/>
    </row>
    <row r="332" customFormat="false" ht="15.75" hidden="false" customHeight="true" outlineLevel="0" collapsed="false">
      <c r="A332" s="8" t="n">
        <f aca="false">A331+1</f>
        <v>330</v>
      </c>
      <c r="B332" s="9" t="n">
        <f aca="false">MOD(4*A332^2,10)</f>
        <v>0</v>
      </c>
      <c r="C332" s="9" t="n">
        <f aca="false">(26*B332-5*B332^2)/24</f>
        <v>0</v>
      </c>
      <c r="D332" s="9" t="n">
        <f aca="false">(A332^2+4*C332)/5</f>
        <v>21780</v>
      </c>
      <c r="E332" s="9" t="n">
        <f aca="false">MOD(D332,10)</f>
        <v>0</v>
      </c>
      <c r="F332" s="9" t="n">
        <f aca="false">2*D332</f>
        <v>43560</v>
      </c>
      <c r="G332" s="9" t="n">
        <f aca="false">MOD(F332,10)</f>
        <v>0</v>
      </c>
      <c r="H332" s="9" t="n">
        <f aca="false">G332/2</f>
        <v>0</v>
      </c>
      <c r="I332" s="9" t="str">
        <f aca="false">IF(H332=0,"—",IF(H332=1,"unison (1:1)",IF(H332=2,"octave (2:1)",IF(H332=3,"fifth (3:2)",IF(H332=4,"fourth (4:3)","?")))))</f>
        <v>—</v>
      </c>
      <c r="J332" s="9" t="str">
        <f aca="false">IF(H332=0,"—",IF(H332=1,"ὁμώνυμον",IF(H332=2,"διὰ πασῶν",IF(H332=3,"διὰ πέντε",IF(H332=4,"διὰ τεσσάρων","?")))))</f>
        <v>—</v>
      </c>
      <c r="K332" s="10"/>
      <c r="L332" s="14"/>
      <c r="M332" s="13"/>
    </row>
    <row r="333" customFormat="false" ht="15.75" hidden="false" customHeight="true" outlineLevel="0" collapsed="false">
      <c r="A333" s="8" t="n">
        <f aca="false">A332+1</f>
        <v>331</v>
      </c>
      <c r="B333" s="9" t="n">
        <f aca="false">MOD(4*A333^2,10)</f>
        <v>4</v>
      </c>
      <c r="C333" s="9" t="n">
        <f aca="false">(26*B333-5*B333^2)/24</f>
        <v>1</v>
      </c>
      <c r="D333" s="9" t="n">
        <f aca="false">(A333^2+4*C333)/5</f>
        <v>21913</v>
      </c>
      <c r="E333" s="9" t="n">
        <f aca="false">MOD(D333,10)</f>
        <v>3</v>
      </c>
      <c r="F333" s="9" t="n">
        <f aca="false">2*D333</f>
        <v>43826</v>
      </c>
      <c r="G333" s="9" t="n">
        <f aca="false">MOD(F333,10)</f>
        <v>6</v>
      </c>
      <c r="H333" s="9" t="n">
        <f aca="false">G333/2</f>
        <v>3</v>
      </c>
      <c r="I333" s="9" t="str">
        <f aca="false">IF(H333=0,"—",IF(H333=1,"unison (1:1)",IF(H333=2,"octave (2:1)",IF(H333=3,"fifth (3:2)",IF(H333=4,"fourth (4:3)","?")))))</f>
        <v>fifth (3:2)</v>
      </c>
      <c r="J333" s="9" t="str">
        <f aca="false">IF(H333=0,"—",IF(H333=1,"ὁμώνυμον",IF(H333=2,"διὰ πασῶν",IF(H333=3,"διὰ πέντε",IF(H333=4,"διὰ τεσσάρων","?")))))</f>
        <v>διὰ πέντε</v>
      </c>
      <c r="K333" s="10"/>
      <c r="L333" s="14"/>
      <c r="M333" s="13"/>
    </row>
    <row r="334" customFormat="false" ht="15.75" hidden="false" customHeight="true" outlineLevel="0" collapsed="false">
      <c r="A334" s="8" t="n">
        <f aca="false">A333+1</f>
        <v>332</v>
      </c>
      <c r="B334" s="9" t="n">
        <f aca="false">MOD(4*A334^2,10)</f>
        <v>6</v>
      </c>
      <c r="C334" s="9" t="n">
        <f aca="false">(26*B334-5*B334^2)/24</f>
        <v>-1</v>
      </c>
      <c r="D334" s="9" t="n">
        <f aca="false">(A334^2+4*C334)/5</f>
        <v>22044</v>
      </c>
      <c r="E334" s="9" t="n">
        <f aca="false">MOD(D334,10)</f>
        <v>4</v>
      </c>
      <c r="F334" s="9" t="n">
        <f aca="false">2*D334</f>
        <v>44088</v>
      </c>
      <c r="G334" s="9" t="n">
        <f aca="false">MOD(F334,10)</f>
        <v>8</v>
      </c>
      <c r="H334" s="9" t="n">
        <f aca="false">G334/2</f>
        <v>4</v>
      </c>
      <c r="I334" s="9" t="str">
        <f aca="false">IF(H334=0,"—",IF(H334=1,"unison (1:1)",IF(H334=2,"octave (2:1)",IF(H334=3,"fifth (3:2)",IF(H334=4,"fourth (4:3)","?")))))</f>
        <v>fourth (4:3)</v>
      </c>
      <c r="J334" s="9" t="str">
        <f aca="false">IF(H334=0,"—",IF(H334=1,"ὁμώνυμον",IF(H334=2,"διὰ πασῶν",IF(H334=3,"διὰ πέντε",IF(H334=4,"διὰ τεσσάρων","?")))))</f>
        <v>διὰ τεσσάρων</v>
      </c>
      <c r="K334" s="10"/>
      <c r="L334" s="14"/>
      <c r="M334" s="13"/>
    </row>
    <row r="335" customFormat="false" ht="15.75" hidden="false" customHeight="true" outlineLevel="0" collapsed="false">
      <c r="A335" s="8" t="n">
        <f aca="false">A334+1</f>
        <v>333</v>
      </c>
      <c r="B335" s="9" t="n">
        <f aca="false">MOD(4*A335^2,10)</f>
        <v>6</v>
      </c>
      <c r="C335" s="9" t="n">
        <f aca="false">(26*B335-5*B335^2)/24</f>
        <v>-1</v>
      </c>
      <c r="D335" s="9" t="n">
        <f aca="false">(A335^2+4*C335)/5</f>
        <v>22177</v>
      </c>
      <c r="E335" s="9" t="n">
        <f aca="false">MOD(D335,10)</f>
        <v>7</v>
      </c>
      <c r="F335" s="9" t="n">
        <f aca="false">2*D335</f>
        <v>44354</v>
      </c>
      <c r="G335" s="9" t="n">
        <f aca="false">MOD(F335,10)</f>
        <v>4</v>
      </c>
      <c r="H335" s="9" t="n">
        <f aca="false">G335/2</f>
        <v>2</v>
      </c>
      <c r="I335" s="9" t="str">
        <f aca="false">IF(H335=0,"—",IF(H335=1,"unison (1:1)",IF(H335=2,"octave (2:1)",IF(H335=3,"fifth (3:2)",IF(H335=4,"fourth (4:3)","?")))))</f>
        <v>octave (2:1)</v>
      </c>
      <c r="J335" s="9" t="str">
        <f aca="false">IF(H335=0,"—",IF(H335=1,"ὁμώνυμον",IF(H335=2,"διὰ πασῶν",IF(H335=3,"διὰ πέντε",IF(H335=4,"διὰ τεσσάρων","?")))))</f>
        <v>διὰ πασῶν</v>
      </c>
      <c r="K335" s="10"/>
      <c r="L335" s="14"/>
      <c r="M335" s="13"/>
    </row>
    <row r="336" customFormat="false" ht="15.75" hidden="false" customHeight="true" outlineLevel="0" collapsed="false">
      <c r="A336" s="8" t="n">
        <f aca="false">A335+1</f>
        <v>334</v>
      </c>
      <c r="B336" s="9" t="n">
        <f aca="false">MOD(4*A336^2,10)</f>
        <v>4</v>
      </c>
      <c r="C336" s="9" t="n">
        <f aca="false">(26*B336-5*B336^2)/24</f>
        <v>1</v>
      </c>
      <c r="D336" s="9" t="n">
        <f aca="false">(A336^2+4*C336)/5</f>
        <v>22312</v>
      </c>
      <c r="E336" s="9" t="n">
        <f aca="false">MOD(D336,10)</f>
        <v>2</v>
      </c>
      <c r="F336" s="9" t="n">
        <f aca="false">2*D336</f>
        <v>44624</v>
      </c>
      <c r="G336" s="9" t="n">
        <f aca="false">MOD(F336,10)</f>
        <v>4</v>
      </c>
      <c r="H336" s="9" t="n">
        <f aca="false">G336/2</f>
        <v>2</v>
      </c>
      <c r="I336" s="9" t="str">
        <f aca="false">IF(H336=0,"—",IF(H336=1,"unison (1:1)",IF(H336=2,"octave (2:1)",IF(H336=3,"fifth (3:2)",IF(H336=4,"fourth (4:3)","?")))))</f>
        <v>octave (2:1)</v>
      </c>
      <c r="J336" s="9" t="str">
        <f aca="false">IF(H336=0,"—",IF(H336=1,"ὁμώνυμον",IF(H336=2,"διὰ πασῶν",IF(H336=3,"διὰ πέντε",IF(H336=4,"διὰ τεσσάρων","?")))))</f>
        <v>διὰ πασῶν</v>
      </c>
      <c r="K336" s="10"/>
      <c r="L336" s="14"/>
      <c r="M336" s="13"/>
    </row>
    <row r="337" customFormat="false" ht="15.75" hidden="false" customHeight="true" outlineLevel="0" collapsed="false">
      <c r="A337" s="8" t="n">
        <f aca="false">A336+1</f>
        <v>335</v>
      </c>
      <c r="B337" s="9" t="n">
        <f aca="false">MOD(4*A337^2,10)</f>
        <v>0</v>
      </c>
      <c r="C337" s="9" t="n">
        <f aca="false">(26*B337-5*B337^2)/24</f>
        <v>0</v>
      </c>
      <c r="D337" s="9" t="n">
        <f aca="false">(A337^2+4*C337)/5</f>
        <v>22445</v>
      </c>
      <c r="E337" s="9" t="n">
        <f aca="false">MOD(D337,10)</f>
        <v>5</v>
      </c>
      <c r="F337" s="9" t="n">
        <f aca="false">2*D337</f>
        <v>44890</v>
      </c>
      <c r="G337" s="9" t="n">
        <f aca="false">MOD(F337,10)</f>
        <v>0</v>
      </c>
      <c r="H337" s="9" t="n">
        <f aca="false">G337/2</f>
        <v>0</v>
      </c>
      <c r="I337" s="9" t="str">
        <f aca="false">IF(H337=0,"—",IF(H337=1,"unison (1:1)",IF(H337=2,"octave (2:1)",IF(H337=3,"fifth (3:2)",IF(H337=4,"fourth (4:3)","?")))))</f>
        <v>—</v>
      </c>
      <c r="J337" s="9" t="str">
        <f aca="false">IF(H337=0,"—",IF(H337=1,"ὁμώνυμον",IF(H337=2,"διὰ πασῶν",IF(H337=3,"διὰ πέντε",IF(H337=4,"διὰ τεσσάρων","?")))))</f>
        <v>—</v>
      </c>
      <c r="K337" s="10"/>
      <c r="L337" s="14"/>
      <c r="M337" s="13"/>
    </row>
    <row r="338" customFormat="false" ht="15.75" hidden="false" customHeight="true" outlineLevel="0" collapsed="false">
      <c r="A338" s="8" t="n">
        <f aca="false">A337+1</f>
        <v>336</v>
      </c>
      <c r="B338" s="9" t="n">
        <f aca="false">MOD(4*A338^2,10)</f>
        <v>4</v>
      </c>
      <c r="C338" s="9" t="n">
        <f aca="false">(26*B338-5*B338^2)/24</f>
        <v>1</v>
      </c>
      <c r="D338" s="9" t="n">
        <f aca="false">(A338^2+4*C338)/5</f>
        <v>22580</v>
      </c>
      <c r="E338" s="9" t="n">
        <f aca="false">MOD(D338,10)</f>
        <v>0</v>
      </c>
      <c r="F338" s="9" t="n">
        <f aca="false">2*D338</f>
        <v>45160</v>
      </c>
      <c r="G338" s="9" t="n">
        <f aca="false">MOD(F338,10)</f>
        <v>0</v>
      </c>
      <c r="H338" s="9" t="n">
        <f aca="false">G338/2</f>
        <v>0</v>
      </c>
      <c r="I338" s="9" t="str">
        <f aca="false">IF(H338=0,"—",IF(H338=1,"unison (1:1)",IF(H338=2,"octave (2:1)",IF(H338=3,"fifth (3:2)",IF(H338=4,"fourth (4:3)","?")))))</f>
        <v>—</v>
      </c>
      <c r="J338" s="9" t="str">
        <f aca="false">IF(H338=0,"—",IF(H338=1,"ὁμώνυμον",IF(H338=2,"διὰ πασῶν",IF(H338=3,"διὰ πέντε",IF(H338=4,"διὰ τεσσάρων","?")))))</f>
        <v>—</v>
      </c>
      <c r="K338" s="10"/>
      <c r="L338" s="14"/>
      <c r="M338" s="13"/>
    </row>
    <row r="339" customFormat="false" ht="15.75" hidden="false" customHeight="true" outlineLevel="0" collapsed="false">
      <c r="A339" s="8" t="n">
        <f aca="false">A338+1</f>
        <v>337</v>
      </c>
      <c r="B339" s="9" t="n">
        <f aca="false">MOD(4*A339^2,10)</f>
        <v>6</v>
      </c>
      <c r="C339" s="9" t="n">
        <f aca="false">(26*B339-5*B339^2)/24</f>
        <v>-1</v>
      </c>
      <c r="D339" s="9" t="n">
        <f aca="false">(A339^2+4*C339)/5</f>
        <v>22713</v>
      </c>
      <c r="E339" s="9" t="n">
        <f aca="false">MOD(D339,10)</f>
        <v>3</v>
      </c>
      <c r="F339" s="9" t="n">
        <f aca="false">2*D339</f>
        <v>45426</v>
      </c>
      <c r="G339" s="9" t="n">
        <f aca="false">MOD(F339,10)</f>
        <v>6</v>
      </c>
      <c r="H339" s="9" t="n">
        <f aca="false">G339/2</f>
        <v>3</v>
      </c>
      <c r="I339" s="9" t="str">
        <f aca="false">IF(H339=0,"—",IF(H339=1,"unison (1:1)",IF(H339=2,"octave (2:1)",IF(H339=3,"fifth (3:2)",IF(H339=4,"fourth (4:3)","?")))))</f>
        <v>fifth (3:2)</v>
      </c>
      <c r="J339" s="9" t="str">
        <f aca="false">IF(H339=0,"—",IF(H339=1,"ὁμώνυμον",IF(H339=2,"διὰ πασῶν",IF(H339=3,"διὰ πέντε",IF(H339=4,"διὰ τεσσάρων","?")))))</f>
        <v>διὰ πέντε</v>
      </c>
      <c r="K339" s="10"/>
      <c r="L339" s="14"/>
      <c r="M339" s="13"/>
    </row>
    <row r="340" customFormat="false" ht="15.75" hidden="false" customHeight="true" outlineLevel="0" collapsed="false">
      <c r="A340" s="8" t="n">
        <f aca="false">A339+1</f>
        <v>338</v>
      </c>
      <c r="B340" s="9" t="n">
        <f aca="false">MOD(4*A340^2,10)</f>
        <v>6</v>
      </c>
      <c r="C340" s="9" t="n">
        <f aca="false">(26*B340-5*B340^2)/24</f>
        <v>-1</v>
      </c>
      <c r="D340" s="9" t="n">
        <f aca="false">(A340^2+4*C340)/5</f>
        <v>22848</v>
      </c>
      <c r="E340" s="9" t="n">
        <f aca="false">MOD(D340,10)</f>
        <v>8</v>
      </c>
      <c r="F340" s="9" t="n">
        <f aca="false">2*D340</f>
        <v>45696</v>
      </c>
      <c r="G340" s="9" t="n">
        <f aca="false">MOD(F340,10)</f>
        <v>6</v>
      </c>
      <c r="H340" s="9" t="n">
        <f aca="false">G340/2</f>
        <v>3</v>
      </c>
      <c r="I340" s="9" t="str">
        <f aca="false">IF(H340=0,"—",IF(H340=1,"unison (1:1)",IF(H340=2,"octave (2:1)",IF(H340=3,"fifth (3:2)",IF(H340=4,"fourth (4:3)","?")))))</f>
        <v>fifth (3:2)</v>
      </c>
      <c r="J340" s="9" t="str">
        <f aca="false">IF(H340=0,"—",IF(H340=1,"ὁμώνυμον",IF(H340=2,"διὰ πασῶν",IF(H340=3,"διὰ πέντε",IF(H340=4,"διὰ τεσσάρων","?")))))</f>
        <v>διὰ πέντε</v>
      </c>
      <c r="K340" s="10"/>
      <c r="L340" s="14"/>
      <c r="M340" s="13"/>
    </row>
    <row r="341" customFormat="false" ht="15.75" hidden="false" customHeight="true" outlineLevel="0" collapsed="false">
      <c r="A341" s="8" t="n">
        <f aca="false">A340+1</f>
        <v>339</v>
      </c>
      <c r="B341" s="9" t="n">
        <f aca="false">MOD(4*A341^2,10)</f>
        <v>4</v>
      </c>
      <c r="C341" s="9" t="n">
        <f aca="false">(26*B341-5*B341^2)/24</f>
        <v>1</v>
      </c>
      <c r="D341" s="9" t="n">
        <f aca="false">(A341^2+4*C341)/5</f>
        <v>22985</v>
      </c>
      <c r="E341" s="9" t="n">
        <f aca="false">MOD(D341,10)</f>
        <v>5</v>
      </c>
      <c r="F341" s="9" t="n">
        <f aca="false">2*D341</f>
        <v>45970</v>
      </c>
      <c r="G341" s="9" t="n">
        <f aca="false">MOD(F341,10)</f>
        <v>0</v>
      </c>
      <c r="H341" s="9" t="n">
        <f aca="false">G341/2</f>
        <v>0</v>
      </c>
      <c r="I341" s="9" t="str">
        <f aca="false">IF(H341=0,"—",IF(H341=1,"unison (1:1)",IF(H341=2,"octave (2:1)",IF(H341=3,"fifth (3:2)",IF(H341=4,"fourth (4:3)","?")))))</f>
        <v>—</v>
      </c>
      <c r="J341" s="9" t="str">
        <f aca="false">IF(H341=0,"—",IF(H341=1,"ὁμώνυμον",IF(H341=2,"διὰ πασῶν",IF(H341=3,"διὰ πέντε",IF(H341=4,"διὰ τεσσάρων","?")))))</f>
        <v>—</v>
      </c>
      <c r="K341" s="10"/>
      <c r="L341" s="14"/>
      <c r="M341" s="13"/>
    </row>
    <row r="342" customFormat="false" ht="15.75" hidden="false" customHeight="true" outlineLevel="0" collapsed="false">
      <c r="A342" s="8" t="n">
        <f aca="false">A341+1</f>
        <v>340</v>
      </c>
      <c r="B342" s="9" t="n">
        <f aca="false">MOD(4*A342^2,10)</f>
        <v>0</v>
      </c>
      <c r="C342" s="9" t="n">
        <f aca="false">(26*B342-5*B342^2)/24</f>
        <v>0</v>
      </c>
      <c r="D342" s="9" t="n">
        <f aca="false">(A342^2+4*C342)/5</f>
        <v>23120</v>
      </c>
      <c r="E342" s="9" t="n">
        <f aca="false">MOD(D342,10)</f>
        <v>0</v>
      </c>
      <c r="F342" s="9" t="n">
        <f aca="false">2*D342</f>
        <v>46240</v>
      </c>
      <c r="G342" s="9" t="n">
        <f aca="false">MOD(F342,10)</f>
        <v>0</v>
      </c>
      <c r="H342" s="9" t="n">
        <f aca="false">G342/2</f>
        <v>0</v>
      </c>
      <c r="I342" s="9" t="str">
        <f aca="false">IF(H342=0,"—",IF(H342=1,"unison (1:1)",IF(H342=2,"octave (2:1)",IF(H342=3,"fifth (3:2)",IF(H342=4,"fourth (4:3)","?")))))</f>
        <v>—</v>
      </c>
      <c r="J342" s="9" t="str">
        <f aca="false">IF(H342=0,"—",IF(H342=1,"ὁμώνυμον",IF(H342=2,"διὰ πασῶν",IF(H342=3,"διὰ πέντε",IF(H342=4,"διὰ τεσσάρων","?")))))</f>
        <v>—</v>
      </c>
      <c r="K342" s="10"/>
      <c r="L342" s="14"/>
      <c r="M342" s="13"/>
    </row>
    <row r="343" customFormat="false" ht="15.75" hidden="false" customHeight="true" outlineLevel="0" collapsed="false">
      <c r="A343" s="8" t="n">
        <f aca="false">A342+1</f>
        <v>341</v>
      </c>
      <c r="B343" s="9" t="n">
        <f aca="false">MOD(4*A343^2,10)</f>
        <v>4</v>
      </c>
      <c r="C343" s="9" t="n">
        <f aca="false">(26*B343-5*B343^2)/24</f>
        <v>1</v>
      </c>
      <c r="D343" s="9" t="n">
        <f aca="false">(A343^2+4*C343)/5</f>
        <v>23257</v>
      </c>
      <c r="E343" s="9" t="n">
        <f aca="false">MOD(D343,10)</f>
        <v>7</v>
      </c>
      <c r="F343" s="9" t="n">
        <f aca="false">2*D343</f>
        <v>46514</v>
      </c>
      <c r="G343" s="9" t="n">
        <f aca="false">MOD(F343,10)</f>
        <v>4</v>
      </c>
      <c r="H343" s="9" t="n">
        <f aca="false">G343/2</f>
        <v>2</v>
      </c>
      <c r="I343" s="9" t="str">
        <f aca="false">IF(H343=0,"—",IF(H343=1,"unison (1:1)",IF(H343=2,"octave (2:1)",IF(H343=3,"fifth (3:2)",IF(H343=4,"fourth (4:3)","?")))))</f>
        <v>octave (2:1)</v>
      </c>
      <c r="J343" s="9" t="str">
        <f aca="false">IF(H343=0,"—",IF(H343=1,"ὁμώνυμον",IF(H343=2,"διὰ πασῶν",IF(H343=3,"διὰ πέντε",IF(H343=4,"διὰ τεσσάρων","?")))))</f>
        <v>διὰ πασῶν</v>
      </c>
      <c r="K343" s="10"/>
      <c r="L343" s="14"/>
      <c r="M343" s="13"/>
    </row>
    <row r="344" customFormat="false" ht="15.75" hidden="false" customHeight="true" outlineLevel="0" collapsed="false">
      <c r="A344" s="8" t="n">
        <f aca="false">A343+1</f>
        <v>342</v>
      </c>
      <c r="B344" s="9" t="n">
        <f aca="false">MOD(4*A344^2,10)</f>
        <v>6</v>
      </c>
      <c r="C344" s="9" t="n">
        <f aca="false">(26*B344-5*B344^2)/24</f>
        <v>-1</v>
      </c>
      <c r="D344" s="9" t="n">
        <f aca="false">(A344^2+4*C344)/5</f>
        <v>23392</v>
      </c>
      <c r="E344" s="9" t="n">
        <f aca="false">MOD(D344,10)</f>
        <v>2</v>
      </c>
      <c r="F344" s="9" t="n">
        <f aca="false">2*D344</f>
        <v>46784</v>
      </c>
      <c r="G344" s="9" t="n">
        <f aca="false">MOD(F344,10)</f>
        <v>4</v>
      </c>
      <c r="H344" s="9" t="n">
        <f aca="false">G344/2</f>
        <v>2</v>
      </c>
      <c r="I344" s="9" t="str">
        <f aca="false">IF(H344=0,"—",IF(H344=1,"unison (1:1)",IF(H344=2,"octave (2:1)",IF(H344=3,"fifth (3:2)",IF(H344=4,"fourth (4:3)","?")))))</f>
        <v>octave (2:1)</v>
      </c>
      <c r="J344" s="9" t="str">
        <f aca="false">IF(H344=0,"—",IF(H344=1,"ὁμώνυμον",IF(H344=2,"διὰ πασῶν",IF(H344=3,"διὰ πέντε",IF(H344=4,"διὰ τεσσάρων","?")))))</f>
        <v>διὰ πασῶν</v>
      </c>
      <c r="K344" s="10"/>
      <c r="L344" s="14"/>
      <c r="M344" s="13"/>
    </row>
    <row r="345" customFormat="false" ht="15.75" hidden="false" customHeight="true" outlineLevel="0" collapsed="false">
      <c r="A345" s="8" t="n">
        <f aca="false">A344+1</f>
        <v>343</v>
      </c>
      <c r="B345" s="9" t="n">
        <f aca="false">MOD(4*A345^2,10)</f>
        <v>6</v>
      </c>
      <c r="C345" s="9" t="n">
        <f aca="false">(26*B345-5*B345^2)/24</f>
        <v>-1</v>
      </c>
      <c r="D345" s="9" t="n">
        <f aca="false">(A345^2+4*C345)/5</f>
        <v>23529</v>
      </c>
      <c r="E345" s="9" t="n">
        <f aca="false">MOD(D345,10)</f>
        <v>9</v>
      </c>
      <c r="F345" s="9" t="n">
        <f aca="false">2*D345</f>
        <v>47058</v>
      </c>
      <c r="G345" s="9" t="n">
        <f aca="false">MOD(F345,10)</f>
        <v>8</v>
      </c>
      <c r="H345" s="9" t="n">
        <f aca="false">G345/2</f>
        <v>4</v>
      </c>
      <c r="I345" s="9" t="str">
        <f aca="false">IF(H345=0,"—",IF(H345=1,"unison (1:1)",IF(H345=2,"octave (2:1)",IF(H345=3,"fifth (3:2)",IF(H345=4,"fourth (4:3)","?")))))</f>
        <v>fourth (4:3)</v>
      </c>
      <c r="J345" s="9" t="str">
        <f aca="false">IF(H345=0,"—",IF(H345=1,"ὁμώνυμον",IF(H345=2,"διὰ πασῶν",IF(H345=3,"διὰ πέντε",IF(H345=4,"διὰ τεσσάρων","?")))))</f>
        <v>διὰ τεσσάρων</v>
      </c>
      <c r="K345" s="10"/>
      <c r="L345" s="14"/>
      <c r="M345" s="13"/>
    </row>
    <row r="346" customFormat="false" ht="15.75" hidden="false" customHeight="true" outlineLevel="0" collapsed="false">
      <c r="A346" s="8" t="n">
        <f aca="false">A345+1</f>
        <v>344</v>
      </c>
      <c r="B346" s="9" t="n">
        <f aca="false">MOD(4*A346^2,10)</f>
        <v>4</v>
      </c>
      <c r="C346" s="9" t="n">
        <f aca="false">(26*B346-5*B346^2)/24</f>
        <v>1</v>
      </c>
      <c r="D346" s="9" t="n">
        <f aca="false">(A346^2+4*C346)/5</f>
        <v>23668</v>
      </c>
      <c r="E346" s="9" t="n">
        <f aca="false">MOD(D346,10)</f>
        <v>8</v>
      </c>
      <c r="F346" s="9" t="n">
        <f aca="false">2*D346</f>
        <v>47336</v>
      </c>
      <c r="G346" s="9" t="n">
        <f aca="false">MOD(F346,10)</f>
        <v>6</v>
      </c>
      <c r="H346" s="9" t="n">
        <f aca="false">G346/2</f>
        <v>3</v>
      </c>
      <c r="I346" s="9" t="str">
        <f aca="false">IF(H346=0,"—",IF(H346=1,"unison (1:1)",IF(H346=2,"octave (2:1)",IF(H346=3,"fifth (3:2)",IF(H346=4,"fourth (4:3)","?")))))</f>
        <v>fifth (3:2)</v>
      </c>
      <c r="J346" s="9" t="str">
        <f aca="false">IF(H346=0,"—",IF(H346=1,"ὁμώνυμον",IF(H346=2,"διὰ πασῶν",IF(H346=3,"διὰ πέντε",IF(H346=4,"διὰ τεσσάρων","?")))))</f>
        <v>διὰ πέντε</v>
      </c>
      <c r="K346" s="10"/>
      <c r="L346" s="14"/>
      <c r="M346" s="13"/>
    </row>
    <row r="347" customFormat="false" ht="15.75" hidden="false" customHeight="true" outlineLevel="0" collapsed="false">
      <c r="A347" s="8" t="n">
        <f aca="false">A346+1</f>
        <v>345</v>
      </c>
      <c r="B347" s="9" t="n">
        <f aca="false">MOD(4*A347^2,10)</f>
        <v>0</v>
      </c>
      <c r="C347" s="9" t="n">
        <f aca="false">(26*B347-5*B347^2)/24</f>
        <v>0</v>
      </c>
      <c r="D347" s="9" t="n">
        <f aca="false">(A347^2+4*C347)/5</f>
        <v>23805</v>
      </c>
      <c r="E347" s="9" t="n">
        <f aca="false">MOD(D347,10)</f>
        <v>5</v>
      </c>
      <c r="F347" s="9" t="n">
        <f aca="false">2*D347</f>
        <v>47610</v>
      </c>
      <c r="G347" s="9" t="n">
        <f aca="false">MOD(F347,10)</f>
        <v>0</v>
      </c>
      <c r="H347" s="9" t="n">
        <f aca="false">G347/2</f>
        <v>0</v>
      </c>
      <c r="I347" s="9" t="str">
        <f aca="false">IF(H347=0,"—",IF(H347=1,"unison (1:1)",IF(H347=2,"octave (2:1)",IF(H347=3,"fifth (3:2)",IF(H347=4,"fourth (4:3)","?")))))</f>
        <v>—</v>
      </c>
      <c r="J347" s="9" t="str">
        <f aca="false">IF(H347=0,"—",IF(H347=1,"ὁμώνυμον",IF(H347=2,"διὰ πασῶν",IF(H347=3,"διὰ πέντε",IF(H347=4,"διὰ τεσσάρων","?")))))</f>
        <v>—</v>
      </c>
      <c r="K347" s="10"/>
      <c r="L347" s="14"/>
      <c r="M347" s="13"/>
    </row>
    <row r="348" customFormat="false" ht="15.75" hidden="false" customHeight="true" outlineLevel="0" collapsed="false">
      <c r="A348" s="8" t="n">
        <f aca="false">A347+1</f>
        <v>346</v>
      </c>
      <c r="B348" s="9" t="n">
        <f aca="false">MOD(4*A348^2,10)</f>
        <v>4</v>
      </c>
      <c r="C348" s="9" t="n">
        <f aca="false">(26*B348-5*B348^2)/24</f>
        <v>1</v>
      </c>
      <c r="D348" s="9" t="n">
        <f aca="false">(A348^2+4*C348)/5</f>
        <v>23944</v>
      </c>
      <c r="E348" s="9" t="n">
        <f aca="false">MOD(D348,10)</f>
        <v>4</v>
      </c>
      <c r="F348" s="9" t="n">
        <f aca="false">2*D348</f>
        <v>47888</v>
      </c>
      <c r="G348" s="9" t="n">
        <f aca="false">MOD(F348,10)</f>
        <v>8</v>
      </c>
      <c r="H348" s="9" t="n">
        <f aca="false">G348/2</f>
        <v>4</v>
      </c>
      <c r="I348" s="9" t="str">
        <f aca="false">IF(H348=0,"—",IF(H348=1,"unison (1:1)",IF(H348=2,"octave (2:1)",IF(H348=3,"fifth (3:2)",IF(H348=4,"fourth (4:3)","?")))))</f>
        <v>fourth (4:3)</v>
      </c>
      <c r="J348" s="9" t="str">
        <f aca="false">IF(H348=0,"—",IF(H348=1,"ὁμώνυμον",IF(H348=2,"διὰ πασῶν",IF(H348=3,"διὰ πέντε",IF(H348=4,"διὰ τεσσάρων","?")))))</f>
        <v>διὰ τεσσάρων</v>
      </c>
      <c r="K348" s="10"/>
      <c r="L348" s="14"/>
      <c r="M348" s="13"/>
    </row>
    <row r="349" customFormat="false" ht="15.75" hidden="false" customHeight="true" outlineLevel="0" collapsed="false">
      <c r="A349" s="8" t="n">
        <f aca="false">A348+1</f>
        <v>347</v>
      </c>
      <c r="B349" s="9" t="n">
        <f aca="false">MOD(4*A349^2,10)</f>
        <v>6</v>
      </c>
      <c r="C349" s="9" t="n">
        <f aca="false">(26*B349-5*B349^2)/24</f>
        <v>-1</v>
      </c>
      <c r="D349" s="9" t="n">
        <f aca="false">(A349^2+4*C349)/5</f>
        <v>24081</v>
      </c>
      <c r="E349" s="9" t="n">
        <f aca="false">MOD(D349,10)</f>
        <v>1</v>
      </c>
      <c r="F349" s="9" t="n">
        <f aca="false">2*D349</f>
        <v>48162</v>
      </c>
      <c r="G349" s="9" t="n">
        <f aca="false">MOD(F349,10)</f>
        <v>2</v>
      </c>
      <c r="H349" s="9" t="n">
        <f aca="false">G349/2</f>
        <v>1</v>
      </c>
      <c r="I349" s="9" t="str">
        <f aca="false">IF(H349=0,"—",IF(H349=1,"unison (1:1)",IF(H349=2,"octave (2:1)",IF(H349=3,"fifth (3:2)",IF(H349=4,"fourth (4:3)","?")))))</f>
        <v>unison (1:1)</v>
      </c>
      <c r="J349" s="9" t="str">
        <f aca="false">IF(H349=0,"—",IF(H349=1,"ὁμώνυμον",IF(H349=2,"διὰ πασῶν",IF(H349=3,"διὰ πέντε",IF(H349=4,"διὰ τεσσάρων","?")))))</f>
        <v>ὁμώνυμον</v>
      </c>
      <c r="K349" s="10"/>
      <c r="L349" s="14"/>
      <c r="M349" s="13"/>
    </row>
    <row r="350" customFormat="false" ht="15.75" hidden="false" customHeight="true" outlineLevel="0" collapsed="false">
      <c r="A350" s="8" t="n">
        <f aca="false">A349+1</f>
        <v>348</v>
      </c>
      <c r="B350" s="9" t="n">
        <f aca="false">MOD(4*A350^2,10)</f>
        <v>6</v>
      </c>
      <c r="C350" s="9" t="n">
        <f aca="false">(26*B350-5*B350^2)/24</f>
        <v>-1</v>
      </c>
      <c r="D350" s="9" t="n">
        <f aca="false">(A350^2+4*C350)/5</f>
        <v>24220</v>
      </c>
      <c r="E350" s="9" t="n">
        <f aca="false">MOD(D350,10)</f>
        <v>0</v>
      </c>
      <c r="F350" s="9" t="n">
        <f aca="false">2*D350</f>
        <v>48440</v>
      </c>
      <c r="G350" s="9" t="n">
        <f aca="false">MOD(F350,10)</f>
        <v>0</v>
      </c>
      <c r="H350" s="9" t="n">
        <f aca="false">G350/2</f>
        <v>0</v>
      </c>
      <c r="I350" s="9" t="str">
        <f aca="false">IF(H350=0,"—",IF(H350=1,"unison (1:1)",IF(H350=2,"octave (2:1)",IF(H350=3,"fifth (3:2)",IF(H350=4,"fourth (4:3)","?")))))</f>
        <v>—</v>
      </c>
      <c r="J350" s="9" t="str">
        <f aca="false">IF(H350=0,"—",IF(H350=1,"ὁμώνυμον",IF(H350=2,"διὰ πασῶν",IF(H350=3,"διὰ πέντε",IF(H350=4,"διὰ τεσσάρων","?")))))</f>
        <v>—</v>
      </c>
      <c r="K350" s="10"/>
      <c r="L350" s="14"/>
      <c r="M350" s="13"/>
    </row>
    <row r="351" customFormat="false" ht="15.75" hidden="false" customHeight="true" outlineLevel="0" collapsed="false">
      <c r="A351" s="8" t="n">
        <f aca="false">A350+1</f>
        <v>349</v>
      </c>
      <c r="B351" s="9" t="n">
        <f aca="false">MOD(4*A351^2,10)</f>
        <v>4</v>
      </c>
      <c r="C351" s="9" t="n">
        <f aca="false">(26*B351-5*B351^2)/24</f>
        <v>1</v>
      </c>
      <c r="D351" s="9" t="n">
        <f aca="false">(A351^2+4*C351)/5</f>
        <v>24361</v>
      </c>
      <c r="E351" s="9" t="n">
        <f aca="false">MOD(D351,10)</f>
        <v>1</v>
      </c>
      <c r="F351" s="9" t="n">
        <f aca="false">2*D351</f>
        <v>48722</v>
      </c>
      <c r="G351" s="9" t="n">
        <f aca="false">MOD(F351,10)</f>
        <v>2</v>
      </c>
      <c r="H351" s="9" t="n">
        <f aca="false">G351/2</f>
        <v>1</v>
      </c>
      <c r="I351" s="9" t="str">
        <f aca="false">IF(H351=0,"—",IF(H351=1,"unison (1:1)",IF(H351=2,"octave (2:1)",IF(H351=3,"fifth (3:2)",IF(H351=4,"fourth (4:3)","?")))))</f>
        <v>unison (1:1)</v>
      </c>
      <c r="J351" s="9" t="str">
        <f aca="false">IF(H351=0,"—",IF(H351=1,"ὁμώνυμον",IF(H351=2,"διὰ πασῶν",IF(H351=3,"διὰ πέντε",IF(H351=4,"διὰ τεσσάρων","?")))))</f>
        <v>ὁμώνυμον</v>
      </c>
      <c r="K351" s="10"/>
      <c r="L351" s="14"/>
      <c r="M351" s="13"/>
    </row>
    <row r="352" customFormat="false" ht="15.75" hidden="false" customHeight="true" outlineLevel="0" collapsed="false">
      <c r="A352" s="8" t="n">
        <f aca="false">A351+1</f>
        <v>350</v>
      </c>
      <c r="B352" s="9" t="n">
        <f aca="false">MOD(4*A352^2,10)</f>
        <v>0</v>
      </c>
      <c r="C352" s="9" t="n">
        <f aca="false">(26*B352-5*B352^2)/24</f>
        <v>0</v>
      </c>
      <c r="D352" s="9" t="n">
        <f aca="false">(A352^2+4*C352)/5</f>
        <v>24500</v>
      </c>
      <c r="E352" s="9" t="n">
        <f aca="false">MOD(D352,10)</f>
        <v>0</v>
      </c>
      <c r="F352" s="9" t="n">
        <f aca="false">2*D352</f>
        <v>49000</v>
      </c>
      <c r="G352" s="9" t="n">
        <f aca="false">MOD(F352,10)</f>
        <v>0</v>
      </c>
      <c r="H352" s="9" t="n">
        <f aca="false">G352/2</f>
        <v>0</v>
      </c>
      <c r="I352" s="9" t="str">
        <f aca="false">IF(H352=0,"—",IF(H352=1,"unison (1:1)",IF(H352=2,"octave (2:1)",IF(H352=3,"fifth (3:2)",IF(H352=4,"fourth (4:3)","?")))))</f>
        <v>—</v>
      </c>
      <c r="J352" s="9" t="str">
        <f aca="false">IF(H352=0,"—",IF(H352=1,"ὁμώνυμον",IF(H352=2,"διὰ πασῶν",IF(H352=3,"διὰ πέντε",IF(H352=4,"διὰ τεσσάρων","?")))))</f>
        <v>—</v>
      </c>
      <c r="K352" s="10"/>
      <c r="L352" s="14"/>
      <c r="M352" s="13"/>
    </row>
    <row r="353" customFormat="false" ht="15.75" hidden="false" customHeight="true" outlineLevel="0" collapsed="false">
      <c r="A353" s="8" t="n">
        <f aca="false">A352+1</f>
        <v>351</v>
      </c>
      <c r="B353" s="9" t="n">
        <f aca="false">MOD(4*A353^2,10)</f>
        <v>4</v>
      </c>
      <c r="C353" s="9" t="n">
        <f aca="false">(26*B353-5*B353^2)/24</f>
        <v>1</v>
      </c>
      <c r="D353" s="9" t="n">
        <f aca="false">(A353^2+4*C353)/5</f>
        <v>24641</v>
      </c>
      <c r="E353" s="9" t="n">
        <f aca="false">MOD(D353,10)</f>
        <v>1</v>
      </c>
      <c r="F353" s="9" t="n">
        <f aca="false">2*D353</f>
        <v>49282</v>
      </c>
      <c r="G353" s="9" t="n">
        <f aca="false">MOD(F353,10)</f>
        <v>2</v>
      </c>
      <c r="H353" s="9" t="n">
        <f aca="false">G353/2</f>
        <v>1</v>
      </c>
      <c r="I353" s="9" t="str">
        <f aca="false">IF(H353=0,"—",IF(H353=1,"unison (1:1)",IF(H353=2,"octave (2:1)",IF(H353=3,"fifth (3:2)",IF(H353=4,"fourth (4:3)","?")))))</f>
        <v>unison (1:1)</v>
      </c>
      <c r="J353" s="9" t="str">
        <f aca="false">IF(H353=0,"—",IF(H353=1,"ὁμώνυμον",IF(H353=2,"διὰ πασῶν",IF(H353=3,"διὰ πέντε",IF(H353=4,"διὰ τεσσάρων","?")))))</f>
        <v>ὁμώνυμον</v>
      </c>
      <c r="K353" s="10"/>
      <c r="L353" s="14"/>
      <c r="M353" s="13"/>
    </row>
    <row r="354" customFormat="false" ht="15.75" hidden="false" customHeight="true" outlineLevel="0" collapsed="false">
      <c r="A354" s="8" t="n">
        <f aca="false">A353+1</f>
        <v>352</v>
      </c>
      <c r="B354" s="9" t="n">
        <f aca="false">MOD(4*A354^2,10)</f>
        <v>6</v>
      </c>
      <c r="C354" s="9" t="n">
        <f aca="false">(26*B354-5*B354^2)/24</f>
        <v>-1</v>
      </c>
      <c r="D354" s="9" t="n">
        <f aca="false">(A354^2+4*C354)/5</f>
        <v>24780</v>
      </c>
      <c r="E354" s="9" t="n">
        <f aca="false">MOD(D354,10)</f>
        <v>0</v>
      </c>
      <c r="F354" s="9" t="n">
        <f aca="false">2*D354</f>
        <v>49560</v>
      </c>
      <c r="G354" s="9" t="n">
        <f aca="false">MOD(F354,10)</f>
        <v>0</v>
      </c>
      <c r="H354" s="9" t="n">
        <f aca="false">G354/2</f>
        <v>0</v>
      </c>
      <c r="I354" s="9" t="str">
        <f aca="false">IF(H354=0,"—",IF(H354=1,"unison (1:1)",IF(H354=2,"octave (2:1)",IF(H354=3,"fifth (3:2)",IF(H354=4,"fourth (4:3)","?")))))</f>
        <v>—</v>
      </c>
      <c r="J354" s="9" t="str">
        <f aca="false">IF(H354=0,"—",IF(H354=1,"ὁμώνυμον",IF(H354=2,"διὰ πασῶν",IF(H354=3,"διὰ πέντε",IF(H354=4,"διὰ τεσσάρων","?")))))</f>
        <v>—</v>
      </c>
      <c r="K354" s="10"/>
      <c r="L354" s="14"/>
      <c r="M354" s="13"/>
    </row>
    <row r="355" customFormat="false" ht="15.75" hidden="false" customHeight="true" outlineLevel="0" collapsed="false">
      <c r="A355" s="8" t="n">
        <f aca="false">A354+1</f>
        <v>353</v>
      </c>
      <c r="B355" s="9" t="n">
        <f aca="false">MOD(4*A355^2,10)</f>
        <v>6</v>
      </c>
      <c r="C355" s="9" t="n">
        <f aca="false">(26*B355-5*B355^2)/24</f>
        <v>-1</v>
      </c>
      <c r="D355" s="9" t="n">
        <f aca="false">(A355^2+4*C355)/5</f>
        <v>24921</v>
      </c>
      <c r="E355" s="9" t="n">
        <f aca="false">MOD(D355,10)</f>
        <v>1</v>
      </c>
      <c r="F355" s="9" t="n">
        <f aca="false">2*D355</f>
        <v>49842</v>
      </c>
      <c r="G355" s="9" t="n">
        <f aca="false">MOD(F355,10)</f>
        <v>2</v>
      </c>
      <c r="H355" s="9" t="n">
        <f aca="false">G355/2</f>
        <v>1</v>
      </c>
      <c r="I355" s="9" t="str">
        <f aca="false">IF(H355=0,"—",IF(H355=1,"unison (1:1)",IF(H355=2,"octave (2:1)",IF(H355=3,"fifth (3:2)",IF(H355=4,"fourth (4:3)","?")))))</f>
        <v>unison (1:1)</v>
      </c>
      <c r="J355" s="9" t="str">
        <f aca="false">IF(H355=0,"—",IF(H355=1,"ὁμώνυμον",IF(H355=2,"διὰ πασῶν",IF(H355=3,"διὰ πέντε",IF(H355=4,"διὰ τεσσάρων","?")))))</f>
        <v>ὁμώνυμον</v>
      </c>
      <c r="K355" s="10"/>
      <c r="L355" s="14"/>
      <c r="M355" s="13"/>
    </row>
    <row r="356" customFormat="false" ht="15.75" hidden="false" customHeight="true" outlineLevel="0" collapsed="false">
      <c r="A356" s="8" t="n">
        <f aca="false">A355+1</f>
        <v>354</v>
      </c>
      <c r="B356" s="9" t="n">
        <f aca="false">MOD(4*A356^2,10)</f>
        <v>4</v>
      </c>
      <c r="C356" s="9" t="n">
        <f aca="false">(26*B356-5*B356^2)/24</f>
        <v>1</v>
      </c>
      <c r="D356" s="9" t="n">
        <f aca="false">(A356^2+4*C356)/5</f>
        <v>25064</v>
      </c>
      <c r="E356" s="9" t="n">
        <f aca="false">MOD(D356,10)</f>
        <v>4</v>
      </c>
      <c r="F356" s="9" t="n">
        <f aca="false">2*D356</f>
        <v>50128</v>
      </c>
      <c r="G356" s="9" t="n">
        <f aca="false">MOD(F356,10)</f>
        <v>8</v>
      </c>
      <c r="H356" s="9" t="n">
        <f aca="false">G356/2</f>
        <v>4</v>
      </c>
      <c r="I356" s="9" t="str">
        <f aca="false">IF(H356=0,"—",IF(H356=1,"unison (1:1)",IF(H356=2,"octave (2:1)",IF(H356=3,"fifth (3:2)",IF(H356=4,"fourth (4:3)","?")))))</f>
        <v>fourth (4:3)</v>
      </c>
      <c r="J356" s="9" t="str">
        <f aca="false">IF(H356=0,"—",IF(H356=1,"ὁμώνυμον",IF(H356=2,"διὰ πασῶν",IF(H356=3,"διὰ πέντε",IF(H356=4,"διὰ τεσσάρων","?")))))</f>
        <v>διὰ τεσσάρων</v>
      </c>
      <c r="K356" s="10"/>
      <c r="L356" s="14"/>
      <c r="M356" s="13"/>
    </row>
    <row r="357" customFormat="false" ht="15.75" hidden="false" customHeight="true" outlineLevel="0" collapsed="false">
      <c r="A357" s="8" t="n">
        <f aca="false">A356+1</f>
        <v>355</v>
      </c>
      <c r="B357" s="9" t="n">
        <f aca="false">MOD(4*A357^2,10)</f>
        <v>0</v>
      </c>
      <c r="C357" s="9" t="n">
        <f aca="false">(26*B357-5*B357^2)/24</f>
        <v>0</v>
      </c>
      <c r="D357" s="9" t="n">
        <f aca="false">(A357^2+4*C357)/5</f>
        <v>25205</v>
      </c>
      <c r="E357" s="9" t="n">
        <f aca="false">MOD(D357,10)</f>
        <v>5</v>
      </c>
      <c r="F357" s="9" t="n">
        <f aca="false">2*D357</f>
        <v>50410</v>
      </c>
      <c r="G357" s="9" t="n">
        <f aca="false">MOD(F357,10)</f>
        <v>0</v>
      </c>
      <c r="H357" s="9" t="n">
        <f aca="false">G357/2</f>
        <v>0</v>
      </c>
      <c r="I357" s="9" t="str">
        <f aca="false">IF(H357=0,"—",IF(H357=1,"unison (1:1)",IF(H357=2,"octave (2:1)",IF(H357=3,"fifth (3:2)",IF(H357=4,"fourth (4:3)","?")))))</f>
        <v>—</v>
      </c>
      <c r="J357" s="9" t="str">
        <f aca="false">IF(H357=0,"—",IF(H357=1,"ὁμώνυμον",IF(H357=2,"διὰ πασῶν",IF(H357=3,"διὰ πέντε",IF(H357=4,"διὰ τεσσάρων","?")))))</f>
        <v>—</v>
      </c>
      <c r="K357" s="10"/>
      <c r="L357" s="14"/>
      <c r="M357" s="13"/>
    </row>
    <row r="358" customFormat="false" ht="15.75" hidden="false" customHeight="true" outlineLevel="0" collapsed="false">
      <c r="A358" s="8" t="n">
        <f aca="false">A357+1</f>
        <v>356</v>
      </c>
      <c r="B358" s="9" t="n">
        <f aca="false">MOD(4*A358^2,10)</f>
        <v>4</v>
      </c>
      <c r="C358" s="9" t="n">
        <f aca="false">(26*B358-5*B358^2)/24</f>
        <v>1</v>
      </c>
      <c r="D358" s="9" t="n">
        <f aca="false">(A358^2+4*C358)/5</f>
        <v>25348</v>
      </c>
      <c r="E358" s="9" t="n">
        <f aca="false">MOD(D358,10)</f>
        <v>8</v>
      </c>
      <c r="F358" s="9" t="n">
        <f aca="false">2*D358</f>
        <v>50696</v>
      </c>
      <c r="G358" s="9" t="n">
        <f aca="false">MOD(F358,10)</f>
        <v>6</v>
      </c>
      <c r="H358" s="9" t="n">
        <f aca="false">G358/2</f>
        <v>3</v>
      </c>
      <c r="I358" s="9" t="str">
        <f aca="false">IF(H358=0,"—",IF(H358=1,"unison (1:1)",IF(H358=2,"octave (2:1)",IF(H358=3,"fifth (3:2)",IF(H358=4,"fourth (4:3)","?")))))</f>
        <v>fifth (3:2)</v>
      </c>
      <c r="J358" s="9" t="str">
        <f aca="false">IF(H358=0,"—",IF(H358=1,"ὁμώνυμον",IF(H358=2,"διὰ πασῶν",IF(H358=3,"διὰ πέντε",IF(H358=4,"διὰ τεσσάρων","?")))))</f>
        <v>διὰ πέντε</v>
      </c>
      <c r="K358" s="10"/>
      <c r="L358" s="14"/>
      <c r="M358" s="13"/>
    </row>
    <row r="359" customFormat="false" ht="15.75" hidden="false" customHeight="true" outlineLevel="0" collapsed="false">
      <c r="A359" s="8" t="n">
        <f aca="false">A358+1</f>
        <v>357</v>
      </c>
      <c r="B359" s="9" t="n">
        <f aca="false">MOD(4*A359^2,10)</f>
        <v>6</v>
      </c>
      <c r="C359" s="9" t="n">
        <f aca="false">(26*B359-5*B359^2)/24</f>
        <v>-1</v>
      </c>
      <c r="D359" s="9" t="n">
        <f aca="false">(A359^2+4*C359)/5</f>
        <v>25489</v>
      </c>
      <c r="E359" s="9" t="n">
        <f aca="false">MOD(D359,10)</f>
        <v>9</v>
      </c>
      <c r="F359" s="9" t="n">
        <f aca="false">2*D359</f>
        <v>50978</v>
      </c>
      <c r="G359" s="9" t="n">
        <f aca="false">MOD(F359,10)</f>
        <v>8</v>
      </c>
      <c r="H359" s="9" t="n">
        <f aca="false">G359/2</f>
        <v>4</v>
      </c>
      <c r="I359" s="9" t="str">
        <f aca="false">IF(H359=0,"—",IF(H359=1,"unison (1:1)",IF(H359=2,"octave (2:1)",IF(H359=3,"fifth (3:2)",IF(H359=4,"fourth (4:3)","?")))))</f>
        <v>fourth (4:3)</v>
      </c>
      <c r="J359" s="9" t="str">
        <f aca="false">IF(H359=0,"—",IF(H359=1,"ὁμώνυμον",IF(H359=2,"διὰ πασῶν",IF(H359=3,"διὰ πέντε",IF(H359=4,"διὰ τεσσάρων","?")))))</f>
        <v>διὰ τεσσάρων</v>
      </c>
      <c r="K359" s="10"/>
      <c r="L359" s="14"/>
      <c r="M359" s="13"/>
    </row>
    <row r="360" customFormat="false" ht="15.75" hidden="false" customHeight="true" outlineLevel="0" collapsed="false">
      <c r="A360" s="8" t="n">
        <f aca="false">A359+1</f>
        <v>358</v>
      </c>
      <c r="B360" s="9" t="n">
        <f aca="false">MOD(4*A360^2,10)</f>
        <v>6</v>
      </c>
      <c r="C360" s="9" t="n">
        <f aca="false">(26*B360-5*B360^2)/24</f>
        <v>-1</v>
      </c>
      <c r="D360" s="9" t="n">
        <f aca="false">(A360^2+4*C360)/5</f>
        <v>25632</v>
      </c>
      <c r="E360" s="9" t="n">
        <f aca="false">MOD(D360,10)</f>
        <v>2</v>
      </c>
      <c r="F360" s="9" t="n">
        <f aca="false">2*D360</f>
        <v>51264</v>
      </c>
      <c r="G360" s="9" t="n">
        <f aca="false">MOD(F360,10)</f>
        <v>4</v>
      </c>
      <c r="H360" s="9" t="n">
        <f aca="false">G360/2</f>
        <v>2</v>
      </c>
      <c r="I360" s="9" t="str">
        <f aca="false">IF(H360=0,"—",IF(H360=1,"unison (1:1)",IF(H360=2,"octave (2:1)",IF(H360=3,"fifth (3:2)",IF(H360=4,"fourth (4:3)","?")))))</f>
        <v>octave (2:1)</v>
      </c>
      <c r="J360" s="9" t="str">
        <f aca="false">IF(H360=0,"—",IF(H360=1,"ὁμώνυμον",IF(H360=2,"διὰ πασῶν",IF(H360=3,"διὰ πέντε",IF(H360=4,"διὰ τεσσάρων","?")))))</f>
        <v>διὰ πασῶν</v>
      </c>
      <c r="K360" s="10"/>
      <c r="L360" s="14"/>
      <c r="M360" s="13"/>
    </row>
    <row r="361" customFormat="false" ht="15.75" hidden="false" customHeight="true" outlineLevel="0" collapsed="false">
      <c r="A361" s="8" t="n">
        <f aca="false">A360+1</f>
        <v>359</v>
      </c>
      <c r="B361" s="9" t="n">
        <f aca="false">MOD(4*A361^2,10)</f>
        <v>4</v>
      </c>
      <c r="C361" s="9" t="n">
        <f aca="false">(26*B361-5*B361^2)/24</f>
        <v>1</v>
      </c>
      <c r="D361" s="9" t="n">
        <f aca="false">(A361^2+4*C361)/5</f>
        <v>25777</v>
      </c>
      <c r="E361" s="9" t="n">
        <f aca="false">MOD(D361,10)</f>
        <v>7</v>
      </c>
      <c r="F361" s="9" t="n">
        <f aca="false">2*D361</f>
        <v>51554</v>
      </c>
      <c r="G361" s="9" t="n">
        <f aca="false">MOD(F361,10)</f>
        <v>4</v>
      </c>
      <c r="H361" s="9" t="n">
        <f aca="false">G361/2</f>
        <v>2</v>
      </c>
      <c r="I361" s="9" t="str">
        <f aca="false">IF(H361=0,"—",IF(H361=1,"unison (1:1)",IF(H361=2,"octave (2:1)",IF(H361=3,"fifth (3:2)",IF(H361=4,"fourth (4:3)","?")))))</f>
        <v>octave (2:1)</v>
      </c>
      <c r="J361" s="9" t="str">
        <f aca="false">IF(H361=0,"—",IF(H361=1,"ὁμώνυμον",IF(H361=2,"διὰ πασῶν",IF(H361=3,"διὰ πέντε",IF(H361=4,"διὰ τεσσάρων","?")))))</f>
        <v>διὰ πασῶν</v>
      </c>
      <c r="K361" s="10"/>
      <c r="L361" s="14"/>
      <c r="M361" s="13"/>
    </row>
    <row r="362" customFormat="false" ht="15.75" hidden="false" customHeight="true" outlineLevel="0" collapsed="false">
      <c r="A362" s="8" t="n">
        <f aca="false">A361+1</f>
        <v>360</v>
      </c>
      <c r="B362" s="9" t="n">
        <f aca="false">MOD(4*A362^2,10)</f>
        <v>0</v>
      </c>
      <c r="C362" s="9" t="n">
        <f aca="false">(26*B362-5*B362^2)/24</f>
        <v>0</v>
      </c>
      <c r="D362" s="9" t="n">
        <f aca="false">(A362^2+4*C362)/5</f>
        <v>25920</v>
      </c>
      <c r="E362" s="9" t="n">
        <f aca="false">MOD(D362,10)</f>
        <v>0</v>
      </c>
      <c r="F362" s="9" t="n">
        <f aca="false">2*D362</f>
        <v>51840</v>
      </c>
      <c r="G362" s="9" t="n">
        <f aca="false">MOD(F362,10)</f>
        <v>0</v>
      </c>
      <c r="H362" s="9" t="n">
        <f aca="false">G362/2</f>
        <v>0</v>
      </c>
      <c r="I362" s="9" t="str">
        <f aca="false">IF(H362=0,"—",IF(H362=1,"unison (1:1)",IF(H362=2,"octave (2:1)",IF(H362=3,"fifth (3:2)",IF(H362=4,"fourth (4:3)","?")))))</f>
        <v>—</v>
      </c>
      <c r="J362" s="9" t="str">
        <f aca="false">IF(H362=0,"—",IF(H362=1,"ὁμώνυμον",IF(H362=2,"διὰ πασῶν",IF(H362=3,"διὰ πέντε",IF(H362=4,"διὰ τεσσάρων","?")))))</f>
        <v>—</v>
      </c>
      <c r="K362" s="10"/>
      <c r="L362" s="14"/>
      <c r="M362" s="13"/>
    </row>
    <row r="363" customFormat="false" ht="15.75" hidden="false" customHeight="true" outlineLevel="0" collapsed="false">
      <c r="A363" s="8" t="n">
        <f aca="false">A362+1</f>
        <v>361</v>
      </c>
      <c r="B363" s="9" t="n">
        <f aca="false">MOD(4*A363^2,10)</f>
        <v>4</v>
      </c>
      <c r="C363" s="9" t="n">
        <f aca="false">(26*B363-5*B363^2)/24</f>
        <v>1</v>
      </c>
      <c r="D363" s="9" t="n">
        <f aca="false">(A363^2+4*C363)/5</f>
        <v>26065</v>
      </c>
      <c r="E363" s="9" t="n">
        <f aca="false">MOD(D363,10)</f>
        <v>5</v>
      </c>
      <c r="F363" s="9" t="n">
        <f aca="false">2*D363</f>
        <v>52130</v>
      </c>
      <c r="G363" s="9" t="n">
        <f aca="false">MOD(F363,10)</f>
        <v>0</v>
      </c>
      <c r="H363" s="9" t="n">
        <f aca="false">G363/2</f>
        <v>0</v>
      </c>
      <c r="I363" s="9" t="str">
        <f aca="false">IF(H363=0,"—",IF(H363=1,"unison (1:1)",IF(H363=2,"octave (2:1)",IF(H363=3,"fifth (3:2)",IF(H363=4,"fourth (4:3)","?")))))</f>
        <v>—</v>
      </c>
      <c r="J363" s="9" t="str">
        <f aca="false">IF(H363=0,"—",IF(H363=1,"ὁμώνυμον",IF(H363=2,"διὰ πασῶν",IF(H363=3,"διὰ πέντε",IF(H363=4,"διὰ τεσσάρων","?")))))</f>
        <v>—</v>
      </c>
      <c r="K363" s="10"/>
      <c r="L363" s="14"/>
      <c r="M363" s="13"/>
    </row>
    <row r="364" customFormat="false" ht="15.75" hidden="false" customHeight="true" outlineLevel="0" collapsed="false">
      <c r="A364" s="8" t="n">
        <f aca="false">A363+1</f>
        <v>362</v>
      </c>
      <c r="B364" s="9" t="n">
        <f aca="false">MOD(4*A364^2,10)</f>
        <v>6</v>
      </c>
      <c r="C364" s="9" t="n">
        <f aca="false">(26*B364-5*B364^2)/24</f>
        <v>-1</v>
      </c>
      <c r="D364" s="9" t="n">
        <f aca="false">(A364^2+4*C364)/5</f>
        <v>26208</v>
      </c>
      <c r="E364" s="9" t="n">
        <f aca="false">MOD(D364,10)</f>
        <v>8</v>
      </c>
      <c r="F364" s="9" t="n">
        <f aca="false">2*D364</f>
        <v>52416</v>
      </c>
      <c r="G364" s="9" t="n">
        <f aca="false">MOD(F364,10)</f>
        <v>6</v>
      </c>
      <c r="H364" s="9" t="n">
        <f aca="false">G364/2</f>
        <v>3</v>
      </c>
      <c r="I364" s="9" t="str">
        <f aca="false">IF(H364=0,"—",IF(H364=1,"unison (1:1)",IF(H364=2,"octave (2:1)",IF(H364=3,"fifth (3:2)",IF(H364=4,"fourth (4:3)","?")))))</f>
        <v>fifth (3:2)</v>
      </c>
      <c r="J364" s="9" t="str">
        <f aca="false">IF(H364=0,"—",IF(H364=1,"ὁμώνυμον",IF(H364=2,"διὰ πασῶν",IF(H364=3,"διὰ πέντε",IF(H364=4,"διὰ τεσσάρων","?")))))</f>
        <v>διὰ πέντε</v>
      </c>
      <c r="K364" s="10"/>
      <c r="L364" s="14"/>
      <c r="M364" s="13"/>
    </row>
    <row r="365" customFormat="false" ht="15.75" hidden="false" customHeight="true" outlineLevel="0" collapsed="false">
      <c r="A365" s="8" t="n">
        <f aca="false">A364+1</f>
        <v>363</v>
      </c>
      <c r="B365" s="9" t="n">
        <f aca="false">MOD(4*A365^2,10)</f>
        <v>6</v>
      </c>
      <c r="C365" s="9" t="n">
        <f aca="false">(26*B365-5*B365^2)/24</f>
        <v>-1</v>
      </c>
      <c r="D365" s="9" t="n">
        <f aca="false">(A365^2+4*C365)/5</f>
        <v>26353</v>
      </c>
      <c r="E365" s="9" t="n">
        <f aca="false">MOD(D365,10)</f>
        <v>3</v>
      </c>
      <c r="F365" s="9" t="n">
        <f aca="false">2*D365</f>
        <v>52706</v>
      </c>
      <c r="G365" s="9" t="n">
        <f aca="false">MOD(F365,10)</f>
        <v>6</v>
      </c>
      <c r="H365" s="9" t="n">
        <f aca="false">G365/2</f>
        <v>3</v>
      </c>
      <c r="I365" s="9" t="str">
        <f aca="false">IF(H365=0,"—",IF(H365=1,"unison (1:1)",IF(H365=2,"octave (2:1)",IF(H365=3,"fifth (3:2)",IF(H365=4,"fourth (4:3)","?")))))</f>
        <v>fifth (3:2)</v>
      </c>
      <c r="J365" s="9" t="str">
        <f aca="false">IF(H365=0,"—",IF(H365=1,"ὁμώνυμον",IF(H365=2,"διὰ πασῶν",IF(H365=3,"διὰ πέντε",IF(H365=4,"διὰ τεσσάρων","?")))))</f>
        <v>διὰ πέντε</v>
      </c>
      <c r="K365" s="10"/>
      <c r="L365" s="14"/>
      <c r="M365" s="13"/>
    </row>
    <row r="366" customFormat="false" ht="15.75" hidden="false" customHeight="true" outlineLevel="0" collapsed="false">
      <c r="A366" s="8" t="n">
        <f aca="false">A365+1</f>
        <v>364</v>
      </c>
      <c r="B366" s="9" t="n">
        <f aca="false">MOD(4*A366^2,10)</f>
        <v>4</v>
      </c>
      <c r="C366" s="9" t="n">
        <f aca="false">(26*B366-5*B366^2)/24</f>
        <v>1</v>
      </c>
      <c r="D366" s="9" t="n">
        <f aca="false">(A366^2+4*C366)/5</f>
        <v>26500</v>
      </c>
      <c r="E366" s="9" t="n">
        <f aca="false">MOD(D366,10)</f>
        <v>0</v>
      </c>
      <c r="F366" s="9" t="n">
        <f aca="false">2*D366</f>
        <v>53000</v>
      </c>
      <c r="G366" s="9" t="n">
        <f aca="false">MOD(F366,10)</f>
        <v>0</v>
      </c>
      <c r="H366" s="9" t="n">
        <f aca="false">G366/2</f>
        <v>0</v>
      </c>
      <c r="I366" s="9" t="str">
        <f aca="false">IF(H366=0,"—",IF(H366=1,"unison (1:1)",IF(H366=2,"octave (2:1)",IF(H366=3,"fifth (3:2)",IF(H366=4,"fourth (4:3)","?")))))</f>
        <v>—</v>
      </c>
      <c r="J366" s="9" t="str">
        <f aca="false">IF(H366=0,"—",IF(H366=1,"ὁμώνυμον",IF(H366=2,"διὰ πασῶν",IF(H366=3,"διὰ πέντε",IF(H366=4,"διὰ τεσσάρων","?")))))</f>
        <v>—</v>
      </c>
      <c r="K366" s="10"/>
      <c r="L366" s="14"/>
      <c r="M366" s="13"/>
    </row>
    <row r="367" customFormat="false" ht="15.75" hidden="false" customHeight="true" outlineLevel="0" collapsed="false">
      <c r="A367" s="8" t="n">
        <f aca="false">A366+1</f>
        <v>365</v>
      </c>
      <c r="B367" s="9" t="n">
        <f aca="false">MOD(4*A367^2,10)</f>
        <v>0</v>
      </c>
      <c r="C367" s="9" t="n">
        <f aca="false">(26*B367-5*B367^2)/24</f>
        <v>0</v>
      </c>
      <c r="D367" s="9" t="n">
        <f aca="false">(A367^2+4*C367)/5</f>
        <v>26645</v>
      </c>
      <c r="E367" s="9" t="n">
        <f aca="false">MOD(D367,10)</f>
        <v>5</v>
      </c>
      <c r="F367" s="9" t="n">
        <f aca="false">2*D367</f>
        <v>53290</v>
      </c>
      <c r="G367" s="9" t="n">
        <f aca="false">MOD(F367,10)</f>
        <v>0</v>
      </c>
      <c r="H367" s="9" t="n">
        <f aca="false">G367/2</f>
        <v>0</v>
      </c>
      <c r="I367" s="9" t="str">
        <f aca="false">IF(H367=0,"—",IF(H367=1,"unison (1:1)",IF(H367=2,"octave (2:1)",IF(H367=3,"fifth (3:2)",IF(H367=4,"fourth (4:3)","?")))))</f>
        <v>—</v>
      </c>
      <c r="J367" s="9" t="str">
        <f aca="false">IF(H367=0,"—",IF(H367=1,"ὁμώνυμον",IF(H367=2,"διὰ πασῶν",IF(H367=3,"διὰ πέντε",IF(H367=4,"διὰ τεσσάρων","?")))))</f>
        <v>—</v>
      </c>
      <c r="K367" s="10"/>
      <c r="L367" s="14"/>
      <c r="M367" s="13"/>
    </row>
    <row r="368" customFormat="false" ht="15.75" hidden="false" customHeight="true" outlineLevel="0" collapsed="false">
      <c r="A368" s="8" t="n">
        <f aca="false">A367+1</f>
        <v>366</v>
      </c>
      <c r="B368" s="9" t="n">
        <f aca="false">MOD(4*A368^2,10)</f>
        <v>4</v>
      </c>
      <c r="C368" s="9" t="n">
        <f aca="false">(26*B368-5*B368^2)/24</f>
        <v>1</v>
      </c>
      <c r="D368" s="9" t="n">
        <f aca="false">(A368^2+4*C368)/5</f>
        <v>26792</v>
      </c>
      <c r="E368" s="9" t="n">
        <f aca="false">MOD(D368,10)</f>
        <v>2</v>
      </c>
      <c r="F368" s="9" t="n">
        <f aca="false">2*D368</f>
        <v>53584</v>
      </c>
      <c r="G368" s="9" t="n">
        <f aca="false">MOD(F368,10)</f>
        <v>4</v>
      </c>
      <c r="H368" s="9" t="n">
        <f aca="false">G368/2</f>
        <v>2</v>
      </c>
      <c r="I368" s="9" t="str">
        <f aca="false">IF(H368=0,"—",IF(H368=1,"unison (1:1)",IF(H368=2,"octave (2:1)",IF(H368=3,"fifth (3:2)",IF(H368=4,"fourth (4:3)","?")))))</f>
        <v>octave (2:1)</v>
      </c>
      <c r="J368" s="9" t="str">
        <f aca="false">IF(H368=0,"—",IF(H368=1,"ὁμώνυμον",IF(H368=2,"διὰ πασῶν",IF(H368=3,"διὰ πέντε",IF(H368=4,"διὰ τεσσάρων","?")))))</f>
        <v>διὰ πασῶν</v>
      </c>
      <c r="K368" s="10"/>
      <c r="L368" s="14"/>
      <c r="M368" s="13"/>
    </row>
    <row r="369" customFormat="false" ht="15.75" hidden="false" customHeight="true" outlineLevel="0" collapsed="false">
      <c r="A369" s="8" t="n">
        <f aca="false">A368+1</f>
        <v>367</v>
      </c>
      <c r="B369" s="9" t="n">
        <f aca="false">MOD(4*A369^2,10)</f>
        <v>6</v>
      </c>
      <c r="C369" s="9" t="n">
        <f aca="false">(26*B369-5*B369^2)/24</f>
        <v>-1</v>
      </c>
      <c r="D369" s="9" t="n">
        <f aca="false">(A369^2+4*C369)/5</f>
        <v>26937</v>
      </c>
      <c r="E369" s="9" t="n">
        <f aca="false">MOD(D369,10)</f>
        <v>7</v>
      </c>
      <c r="F369" s="9" t="n">
        <f aca="false">2*D369</f>
        <v>53874</v>
      </c>
      <c r="G369" s="9" t="n">
        <f aca="false">MOD(F369,10)</f>
        <v>4</v>
      </c>
      <c r="H369" s="9" t="n">
        <f aca="false">G369/2</f>
        <v>2</v>
      </c>
      <c r="I369" s="9" t="str">
        <f aca="false">IF(H369=0,"—",IF(H369=1,"unison (1:1)",IF(H369=2,"octave (2:1)",IF(H369=3,"fifth (3:2)",IF(H369=4,"fourth (4:3)","?")))))</f>
        <v>octave (2:1)</v>
      </c>
      <c r="J369" s="9" t="str">
        <f aca="false">IF(H369=0,"—",IF(H369=1,"ὁμώνυμον",IF(H369=2,"διὰ πασῶν",IF(H369=3,"διὰ πέντε",IF(H369=4,"διὰ τεσσάρων","?")))))</f>
        <v>διὰ πασῶν</v>
      </c>
      <c r="K369" s="10"/>
      <c r="L369" s="14"/>
      <c r="M369" s="13"/>
    </row>
    <row r="370" customFormat="false" ht="15.75" hidden="false" customHeight="true" outlineLevel="0" collapsed="false">
      <c r="A370" s="8" t="n">
        <f aca="false">A369+1</f>
        <v>368</v>
      </c>
      <c r="B370" s="9" t="n">
        <f aca="false">MOD(4*A370^2,10)</f>
        <v>6</v>
      </c>
      <c r="C370" s="9" t="n">
        <f aca="false">(26*B370-5*B370^2)/24</f>
        <v>-1</v>
      </c>
      <c r="D370" s="9" t="n">
        <f aca="false">(A370^2+4*C370)/5</f>
        <v>27084</v>
      </c>
      <c r="E370" s="9" t="n">
        <f aca="false">MOD(D370,10)</f>
        <v>4</v>
      </c>
      <c r="F370" s="9" t="n">
        <f aca="false">2*D370</f>
        <v>54168</v>
      </c>
      <c r="G370" s="9" t="n">
        <f aca="false">MOD(F370,10)</f>
        <v>8</v>
      </c>
      <c r="H370" s="9" t="n">
        <f aca="false">G370/2</f>
        <v>4</v>
      </c>
      <c r="I370" s="9" t="str">
        <f aca="false">IF(H370=0,"—",IF(H370=1,"unison (1:1)",IF(H370=2,"octave (2:1)",IF(H370=3,"fifth (3:2)",IF(H370=4,"fourth (4:3)","?")))))</f>
        <v>fourth (4:3)</v>
      </c>
      <c r="J370" s="9" t="str">
        <f aca="false">IF(H370=0,"—",IF(H370=1,"ὁμώνυμον",IF(H370=2,"διὰ πασῶν",IF(H370=3,"διὰ πέντε",IF(H370=4,"διὰ τεσσάρων","?")))))</f>
        <v>διὰ τεσσάρων</v>
      </c>
      <c r="K370" s="10"/>
      <c r="L370" s="14"/>
      <c r="M370" s="13"/>
    </row>
    <row r="371" customFormat="false" ht="15.75" hidden="false" customHeight="true" outlineLevel="0" collapsed="false">
      <c r="A371" s="8" t="n">
        <f aca="false">A370+1</f>
        <v>369</v>
      </c>
      <c r="B371" s="9" t="n">
        <f aca="false">MOD(4*A371^2,10)</f>
        <v>4</v>
      </c>
      <c r="C371" s="9" t="n">
        <f aca="false">(26*B371-5*B371^2)/24</f>
        <v>1</v>
      </c>
      <c r="D371" s="9" t="n">
        <f aca="false">(A371^2+4*C371)/5</f>
        <v>27233</v>
      </c>
      <c r="E371" s="9" t="n">
        <f aca="false">MOD(D371,10)</f>
        <v>3</v>
      </c>
      <c r="F371" s="9" t="n">
        <f aca="false">2*D371</f>
        <v>54466</v>
      </c>
      <c r="G371" s="9" t="n">
        <f aca="false">MOD(F371,10)</f>
        <v>6</v>
      </c>
      <c r="H371" s="9" t="n">
        <f aca="false">G371/2</f>
        <v>3</v>
      </c>
      <c r="I371" s="9" t="str">
        <f aca="false">IF(H371=0,"—",IF(H371=1,"unison (1:1)",IF(H371=2,"octave (2:1)",IF(H371=3,"fifth (3:2)",IF(H371=4,"fourth (4:3)","?")))))</f>
        <v>fifth (3:2)</v>
      </c>
      <c r="J371" s="9" t="str">
        <f aca="false">IF(H371=0,"—",IF(H371=1,"ὁμώνυμον",IF(H371=2,"διὰ πασῶν",IF(H371=3,"διὰ πέντε",IF(H371=4,"διὰ τεσσάρων","?")))))</f>
        <v>διὰ πέντε</v>
      </c>
      <c r="K371" s="10"/>
      <c r="L371" s="14"/>
      <c r="M371" s="13"/>
    </row>
    <row r="372" customFormat="false" ht="15.75" hidden="false" customHeight="true" outlineLevel="0" collapsed="false">
      <c r="A372" s="8" t="n">
        <f aca="false">A371+1</f>
        <v>370</v>
      </c>
      <c r="B372" s="9" t="n">
        <f aca="false">MOD(4*A372^2,10)</f>
        <v>0</v>
      </c>
      <c r="C372" s="9" t="n">
        <f aca="false">(26*B372-5*B372^2)/24</f>
        <v>0</v>
      </c>
      <c r="D372" s="9" t="n">
        <f aca="false">(A372^2+4*C372)/5</f>
        <v>27380</v>
      </c>
      <c r="E372" s="9" t="n">
        <f aca="false">MOD(D372,10)</f>
        <v>0</v>
      </c>
      <c r="F372" s="9" t="n">
        <f aca="false">2*D372</f>
        <v>54760</v>
      </c>
      <c r="G372" s="9" t="n">
        <f aca="false">MOD(F372,10)</f>
        <v>0</v>
      </c>
      <c r="H372" s="9" t="n">
        <f aca="false">G372/2</f>
        <v>0</v>
      </c>
      <c r="I372" s="9" t="str">
        <f aca="false">IF(H372=0,"—",IF(H372=1,"unison (1:1)",IF(H372=2,"octave (2:1)",IF(H372=3,"fifth (3:2)",IF(H372=4,"fourth (4:3)","?")))))</f>
        <v>—</v>
      </c>
      <c r="J372" s="9" t="str">
        <f aca="false">IF(H372=0,"—",IF(H372=1,"ὁμώνυμον",IF(H372=2,"διὰ πασῶν",IF(H372=3,"διὰ πέντε",IF(H372=4,"διὰ τεσσάρων","?")))))</f>
        <v>—</v>
      </c>
      <c r="K372" s="10"/>
      <c r="L372" s="14"/>
      <c r="M372" s="13"/>
    </row>
    <row r="373" customFormat="false" ht="15.75" hidden="false" customHeight="true" outlineLevel="0" collapsed="false">
      <c r="A373" s="8" t="n">
        <f aca="false">A372+1</f>
        <v>371</v>
      </c>
      <c r="B373" s="9" t="n">
        <f aca="false">MOD(4*A373^2,10)</f>
        <v>4</v>
      </c>
      <c r="C373" s="9" t="n">
        <f aca="false">(26*B373-5*B373^2)/24</f>
        <v>1</v>
      </c>
      <c r="D373" s="9" t="n">
        <f aca="false">(A373^2+4*C373)/5</f>
        <v>27529</v>
      </c>
      <c r="E373" s="9" t="n">
        <f aca="false">MOD(D373,10)</f>
        <v>9</v>
      </c>
      <c r="F373" s="9" t="n">
        <f aca="false">2*D373</f>
        <v>55058</v>
      </c>
      <c r="G373" s="9" t="n">
        <f aca="false">MOD(F373,10)</f>
        <v>8</v>
      </c>
      <c r="H373" s="9" t="n">
        <f aca="false">G373/2</f>
        <v>4</v>
      </c>
      <c r="I373" s="9" t="str">
        <f aca="false">IF(H373=0,"—",IF(H373=1,"unison (1:1)",IF(H373=2,"octave (2:1)",IF(H373=3,"fifth (3:2)",IF(H373=4,"fourth (4:3)","?")))))</f>
        <v>fourth (4:3)</v>
      </c>
      <c r="J373" s="9" t="str">
        <f aca="false">IF(H373=0,"—",IF(H373=1,"ὁμώνυμον",IF(H373=2,"διὰ πασῶν",IF(H373=3,"διὰ πέντε",IF(H373=4,"διὰ τεσσάρων","?")))))</f>
        <v>διὰ τεσσάρων</v>
      </c>
      <c r="K373" s="10"/>
      <c r="L373" s="14"/>
      <c r="M373" s="13"/>
    </row>
    <row r="374" customFormat="false" ht="15.75" hidden="false" customHeight="true" outlineLevel="0" collapsed="false">
      <c r="A374" s="8" t="n">
        <f aca="false">A373+1</f>
        <v>372</v>
      </c>
      <c r="B374" s="9" t="n">
        <f aca="false">MOD(4*A374^2,10)</f>
        <v>6</v>
      </c>
      <c r="C374" s="9" t="n">
        <f aca="false">(26*B374-5*B374^2)/24</f>
        <v>-1</v>
      </c>
      <c r="D374" s="9" t="n">
        <f aca="false">(A374^2+4*C374)/5</f>
        <v>27676</v>
      </c>
      <c r="E374" s="9" t="n">
        <f aca="false">MOD(D374,10)</f>
        <v>6</v>
      </c>
      <c r="F374" s="9" t="n">
        <f aca="false">2*D374</f>
        <v>55352</v>
      </c>
      <c r="G374" s="9" t="n">
        <f aca="false">MOD(F374,10)</f>
        <v>2</v>
      </c>
      <c r="H374" s="9" t="n">
        <f aca="false">G374/2</f>
        <v>1</v>
      </c>
      <c r="I374" s="9" t="str">
        <f aca="false">IF(H374=0,"—",IF(H374=1,"unison (1:1)",IF(H374=2,"octave (2:1)",IF(H374=3,"fifth (3:2)",IF(H374=4,"fourth (4:3)","?")))))</f>
        <v>unison (1:1)</v>
      </c>
      <c r="J374" s="9" t="str">
        <f aca="false">IF(H374=0,"—",IF(H374=1,"ὁμώνυμον",IF(H374=2,"διὰ πασῶν",IF(H374=3,"διὰ πέντε",IF(H374=4,"διὰ τεσσάρων","?")))))</f>
        <v>ὁμώνυμον</v>
      </c>
      <c r="K374" s="10"/>
      <c r="L374" s="14"/>
      <c r="M374" s="13"/>
    </row>
    <row r="375" customFormat="false" ht="15.75" hidden="false" customHeight="true" outlineLevel="0" collapsed="false">
      <c r="A375" s="8" t="n">
        <f aca="false">A374+1</f>
        <v>373</v>
      </c>
      <c r="B375" s="9" t="n">
        <f aca="false">MOD(4*A375^2,10)</f>
        <v>6</v>
      </c>
      <c r="C375" s="9" t="n">
        <f aca="false">(26*B375-5*B375^2)/24</f>
        <v>-1</v>
      </c>
      <c r="D375" s="9" t="n">
        <f aca="false">(A375^2+4*C375)/5</f>
        <v>27825</v>
      </c>
      <c r="E375" s="9" t="n">
        <f aca="false">MOD(D375,10)</f>
        <v>5</v>
      </c>
      <c r="F375" s="9" t="n">
        <f aca="false">2*D375</f>
        <v>55650</v>
      </c>
      <c r="G375" s="9" t="n">
        <f aca="false">MOD(F375,10)</f>
        <v>0</v>
      </c>
      <c r="H375" s="9" t="n">
        <f aca="false">G375/2</f>
        <v>0</v>
      </c>
      <c r="I375" s="9" t="str">
        <f aca="false">IF(H375=0,"—",IF(H375=1,"unison (1:1)",IF(H375=2,"octave (2:1)",IF(H375=3,"fifth (3:2)",IF(H375=4,"fourth (4:3)","?")))))</f>
        <v>—</v>
      </c>
      <c r="J375" s="9" t="str">
        <f aca="false">IF(H375=0,"—",IF(H375=1,"ὁμώνυμον",IF(H375=2,"διὰ πασῶν",IF(H375=3,"διὰ πέντε",IF(H375=4,"διὰ τεσσάρων","?")))))</f>
        <v>—</v>
      </c>
      <c r="K375" s="10"/>
      <c r="L375" s="14"/>
      <c r="M375" s="13"/>
    </row>
    <row r="376" customFormat="false" ht="15.75" hidden="false" customHeight="true" outlineLevel="0" collapsed="false">
      <c r="A376" s="8" t="n">
        <f aca="false">A375+1</f>
        <v>374</v>
      </c>
      <c r="B376" s="9" t="n">
        <f aca="false">MOD(4*A376^2,10)</f>
        <v>4</v>
      </c>
      <c r="C376" s="9" t="n">
        <f aca="false">(26*B376-5*B376^2)/24</f>
        <v>1</v>
      </c>
      <c r="D376" s="9" t="n">
        <f aca="false">(A376^2+4*C376)/5</f>
        <v>27976</v>
      </c>
      <c r="E376" s="9" t="n">
        <f aca="false">MOD(D376,10)</f>
        <v>6</v>
      </c>
      <c r="F376" s="9" t="n">
        <f aca="false">2*D376</f>
        <v>55952</v>
      </c>
      <c r="G376" s="9" t="n">
        <f aca="false">MOD(F376,10)</f>
        <v>2</v>
      </c>
      <c r="H376" s="9" t="n">
        <f aca="false">G376/2</f>
        <v>1</v>
      </c>
      <c r="I376" s="9" t="str">
        <f aca="false">IF(H376=0,"—",IF(H376=1,"unison (1:1)",IF(H376=2,"octave (2:1)",IF(H376=3,"fifth (3:2)",IF(H376=4,"fourth (4:3)","?")))))</f>
        <v>unison (1:1)</v>
      </c>
      <c r="J376" s="9" t="str">
        <f aca="false">IF(H376=0,"—",IF(H376=1,"ὁμώνυμον",IF(H376=2,"διὰ πασῶν",IF(H376=3,"διὰ πέντε",IF(H376=4,"διὰ τεσσάρων","?")))))</f>
        <v>ὁμώνυμον</v>
      </c>
      <c r="K376" s="10"/>
      <c r="L376" s="14"/>
      <c r="M376" s="13"/>
    </row>
    <row r="377" customFormat="false" ht="15.75" hidden="false" customHeight="true" outlineLevel="0" collapsed="false">
      <c r="A377" s="8" t="n">
        <f aca="false">A376+1</f>
        <v>375</v>
      </c>
      <c r="B377" s="9" t="n">
        <f aca="false">MOD(4*A377^2,10)</f>
        <v>0</v>
      </c>
      <c r="C377" s="9" t="n">
        <f aca="false">(26*B377-5*B377^2)/24</f>
        <v>0</v>
      </c>
      <c r="D377" s="9" t="n">
        <f aca="false">(A377^2+4*C377)/5</f>
        <v>28125</v>
      </c>
      <c r="E377" s="9" t="n">
        <f aca="false">MOD(D377,10)</f>
        <v>5</v>
      </c>
      <c r="F377" s="9" t="n">
        <f aca="false">2*D377</f>
        <v>56250</v>
      </c>
      <c r="G377" s="9" t="n">
        <f aca="false">MOD(F377,10)</f>
        <v>0</v>
      </c>
      <c r="H377" s="9" t="n">
        <f aca="false">G377/2</f>
        <v>0</v>
      </c>
      <c r="I377" s="9" t="str">
        <f aca="false">IF(H377=0,"—",IF(H377=1,"unison (1:1)",IF(H377=2,"octave (2:1)",IF(H377=3,"fifth (3:2)",IF(H377=4,"fourth (4:3)","?")))))</f>
        <v>—</v>
      </c>
      <c r="J377" s="9" t="str">
        <f aca="false">IF(H377=0,"—",IF(H377=1,"ὁμώνυμον",IF(H377=2,"διὰ πασῶν",IF(H377=3,"διὰ πέντε",IF(H377=4,"διὰ τεσσάρων","?")))))</f>
        <v>—</v>
      </c>
      <c r="K377" s="10"/>
      <c r="L377" s="14"/>
      <c r="M377" s="13"/>
    </row>
    <row r="378" customFormat="false" ht="15.75" hidden="false" customHeight="true" outlineLevel="0" collapsed="false">
      <c r="A378" s="8" t="n">
        <f aca="false">A377+1</f>
        <v>376</v>
      </c>
      <c r="B378" s="9" t="n">
        <f aca="false">MOD(4*A378^2,10)</f>
        <v>4</v>
      </c>
      <c r="C378" s="9" t="n">
        <f aca="false">(26*B378-5*B378^2)/24</f>
        <v>1</v>
      </c>
      <c r="D378" s="9" t="n">
        <f aca="false">(A378^2+4*C378)/5</f>
        <v>28276</v>
      </c>
      <c r="E378" s="9" t="n">
        <f aca="false">MOD(D378,10)</f>
        <v>6</v>
      </c>
      <c r="F378" s="9" t="n">
        <f aca="false">2*D378</f>
        <v>56552</v>
      </c>
      <c r="G378" s="9" t="n">
        <f aca="false">MOD(F378,10)</f>
        <v>2</v>
      </c>
      <c r="H378" s="9" t="n">
        <f aca="false">G378/2</f>
        <v>1</v>
      </c>
      <c r="I378" s="9" t="str">
        <f aca="false">IF(H378=0,"—",IF(H378=1,"unison (1:1)",IF(H378=2,"octave (2:1)",IF(H378=3,"fifth (3:2)",IF(H378=4,"fourth (4:3)","?")))))</f>
        <v>unison (1:1)</v>
      </c>
      <c r="J378" s="9" t="str">
        <f aca="false">IF(H378=0,"—",IF(H378=1,"ὁμώνυμον",IF(H378=2,"διὰ πασῶν",IF(H378=3,"διὰ πέντε",IF(H378=4,"διὰ τεσσάρων","?")))))</f>
        <v>ὁμώνυμον</v>
      </c>
      <c r="K378" s="10"/>
      <c r="L378" s="14"/>
      <c r="M378" s="13"/>
    </row>
    <row r="379" customFormat="false" ht="15.75" hidden="false" customHeight="true" outlineLevel="0" collapsed="false">
      <c r="A379" s="8" t="n">
        <f aca="false">A378+1</f>
        <v>377</v>
      </c>
      <c r="B379" s="9" t="n">
        <f aca="false">MOD(4*A379^2,10)</f>
        <v>6</v>
      </c>
      <c r="C379" s="9" t="n">
        <f aca="false">(26*B379-5*B379^2)/24</f>
        <v>-1</v>
      </c>
      <c r="D379" s="9" t="n">
        <f aca="false">(A379^2+4*C379)/5</f>
        <v>28425</v>
      </c>
      <c r="E379" s="9" t="n">
        <f aca="false">MOD(D379,10)</f>
        <v>5</v>
      </c>
      <c r="F379" s="9" t="n">
        <f aca="false">2*D379</f>
        <v>56850</v>
      </c>
      <c r="G379" s="9" t="n">
        <f aca="false">MOD(F379,10)</f>
        <v>0</v>
      </c>
      <c r="H379" s="9" t="n">
        <f aca="false">G379/2</f>
        <v>0</v>
      </c>
      <c r="I379" s="9" t="str">
        <f aca="false">IF(H379=0,"—",IF(H379=1,"unison (1:1)",IF(H379=2,"octave (2:1)",IF(H379=3,"fifth (3:2)",IF(H379=4,"fourth (4:3)","?")))))</f>
        <v>—</v>
      </c>
      <c r="J379" s="9" t="str">
        <f aca="false">IF(H379=0,"—",IF(H379=1,"ὁμώνυμον",IF(H379=2,"διὰ πασῶν",IF(H379=3,"διὰ πέντε",IF(H379=4,"διὰ τεσσάρων","?")))))</f>
        <v>—</v>
      </c>
      <c r="K379" s="10"/>
      <c r="L379" s="14"/>
      <c r="M379" s="13"/>
    </row>
    <row r="380" customFormat="false" ht="15.75" hidden="false" customHeight="true" outlineLevel="0" collapsed="false">
      <c r="A380" s="8" t="n">
        <f aca="false">A379+1</f>
        <v>378</v>
      </c>
      <c r="B380" s="9" t="n">
        <f aca="false">MOD(4*A380^2,10)</f>
        <v>6</v>
      </c>
      <c r="C380" s="9" t="n">
        <f aca="false">(26*B380-5*B380^2)/24</f>
        <v>-1</v>
      </c>
      <c r="D380" s="9" t="n">
        <f aca="false">(A380^2+4*C380)/5</f>
        <v>28576</v>
      </c>
      <c r="E380" s="9" t="n">
        <f aca="false">MOD(D380,10)</f>
        <v>6</v>
      </c>
      <c r="F380" s="9" t="n">
        <f aca="false">2*D380</f>
        <v>57152</v>
      </c>
      <c r="G380" s="9" t="n">
        <f aca="false">MOD(F380,10)</f>
        <v>2</v>
      </c>
      <c r="H380" s="9" t="n">
        <f aca="false">G380/2</f>
        <v>1</v>
      </c>
      <c r="I380" s="9" t="str">
        <f aca="false">IF(H380=0,"—",IF(H380=1,"unison (1:1)",IF(H380=2,"octave (2:1)",IF(H380=3,"fifth (3:2)",IF(H380=4,"fourth (4:3)","?")))))</f>
        <v>unison (1:1)</v>
      </c>
      <c r="J380" s="9" t="str">
        <f aca="false">IF(H380=0,"—",IF(H380=1,"ὁμώνυμον",IF(H380=2,"διὰ πασῶν",IF(H380=3,"διὰ πέντε",IF(H380=4,"διὰ τεσσάρων","?")))))</f>
        <v>ὁμώνυμον</v>
      </c>
      <c r="K380" s="10"/>
      <c r="L380" s="14"/>
      <c r="M380" s="13"/>
    </row>
    <row r="381" customFormat="false" ht="15.75" hidden="false" customHeight="true" outlineLevel="0" collapsed="false">
      <c r="A381" s="8" t="n">
        <f aca="false">A380+1</f>
        <v>379</v>
      </c>
      <c r="B381" s="9" t="n">
        <f aca="false">MOD(4*A381^2,10)</f>
        <v>4</v>
      </c>
      <c r="C381" s="9" t="n">
        <f aca="false">(26*B381-5*B381^2)/24</f>
        <v>1</v>
      </c>
      <c r="D381" s="9" t="n">
        <f aca="false">(A381^2+4*C381)/5</f>
        <v>28729</v>
      </c>
      <c r="E381" s="9" t="n">
        <f aca="false">MOD(D381,10)</f>
        <v>9</v>
      </c>
      <c r="F381" s="9" t="n">
        <f aca="false">2*D381</f>
        <v>57458</v>
      </c>
      <c r="G381" s="9" t="n">
        <f aca="false">MOD(F381,10)</f>
        <v>8</v>
      </c>
      <c r="H381" s="9" t="n">
        <f aca="false">G381/2</f>
        <v>4</v>
      </c>
      <c r="I381" s="9" t="str">
        <f aca="false">IF(H381=0,"—",IF(H381=1,"unison (1:1)",IF(H381=2,"octave (2:1)",IF(H381=3,"fifth (3:2)",IF(H381=4,"fourth (4:3)","?")))))</f>
        <v>fourth (4:3)</v>
      </c>
      <c r="J381" s="9" t="str">
        <f aca="false">IF(H381=0,"—",IF(H381=1,"ὁμώνυμον",IF(H381=2,"διὰ πασῶν",IF(H381=3,"διὰ πέντε",IF(H381=4,"διὰ τεσσάρων","?")))))</f>
        <v>διὰ τεσσάρων</v>
      </c>
      <c r="K381" s="10"/>
      <c r="L381" s="14"/>
      <c r="M381" s="13"/>
    </row>
    <row r="382" customFormat="false" ht="15.75" hidden="false" customHeight="true" outlineLevel="0" collapsed="false">
      <c r="A382" s="8" t="n">
        <f aca="false">A381+1</f>
        <v>380</v>
      </c>
      <c r="B382" s="9" t="n">
        <f aca="false">MOD(4*A382^2,10)</f>
        <v>0</v>
      </c>
      <c r="C382" s="9" t="n">
        <f aca="false">(26*B382-5*B382^2)/24</f>
        <v>0</v>
      </c>
      <c r="D382" s="9" t="n">
        <f aca="false">(A382^2+4*C382)/5</f>
        <v>28880</v>
      </c>
      <c r="E382" s="9" t="n">
        <f aca="false">MOD(D382,10)</f>
        <v>0</v>
      </c>
      <c r="F382" s="9" t="n">
        <f aca="false">2*D382</f>
        <v>57760</v>
      </c>
      <c r="G382" s="9" t="n">
        <f aca="false">MOD(F382,10)</f>
        <v>0</v>
      </c>
      <c r="H382" s="9" t="n">
        <f aca="false">G382/2</f>
        <v>0</v>
      </c>
      <c r="I382" s="9" t="str">
        <f aca="false">IF(H382=0,"—",IF(H382=1,"unison (1:1)",IF(H382=2,"octave (2:1)",IF(H382=3,"fifth (3:2)",IF(H382=4,"fourth (4:3)","?")))))</f>
        <v>—</v>
      </c>
      <c r="J382" s="9" t="str">
        <f aca="false">IF(H382=0,"—",IF(H382=1,"ὁμώνυμον",IF(H382=2,"διὰ πασῶν",IF(H382=3,"διὰ πέντε",IF(H382=4,"διὰ τεσσάρων","?")))))</f>
        <v>—</v>
      </c>
      <c r="K382" s="10"/>
      <c r="L382" s="14"/>
      <c r="M382" s="13"/>
    </row>
    <row r="383" customFormat="false" ht="15.75" hidden="false" customHeight="true" outlineLevel="0" collapsed="false">
      <c r="A383" s="8" t="n">
        <f aca="false">A382+1</f>
        <v>381</v>
      </c>
      <c r="B383" s="9" t="n">
        <f aca="false">MOD(4*A383^2,10)</f>
        <v>4</v>
      </c>
      <c r="C383" s="9" t="n">
        <f aca="false">(26*B383-5*B383^2)/24</f>
        <v>1</v>
      </c>
      <c r="D383" s="9" t="n">
        <f aca="false">(A383^2+4*C383)/5</f>
        <v>29033</v>
      </c>
      <c r="E383" s="9" t="n">
        <f aca="false">MOD(D383,10)</f>
        <v>3</v>
      </c>
      <c r="F383" s="9" t="n">
        <f aca="false">2*D383</f>
        <v>58066</v>
      </c>
      <c r="G383" s="9" t="n">
        <f aca="false">MOD(F383,10)</f>
        <v>6</v>
      </c>
      <c r="H383" s="9" t="n">
        <f aca="false">G383/2</f>
        <v>3</v>
      </c>
      <c r="I383" s="9" t="str">
        <f aca="false">IF(H383=0,"—",IF(H383=1,"unison (1:1)",IF(H383=2,"octave (2:1)",IF(H383=3,"fifth (3:2)",IF(H383=4,"fourth (4:3)","?")))))</f>
        <v>fifth (3:2)</v>
      </c>
      <c r="J383" s="9" t="str">
        <f aca="false">IF(H383=0,"—",IF(H383=1,"ὁμώνυμον",IF(H383=2,"διὰ πασῶν",IF(H383=3,"διὰ πέντε",IF(H383=4,"διὰ τεσσάρων","?")))))</f>
        <v>διὰ πέντε</v>
      </c>
      <c r="K383" s="10"/>
      <c r="L383" s="14"/>
      <c r="M383" s="13"/>
    </row>
    <row r="384" customFormat="false" ht="15.75" hidden="false" customHeight="true" outlineLevel="0" collapsed="false">
      <c r="A384" s="8" t="n">
        <f aca="false">A383+1</f>
        <v>382</v>
      </c>
      <c r="B384" s="9" t="n">
        <f aca="false">MOD(4*A384^2,10)</f>
        <v>6</v>
      </c>
      <c r="C384" s="9" t="n">
        <f aca="false">(26*B384-5*B384^2)/24</f>
        <v>-1</v>
      </c>
      <c r="D384" s="9" t="n">
        <f aca="false">(A384^2+4*C384)/5</f>
        <v>29184</v>
      </c>
      <c r="E384" s="9" t="n">
        <f aca="false">MOD(D384,10)</f>
        <v>4</v>
      </c>
      <c r="F384" s="9" t="n">
        <f aca="false">2*D384</f>
        <v>58368</v>
      </c>
      <c r="G384" s="9" t="n">
        <f aca="false">MOD(F384,10)</f>
        <v>8</v>
      </c>
      <c r="H384" s="9" t="n">
        <f aca="false">G384/2</f>
        <v>4</v>
      </c>
      <c r="I384" s="9" t="str">
        <f aca="false">IF(H384=0,"—",IF(H384=1,"unison (1:1)",IF(H384=2,"octave (2:1)",IF(H384=3,"fifth (3:2)",IF(H384=4,"fourth (4:3)","?")))))</f>
        <v>fourth (4:3)</v>
      </c>
      <c r="J384" s="9" t="str">
        <f aca="false">IF(H384=0,"—",IF(H384=1,"ὁμώνυμον",IF(H384=2,"διὰ πασῶν",IF(H384=3,"διὰ πέντε",IF(H384=4,"διὰ τεσσάρων","?")))))</f>
        <v>διὰ τεσσάρων</v>
      </c>
      <c r="K384" s="10"/>
      <c r="L384" s="14"/>
      <c r="M384" s="13"/>
    </row>
    <row r="385" customFormat="false" ht="15.75" hidden="false" customHeight="true" outlineLevel="0" collapsed="false">
      <c r="A385" s="8" t="n">
        <f aca="false">A384+1</f>
        <v>383</v>
      </c>
      <c r="B385" s="9" t="n">
        <f aca="false">MOD(4*A385^2,10)</f>
        <v>6</v>
      </c>
      <c r="C385" s="9" t="n">
        <f aca="false">(26*B385-5*B385^2)/24</f>
        <v>-1</v>
      </c>
      <c r="D385" s="9" t="n">
        <f aca="false">(A385^2+4*C385)/5</f>
        <v>29337</v>
      </c>
      <c r="E385" s="9" t="n">
        <f aca="false">MOD(D385,10)</f>
        <v>7</v>
      </c>
      <c r="F385" s="9" t="n">
        <f aca="false">2*D385</f>
        <v>58674</v>
      </c>
      <c r="G385" s="9" t="n">
        <f aca="false">MOD(F385,10)</f>
        <v>4</v>
      </c>
      <c r="H385" s="9" t="n">
        <f aca="false">G385/2</f>
        <v>2</v>
      </c>
      <c r="I385" s="9" t="str">
        <f aca="false">IF(H385=0,"—",IF(H385=1,"unison (1:1)",IF(H385=2,"octave (2:1)",IF(H385=3,"fifth (3:2)",IF(H385=4,"fourth (4:3)","?")))))</f>
        <v>octave (2:1)</v>
      </c>
      <c r="J385" s="9" t="str">
        <f aca="false">IF(H385=0,"—",IF(H385=1,"ὁμώνυμον",IF(H385=2,"διὰ πασῶν",IF(H385=3,"διὰ πέντε",IF(H385=4,"διὰ τεσσάρων","?")))))</f>
        <v>διὰ πασῶν</v>
      </c>
      <c r="K385" s="10"/>
      <c r="L385" s="14"/>
      <c r="M385" s="13"/>
    </row>
    <row r="386" customFormat="false" ht="15.75" hidden="false" customHeight="true" outlineLevel="0" collapsed="false">
      <c r="A386" s="8" t="n">
        <f aca="false">A385+1</f>
        <v>384</v>
      </c>
      <c r="B386" s="9" t="n">
        <f aca="false">MOD(4*A386^2,10)</f>
        <v>4</v>
      </c>
      <c r="C386" s="9" t="n">
        <f aca="false">(26*B386-5*B386^2)/24</f>
        <v>1</v>
      </c>
      <c r="D386" s="9" t="n">
        <f aca="false">(A386^2+4*C386)/5</f>
        <v>29492</v>
      </c>
      <c r="E386" s="9" t="n">
        <f aca="false">MOD(D386,10)</f>
        <v>2</v>
      </c>
      <c r="F386" s="9" t="n">
        <f aca="false">2*D386</f>
        <v>58984</v>
      </c>
      <c r="G386" s="9" t="n">
        <f aca="false">MOD(F386,10)</f>
        <v>4</v>
      </c>
      <c r="H386" s="9" t="n">
        <f aca="false">G386/2</f>
        <v>2</v>
      </c>
      <c r="I386" s="9" t="str">
        <f aca="false">IF(H386=0,"—",IF(H386=1,"unison (1:1)",IF(H386=2,"octave (2:1)",IF(H386=3,"fifth (3:2)",IF(H386=4,"fourth (4:3)","?")))))</f>
        <v>octave (2:1)</v>
      </c>
      <c r="J386" s="9" t="str">
        <f aca="false">IF(H386=0,"—",IF(H386=1,"ὁμώνυμον",IF(H386=2,"διὰ πασῶν",IF(H386=3,"διὰ πέντε",IF(H386=4,"διὰ τεσσάρων","?")))))</f>
        <v>διὰ πασῶν</v>
      </c>
      <c r="K386" s="10"/>
      <c r="L386" s="14"/>
      <c r="M386" s="13"/>
    </row>
    <row r="387" customFormat="false" ht="15.75" hidden="false" customHeight="true" outlineLevel="0" collapsed="false">
      <c r="A387" s="8" t="n">
        <f aca="false">A386+1</f>
        <v>385</v>
      </c>
      <c r="B387" s="9" t="n">
        <f aca="false">MOD(4*A387^2,10)</f>
        <v>0</v>
      </c>
      <c r="C387" s="9" t="n">
        <f aca="false">(26*B387-5*B387^2)/24</f>
        <v>0</v>
      </c>
      <c r="D387" s="9" t="n">
        <f aca="false">(A387^2+4*C387)/5</f>
        <v>29645</v>
      </c>
      <c r="E387" s="9" t="n">
        <f aca="false">MOD(D387,10)</f>
        <v>5</v>
      </c>
      <c r="F387" s="9" t="n">
        <f aca="false">2*D387</f>
        <v>59290</v>
      </c>
      <c r="G387" s="9" t="n">
        <f aca="false">MOD(F387,10)</f>
        <v>0</v>
      </c>
      <c r="H387" s="9" t="n">
        <f aca="false">G387/2</f>
        <v>0</v>
      </c>
      <c r="I387" s="9" t="str">
        <f aca="false">IF(H387=0,"—",IF(H387=1,"unison (1:1)",IF(H387=2,"octave (2:1)",IF(H387=3,"fifth (3:2)",IF(H387=4,"fourth (4:3)","?")))))</f>
        <v>—</v>
      </c>
      <c r="J387" s="9" t="str">
        <f aca="false">IF(H387=0,"—",IF(H387=1,"ὁμώνυμον",IF(H387=2,"διὰ πασῶν",IF(H387=3,"διὰ πέντε",IF(H387=4,"διὰ τεσσάρων","?")))))</f>
        <v>—</v>
      </c>
      <c r="K387" s="10"/>
      <c r="L387" s="14"/>
      <c r="M387" s="13"/>
    </row>
    <row r="388" customFormat="false" ht="15.75" hidden="false" customHeight="true" outlineLevel="0" collapsed="false">
      <c r="A388" s="8" t="n">
        <f aca="false">A387+1</f>
        <v>386</v>
      </c>
      <c r="B388" s="9" t="n">
        <f aca="false">MOD(4*A388^2,10)</f>
        <v>4</v>
      </c>
      <c r="C388" s="9" t="n">
        <f aca="false">(26*B388-5*B388^2)/24</f>
        <v>1</v>
      </c>
      <c r="D388" s="9" t="n">
        <f aca="false">(A388^2+4*C388)/5</f>
        <v>29800</v>
      </c>
      <c r="E388" s="9" t="n">
        <f aca="false">MOD(D388,10)</f>
        <v>0</v>
      </c>
      <c r="F388" s="9" t="n">
        <f aca="false">2*D388</f>
        <v>59600</v>
      </c>
      <c r="G388" s="9" t="n">
        <f aca="false">MOD(F388,10)</f>
        <v>0</v>
      </c>
      <c r="H388" s="9" t="n">
        <f aca="false">G388/2</f>
        <v>0</v>
      </c>
      <c r="I388" s="9" t="str">
        <f aca="false">IF(H388=0,"—",IF(H388=1,"unison (1:1)",IF(H388=2,"octave (2:1)",IF(H388=3,"fifth (3:2)",IF(H388=4,"fourth (4:3)","?")))))</f>
        <v>—</v>
      </c>
      <c r="J388" s="9" t="str">
        <f aca="false">IF(H388=0,"—",IF(H388=1,"ὁμώνυμον",IF(H388=2,"διὰ πασῶν",IF(H388=3,"διὰ πέντε",IF(H388=4,"διὰ τεσσάρων","?")))))</f>
        <v>—</v>
      </c>
      <c r="K388" s="10"/>
      <c r="L388" s="14"/>
      <c r="M388" s="13"/>
    </row>
    <row r="389" customFormat="false" ht="15.75" hidden="false" customHeight="true" outlineLevel="0" collapsed="false">
      <c r="A389" s="8" t="n">
        <f aca="false">A388+1</f>
        <v>387</v>
      </c>
      <c r="B389" s="9" t="n">
        <f aca="false">MOD(4*A389^2,10)</f>
        <v>6</v>
      </c>
      <c r="C389" s="9" t="n">
        <f aca="false">(26*B389-5*B389^2)/24</f>
        <v>-1</v>
      </c>
      <c r="D389" s="9" t="n">
        <f aca="false">(A389^2+4*C389)/5</f>
        <v>29953</v>
      </c>
      <c r="E389" s="9" t="n">
        <f aca="false">MOD(D389,10)</f>
        <v>3</v>
      </c>
      <c r="F389" s="9" t="n">
        <f aca="false">2*D389</f>
        <v>59906</v>
      </c>
      <c r="G389" s="9" t="n">
        <f aca="false">MOD(F389,10)</f>
        <v>6</v>
      </c>
      <c r="H389" s="9" t="n">
        <f aca="false">G389/2</f>
        <v>3</v>
      </c>
      <c r="I389" s="9" t="str">
        <f aca="false">IF(H389=0,"—",IF(H389=1,"unison (1:1)",IF(H389=2,"octave (2:1)",IF(H389=3,"fifth (3:2)",IF(H389=4,"fourth (4:3)","?")))))</f>
        <v>fifth (3:2)</v>
      </c>
      <c r="J389" s="9" t="str">
        <f aca="false">IF(H389=0,"—",IF(H389=1,"ὁμώνυμον",IF(H389=2,"διὰ πασῶν",IF(H389=3,"διὰ πέντε",IF(H389=4,"διὰ τεσσάρων","?")))))</f>
        <v>διὰ πέντε</v>
      </c>
      <c r="K389" s="10"/>
      <c r="L389" s="14"/>
      <c r="M389" s="13"/>
    </row>
    <row r="390" customFormat="false" ht="15.75" hidden="false" customHeight="true" outlineLevel="0" collapsed="false">
      <c r="A390" s="8" t="n">
        <f aca="false">A389+1</f>
        <v>388</v>
      </c>
      <c r="B390" s="9" t="n">
        <f aca="false">MOD(4*A390^2,10)</f>
        <v>6</v>
      </c>
      <c r="C390" s="9" t="n">
        <f aca="false">(26*B390-5*B390^2)/24</f>
        <v>-1</v>
      </c>
      <c r="D390" s="9" t="n">
        <f aca="false">(A390^2+4*C390)/5</f>
        <v>30108</v>
      </c>
      <c r="E390" s="9" t="n">
        <f aca="false">MOD(D390,10)</f>
        <v>8</v>
      </c>
      <c r="F390" s="9" t="n">
        <f aca="false">2*D390</f>
        <v>60216</v>
      </c>
      <c r="G390" s="9" t="n">
        <f aca="false">MOD(F390,10)</f>
        <v>6</v>
      </c>
      <c r="H390" s="9" t="n">
        <f aca="false">G390/2</f>
        <v>3</v>
      </c>
      <c r="I390" s="9" t="str">
        <f aca="false">IF(H390=0,"—",IF(H390=1,"unison (1:1)",IF(H390=2,"octave (2:1)",IF(H390=3,"fifth (3:2)",IF(H390=4,"fourth (4:3)","?")))))</f>
        <v>fifth (3:2)</v>
      </c>
      <c r="J390" s="9" t="str">
        <f aca="false">IF(H390=0,"—",IF(H390=1,"ὁμώνυμον",IF(H390=2,"διὰ πασῶν",IF(H390=3,"διὰ πέντε",IF(H390=4,"διὰ τεσσάρων","?")))))</f>
        <v>διὰ πέντε</v>
      </c>
      <c r="K390" s="10"/>
      <c r="L390" s="14"/>
      <c r="M390" s="13"/>
    </row>
    <row r="391" customFormat="false" ht="15.75" hidden="false" customHeight="true" outlineLevel="0" collapsed="false">
      <c r="A391" s="8" t="n">
        <f aca="false">A390+1</f>
        <v>389</v>
      </c>
      <c r="B391" s="9" t="n">
        <f aca="false">MOD(4*A391^2,10)</f>
        <v>4</v>
      </c>
      <c r="C391" s="9" t="n">
        <f aca="false">(26*B391-5*B391^2)/24</f>
        <v>1</v>
      </c>
      <c r="D391" s="9" t="n">
        <f aca="false">(A391^2+4*C391)/5</f>
        <v>30265</v>
      </c>
      <c r="E391" s="9" t="n">
        <f aca="false">MOD(D391,10)</f>
        <v>5</v>
      </c>
      <c r="F391" s="9" t="n">
        <f aca="false">2*D391</f>
        <v>60530</v>
      </c>
      <c r="G391" s="9" t="n">
        <f aca="false">MOD(F391,10)</f>
        <v>0</v>
      </c>
      <c r="H391" s="9" t="n">
        <f aca="false">G391/2</f>
        <v>0</v>
      </c>
      <c r="I391" s="9" t="str">
        <f aca="false">IF(H391=0,"—",IF(H391=1,"unison (1:1)",IF(H391=2,"octave (2:1)",IF(H391=3,"fifth (3:2)",IF(H391=4,"fourth (4:3)","?")))))</f>
        <v>—</v>
      </c>
      <c r="J391" s="9" t="str">
        <f aca="false">IF(H391=0,"—",IF(H391=1,"ὁμώνυμον",IF(H391=2,"διὰ πασῶν",IF(H391=3,"διὰ πέντε",IF(H391=4,"διὰ τεσσάρων","?")))))</f>
        <v>—</v>
      </c>
      <c r="K391" s="10"/>
      <c r="L391" s="14"/>
      <c r="M391" s="13"/>
    </row>
    <row r="392" customFormat="false" ht="15.75" hidden="false" customHeight="true" outlineLevel="0" collapsed="false">
      <c r="A392" s="8" t="n">
        <f aca="false">A391+1</f>
        <v>390</v>
      </c>
      <c r="B392" s="9" t="n">
        <f aca="false">MOD(4*A392^2,10)</f>
        <v>0</v>
      </c>
      <c r="C392" s="9" t="n">
        <f aca="false">(26*B392-5*B392^2)/24</f>
        <v>0</v>
      </c>
      <c r="D392" s="9" t="n">
        <f aca="false">(A392^2+4*C392)/5</f>
        <v>30420</v>
      </c>
      <c r="E392" s="9" t="n">
        <f aca="false">MOD(D392,10)</f>
        <v>0</v>
      </c>
      <c r="F392" s="9" t="n">
        <f aca="false">2*D392</f>
        <v>60840</v>
      </c>
      <c r="G392" s="9" t="n">
        <f aca="false">MOD(F392,10)</f>
        <v>0</v>
      </c>
      <c r="H392" s="9" t="n">
        <f aca="false">G392/2</f>
        <v>0</v>
      </c>
      <c r="I392" s="9" t="str">
        <f aca="false">IF(H392=0,"—",IF(H392=1,"unison (1:1)",IF(H392=2,"octave (2:1)",IF(H392=3,"fifth (3:2)",IF(H392=4,"fourth (4:3)","?")))))</f>
        <v>—</v>
      </c>
      <c r="J392" s="9" t="str">
        <f aca="false">IF(H392=0,"—",IF(H392=1,"ὁμώνυμον",IF(H392=2,"διὰ πασῶν",IF(H392=3,"διὰ πέντε",IF(H392=4,"διὰ τεσσάρων","?")))))</f>
        <v>—</v>
      </c>
      <c r="K392" s="10"/>
      <c r="L392" s="14"/>
      <c r="M392" s="13"/>
    </row>
    <row r="393" customFormat="false" ht="15.75" hidden="false" customHeight="true" outlineLevel="0" collapsed="false">
      <c r="A393" s="8" t="n">
        <f aca="false">A392+1</f>
        <v>391</v>
      </c>
      <c r="B393" s="9" t="n">
        <f aca="false">MOD(4*A393^2,10)</f>
        <v>4</v>
      </c>
      <c r="C393" s="9" t="n">
        <f aca="false">(26*B393-5*B393^2)/24</f>
        <v>1</v>
      </c>
      <c r="D393" s="9" t="n">
        <f aca="false">(A393^2+4*C393)/5</f>
        <v>30577</v>
      </c>
      <c r="E393" s="9" t="n">
        <f aca="false">MOD(D393,10)</f>
        <v>7</v>
      </c>
      <c r="F393" s="9" t="n">
        <f aca="false">2*D393</f>
        <v>61154</v>
      </c>
      <c r="G393" s="9" t="n">
        <f aca="false">MOD(F393,10)</f>
        <v>4</v>
      </c>
      <c r="H393" s="9" t="n">
        <f aca="false">G393/2</f>
        <v>2</v>
      </c>
      <c r="I393" s="9" t="str">
        <f aca="false">IF(H393=0,"—",IF(H393=1,"unison (1:1)",IF(H393=2,"octave (2:1)",IF(H393=3,"fifth (3:2)",IF(H393=4,"fourth (4:3)","?")))))</f>
        <v>octave (2:1)</v>
      </c>
      <c r="J393" s="9" t="str">
        <f aca="false">IF(H393=0,"—",IF(H393=1,"ὁμώνυμον",IF(H393=2,"διὰ πασῶν",IF(H393=3,"διὰ πέντε",IF(H393=4,"διὰ τεσσάρων","?")))))</f>
        <v>διὰ πασῶν</v>
      </c>
      <c r="K393" s="10"/>
      <c r="L393" s="14"/>
      <c r="M393" s="13"/>
    </row>
    <row r="394" customFormat="false" ht="15.75" hidden="false" customHeight="true" outlineLevel="0" collapsed="false">
      <c r="A394" s="8" t="n">
        <f aca="false">A393+1</f>
        <v>392</v>
      </c>
      <c r="B394" s="9" t="n">
        <f aca="false">MOD(4*A394^2,10)</f>
        <v>6</v>
      </c>
      <c r="C394" s="9" t="n">
        <f aca="false">(26*B394-5*B394^2)/24</f>
        <v>-1</v>
      </c>
      <c r="D394" s="9" t="n">
        <f aca="false">(A394^2+4*C394)/5</f>
        <v>30732</v>
      </c>
      <c r="E394" s="9" t="n">
        <f aca="false">MOD(D394,10)</f>
        <v>2</v>
      </c>
      <c r="F394" s="9" t="n">
        <f aca="false">2*D394</f>
        <v>61464</v>
      </c>
      <c r="G394" s="9" t="n">
        <f aca="false">MOD(F394,10)</f>
        <v>4</v>
      </c>
      <c r="H394" s="9" t="n">
        <f aca="false">G394/2</f>
        <v>2</v>
      </c>
      <c r="I394" s="9" t="str">
        <f aca="false">IF(H394=0,"—",IF(H394=1,"unison (1:1)",IF(H394=2,"octave (2:1)",IF(H394=3,"fifth (3:2)",IF(H394=4,"fourth (4:3)","?")))))</f>
        <v>octave (2:1)</v>
      </c>
      <c r="J394" s="9" t="str">
        <f aca="false">IF(H394=0,"—",IF(H394=1,"ὁμώνυμον",IF(H394=2,"διὰ πασῶν",IF(H394=3,"διὰ πέντε",IF(H394=4,"διὰ τεσσάρων","?")))))</f>
        <v>διὰ πασῶν</v>
      </c>
      <c r="K394" s="10"/>
      <c r="L394" s="14"/>
      <c r="M394" s="13"/>
    </row>
    <row r="395" customFormat="false" ht="15.75" hidden="false" customHeight="true" outlineLevel="0" collapsed="false">
      <c r="A395" s="8" t="n">
        <f aca="false">A394+1</f>
        <v>393</v>
      </c>
      <c r="B395" s="9" t="n">
        <f aca="false">MOD(4*A395^2,10)</f>
        <v>6</v>
      </c>
      <c r="C395" s="9" t="n">
        <f aca="false">(26*B395-5*B395^2)/24</f>
        <v>-1</v>
      </c>
      <c r="D395" s="9" t="n">
        <f aca="false">(A395^2+4*C395)/5</f>
        <v>30889</v>
      </c>
      <c r="E395" s="9" t="n">
        <f aca="false">MOD(D395,10)</f>
        <v>9</v>
      </c>
      <c r="F395" s="9" t="n">
        <f aca="false">2*D395</f>
        <v>61778</v>
      </c>
      <c r="G395" s="9" t="n">
        <f aca="false">MOD(F395,10)</f>
        <v>8</v>
      </c>
      <c r="H395" s="9" t="n">
        <f aca="false">G395/2</f>
        <v>4</v>
      </c>
      <c r="I395" s="9" t="str">
        <f aca="false">IF(H395=0,"—",IF(H395=1,"unison (1:1)",IF(H395=2,"octave (2:1)",IF(H395=3,"fifth (3:2)",IF(H395=4,"fourth (4:3)","?")))))</f>
        <v>fourth (4:3)</v>
      </c>
      <c r="J395" s="9" t="str">
        <f aca="false">IF(H395=0,"—",IF(H395=1,"ὁμώνυμον",IF(H395=2,"διὰ πασῶν",IF(H395=3,"διὰ πέντε",IF(H395=4,"διὰ τεσσάρων","?")))))</f>
        <v>διὰ τεσσάρων</v>
      </c>
      <c r="K395" s="10"/>
      <c r="L395" s="14"/>
      <c r="M395" s="13"/>
    </row>
    <row r="396" customFormat="false" ht="15.75" hidden="false" customHeight="true" outlineLevel="0" collapsed="false">
      <c r="A396" s="8" t="n">
        <f aca="false">A395+1</f>
        <v>394</v>
      </c>
      <c r="B396" s="9" t="n">
        <f aca="false">MOD(4*A396^2,10)</f>
        <v>4</v>
      </c>
      <c r="C396" s="9" t="n">
        <f aca="false">(26*B396-5*B396^2)/24</f>
        <v>1</v>
      </c>
      <c r="D396" s="9" t="n">
        <f aca="false">(A396^2+4*C396)/5</f>
        <v>31048</v>
      </c>
      <c r="E396" s="9" t="n">
        <f aca="false">MOD(D396,10)</f>
        <v>8</v>
      </c>
      <c r="F396" s="9" t="n">
        <f aca="false">2*D396</f>
        <v>62096</v>
      </c>
      <c r="G396" s="9" t="n">
        <f aca="false">MOD(F396,10)</f>
        <v>6</v>
      </c>
      <c r="H396" s="9" t="n">
        <f aca="false">G396/2</f>
        <v>3</v>
      </c>
      <c r="I396" s="9" t="str">
        <f aca="false">IF(H396=0,"—",IF(H396=1,"unison (1:1)",IF(H396=2,"octave (2:1)",IF(H396=3,"fifth (3:2)",IF(H396=4,"fourth (4:3)","?")))))</f>
        <v>fifth (3:2)</v>
      </c>
      <c r="J396" s="9" t="str">
        <f aca="false">IF(H396=0,"—",IF(H396=1,"ὁμώνυμον",IF(H396=2,"διὰ πασῶν",IF(H396=3,"διὰ πέντε",IF(H396=4,"διὰ τεσσάρων","?")))))</f>
        <v>διὰ πέντε</v>
      </c>
      <c r="K396" s="10"/>
      <c r="L396" s="14"/>
      <c r="M396" s="13"/>
    </row>
    <row r="397" customFormat="false" ht="15.75" hidden="false" customHeight="true" outlineLevel="0" collapsed="false">
      <c r="A397" s="8" t="n">
        <f aca="false">A396+1</f>
        <v>395</v>
      </c>
      <c r="B397" s="9" t="n">
        <f aca="false">MOD(4*A397^2,10)</f>
        <v>0</v>
      </c>
      <c r="C397" s="9" t="n">
        <f aca="false">(26*B397-5*B397^2)/24</f>
        <v>0</v>
      </c>
      <c r="D397" s="9" t="n">
        <f aca="false">(A397^2+4*C397)/5</f>
        <v>31205</v>
      </c>
      <c r="E397" s="9" t="n">
        <f aca="false">MOD(D397,10)</f>
        <v>5</v>
      </c>
      <c r="F397" s="9" t="n">
        <f aca="false">2*D397</f>
        <v>62410</v>
      </c>
      <c r="G397" s="9" t="n">
        <f aca="false">MOD(F397,10)</f>
        <v>0</v>
      </c>
      <c r="H397" s="9" t="n">
        <f aca="false">G397/2</f>
        <v>0</v>
      </c>
      <c r="I397" s="9" t="str">
        <f aca="false">IF(H397=0,"—",IF(H397=1,"unison (1:1)",IF(H397=2,"octave (2:1)",IF(H397=3,"fifth (3:2)",IF(H397=4,"fourth (4:3)","?")))))</f>
        <v>—</v>
      </c>
      <c r="J397" s="9" t="str">
        <f aca="false">IF(H397=0,"—",IF(H397=1,"ὁμώνυμον",IF(H397=2,"διὰ πασῶν",IF(H397=3,"διὰ πέντε",IF(H397=4,"διὰ τεσσάρων","?")))))</f>
        <v>—</v>
      </c>
      <c r="K397" s="10"/>
      <c r="L397" s="14"/>
      <c r="M397" s="13"/>
    </row>
    <row r="398" customFormat="false" ht="15.75" hidden="false" customHeight="true" outlineLevel="0" collapsed="false">
      <c r="A398" s="8" t="n">
        <f aca="false">A397+1</f>
        <v>396</v>
      </c>
      <c r="B398" s="9" t="n">
        <f aca="false">MOD(4*A398^2,10)</f>
        <v>4</v>
      </c>
      <c r="C398" s="9" t="n">
        <f aca="false">(26*B398-5*B398^2)/24</f>
        <v>1</v>
      </c>
      <c r="D398" s="9" t="n">
        <f aca="false">(A398^2+4*C398)/5</f>
        <v>31364</v>
      </c>
      <c r="E398" s="9" t="n">
        <f aca="false">MOD(D398,10)</f>
        <v>4</v>
      </c>
      <c r="F398" s="9" t="n">
        <f aca="false">2*D398</f>
        <v>62728</v>
      </c>
      <c r="G398" s="9" t="n">
        <f aca="false">MOD(F398,10)</f>
        <v>8</v>
      </c>
      <c r="H398" s="9" t="n">
        <f aca="false">G398/2</f>
        <v>4</v>
      </c>
      <c r="I398" s="9" t="str">
        <f aca="false">IF(H398=0,"—",IF(H398=1,"unison (1:1)",IF(H398=2,"octave (2:1)",IF(H398=3,"fifth (3:2)",IF(H398=4,"fourth (4:3)","?")))))</f>
        <v>fourth (4:3)</v>
      </c>
      <c r="J398" s="9" t="str">
        <f aca="false">IF(H398=0,"—",IF(H398=1,"ὁμώνυμον",IF(H398=2,"διὰ πασῶν",IF(H398=3,"διὰ πέντε",IF(H398=4,"διὰ τεσσάρων","?")))))</f>
        <v>διὰ τεσσάρων</v>
      </c>
      <c r="K398" s="10"/>
      <c r="L398" s="14"/>
      <c r="M398" s="13"/>
    </row>
    <row r="399" customFormat="false" ht="15.75" hidden="false" customHeight="true" outlineLevel="0" collapsed="false">
      <c r="A399" s="8" t="n">
        <f aca="false">A398+1</f>
        <v>397</v>
      </c>
      <c r="B399" s="9" t="n">
        <f aca="false">MOD(4*A399^2,10)</f>
        <v>6</v>
      </c>
      <c r="C399" s="9" t="n">
        <f aca="false">(26*B399-5*B399^2)/24</f>
        <v>-1</v>
      </c>
      <c r="D399" s="9" t="n">
        <f aca="false">(A399^2+4*C399)/5</f>
        <v>31521</v>
      </c>
      <c r="E399" s="9" t="n">
        <f aca="false">MOD(D399,10)</f>
        <v>1</v>
      </c>
      <c r="F399" s="9" t="n">
        <f aca="false">2*D399</f>
        <v>63042</v>
      </c>
      <c r="G399" s="9" t="n">
        <f aca="false">MOD(F399,10)</f>
        <v>2</v>
      </c>
      <c r="H399" s="9" t="n">
        <f aca="false">G399/2</f>
        <v>1</v>
      </c>
      <c r="I399" s="9" t="str">
        <f aca="false">IF(H399=0,"—",IF(H399=1,"unison (1:1)",IF(H399=2,"octave (2:1)",IF(H399=3,"fifth (3:2)",IF(H399=4,"fourth (4:3)","?")))))</f>
        <v>unison (1:1)</v>
      </c>
      <c r="J399" s="9" t="str">
        <f aca="false">IF(H399=0,"—",IF(H399=1,"ὁμώνυμον",IF(H399=2,"διὰ πασῶν",IF(H399=3,"διὰ πέντε",IF(H399=4,"διὰ τεσσάρων","?")))))</f>
        <v>ὁμώνυμον</v>
      </c>
      <c r="K399" s="10"/>
      <c r="L399" s="14"/>
      <c r="M399" s="13"/>
    </row>
    <row r="400" customFormat="false" ht="15.75" hidden="false" customHeight="true" outlineLevel="0" collapsed="false">
      <c r="A400" s="8" t="n">
        <f aca="false">A399+1</f>
        <v>398</v>
      </c>
      <c r="B400" s="9" t="n">
        <f aca="false">MOD(4*A400^2,10)</f>
        <v>6</v>
      </c>
      <c r="C400" s="9" t="n">
        <f aca="false">(26*B400-5*B400^2)/24</f>
        <v>-1</v>
      </c>
      <c r="D400" s="9" t="n">
        <f aca="false">(A400^2+4*C400)/5</f>
        <v>31680</v>
      </c>
      <c r="E400" s="9" t="n">
        <f aca="false">MOD(D400,10)</f>
        <v>0</v>
      </c>
      <c r="F400" s="9" t="n">
        <f aca="false">2*D400</f>
        <v>63360</v>
      </c>
      <c r="G400" s="9" t="n">
        <f aca="false">MOD(F400,10)</f>
        <v>0</v>
      </c>
      <c r="H400" s="9" t="n">
        <f aca="false">G400/2</f>
        <v>0</v>
      </c>
      <c r="I400" s="9" t="str">
        <f aca="false">IF(H400=0,"—",IF(H400=1,"unison (1:1)",IF(H400=2,"octave (2:1)",IF(H400=3,"fifth (3:2)",IF(H400=4,"fourth (4:3)","?")))))</f>
        <v>—</v>
      </c>
      <c r="J400" s="9" t="str">
        <f aca="false">IF(H400=0,"—",IF(H400=1,"ὁμώνυμον",IF(H400=2,"διὰ πασῶν",IF(H400=3,"διὰ πέντε",IF(H400=4,"διὰ τεσσάρων","?")))))</f>
        <v>—</v>
      </c>
      <c r="K400" s="10"/>
      <c r="L400" s="14"/>
      <c r="M400" s="13"/>
    </row>
    <row r="401" customFormat="false" ht="15.75" hidden="false" customHeight="true" outlineLevel="0" collapsed="false">
      <c r="A401" s="8" t="n">
        <f aca="false">A400+1</f>
        <v>399</v>
      </c>
      <c r="B401" s="9" t="n">
        <f aca="false">MOD(4*A401^2,10)</f>
        <v>4</v>
      </c>
      <c r="C401" s="9" t="n">
        <f aca="false">(26*B401-5*B401^2)/24</f>
        <v>1</v>
      </c>
      <c r="D401" s="9" t="n">
        <f aca="false">(A401^2+4*C401)/5</f>
        <v>31841</v>
      </c>
      <c r="E401" s="9" t="n">
        <f aca="false">MOD(D401,10)</f>
        <v>1</v>
      </c>
      <c r="F401" s="9" t="n">
        <f aca="false">2*D401</f>
        <v>63682</v>
      </c>
      <c r="G401" s="9" t="n">
        <f aca="false">MOD(F401,10)</f>
        <v>2</v>
      </c>
      <c r="H401" s="9" t="n">
        <f aca="false">G401/2</f>
        <v>1</v>
      </c>
      <c r="I401" s="9" t="str">
        <f aca="false">IF(H401=0,"—",IF(H401=1,"unison (1:1)",IF(H401=2,"octave (2:1)",IF(H401=3,"fifth (3:2)",IF(H401=4,"fourth (4:3)","?")))))</f>
        <v>unison (1:1)</v>
      </c>
      <c r="J401" s="9" t="str">
        <f aca="false">IF(H401=0,"—",IF(H401=1,"ὁμώνυμον",IF(H401=2,"διὰ πασῶν",IF(H401=3,"διὰ πέντε",IF(H401=4,"διὰ τεσσάρων","?")))))</f>
        <v>ὁμώνυμον</v>
      </c>
      <c r="K401" s="10"/>
      <c r="L401" s="14"/>
      <c r="M401" s="13"/>
    </row>
    <row r="402" customFormat="false" ht="15.75" hidden="false" customHeight="true" outlineLevel="0" collapsed="false">
      <c r="A402" s="8" t="n">
        <f aca="false">A401+1</f>
        <v>400</v>
      </c>
      <c r="B402" s="9" t="n">
        <f aca="false">MOD(4*A402^2,10)</f>
        <v>0</v>
      </c>
      <c r="C402" s="9" t="n">
        <f aca="false">(26*B402-5*B402^2)/24</f>
        <v>0</v>
      </c>
      <c r="D402" s="9" t="n">
        <f aca="false">(A402^2+4*C402)/5</f>
        <v>32000</v>
      </c>
      <c r="E402" s="9" t="n">
        <f aca="false">MOD(D402,10)</f>
        <v>0</v>
      </c>
      <c r="F402" s="9" t="n">
        <f aca="false">2*D402</f>
        <v>64000</v>
      </c>
      <c r="G402" s="9" t="n">
        <f aca="false">MOD(F402,10)</f>
        <v>0</v>
      </c>
      <c r="H402" s="9" t="n">
        <f aca="false">G402/2</f>
        <v>0</v>
      </c>
      <c r="I402" s="9" t="str">
        <f aca="false">IF(H402=0,"—",IF(H402=1,"unison (1:1)",IF(H402=2,"octave (2:1)",IF(H402=3,"fifth (3:2)",IF(H402=4,"fourth (4:3)","?")))))</f>
        <v>—</v>
      </c>
      <c r="J402" s="9" t="str">
        <f aca="false">IF(H402=0,"—",IF(H402=1,"ὁμώνυμον",IF(H402=2,"διὰ πασῶν",IF(H402=3,"διὰ πέντε",IF(H402=4,"διὰ τεσσάρων","?")))))</f>
        <v>—</v>
      </c>
      <c r="K402" s="10"/>
      <c r="L402" s="14"/>
      <c r="M402" s="13"/>
    </row>
    <row r="403" customFormat="false" ht="15.75" hidden="false" customHeight="true" outlineLevel="0" collapsed="false">
      <c r="A403" s="8" t="n">
        <f aca="false">A402+1</f>
        <v>401</v>
      </c>
      <c r="B403" s="9" t="n">
        <f aca="false">MOD(4*A403^2,10)</f>
        <v>4</v>
      </c>
      <c r="C403" s="9" t="n">
        <f aca="false">(26*B403-5*B403^2)/24</f>
        <v>1</v>
      </c>
      <c r="D403" s="9" t="n">
        <f aca="false">(A403^2+4*C403)/5</f>
        <v>32161</v>
      </c>
      <c r="E403" s="9" t="n">
        <f aca="false">MOD(D403,10)</f>
        <v>1</v>
      </c>
      <c r="F403" s="9" t="n">
        <f aca="false">2*D403</f>
        <v>64322</v>
      </c>
      <c r="G403" s="9" t="n">
        <f aca="false">MOD(F403,10)</f>
        <v>2</v>
      </c>
      <c r="H403" s="9" t="n">
        <f aca="false">G403/2</f>
        <v>1</v>
      </c>
      <c r="I403" s="9" t="str">
        <f aca="false">IF(H403=0,"—",IF(H403=1,"unison (1:1)",IF(H403=2,"octave (2:1)",IF(H403=3,"fifth (3:2)",IF(H403=4,"fourth (4:3)","?")))))</f>
        <v>unison (1:1)</v>
      </c>
      <c r="J403" s="9" t="str">
        <f aca="false">IF(H403=0,"—",IF(H403=1,"ὁμώνυμον",IF(H403=2,"διὰ πασῶν",IF(H403=3,"διὰ πέντε",IF(H403=4,"διὰ τεσσάρων","?")))))</f>
        <v>ὁμώνυμον</v>
      </c>
      <c r="K403" s="10"/>
      <c r="L403" s="14"/>
      <c r="M403" s="13"/>
    </row>
    <row r="404" customFormat="false" ht="15.75" hidden="false" customHeight="true" outlineLevel="0" collapsed="false">
      <c r="A404" s="8" t="n">
        <f aca="false">A403+1</f>
        <v>402</v>
      </c>
      <c r="B404" s="9" t="n">
        <f aca="false">MOD(4*A404^2,10)</f>
        <v>6</v>
      </c>
      <c r="C404" s="9" t="n">
        <f aca="false">(26*B404-5*B404^2)/24</f>
        <v>-1</v>
      </c>
      <c r="D404" s="9" t="n">
        <f aca="false">(A404^2+4*C404)/5</f>
        <v>32320</v>
      </c>
      <c r="E404" s="9" t="n">
        <f aca="false">MOD(D404,10)</f>
        <v>0</v>
      </c>
      <c r="F404" s="9" t="n">
        <f aca="false">2*D404</f>
        <v>64640</v>
      </c>
      <c r="G404" s="9" t="n">
        <f aca="false">MOD(F404,10)</f>
        <v>0</v>
      </c>
      <c r="H404" s="9" t="n">
        <f aca="false">G404/2</f>
        <v>0</v>
      </c>
      <c r="I404" s="9" t="str">
        <f aca="false">IF(H404=0,"—",IF(H404=1,"unison (1:1)",IF(H404=2,"octave (2:1)",IF(H404=3,"fifth (3:2)",IF(H404=4,"fourth (4:3)","?")))))</f>
        <v>—</v>
      </c>
      <c r="J404" s="9" t="str">
        <f aca="false">IF(H404=0,"—",IF(H404=1,"ὁμώνυμον",IF(H404=2,"διὰ πασῶν",IF(H404=3,"διὰ πέντε",IF(H404=4,"διὰ τεσσάρων","?")))))</f>
        <v>—</v>
      </c>
      <c r="K404" s="10"/>
      <c r="L404" s="14"/>
      <c r="M404" s="13"/>
    </row>
    <row r="405" customFormat="false" ht="15.75" hidden="false" customHeight="true" outlineLevel="0" collapsed="false">
      <c r="A405" s="8" t="n">
        <f aca="false">A404+1</f>
        <v>403</v>
      </c>
      <c r="B405" s="9" t="n">
        <f aca="false">MOD(4*A405^2,10)</f>
        <v>6</v>
      </c>
      <c r="C405" s="9" t="n">
        <f aca="false">(26*B405-5*B405^2)/24</f>
        <v>-1</v>
      </c>
      <c r="D405" s="9" t="n">
        <f aca="false">(A405^2+4*C405)/5</f>
        <v>32481</v>
      </c>
      <c r="E405" s="9" t="n">
        <f aca="false">MOD(D405,10)</f>
        <v>1</v>
      </c>
      <c r="F405" s="9" t="n">
        <f aca="false">2*D405</f>
        <v>64962</v>
      </c>
      <c r="G405" s="9" t="n">
        <f aca="false">MOD(F405,10)</f>
        <v>2</v>
      </c>
      <c r="H405" s="9" t="n">
        <f aca="false">G405/2</f>
        <v>1</v>
      </c>
      <c r="I405" s="9" t="str">
        <f aca="false">IF(H405=0,"—",IF(H405=1,"unison (1:1)",IF(H405=2,"octave (2:1)",IF(H405=3,"fifth (3:2)",IF(H405=4,"fourth (4:3)","?")))))</f>
        <v>unison (1:1)</v>
      </c>
      <c r="J405" s="9" t="str">
        <f aca="false">IF(H405=0,"—",IF(H405=1,"ὁμώνυμον",IF(H405=2,"διὰ πασῶν",IF(H405=3,"διὰ πέντε",IF(H405=4,"διὰ τεσσάρων","?")))))</f>
        <v>ὁμώνυμον</v>
      </c>
      <c r="K405" s="10"/>
      <c r="L405" s="14"/>
      <c r="M405" s="13"/>
    </row>
    <row r="406" customFormat="false" ht="15.75" hidden="false" customHeight="true" outlineLevel="0" collapsed="false">
      <c r="A406" s="8" t="n">
        <f aca="false">A405+1</f>
        <v>404</v>
      </c>
      <c r="B406" s="9" t="n">
        <f aca="false">MOD(4*A406^2,10)</f>
        <v>4</v>
      </c>
      <c r="C406" s="9" t="n">
        <f aca="false">(26*B406-5*B406^2)/24</f>
        <v>1</v>
      </c>
      <c r="D406" s="9" t="n">
        <f aca="false">(A406^2+4*C406)/5</f>
        <v>32644</v>
      </c>
      <c r="E406" s="9" t="n">
        <f aca="false">MOD(D406,10)</f>
        <v>4</v>
      </c>
      <c r="F406" s="9" t="n">
        <f aca="false">2*D406</f>
        <v>65288</v>
      </c>
      <c r="G406" s="9" t="n">
        <f aca="false">MOD(F406,10)</f>
        <v>8</v>
      </c>
      <c r="H406" s="9" t="n">
        <f aca="false">G406/2</f>
        <v>4</v>
      </c>
      <c r="I406" s="9" t="str">
        <f aca="false">IF(H406=0,"—",IF(H406=1,"unison (1:1)",IF(H406=2,"octave (2:1)",IF(H406=3,"fifth (3:2)",IF(H406=4,"fourth (4:3)","?")))))</f>
        <v>fourth (4:3)</v>
      </c>
      <c r="J406" s="9" t="str">
        <f aca="false">IF(H406=0,"—",IF(H406=1,"ὁμώνυμον",IF(H406=2,"διὰ πασῶν",IF(H406=3,"διὰ πέντε",IF(H406=4,"διὰ τεσσάρων","?")))))</f>
        <v>διὰ τεσσάρων</v>
      </c>
      <c r="K406" s="10"/>
      <c r="L406" s="14"/>
      <c r="M406" s="13"/>
    </row>
    <row r="407" customFormat="false" ht="15.75" hidden="false" customHeight="true" outlineLevel="0" collapsed="false">
      <c r="A407" s="8" t="n">
        <f aca="false">A406+1</f>
        <v>405</v>
      </c>
      <c r="B407" s="9" t="n">
        <f aca="false">MOD(4*A407^2,10)</f>
        <v>0</v>
      </c>
      <c r="C407" s="9" t="n">
        <f aca="false">(26*B407-5*B407^2)/24</f>
        <v>0</v>
      </c>
      <c r="D407" s="9" t="n">
        <f aca="false">(A407^2+4*C407)/5</f>
        <v>32805</v>
      </c>
      <c r="E407" s="9" t="n">
        <f aca="false">MOD(D407,10)</f>
        <v>5</v>
      </c>
      <c r="F407" s="9" t="n">
        <f aca="false">2*D407</f>
        <v>65610</v>
      </c>
      <c r="G407" s="9" t="n">
        <f aca="false">MOD(F407,10)</f>
        <v>0</v>
      </c>
      <c r="H407" s="9" t="n">
        <f aca="false">G407/2</f>
        <v>0</v>
      </c>
      <c r="I407" s="9" t="str">
        <f aca="false">IF(H407=0,"—",IF(H407=1,"unison (1:1)",IF(H407=2,"octave (2:1)",IF(H407=3,"fifth (3:2)",IF(H407=4,"fourth (4:3)","?")))))</f>
        <v>—</v>
      </c>
      <c r="J407" s="9" t="str">
        <f aca="false">IF(H407=0,"—",IF(H407=1,"ὁμώνυμον",IF(H407=2,"διὰ πασῶν",IF(H407=3,"διὰ πέντε",IF(H407=4,"διὰ τεσσάρων","?")))))</f>
        <v>—</v>
      </c>
      <c r="K407" s="10"/>
      <c r="L407" s="14"/>
      <c r="M407" s="13"/>
    </row>
    <row r="408" customFormat="false" ht="15.75" hidden="false" customHeight="true" outlineLevel="0" collapsed="false">
      <c r="A408" s="8" t="n">
        <f aca="false">A407+1</f>
        <v>406</v>
      </c>
      <c r="B408" s="9" t="n">
        <f aca="false">MOD(4*A408^2,10)</f>
        <v>4</v>
      </c>
      <c r="C408" s="9" t="n">
        <f aca="false">(26*B408-5*B408^2)/24</f>
        <v>1</v>
      </c>
      <c r="D408" s="9" t="n">
        <f aca="false">(A408^2+4*C408)/5</f>
        <v>32968</v>
      </c>
      <c r="E408" s="9" t="n">
        <f aca="false">MOD(D408,10)</f>
        <v>8</v>
      </c>
      <c r="F408" s="9" t="n">
        <f aca="false">2*D408</f>
        <v>65936</v>
      </c>
      <c r="G408" s="9" t="n">
        <f aca="false">MOD(F408,10)</f>
        <v>6</v>
      </c>
      <c r="H408" s="9" t="n">
        <f aca="false">G408/2</f>
        <v>3</v>
      </c>
      <c r="I408" s="9" t="str">
        <f aca="false">IF(H408=0,"—",IF(H408=1,"unison (1:1)",IF(H408=2,"octave (2:1)",IF(H408=3,"fifth (3:2)",IF(H408=4,"fourth (4:3)","?")))))</f>
        <v>fifth (3:2)</v>
      </c>
      <c r="J408" s="9" t="str">
        <f aca="false">IF(H408=0,"—",IF(H408=1,"ὁμώνυμον",IF(H408=2,"διὰ πασῶν",IF(H408=3,"διὰ πέντε",IF(H408=4,"διὰ τεσσάρων","?")))))</f>
        <v>διὰ πέντε</v>
      </c>
      <c r="K408" s="10"/>
      <c r="L408" s="14"/>
      <c r="M408" s="13"/>
    </row>
    <row r="409" customFormat="false" ht="15.75" hidden="false" customHeight="true" outlineLevel="0" collapsed="false">
      <c r="A409" s="8" t="n">
        <f aca="false">A408+1</f>
        <v>407</v>
      </c>
      <c r="B409" s="9" t="n">
        <f aca="false">MOD(4*A409^2,10)</f>
        <v>6</v>
      </c>
      <c r="C409" s="9" t="n">
        <f aca="false">(26*B409-5*B409^2)/24</f>
        <v>-1</v>
      </c>
      <c r="D409" s="9" t="n">
        <f aca="false">(A409^2+4*C409)/5</f>
        <v>33129</v>
      </c>
      <c r="E409" s="9" t="n">
        <f aca="false">MOD(D409,10)</f>
        <v>9</v>
      </c>
      <c r="F409" s="9" t="n">
        <f aca="false">2*D409</f>
        <v>66258</v>
      </c>
      <c r="G409" s="9" t="n">
        <f aca="false">MOD(F409,10)</f>
        <v>8</v>
      </c>
      <c r="H409" s="9" t="n">
        <f aca="false">G409/2</f>
        <v>4</v>
      </c>
      <c r="I409" s="9" t="str">
        <f aca="false">IF(H409=0,"—",IF(H409=1,"unison (1:1)",IF(H409=2,"octave (2:1)",IF(H409=3,"fifth (3:2)",IF(H409=4,"fourth (4:3)","?")))))</f>
        <v>fourth (4:3)</v>
      </c>
      <c r="J409" s="9" t="str">
        <f aca="false">IF(H409=0,"—",IF(H409=1,"ὁμώνυμον",IF(H409=2,"διὰ πασῶν",IF(H409=3,"διὰ πέντε",IF(H409=4,"διὰ τεσσάρων","?")))))</f>
        <v>διὰ τεσσάρων</v>
      </c>
      <c r="K409" s="10"/>
      <c r="L409" s="14"/>
      <c r="M409" s="13"/>
    </row>
    <row r="410" customFormat="false" ht="15.75" hidden="false" customHeight="true" outlineLevel="0" collapsed="false">
      <c r="A410" s="8" t="n">
        <f aca="false">A409+1</f>
        <v>408</v>
      </c>
      <c r="B410" s="9" t="n">
        <f aca="false">MOD(4*A410^2,10)</f>
        <v>6</v>
      </c>
      <c r="C410" s="9" t="n">
        <f aca="false">(26*B410-5*B410^2)/24</f>
        <v>-1</v>
      </c>
      <c r="D410" s="9" t="n">
        <f aca="false">(A410^2+4*C410)/5</f>
        <v>33292</v>
      </c>
      <c r="E410" s="9" t="n">
        <f aca="false">MOD(D410,10)</f>
        <v>2</v>
      </c>
      <c r="F410" s="9" t="n">
        <f aca="false">2*D410</f>
        <v>66584</v>
      </c>
      <c r="G410" s="9" t="n">
        <f aca="false">MOD(F410,10)</f>
        <v>4</v>
      </c>
      <c r="H410" s="9" t="n">
        <f aca="false">G410/2</f>
        <v>2</v>
      </c>
      <c r="I410" s="9" t="str">
        <f aca="false">IF(H410=0,"—",IF(H410=1,"unison (1:1)",IF(H410=2,"octave (2:1)",IF(H410=3,"fifth (3:2)",IF(H410=4,"fourth (4:3)","?")))))</f>
        <v>octave (2:1)</v>
      </c>
      <c r="J410" s="9" t="str">
        <f aca="false">IF(H410=0,"—",IF(H410=1,"ὁμώνυμον",IF(H410=2,"διὰ πασῶν",IF(H410=3,"διὰ πέντε",IF(H410=4,"διὰ τεσσάρων","?")))))</f>
        <v>διὰ πασῶν</v>
      </c>
      <c r="K410" s="10"/>
      <c r="L410" s="14"/>
      <c r="M410" s="13"/>
    </row>
    <row r="411" customFormat="false" ht="15.75" hidden="false" customHeight="true" outlineLevel="0" collapsed="false">
      <c r="A411" s="8" t="n">
        <f aca="false">A410+1</f>
        <v>409</v>
      </c>
      <c r="B411" s="9" t="n">
        <f aca="false">MOD(4*A411^2,10)</f>
        <v>4</v>
      </c>
      <c r="C411" s="9" t="n">
        <f aca="false">(26*B411-5*B411^2)/24</f>
        <v>1</v>
      </c>
      <c r="D411" s="9" t="n">
        <f aca="false">(A411^2+4*C411)/5</f>
        <v>33457</v>
      </c>
      <c r="E411" s="9" t="n">
        <f aca="false">MOD(D411,10)</f>
        <v>7</v>
      </c>
      <c r="F411" s="9" t="n">
        <f aca="false">2*D411</f>
        <v>66914</v>
      </c>
      <c r="G411" s="9" t="n">
        <f aca="false">MOD(F411,10)</f>
        <v>4</v>
      </c>
      <c r="H411" s="9" t="n">
        <f aca="false">G411/2</f>
        <v>2</v>
      </c>
      <c r="I411" s="9" t="str">
        <f aca="false">IF(H411=0,"—",IF(H411=1,"unison (1:1)",IF(H411=2,"octave (2:1)",IF(H411=3,"fifth (3:2)",IF(H411=4,"fourth (4:3)","?")))))</f>
        <v>octave (2:1)</v>
      </c>
      <c r="J411" s="9" t="str">
        <f aca="false">IF(H411=0,"—",IF(H411=1,"ὁμώνυμον",IF(H411=2,"διὰ πασῶν",IF(H411=3,"διὰ πέντε",IF(H411=4,"διὰ τεσσάρων","?")))))</f>
        <v>διὰ πασῶν</v>
      </c>
      <c r="K411" s="10"/>
      <c r="L411" s="14"/>
      <c r="M411" s="13"/>
    </row>
    <row r="412" customFormat="false" ht="15.75" hidden="false" customHeight="true" outlineLevel="0" collapsed="false">
      <c r="A412" s="8" t="n">
        <f aca="false">A411+1</f>
        <v>410</v>
      </c>
      <c r="B412" s="9" t="n">
        <f aca="false">MOD(4*A412^2,10)</f>
        <v>0</v>
      </c>
      <c r="C412" s="9" t="n">
        <f aca="false">(26*B412-5*B412^2)/24</f>
        <v>0</v>
      </c>
      <c r="D412" s="9" t="n">
        <f aca="false">(A412^2+4*C412)/5</f>
        <v>33620</v>
      </c>
      <c r="E412" s="9" t="n">
        <f aca="false">MOD(D412,10)</f>
        <v>0</v>
      </c>
      <c r="F412" s="9" t="n">
        <f aca="false">2*D412</f>
        <v>67240</v>
      </c>
      <c r="G412" s="9" t="n">
        <f aca="false">MOD(F412,10)</f>
        <v>0</v>
      </c>
      <c r="H412" s="9" t="n">
        <f aca="false">G412/2</f>
        <v>0</v>
      </c>
      <c r="I412" s="9" t="str">
        <f aca="false">IF(H412=0,"—",IF(H412=1,"unison (1:1)",IF(H412=2,"octave (2:1)",IF(H412=3,"fifth (3:2)",IF(H412=4,"fourth (4:3)","?")))))</f>
        <v>—</v>
      </c>
      <c r="J412" s="9" t="str">
        <f aca="false">IF(H412=0,"—",IF(H412=1,"ὁμώνυμον",IF(H412=2,"διὰ πασῶν",IF(H412=3,"διὰ πέντε",IF(H412=4,"διὰ τεσσάρων","?")))))</f>
        <v>—</v>
      </c>
      <c r="K412" s="10"/>
      <c r="L412" s="14"/>
      <c r="M412" s="13"/>
    </row>
    <row r="413" customFormat="false" ht="15.75" hidden="false" customHeight="true" outlineLevel="0" collapsed="false">
      <c r="A413" s="8" t="n">
        <f aca="false">A412+1</f>
        <v>411</v>
      </c>
      <c r="B413" s="9" t="n">
        <f aca="false">MOD(4*A413^2,10)</f>
        <v>4</v>
      </c>
      <c r="C413" s="9" t="n">
        <f aca="false">(26*B413-5*B413^2)/24</f>
        <v>1</v>
      </c>
      <c r="D413" s="9" t="n">
        <f aca="false">(A413^2+4*C413)/5</f>
        <v>33785</v>
      </c>
      <c r="E413" s="9" t="n">
        <f aca="false">MOD(D413,10)</f>
        <v>5</v>
      </c>
      <c r="F413" s="9" t="n">
        <f aca="false">2*D413</f>
        <v>67570</v>
      </c>
      <c r="G413" s="9" t="n">
        <f aca="false">MOD(F413,10)</f>
        <v>0</v>
      </c>
      <c r="H413" s="9" t="n">
        <f aca="false">G413/2</f>
        <v>0</v>
      </c>
      <c r="I413" s="9" t="str">
        <f aca="false">IF(H413=0,"—",IF(H413=1,"unison (1:1)",IF(H413=2,"octave (2:1)",IF(H413=3,"fifth (3:2)",IF(H413=4,"fourth (4:3)","?")))))</f>
        <v>—</v>
      </c>
      <c r="J413" s="9" t="str">
        <f aca="false">IF(H413=0,"—",IF(H413=1,"ὁμώνυμον",IF(H413=2,"διὰ πασῶν",IF(H413=3,"διὰ πέντε",IF(H413=4,"διὰ τεσσάρων","?")))))</f>
        <v>—</v>
      </c>
      <c r="K413" s="10"/>
      <c r="L413" s="14"/>
      <c r="M413" s="13"/>
    </row>
    <row r="414" customFormat="false" ht="15.75" hidden="false" customHeight="true" outlineLevel="0" collapsed="false">
      <c r="A414" s="8" t="n">
        <f aca="false">A413+1</f>
        <v>412</v>
      </c>
      <c r="B414" s="9" t="n">
        <f aca="false">MOD(4*A414^2,10)</f>
        <v>6</v>
      </c>
      <c r="C414" s="9" t="n">
        <f aca="false">(26*B414-5*B414^2)/24</f>
        <v>-1</v>
      </c>
      <c r="D414" s="9" t="n">
        <f aca="false">(A414^2+4*C414)/5</f>
        <v>33948</v>
      </c>
      <c r="E414" s="9" t="n">
        <f aca="false">MOD(D414,10)</f>
        <v>8</v>
      </c>
      <c r="F414" s="9" t="n">
        <f aca="false">2*D414</f>
        <v>67896</v>
      </c>
      <c r="G414" s="9" t="n">
        <f aca="false">MOD(F414,10)</f>
        <v>6</v>
      </c>
      <c r="H414" s="9" t="n">
        <f aca="false">G414/2</f>
        <v>3</v>
      </c>
      <c r="I414" s="9" t="str">
        <f aca="false">IF(H414=0,"—",IF(H414=1,"unison (1:1)",IF(H414=2,"octave (2:1)",IF(H414=3,"fifth (3:2)",IF(H414=4,"fourth (4:3)","?")))))</f>
        <v>fifth (3:2)</v>
      </c>
      <c r="J414" s="9" t="str">
        <f aca="false">IF(H414=0,"—",IF(H414=1,"ὁμώνυμον",IF(H414=2,"διὰ πασῶν",IF(H414=3,"διὰ πέντε",IF(H414=4,"διὰ τεσσάρων","?")))))</f>
        <v>διὰ πέντε</v>
      </c>
      <c r="K414" s="10"/>
      <c r="L414" s="14"/>
      <c r="M414" s="13"/>
    </row>
    <row r="415" customFormat="false" ht="15.75" hidden="false" customHeight="true" outlineLevel="0" collapsed="false">
      <c r="A415" s="8" t="n">
        <f aca="false">A414+1</f>
        <v>413</v>
      </c>
      <c r="B415" s="9" t="n">
        <f aca="false">MOD(4*A415^2,10)</f>
        <v>6</v>
      </c>
      <c r="C415" s="9" t="n">
        <f aca="false">(26*B415-5*B415^2)/24</f>
        <v>-1</v>
      </c>
      <c r="D415" s="9" t="n">
        <f aca="false">(A415^2+4*C415)/5</f>
        <v>34113</v>
      </c>
      <c r="E415" s="9" t="n">
        <f aca="false">MOD(D415,10)</f>
        <v>3</v>
      </c>
      <c r="F415" s="9" t="n">
        <f aca="false">2*D415</f>
        <v>68226</v>
      </c>
      <c r="G415" s="9" t="n">
        <f aca="false">MOD(F415,10)</f>
        <v>6</v>
      </c>
      <c r="H415" s="9" t="n">
        <f aca="false">G415/2</f>
        <v>3</v>
      </c>
      <c r="I415" s="9" t="str">
        <f aca="false">IF(H415=0,"—",IF(H415=1,"unison (1:1)",IF(H415=2,"octave (2:1)",IF(H415=3,"fifth (3:2)",IF(H415=4,"fourth (4:3)","?")))))</f>
        <v>fifth (3:2)</v>
      </c>
      <c r="J415" s="9" t="str">
        <f aca="false">IF(H415=0,"—",IF(H415=1,"ὁμώνυμον",IF(H415=2,"διὰ πασῶν",IF(H415=3,"διὰ πέντε",IF(H415=4,"διὰ τεσσάρων","?")))))</f>
        <v>διὰ πέντε</v>
      </c>
      <c r="K415" s="10"/>
      <c r="L415" s="14"/>
      <c r="M415" s="13"/>
    </row>
    <row r="416" customFormat="false" ht="15.75" hidden="false" customHeight="true" outlineLevel="0" collapsed="false">
      <c r="A416" s="8" t="n">
        <f aca="false">A415+1</f>
        <v>414</v>
      </c>
      <c r="B416" s="9" t="n">
        <f aca="false">MOD(4*A416^2,10)</f>
        <v>4</v>
      </c>
      <c r="C416" s="9" t="n">
        <f aca="false">(26*B416-5*B416^2)/24</f>
        <v>1</v>
      </c>
      <c r="D416" s="9" t="n">
        <f aca="false">(A416^2+4*C416)/5</f>
        <v>34280</v>
      </c>
      <c r="E416" s="9" t="n">
        <f aca="false">MOD(D416,10)</f>
        <v>0</v>
      </c>
      <c r="F416" s="9" t="n">
        <f aca="false">2*D416</f>
        <v>68560</v>
      </c>
      <c r="G416" s="9" t="n">
        <f aca="false">MOD(F416,10)</f>
        <v>0</v>
      </c>
      <c r="H416" s="9" t="n">
        <f aca="false">G416/2</f>
        <v>0</v>
      </c>
      <c r="I416" s="9" t="str">
        <f aca="false">IF(H416=0,"—",IF(H416=1,"unison (1:1)",IF(H416=2,"octave (2:1)",IF(H416=3,"fifth (3:2)",IF(H416=4,"fourth (4:3)","?")))))</f>
        <v>—</v>
      </c>
      <c r="J416" s="9" t="str">
        <f aca="false">IF(H416=0,"—",IF(H416=1,"ὁμώνυμον",IF(H416=2,"διὰ πασῶν",IF(H416=3,"διὰ πέντε",IF(H416=4,"διὰ τεσσάρων","?")))))</f>
        <v>—</v>
      </c>
      <c r="K416" s="10"/>
      <c r="L416" s="14"/>
      <c r="M416" s="13"/>
    </row>
    <row r="417" customFormat="false" ht="15.75" hidden="false" customHeight="true" outlineLevel="0" collapsed="false">
      <c r="A417" s="8" t="n">
        <f aca="false">A416+1</f>
        <v>415</v>
      </c>
      <c r="B417" s="9" t="n">
        <f aca="false">MOD(4*A417^2,10)</f>
        <v>0</v>
      </c>
      <c r="C417" s="9" t="n">
        <f aca="false">(26*B417-5*B417^2)/24</f>
        <v>0</v>
      </c>
      <c r="D417" s="9" t="n">
        <f aca="false">(A417^2+4*C417)/5</f>
        <v>34445</v>
      </c>
      <c r="E417" s="9" t="n">
        <f aca="false">MOD(D417,10)</f>
        <v>5</v>
      </c>
      <c r="F417" s="9" t="n">
        <f aca="false">2*D417</f>
        <v>68890</v>
      </c>
      <c r="G417" s="9" t="n">
        <f aca="false">MOD(F417,10)</f>
        <v>0</v>
      </c>
      <c r="H417" s="9" t="n">
        <f aca="false">G417/2</f>
        <v>0</v>
      </c>
      <c r="I417" s="9" t="str">
        <f aca="false">IF(H417=0,"—",IF(H417=1,"unison (1:1)",IF(H417=2,"octave (2:1)",IF(H417=3,"fifth (3:2)",IF(H417=4,"fourth (4:3)","?")))))</f>
        <v>—</v>
      </c>
      <c r="J417" s="9" t="str">
        <f aca="false">IF(H417=0,"—",IF(H417=1,"ὁμώνυμον",IF(H417=2,"διὰ πασῶν",IF(H417=3,"διὰ πέντε",IF(H417=4,"διὰ τεσσάρων","?")))))</f>
        <v>—</v>
      </c>
      <c r="K417" s="10"/>
      <c r="L417" s="14"/>
      <c r="M417" s="13"/>
    </row>
    <row r="418" customFormat="false" ht="15.75" hidden="false" customHeight="true" outlineLevel="0" collapsed="false">
      <c r="A418" s="8" t="n">
        <f aca="false">A417+1</f>
        <v>416</v>
      </c>
      <c r="B418" s="9" t="n">
        <f aca="false">MOD(4*A418^2,10)</f>
        <v>4</v>
      </c>
      <c r="C418" s="9" t="n">
        <f aca="false">(26*B418-5*B418^2)/24</f>
        <v>1</v>
      </c>
      <c r="D418" s="9" t="n">
        <f aca="false">(A418^2+4*C418)/5</f>
        <v>34612</v>
      </c>
      <c r="E418" s="9" t="n">
        <f aca="false">MOD(D418,10)</f>
        <v>2</v>
      </c>
      <c r="F418" s="9" t="n">
        <f aca="false">2*D418</f>
        <v>69224</v>
      </c>
      <c r="G418" s="9" t="n">
        <f aca="false">MOD(F418,10)</f>
        <v>4</v>
      </c>
      <c r="H418" s="9" t="n">
        <f aca="false">G418/2</f>
        <v>2</v>
      </c>
      <c r="I418" s="9" t="str">
        <f aca="false">IF(H418=0,"—",IF(H418=1,"unison (1:1)",IF(H418=2,"octave (2:1)",IF(H418=3,"fifth (3:2)",IF(H418=4,"fourth (4:3)","?")))))</f>
        <v>octave (2:1)</v>
      </c>
      <c r="J418" s="9" t="str">
        <f aca="false">IF(H418=0,"—",IF(H418=1,"ὁμώνυμον",IF(H418=2,"διὰ πασῶν",IF(H418=3,"διὰ πέντε",IF(H418=4,"διὰ τεσσάρων","?")))))</f>
        <v>διὰ πασῶν</v>
      </c>
      <c r="K418" s="10"/>
      <c r="L418" s="14"/>
      <c r="M418" s="13"/>
    </row>
    <row r="419" customFormat="false" ht="15.75" hidden="false" customHeight="true" outlineLevel="0" collapsed="false">
      <c r="A419" s="8" t="n">
        <f aca="false">A418+1</f>
        <v>417</v>
      </c>
      <c r="B419" s="9" t="n">
        <f aca="false">MOD(4*A419^2,10)</f>
        <v>6</v>
      </c>
      <c r="C419" s="9" t="n">
        <f aca="false">(26*B419-5*B419^2)/24</f>
        <v>-1</v>
      </c>
      <c r="D419" s="9" t="n">
        <f aca="false">(A419^2+4*C419)/5</f>
        <v>34777</v>
      </c>
      <c r="E419" s="9" t="n">
        <f aca="false">MOD(D419,10)</f>
        <v>7</v>
      </c>
      <c r="F419" s="9" t="n">
        <f aca="false">2*D419</f>
        <v>69554</v>
      </c>
      <c r="G419" s="9" t="n">
        <f aca="false">MOD(F419,10)</f>
        <v>4</v>
      </c>
      <c r="H419" s="9" t="n">
        <f aca="false">G419/2</f>
        <v>2</v>
      </c>
      <c r="I419" s="9" t="str">
        <f aca="false">IF(H419=0,"—",IF(H419=1,"unison (1:1)",IF(H419=2,"octave (2:1)",IF(H419=3,"fifth (3:2)",IF(H419=4,"fourth (4:3)","?")))))</f>
        <v>octave (2:1)</v>
      </c>
      <c r="J419" s="9" t="str">
        <f aca="false">IF(H419=0,"—",IF(H419=1,"ὁμώνυμον",IF(H419=2,"διὰ πασῶν",IF(H419=3,"διὰ πέντε",IF(H419=4,"διὰ τεσσάρων","?")))))</f>
        <v>διὰ πασῶν</v>
      </c>
      <c r="K419" s="10"/>
      <c r="L419" s="14"/>
      <c r="M419" s="13"/>
    </row>
    <row r="420" customFormat="false" ht="15.75" hidden="false" customHeight="true" outlineLevel="0" collapsed="false">
      <c r="A420" s="8" t="n">
        <f aca="false">A419+1</f>
        <v>418</v>
      </c>
      <c r="B420" s="9" t="n">
        <f aca="false">MOD(4*A420^2,10)</f>
        <v>6</v>
      </c>
      <c r="C420" s="9" t="n">
        <f aca="false">(26*B420-5*B420^2)/24</f>
        <v>-1</v>
      </c>
      <c r="D420" s="9" t="n">
        <f aca="false">(A420^2+4*C420)/5</f>
        <v>34944</v>
      </c>
      <c r="E420" s="9" t="n">
        <f aca="false">MOD(D420,10)</f>
        <v>4</v>
      </c>
      <c r="F420" s="9" t="n">
        <f aca="false">2*D420</f>
        <v>69888</v>
      </c>
      <c r="G420" s="9" t="n">
        <f aca="false">MOD(F420,10)</f>
        <v>8</v>
      </c>
      <c r="H420" s="9" t="n">
        <f aca="false">G420/2</f>
        <v>4</v>
      </c>
      <c r="I420" s="9" t="str">
        <f aca="false">IF(H420=0,"—",IF(H420=1,"unison (1:1)",IF(H420=2,"octave (2:1)",IF(H420=3,"fifth (3:2)",IF(H420=4,"fourth (4:3)","?")))))</f>
        <v>fourth (4:3)</v>
      </c>
      <c r="J420" s="9" t="str">
        <f aca="false">IF(H420=0,"—",IF(H420=1,"ὁμώνυμον",IF(H420=2,"διὰ πασῶν",IF(H420=3,"διὰ πέντε",IF(H420=4,"διὰ τεσσάρων","?")))))</f>
        <v>διὰ τεσσάρων</v>
      </c>
      <c r="K420" s="10"/>
      <c r="L420" s="14"/>
      <c r="M420" s="13"/>
    </row>
    <row r="421" customFormat="false" ht="15.75" hidden="false" customHeight="true" outlineLevel="0" collapsed="false">
      <c r="A421" s="8" t="n">
        <f aca="false">A420+1</f>
        <v>419</v>
      </c>
      <c r="B421" s="9" t="n">
        <f aca="false">MOD(4*A421^2,10)</f>
        <v>4</v>
      </c>
      <c r="C421" s="9" t="n">
        <f aca="false">(26*B421-5*B421^2)/24</f>
        <v>1</v>
      </c>
      <c r="D421" s="9" t="n">
        <f aca="false">(A421^2+4*C421)/5</f>
        <v>35113</v>
      </c>
      <c r="E421" s="9" t="n">
        <f aca="false">MOD(D421,10)</f>
        <v>3</v>
      </c>
      <c r="F421" s="9" t="n">
        <f aca="false">2*D421</f>
        <v>70226</v>
      </c>
      <c r="G421" s="9" t="n">
        <f aca="false">MOD(F421,10)</f>
        <v>6</v>
      </c>
      <c r="H421" s="9" t="n">
        <f aca="false">G421/2</f>
        <v>3</v>
      </c>
      <c r="I421" s="9" t="str">
        <f aca="false">IF(H421=0,"—",IF(H421=1,"unison (1:1)",IF(H421=2,"octave (2:1)",IF(H421=3,"fifth (3:2)",IF(H421=4,"fourth (4:3)","?")))))</f>
        <v>fifth (3:2)</v>
      </c>
      <c r="J421" s="9" t="str">
        <f aca="false">IF(H421=0,"—",IF(H421=1,"ὁμώνυμον",IF(H421=2,"διὰ πασῶν",IF(H421=3,"διὰ πέντε",IF(H421=4,"διὰ τεσσάρων","?")))))</f>
        <v>διὰ πέντε</v>
      </c>
      <c r="K421" s="10"/>
      <c r="L421" s="14"/>
      <c r="M421" s="13"/>
    </row>
    <row r="422" customFormat="false" ht="15.75" hidden="false" customHeight="true" outlineLevel="0" collapsed="false">
      <c r="A422" s="8" t="n">
        <f aca="false">A421+1</f>
        <v>420</v>
      </c>
      <c r="B422" s="9" t="n">
        <f aca="false">MOD(4*A422^2,10)</f>
        <v>0</v>
      </c>
      <c r="C422" s="9" t="n">
        <f aca="false">(26*B422-5*B422^2)/24</f>
        <v>0</v>
      </c>
      <c r="D422" s="9" t="n">
        <f aca="false">(A422^2+4*C422)/5</f>
        <v>35280</v>
      </c>
      <c r="E422" s="9" t="n">
        <f aca="false">MOD(D422,10)</f>
        <v>0</v>
      </c>
      <c r="F422" s="9" t="n">
        <f aca="false">2*D422</f>
        <v>70560</v>
      </c>
      <c r="G422" s="9" t="n">
        <f aca="false">MOD(F422,10)</f>
        <v>0</v>
      </c>
      <c r="H422" s="9" t="n">
        <f aca="false">G422/2</f>
        <v>0</v>
      </c>
      <c r="I422" s="9" t="str">
        <f aca="false">IF(H422=0,"—",IF(H422=1,"unison (1:1)",IF(H422=2,"octave (2:1)",IF(H422=3,"fifth (3:2)",IF(H422=4,"fourth (4:3)","?")))))</f>
        <v>—</v>
      </c>
      <c r="J422" s="9" t="str">
        <f aca="false">IF(H422=0,"—",IF(H422=1,"ὁμώνυμον",IF(H422=2,"διὰ πασῶν",IF(H422=3,"διὰ πέντε",IF(H422=4,"διὰ τεσσάρων","?")))))</f>
        <v>—</v>
      </c>
      <c r="K422" s="10"/>
      <c r="L422" s="14"/>
      <c r="M422" s="13"/>
    </row>
    <row r="423" customFormat="false" ht="15.75" hidden="false" customHeight="true" outlineLevel="0" collapsed="false">
      <c r="A423" s="8" t="n">
        <f aca="false">A422+1</f>
        <v>421</v>
      </c>
      <c r="B423" s="9" t="n">
        <f aca="false">MOD(4*A423^2,10)</f>
        <v>4</v>
      </c>
      <c r="C423" s="9" t="n">
        <f aca="false">(26*B423-5*B423^2)/24</f>
        <v>1</v>
      </c>
      <c r="D423" s="9" t="n">
        <f aca="false">(A423^2+4*C423)/5</f>
        <v>35449</v>
      </c>
      <c r="E423" s="9" t="n">
        <f aca="false">MOD(D423,10)</f>
        <v>9</v>
      </c>
      <c r="F423" s="9" t="n">
        <f aca="false">2*D423</f>
        <v>70898</v>
      </c>
      <c r="G423" s="9" t="n">
        <f aca="false">MOD(F423,10)</f>
        <v>8</v>
      </c>
      <c r="H423" s="9" t="n">
        <f aca="false">G423/2</f>
        <v>4</v>
      </c>
      <c r="I423" s="9" t="str">
        <f aca="false">IF(H423=0,"—",IF(H423=1,"unison (1:1)",IF(H423=2,"octave (2:1)",IF(H423=3,"fifth (3:2)",IF(H423=4,"fourth (4:3)","?")))))</f>
        <v>fourth (4:3)</v>
      </c>
      <c r="J423" s="9" t="str">
        <f aca="false">IF(H423=0,"—",IF(H423=1,"ὁμώνυμον",IF(H423=2,"διὰ πασῶν",IF(H423=3,"διὰ πέντε",IF(H423=4,"διὰ τεσσάρων","?")))))</f>
        <v>διὰ τεσσάρων</v>
      </c>
      <c r="K423" s="10"/>
      <c r="L423" s="14"/>
      <c r="M423" s="13"/>
    </row>
    <row r="424" customFormat="false" ht="15.75" hidden="false" customHeight="true" outlineLevel="0" collapsed="false">
      <c r="A424" s="8" t="n">
        <f aca="false">A423+1</f>
        <v>422</v>
      </c>
      <c r="B424" s="9" t="n">
        <f aca="false">MOD(4*A424^2,10)</f>
        <v>6</v>
      </c>
      <c r="C424" s="9" t="n">
        <f aca="false">(26*B424-5*B424^2)/24</f>
        <v>-1</v>
      </c>
      <c r="D424" s="9" t="n">
        <f aca="false">(A424^2+4*C424)/5</f>
        <v>35616</v>
      </c>
      <c r="E424" s="9" t="n">
        <f aca="false">MOD(D424,10)</f>
        <v>6</v>
      </c>
      <c r="F424" s="9" t="n">
        <f aca="false">2*D424</f>
        <v>71232</v>
      </c>
      <c r="G424" s="9" t="n">
        <f aca="false">MOD(F424,10)</f>
        <v>2</v>
      </c>
      <c r="H424" s="9" t="n">
        <f aca="false">G424/2</f>
        <v>1</v>
      </c>
      <c r="I424" s="9" t="str">
        <f aca="false">IF(H424=0,"—",IF(H424=1,"unison (1:1)",IF(H424=2,"octave (2:1)",IF(H424=3,"fifth (3:2)",IF(H424=4,"fourth (4:3)","?")))))</f>
        <v>unison (1:1)</v>
      </c>
      <c r="J424" s="9" t="str">
        <f aca="false">IF(H424=0,"—",IF(H424=1,"ὁμώνυμον",IF(H424=2,"διὰ πασῶν",IF(H424=3,"διὰ πέντε",IF(H424=4,"διὰ τεσσάρων","?")))))</f>
        <v>ὁμώνυμον</v>
      </c>
      <c r="K424" s="10"/>
      <c r="L424" s="14"/>
      <c r="M424" s="13"/>
    </row>
    <row r="425" customFormat="false" ht="15.75" hidden="false" customHeight="true" outlineLevel="0" collapsed="false">
      <c r="A425" s="8" t="n">
        <f aca="false">A424+1</f>
        <v>423</v>
      </c>
      <c r="B425" s="9" t="n">
        <f aca="false">MOD(4*A425^2,10)</f>
        <v>6</v>
      </c>
      <c r="C425" s="9" t="n">
        <f aca="false">(26*B425-5*B425^2)/24</f>
        <v>-1</v>
      </c>
      <c r="D425" s="9" t="n">
        <f aca="false">(A425^2+4*C425)/5</f>
        <v>35785</v>
      </c>
      <c r="E425" s="9" t="n">
        <f aca="false">MOD(D425,10)</f>
        <v>5</v>
      </c>
      <c r="F425" s="9" t="n">
        <f aca="false">2*D425</f>
        <v>71570</v>
      </c>
      <c r="G425" s="9" t="n">
        <f aca="false">MOD(F425,10)</f>
        <v>0</v>
      </c>
      <c r="H425" s="9" t="n">
        <f aca="false">G425/2</f>
        <v>0</v>
      </c>
      <c r="I425" s="9" t="str">
        <f aca="false">IF(H425=0,"—",IF(H425=1,"unison (1:1)",IF(H425=2,"octave (2:1)",IF(H425=3,"fifth (3:2)",IF(H425=4,"fourth (4:3)","?")))))</f>
        <v>—</v>
      </c>
      <c r="J425" s="9" t="str">
        <f aca="false">IF(H425=0,"—",IF(H425=1,"ὁμώνυμον",IF(H425=2,"διὰ πασῶν",IF(H425=3,"διὰ πέντε",IF(H425=4,"διὰ τεσσάρων","?")))))</f>
        <v>—</v>
      </c>
      <c r="K425" s="10"/>
      <c r="L425" s="14"/>
      <c r="M425" s="13"/>
    </row>
    <row r="426" customFormat="false" ht="15.75" hidden="false" customHeight="true" outlineLevel="0" collapsed="false">
      <c r="A426" s="8" t="n">
        <f aca="false">A425+1</f>
        <v>424</v>
      </c>
      <c r="B426" s="9" t="n">
        <f aca="false">MOD(4*A426^2,10)</f>
        <v>4</v>
      </c>
      <c r="C426" s="9" t="n">
        <f aca="false">(26*B426-5*B426^2)/24</f>
        <v>1</v>
      </c>
      <c r="D426" s="9" t="n">
        <f aca="false">(A426^2+4*C426)/5</f>
        <v>35956</v>
      </c>
      <c r="E426" s="9" t="n">
        <f aca="false">MOD(D426,10)</f>
        <v>6</v>
      </c>
      <c r="F426" s="9" t="n">
        <f aca="false">2*D426</f>
        <v>71912</v>
      </c>
      <c r="G426" s="9" t="n">
        <f aca="false">MOD(F426,10)</f>
        <v>2</v>
      </c>
      <c r="H426" s="9" t="n">
        <f aca="false">G426/2</f>
        <v>1</v>
      </c>
      <c r="I426" s="9" t="str">
        <f aca="false">IF(H426=0,"—",IF(H426=1,"unison (1:1)",IF(H426=2,"octave (2:1)",IF(H426=3,"fifth (3:2)",IF(H426=4,"fourth (4:3)","?")))))</f>
        <v>unison (1:1)</v>
      </c>
      <c r="J426" s="9" t="str">
        <f aca="false">IF(H426=0,"—",IF(H426=1,"ὁμώνυμον",IF(H426=2,"διὰ πασῶν",IF(H426=3,"διὰ πέντε",IF(H426=4,"διὰ τεσσάρων","?")))))</f>
        <v>ὁμώνυμον</v>
      </c>
      <c r="K426" s="10"/>
      <c r="L426" s="14"/>
      <c r="M426" s="13"/>
    </row>
    <row r="427" customFormat="false" ht="15.75" hidden="false" customHeight="true" outlineLevel="0" collapsed="false">
      <c r="A427" s="8" t="n">
        <f aca="false">A426+1</f>
        <v>425</v>
      </c>
      <c r="B427" s="9" t="n">
        <f aca="false">MOD(4*A427^2,10)</f>
        <v>0</v>
      </c>
      <c r="C427" s="9" t="n">
        <f aca="false">(26*B427-5*B427^2)/24</f>
        <v>0</v>
      </c>
      <c r="D427" s="9" t="n">
        <f aca="false">(A427^2+4*C427)/5</f>
        <v>36125</v>
      </c>
      <c r="E427" s="9" t="n">
        <f aca="false">MOD(D427,10)</f>
        <v>5</v>
      </c>
      <c r="F427" s="9" t="n">
        <f aca="false">2*D427</f>
        <v>72250</v>
      </c>
      <c r="G427" s="9" t="n">
        <f aca="false">MOD(F427,10)</f>
        <v>0</v>
      </c>
      <c r="H427" s="9" t="n">
        <f aca="false">G427/2</f>
        <v>0</v>
      </c>
      <c r="I427" s="9" t="str">
        <f aca="false">IF(H427=0,"—",IF(H427=1,"unison (1:1)",IF(H427=2,"octave (2:1)",IF(H427=3,"fifth (3:2)",IF(H427=4,"fourth (4:3)","?")))))</f>
        <v>—</v>
      </c>
      <c r="J427" s="9" t="str">
        <f aca="false">IF(H427=0,"—",IF(H427=1,"ὁμώνυμον",IF(H427=2,"διὰ πασῶν",IF(H427=3,"διὰ πέντε",IF(H427=4,"διὰ τεσσάρων","?")))))</f>
        <v>—</v>
      </c>
      <c r="K427" s="10"/>
      <c r="L427" s="14"/>
      <c r="M427" s="13"/>
    </row>
    <row r="428" customFormat="false" ht="15.75" hidden="false" customHeight="true" outlineLevel="0" collapsed="false">
      <c r="A428" s="8" t="n">
        <f aca="false">A427+1</f>
        <v>426</v>
      </c>
      <c r="B428" s="9" t="n">
        <f aca="false">MOD(4*A428^2,10)</f>
        <v>4</v>
      </c>
      <c r="C428" s="9" t="n">
        <f aca="false">(26*B428-5*B428^2)/24</f>
        <v>1</v>
      </c>
      <c r="D428" s="9" t="n">
        <f aca="false">(A428^2+4*C428)/5</f>
        <v>36296</v>
      </c>
      <c r="E428" s="9" t="n">
        <f aca="false">MOD(D428,10)</f>
        <v>6</v>
      </c>
      <c r="F428" s="9" t="n">
        <f aca="false">2*D428</f>
        <v>72592</v>
      </c>
      <c r="G428" s="9" t="n">
        <f aca="false">MOD(F428,10)</f>
        <v>2</v>
      </c>
      <c r="H428" s="9" t="n">
        <f aca="false">G428/2</f>
        <v>1</v>
      </c>
      <c r="I428" s="9" t="str">
        <f aca="false">IF(H428=0,"—",IF(H428=1,"unison (1:1)",IF(H428=2,"octave (2:1)",IF(H428=3,"fifth (3:2)",IF(H428=4,"fourth (4:3)","?")))))</f>
        <v>unison (1:1)</v>
      </c>
      <c r="J428" s="9" t="str">
        <f aca="false">IF(H428=0,"—",IF(H428=1,"ὁμώνυμον",IF(H428=2,"διὰ πασῶν",IF(H428=3,"διὰ πέντε",IF(H428=4,"διὰ τεσσάρων","?")))))</f>
        <v>ὁμώνυμον</v>
      </c>
      <c r="K428" s="10"/>
      <c r="L428" s="14"/>
      <c r="M428" s="13"/>
    </row>
    <row r="429" customFormat="false" ht="15.75" hidden="false" customHeight="true" outlineLevel="0" collapsed="false">
      <c r="A429" s="8" t="n">
        <f aca="false">A428+1</f>
        <v>427</v>
      </c>
      <c r="B429" s="9" t="n">
        <f aca="false">MOD(4*A429^2,10)</f>
        <v>6</v>
      </c>
      <c r="C429" s="9" t="n">
        <f aca="false">(26*B429-5*B429^2)/24</f>
        <v>-1</v>
      </c>
      <c r="D429" s="9" t="n">
        <f aca="false">(A429^2+4*C429)/5</f>
        <v>36465</v>
      </c>
      <c r="E429" s="9" t="n">
        <f aca="false">MOD(D429,10)</f>
        <v>5</v>
      </c>
      <c r="F429" s="9" t="n">
        <f aca="false">2*D429</f>
        <v>72930</v>
      </c>
      <c r="G429" s="9" t="n">
        <f aca="false">MOD(F429,10)</f>
        <v>0</v>
      </c>
      <c r="H429" s="9" t="n">
        <f aca="false">G429/2</f>
        <v>0</v>
      </c>
      <c r="I429" s="9" t="str">
        <f aca="false">IF(H429=0,"—",IF(H429=1,"unison (1:1)",IF(H429=2,"octave (2:1)",IF(H429=3,"fifth (3:2)",IF(H429=4,"fourth (4:3)","?")))))</f>
        <v>—</v>
      </c>
      <c r="J429" s="9" t="str">
        <f aca="false">IF(H429=0,"—",IF(H429=1,"ὁμώνυμον",IF(H429=2,"διὰ πασῶν",IF(H429=3,"διὰ πέντε",IF(H429=4,"διὰ τεσσάρων","?")))))</f>
        <v>—</v>
      </c>
      <c r="K429" s="10"/>
      <c r="L429" s="14"/>
      <c r="M429" s="13"/>
    </row>
    <row r="430" customFormat="false" ht="15.75" hidden="false" customHeight="true" outlineLevel="0" collapsed="false">
      <c r="A430" s="8" t="n">
        <f aca="false">A429+1</f>
        <v>428</v>
      </c>
      <c r="B430" s="9" t="n">
        <f aca="false">MOD(4*A430^2,10)</f>
        <v>6</v>
      </c>
      <c r="C430" s="9" t="n">
        <f aca="false">(26*B430-5*B430^2)/24</f>
        <v>-1</v>
      </c>
      <c r="D430" s="9" t="n">
        <f aca="false">(A430^2+4*C430)/5</f>
        <v>36636</v>
      </c>
      <c r="E430" s="9" t="n">
        <f aca="false">MOD(D430,10)</f>
        <v>6</v>
      </c>
      <c r="F430" s="9" t="n">
        <f aca="false">2*D430</f>
        <v>73272</v>
      </c>
      <c r="G430" s="9" t="n">
        <f aca="false">MOD(F430,10)</f>
        <v>2</v>
      </c>
      <c r="H430" s="9" t="n">
        <f aca="false">G430/2</f>
        <v>1</v>
      </c>
      <c r="I430" s="9" t="str">
        <f aca="false">IF(H430=0,"—",IF(H430=1,"unison (1:1)",IF(H430=2,"octave (2:1)",IF(H430=3,"fifth (3:2)",IF(H430=4,"fourth (4:3)","?")))))</f>
        <v>unison (1:1)</v>
      </c>
      <c r="J430" s="9" t="str">
        <f aca="false">IF(H430=0,"—",IF(H430=1,"ὁμώνυμον",IF(H430=2,"διὰ πασῶν",IF(H430=3,"διὰ πέντε",IF(H430=4,"διὰ τεσσάρων","?")))))</f>
        <v>ὁμώνυμον</v>
      </c>
      <c r="K430" s="10"/>
      <c r="L430" s="14"/>
      <c r="M430" s="13"/>
    </row>
    <row r="431" customFormat="false" ht="15.75" hidden="false" customHeight="true" outlineLevel="0" collapsed="false">
      <c r="A431" s="8" t="n">
        <f aca="false">A430+1</f>
        <v>429</v>
      </c>
      <c r="B431" s="9" t="n">
        <f aca="false">MOD(4*A431^2,10)</f>
        <v>4</v>
      </c>
      <c r="C431" s="9" t="n">
        <f aca="false">(26*B431-5*B431^2)/24</f>
        <v>1</v>
      </c>
      <c r="D431" s="9" t="n">
        <f aca="false">(A431^2+4*C431)/5</f>
        <v>36809</v>
      </c>
      <c r="E431" s="9" t="n">
        <f aca="false">MOD(D431,10)</f>
        <v>9</v>
      </c>
      <c r="F431" s="9" t="n">
        <f aca="false">2*D431</f>
        <v>73618</v>
      </c>
      <c r="G431" s="9" t="n">
        <f aca="false">MOD(F431,10)</f>
        <v>8</v>
      </c>
      <c r="H431" s="9" t="n">
        <f aca="false">G431/2</f>
        <v>4</v>
      </c>
      <c r="I431" s="9" t="str">
        <f aca="false">IF(H431=0,"—",IF(H431=1,"unison (1:1)",IF(H431=2,"octave (2:1)",IF(H431=3,"fifth (3:2)",IF(H431=4,"fourth (4:3)","?")))))</f>
        <v>fourth (4:3)</v>
      </c>
      <c r="J431" s="9" t="str">
        <f aca="false">IF(H431=0,"—",IF(H431=1,"ὁμώνυμον",IF(H431=2,"διὰ πασῶν",IF(H431=3,"διὰ πέντε",IF(H431=4,"διὰ τεσσάρων","?")))))</f>
        <v>διὰ τεσσάρων</v>
      </c>
      <c r="K431" s="10"/>
      <c r="L431" s="14"/>
      <c r="M431" s="13"/>
    </row>
    <row r="432" customFormat="false" ht="15.75" hidden="false" customHeight="true" outlineLevel="0" collapsed="false">
      <c r="A432" s="8" t="n">
        <f aca="false">A431+1</f>
        <v>430</v>
      </c>
      <c r="B432" s="9" t="n">
        <f aca="false">MOD(4*A432^2,10)</f>
        <v>0</v>
      </c>
      <c r="C432" s="9" t="n">
        <f aca="false">(26*B432-5*B432^2)/24</f>
        <v>0</v>
      </c>
      <c r="D432" s="9" t="n">
        <f aca="false">(A432^2+4*C432)/5</f>
        <v>36980</v>
      </c>
      <c r="E432" s="9" t="n">
        <f aca="false">MOD(D432,10)</f>
        <v>0</v>
      </c>
      <c r="F432" s="9" t="n">
        <f aca="false">2*D432</f>
        <v>73960</v>
      </c>
      <c r="G432" s="9" t="n">
        <f aca="false">MOD(F432,10)</f>
        <v>0</v>
      </c>
      <c r="H432" s="9" t="n">
        <f aca="false">G432/2</f>
        <v>0</v>
      </c>
      <c r="I432" s="9" t="str">
        <f aca="false">IF(H432=0,"—",IF(H432=1,"unison (1:1)",IF(H432=2,"octave (2:1)",IF(H432=3,"fifth (3:2)",IF(H432=4,"fourth (4:3)","?")))))</f>
        <v>—</v>
      </c>
      <c r="J432" s="9" t="str">
        <f aca="false">IF(H432=0,"—",IF(H432=1,"ὁμώνυμον",IF(H432=2,"διὰ πασῶν",IF(H432=3,"διὰ πέντε",IF(H432=4,"διὰ τεσσάρων","?")))))</f>
        <v>—</v>
      </c>
      <c r="K432" s="10"/>
      <c r="L432" s="14"/>
      <c r="M432" s="13"/>
    </row>
    <row r="433" customFormat="false" ht="15.75" hidden="false" customHeight="true" outlineLevel="0" collapsed="false">
      <c r="A433" s="8" t="n">
        <f aca="false">A432+1</f>
        <v>431</v>
      </c>
      <c r="B433" s="9" t="n">
        <f aca="false">MOD(4*A433^2,10)</f>
        <v>4</v>
      </c>
      <c r="C433" s="9" t="n">
        <f aca="false">(26*B433-5*B433^2)/24</f>
        <v>1</v>
      </c>
      <c r="D433" s="9" t="n">
        <f aca="false">(A433^2+4*C433)/5</f>
        <v>37153</v>
      </c>
      <c r="E433" s="9" t="n">
        <f aca="false">MOD(D433,10)</f>
        <v>3</v>
      </c>
      <c r="F433" s="9" t="n">
        <f aca="false">2*D433</f>
        <v>74306</v>
      </c>
      <c r="G433" s="9" t="n">
        <f aca="false">MOD(F433,10)</f>
        <v>6</v>
      </c>
      <c r="H433" s="9" t="n">
        <f aca="false">G433/2</f>
        <v>3</v>
      </c>
      <c r="I433" s="9" t="str">
        <f aca="false">IF(H433=0,"—",IF(H433=1,"unison (1:1)",IF(H433=2,"octave (2:1)",IF(H433=3,"fifth (3:2)",IF(H433=4,"fourth (4:3)","?")))))</f>
        <v>fifth (3:2)</v>
      </c>
      <c r="J433" s="9" t="str">
        <f aca="false">IF(H433=0,"—",IF(H433=1,"ὁμώνυμον",IF(H433=2,"διὰ πασῶν",IF(H433=3,"διὰ πέντε",IF(H433=4,"διὰ τεσσάρων","?")))))</f>
        <v>διὰ πέντε</v>
      </c>
      <c r="K433" s="10"/>
      <c r="L433" s="14"/>
      <c r="M433" s="13"/>
    </row>
    <row r="434" customFormat="false" ht="15.75" hidden="false" customHeight="true" outlineLevel="0" collapsed="false">
      <c r="A434" s="8" t="n">
        <f aca="false">A433+1</f>
        <v>432</v>
      </c>
      <c r="B434" s="9" t="n">
        <f aca="false">MOD(4*A434^2,10)</f>
        <v>6</v>
      </c>
      <c r="C434" s="9" t="n">
        <f aca="false">(26*B434-5*B434^2)/24</f>
        <v>-1</v>
      </c>
      <c r="D434" s="9" t="n">
        <f aca="false">(A434^2+4*C434)/5</f>
        <v>37324</v>
      </c>
      <c r="E434" s="9" t="n">
        <f aca="false">MOD(D434,10)</f>
        <v>4</v>
      </c>
      <c r="F434" s="9" t="n">
        <f aca="false">2*D434</f>
        <v>74648</v>
      </c>
      <c r="G434" s="9" t="n">
        <f aca="false">MOD(F434,10)</f>
        <v>8</v>
      </c>
      <c r="H434" s="9" t="n">
        <f aca="false">G434/2</f>
        <v>4</v>
      </c>
      <c r="I434" s="9" t="str">
        <f aca="false">IF(H434=0,"—",IF(H434=1,"unison (1:1)",IF(H434=2,"octave (2:1)",IF(H434=3,"fifth (3:2)",IF(H434=4,"fourth (4:3)","?")))))</f>
        <v>fourth (4:3)</v>
      </c>
      <c r="J434" s="9" t="str">
        <f aca="false">IF(H434=0,"—",IF(H434=1,"ὁμώνυμον",IF(H434=2,"διὰ πασῶν",IF(H434=3,"διὰ πέντε",IF(H434=4,"διὰ τεσσάρων","?")))))</f>
        <v>διὰ τεσσάρων</v>
      </c>
      <c r="K434" s="10"/>
      <c r="L434" s="14"/>
      <c r="M434" s="13"/>
    </row>
    <row r="435" customFormat="false" ht="15.75" hidden="false" customHeight="true" outlineLevel="0" collapsed="false">
      <c r="A435" s="8" t="n">
        <f aca="false">A434+1</f>
        <v>433</v>
      </c>
      <c r="B435" s="9" t="n">
        <f aca="false">MOD(4*A435^2,10)</f>
        <v>6</v>
      </c>
      <c r="C435" s="9" t="n">
        <f aca="false">(26*B435-5*B435^2)/24</f>
        <v>-1</v>
      </c>
      <c r="D435" s="9" t="n">
        <f aca="false">(A435^2+4*C435)/5</f>
        <v>37497</v>
      </c>
      <c r="E435" s="9" t="n">
        <f aca="false">MOD(D435,10)</f>
        <v>7</v>
      </c>
      <c r="F435" s="9" t="n">
        <f aca="false">2*D435</f>
        <v>74994</v>
      </c>
      <c r="G435" s="9" t="n">
        <f aca="false">MOD(F435,10)</f>
        <v>4</v>
      </c>
      <c r="H435" s="9" t="n">
        <f aca="false">G435/2</f>
        <v>2</v>
      </c>
      <c r="I435" s="9" t="str">
        <f aca="false">IF(H435=0,"—",IF(H435=1,"unison (1:1)",IF(H435=2,"octave (2:1)",IF(H435=3,"fifth (3:2)",IF(H435=4,"fourth (4:3)","?")))))</f>
        <v>octave (2:1)</v>
      </c>
      <c r="J435" s="9" t="str">
        <f aca="false">IF(H435=0,"—",IF(H435=1,"ὁμώνυμον",IF(H435=2,"διὰ πασῶν",IF(H435=3,"διὰ πέντε",IF(H435=4,"διὰ τεσσάρων","?")))))</f>
        <v>διὰ πασῶν</v>
      </c>
      <c r="K435" s="10"/>
      <c r="L435" s="14"/>
      <c r="M435" s="13"/>
    </row>
    <row r="436" customFormat="false" ht="15.75" hidden="false" customHeight="true" outlineLevel="0" collapsed="false">
      <c r="A436" s="8" t="n">
        <f aca="false">A435+1</f>
        <v>434</v>
      </c>
      <c r="B436" s="9" t="n">
        <f aca="false">MOD(4*A436^2,10)</f>
        <v>4</v>
      </c>
      <c r="C436" s="9" t="n">
        <f aca="false">(26*B436-5*B436^2)/24</f>
        <v>1</v>
      </c>
      <c r="D436" s="9" t="n">
        <f aca="false">(A436^2+4*C436)/5</f>
        <v>37672</v>
      </c>
      <c r="E436" s="9" t="n">
        <f aca="false">MOD(D436,10)</f>
        <v>2</v>
      </c>
      <c r="F436" s="9" t="n">
        <f aca="false">2*D436</f>
        <v>75344</v>
      </c>
      <c r="G436" s="9" t="n">
        <f aca="false">MOD(F436,10)</f>
        <v>4</v>
      </c>
      <c r="H436" s="9" t="n">
        <f aca="false">G436/2</f>
        <v>2</v>
      </c>
      <c r="I436" s="9" t="str">
        <f aca="false">IF(H436=0,"—",IF(H436=1,"unison (1:1)",IF(H436=2,"octave (2:1)",IF(H436=3,"fifth (3:2)",IF(H436=4,"fourth (4:3)","?")))))</f>
        <v>octave (2:1)</v>
      </c>
      <c r="J436" s="9" t="str">
        <f aca="false">IF(H436=0,"—",IF(H436=1,"ὁμώνυμον",IF(H436=2,"διὰ πασῶν",IF(H436=3,"διὰ πέντε",IF(H436=4,"διὰ τεσσάρων","?")))))</f>
        <v>διὰ πασῶν</v>
      </c>
      <c r="K436" s="10"/>
      <c r="L436" s="14"/>
      <c r="M436" s="13"/>
    </row>
    <row r="437" customFormat="false" ht="15.75" hidden="false" customHeight="true" outlineLevel="0" collapsed="false">
      <c r="A437" s="8" t="n">
        <f aca="false">A436+1</f>
        <v>435</v>
      </c>
      <c r="B437" s="9" t="n">
        <f aca="false">MOD(4*A437^2,10)</f>
        <v>0</v>
      </c>
      <c r="C437" s="9" t="n">
        <f aca="false">(26*B437-5*B437^2)/24</f>
        <v>0</v>
      </c>
      <c r="D437" s="9" t="n">
        <f aca="false">(A437^2+4*C437)/5</f>
        <v>37845</v>
      </c>
      <c r="E437" s="9" t="n">
        <f aca="false">MOD(D437,10)</f>
        <v>5</v>
      </c>
      <c r="F437" s="9" t="n">
        <f aca="false">2*D437</f>
        <v>75690</v>
      </c>
      <c r="G437" s="9" t="n">
        <f aca="false">MOD(F437,10)</f>
        <v>0</v>
      </c>
      <c r="H437" s="9" t="n">
        <f aca="false">G437/2</f>
        <v>0</v>
      </c>
      <c r="I437" s="9" t="str">
        <f aca="false">IF(H437=0,"—",IF(H437=1,"unison (1:1)",IF(H437=2,"octave (2:1)",IF(H437=3,"fifth (3:2)",IF(H437=4,"fourth (4:3)","?")))))</f>
        <v>—</v>
      </c>
      <c r="J437" s="9" t="str">
        <f aca="false">IF(H437=0,"—",IF(H437=1,"ὁμώνυμον",IF(H437=2,"διὰ πασῶν",IF(H437=3,"διὰ πέντε",IF(H437=4,"διὰ τεσσάρων","?")))))</f>
        <v>—</v>
      </c>
      <c r="K437" s="10"/>
      <c r="L437" s="14"/>
      <c r="M437" s="13"/>
    </row>
    <row r="438" customFormat="false" ht="15.75" hidden="false" customHeight="true" outlineLevel="0" collapsed="false">
      <c r="A438" s="8" t="n">
        <f aca="false">A437+1</f>
        <v>436</v>
      </c>
      <c r="B438" s="9" t="n">
        <f aca="false">MOD(4*A438^2,10)</f>
        <v>4</v>
      </c>
      <c r="C438" s="9" t="n">
        <f aca="false">(26*B438-5*B438^2)/24</f>
        <v>1</v>
      </c>
      <c r="D438" s="9" t="n">
        <f aca="false">(A438^2+4*C438)/5</f>
        <v>38020</v>
      </c>
      <c r="E438" s="9" t="n">
        <f aca="false">MOD(D438,10)</f>
        <v>0</v>
      </c>
      <c r="F438" s="9" t="n">
        <f aca="false">2*D438</f>
        <v>76040</v>
      </c>
      <c r="G438" s="9" t="n">
        <f aca="false">MOD(F438,10)</f>
        <v>0</v>
      </c>
      <c r="H438" s="9" t="n">
        <f aca="false">G438/2</f>
        <v>0</v>
      </c>
      <c r="I438" s="9" t="str">
        <f aca="false">IF(H438=0,"—",IF(H438=1,"unison (1:1)",IF(H438=2,"octave (2:1)",IF(H438=3,"fifth (3:2)",IF(H438=4,"fourth (4:3)","?")))))</f>
        <v>—</v>
      </c>
      <c r="J438" s="9" t="str">
        <f aca="false">IF(H438=0,"—",IF(H438=1,"ὁμώνυμον",IF(H438=2,"διὰ πασῶν",IF(H438=3,"διὰ πέντε",IF(H438=4,"διὰ τεσσάρων","?")))))</f>
        <v>—</v>
      </c>
      <c r="K438" s="10"/>
      <c r="L438" s="14"/>
      <c r="M438" s="13"/>
    </row>
    <row r="439" customFormat="false" ht="15.75" hidden="false" customHeight="true" outlineLevel="0" collapsed="false">
      <c r="A439" s="8" t="n">
        <f aca="false">A438+1</f>
        <v>437</v>
      </c>
      <c r="B439" s="9" t="n">
        <f aca="false">MOD(4*A439^2,10)</f>
        <v>6</v>
      </c>
      <c r="C439" s="9" t="n">
        <f aca="false">(26*B439-5*B439^2)/24</f>
        <v>-1</v>
      </c>
      <c r="D439" s="9" t="n">
        <f aca="false">(A439^2+4*C439)/5</f>
        <v>38193</v>
      </c>
      <c r="E439" s="9" t="n">
        <f aca="false">MOD(D439,10)</f>
        <v>3</v>
      </c>
      <c r="F439" s="9" t="n">
        <f aca="false">2*D439</f>
        <v>76386</v>
      </c>
      <c r="G439" s="9" t="n">
        <f aca="false">MOD(F439,10)</f>
        <v>6</v>
      </c>
      <c r="H439" s="9" t="n">
        <f aca="false">G439/2</f>
        <v>3</v>
      </c>
      <c r="I439" s="9" t="str">
        <f aca="false">IF(H439=0,"—",IF(H439=1,"unison (1:1)",IF(H439=2,"octave (2:1)",IF(H439=3,"fifth (3:2)",IF(H439=4,"fourth (4:3)","?")))))</f>
        <v>fifth (3:2)</v>
      </c>
      <c r="J439" s="9" t="str">
        <f aca="false">IF(H439=0,"—",IF(H439=1,"ὁμώνυμον",IF(H439=2,"διὰ πασῶν",IF(H439=3,"διὰ πέντε",IF(H439=4,"διὰ τεσσάρων","?")))))</f>
        <v>διὰ πέντε</v>
      </c>
      <c r="K439" s="10"/>
      <c r="L439" s="14"/>
      <c r="M439" s="13"/>
    </row>
    <row r="440" customFormat="false" ht="15.75" hidden="false" customHeight="true" outlineLevel="0" collapsed="false">
      <c r="A440" s="8" t="n">
        <f aca="false">A439+1</f>
        <v>438</v>
      </c>
      <c r="B440" s="9" t="n">
        <f aca="false">MOD(4*A440^2,10)</f>
        <v>6</v>
      </c>
      <c r="C440" s="9" t="n">
        <f aca="false">(26*B440-5*B440^2)/24</f>
        <v>-1</v>
      </c>
      <c r="D440" s="9" t="n">
        <f aca="false">(A440^2+4*C440)/5</f>
        <v>38368</v>
      </c>
      <c r="E440" s="9" t="n">
        <f aca="false">MOD(D440,10)</f>
        <v>8</v>
      </c>
      <c r="F440" s="9" t="n">
        <f aca="false">2*D440</f>
        <v>76736</v>
      </c>
      <c r="G440" s="9" t="n">
        <f aca="false">MOD(F440,10)</f>
        <v>6</v>
      </c>
      <c r="H440" s="9" t="n">
        <f aca="false">G440/2</f>
        <v>3</v>
      </c>
      <c r="I440" s="9" t="str">
        <f aca="false">IF(H440=0,"—",IF(H440=1,"unison (1:1)",IF(H440=2,"octave (2:1)",IF(H440=3,"fifth (3:2)",IF(H440=4,"fourth (4:3)","?")))))</f>
        <v>fifth (3:2)</v>
      </c>
      <c r="J440" s="9" t="str">
        <f aca="false">IF(H440=0,"—",IF(H440=1,"ὁμώνυμον",IF(H440=2,"διὰ πασῶν",IF(H440=3,"διὰ πέντε",IF(H440=4,"διὰ τεσσάρων","?")))))</f>
        <v>διὰ πέντε</v>
      </c>
      <c r="K440" s="10"/>
      <c r="L440" s="14"/>
      <c r="M440" s="13"/>
    </row>
    <row r="441" customFormat="false" ht="15.75" hidden="false" customHeight="true" outlineLevel="0" collapsed="false">
      <c r="A441" s="8" t="n">
        <f aca="false">A440+1</f>
        <v>439</v>
      </c>
      <c r="B441" s="9" t="n">
        <f aca="false">MOD(4*A441^2,10)</f>
        <v>4</v>
      </c>
      <c r="C441" s="9" t="n">
        <f aca="false">(26*B441-5*B441^2)/24</f>
        <v>1</v>
      </c>
      <c r="D441" s="9" t="n">
        <f aca="false">(A441^2+4*C441)/5</f>
        <v>38545</v>
      </c>
      <c r="E441" s="9" t="n">
        <f aca="false">MOD(D441,10)</f>
        <v>5</v>
      </c>
      <c r="F441" s="9" t="n">
        <f aca="false">2*D441</f>
        <v>77090</v>
      </c>
      <c r="G441" s="9" t="n">
        <f aca="false">MOD(F441,10)</f>
        <v>0</v>
      </c>
      <c r="H441" s="9" t="n">
        <f aca="false">G441/2</f>
        <v>0</v>
      </c>
      <c r="I441" s="9" t="str">
        <f aca="false">IF(H441=0,"—",IF(H441=1,"unison (1:1)",IF(H441=2,"octave (2:1)",IF(H441=3,"fifth (3:2)",IF(H441=4,"fourth (4:3)","?")))))</f>
        <v>—</v>
      </c>
      <c r="J441" s="9" t="str">
        <f aca="false">IF(H441=0,"—",IF(H441=1,"ὁμώνυμον",IF(H441=2,"διὰ πασῶν",IF(H441=3,"διὰ πέντε",IF(H441=4,"διὰ τεσσάρων","?")))))</f>
        <v>—</v>
      </c>
      <c r="K441" s="10"/>
      <c r="L441" s="14"/>
      <c r="M441" s="13"/>
    </row>
    <row r="442" customFormat="false" ht="15.75" hidden="false" customHeight="true" outlineLevel="0" collapsed="false">
      <c r="A442" s="8" t="n">
        <f aca="false">A441+1</f>
        <v>440</v>
      </c>
      <c r="B442" s="9" t="n">
        <f aca="false">MOD(4*A442^2,10)</f>
        <v>0</v>
      </c>
      <c r="C442" s="9" t="n">
        <f aca="false">(26*B442-5*B442^2)/24</f>
        <v>0</v>
      </c>
      <c r="D442" s="9" t="n">
        <f aca="false">(A442^2+4*C442)/5</f>
        <v>38720</v>
      </c>
      <c r="E442" s="9" t="n">
        <f aca="false">MOD(D442,10)</f>
        <v>0</v>
      </c>
      <c r="F442" s="9" t="n">
        <f aca="false">2*D442</f>
        <v>77440</v>
      </c>
      <c r="G442" s="9" t="n">
        <f aca="false">MOD(F442,10)</f>
        <v>0</v>
      </c>
      <c r="H442" s="9" t="n">
        <f aca="false">G442/2</f>
        <v>0</v>
      </c>
      <c r="I442" s="9" t="str">
        <f aca="false">IF(H442=0,"—",IF(H442=1,"unison (1:1)",IF(H442=2,"octave (2:1)",IF(H442=3,"fifth (3:2)",IF(H442=4,"fourth (4:3)","?")))))</f>
        <v>—</v>
      </c>
      <c r="J442" s="9" t="str">
        <f aca="false">IF(H442=0,"—",IF(H442=1,"ὁμώνυμον",IF(H442=2,"διὰ πασῶν",IF(H442=3,"διὰ πέντε",IF(H442=4,"διὰ τεσσάρων","?")))))</f>
        <v>—</v>
      </c>
      <c r="K442" s="10"/>
      <c r="L442" s="14"/>
      <c r="M442" s="13"/>
    </row>
    <row r="443" customFormat="false" ht="15.75" hidden="false" customHeight="true" outlineLevel="0" collapsed="false">
      <c r="A443" s="8" t="n">
        <f aca="false">A442+1</f>
        <v>441</v>
      </c>
      <c r="B443" s="9" t="n">
        <f aca="false">MOD(4*A443^2,10)</f>
        <v>4</v>
      </c>
      <c r="C443" s="9" t="n">
        <f aca="false">(26*B443-5*B443^2)/24</f>
        <v>1</v>
      </c>
      <c r="D443" s="9" t="n">
        <f aca="false">(A443^2+4*C443)/5</f>
        <v>38897</v>
      </c>
      <c r="E443" s="9" t="n">
        <f aca="false">MOD(D443,10)</f>
        <v>7</v>
      </c>
      <c r="F443" s="9" t="n">
        <f aca="false">2*D443</f>
        <v>77794</v>
      </c>
      <c r="G443" s="9" t="n">
        <f aca="false">MOD(F443,10)</f>
        <v>4</v>
      </c>
      <c r="H443" s="9" t="n">
        <f aca="false">G443/2</f>
        <v>2</v>
      </c>
      <c r="I443" s="9" t="str">
        <f aca="false">IF(H443=0,"—",IF(H443=1,"unison (1:1)",IF(H443=2,"octave (2:1)",IF(H443=3,"fifth (3:2)",IF(H443=4,"fourth (4:3)","?")))))</f>
        <v>octave (2:1)</v>
      </c>
      <c r="J443" s="9" t="str">
        <f aca="false">IF(H443=0,"—",IF(H443=1,"ὁμώνυμον",IF(H443=2,"διὰ πασῶν",IF(H443=3,"διὰ πέντε",IF(H443=4,"διὰ τεσσάρων","?")))))</f>
        <v>διὰ πασῶν</v>
      </c>
      <c r="K443" s="10"/>
      <c r="L443" s="14"/>
      <c r="M443" s="13"/>
    </row>
    <row r="444" customFormat="false" ht="15.75" hidden="false" customHeight="true" outlineLevel="0" collapsed="false">
      <c r="A444" s="8" t="n">
        <f aca="false">A443+1</f>
        <v>442</v>
      </c>
      <c r="B444" s="9" t="n">
        <f aca="false">MOD(4*A444^2,10)</f>
        <v>6</v>
      </c>
      <c r="C444" s="9" t="n">
        <f aca="false">(26*B444-5*B444^2)/24</f>
        <v>-1</v>
      </c>
      <c r="D444" s="9" t="n">
        <f aca="false">(A444^2+4*C444)/5</f>
        <v>39072</v>
      </c>
      <c r="E444" s="9" t="n">
        <f aca="false">MOD(D444,10)</f>
        <v>2</v>
      </c>
      <c r="F444" s="9" t="n">
        <f aca="false">2*D444</f>
        <v>78144</v>
      </c>
      <c r="G444" s="9" t="n">
        <f aca="false">MOD(F444,10)</f>
        <v>4</v>
      </c>
      <c r="H444" s="9" t="n">
        <f aca="false">G444/2</f>
        <v>2</v>
      </c>
      <c r="I444" s="9" t="str">
        <f aca="false">IF(H444=0,"—",IF(H444=1,"unison (1:1)",IF(H444=2,"octave (2:1)",IF(H444=3,"fifth (3:2)",IF(H444=4,"fourth (4:3)","?")))))</f>
        <v>octave (2:1)</v>
      </c>
      <c r="J444" s="9" t="str">
        <f aca="false">IF(H444=0,"—",IF(H444=1,"ὁμώνυμον",IF(H444=2,"διὰ πασῶν",IF(H444=3,"διὰ πέντε",IF(H444=4,"διὰ τεσσάρων","?")))))</f>
        <v>διὰ πασῶν</v>
      </c>
      <c r="K444" s="10"/>
      <c r="L444" s="14"/>
      <c r="M444" s="13"/>
    </row>
    <row r="445" customFormat="false" ht="15.75" hidden="false" customHeight="true" outlineLevel="0" collapsed="false">
      <c r="A445" s="8" t="n">
        <f aca="false">A444+1</f>
        <v>443</v>
      </c>
      <c r="B445" s="9" t="n">
        <f aca="false">MOD(4*A445^2,10)</f>
        <v>6</v>
      </c>
      <c r="C445" s="9" t="n">
        <f aca="false">(26*B445-5*B445^2)/24</f>
        <v>-1</v>
      </c>
      <c r="D445" s="9" t="n">
        <f aca="false">(A445^2+4*C445)/5</f>
        <v>39249</v>
      </c>
      <c r="E445" s="9" t="n">
        <f aca="false">MOD(D445,10)</f>
        <v>9</v>
      </c>
      <c r="F445" s="9" t="n">
        <f aca="false">2*D445</f>
        <v>78498</v>
      </c>
      <c r="G445" s="9" t="n">
        <f aca="false">MOD(F445,10)</f>
        <v>8</v>
      </c>
      <c r="H445" s="9" t="n">
        <f aca="false">G445/2</f>
        <v>4</v>
      </c>
      <c r="I445" s="9" t="str">
        <f aca="false">IF(H445=0,"—",IF(H445=1,"unison (1:1)",IF(H445=2,"octave (2:1)",IF(H445=3,"fifth (3:2)",IF(H445=4,"fourth (4:3)","?")))))</f>
        <v>fourth (4:3)</v>
      </c>
      <c r="J445" s="9" t="str">
        <f aca="false">IF(H445=0,"—",IF(H445=1,"ὁμώνυμον",IF(H445=2,"διὰ πασῶν",IF(H445=3,"διὰ πέντε",IF(H445=4,"διὰ τεσσάρων","?")))))</f>
        <v>διὰ τεσσάρων</v>
      </c>
      <c r="K445" s="10"/>
      <c r="L445" s="14"/>
      <c r="M445" s="13"/>
    </row>
    <row r="446" customFormat="false" ht="15.75" hidden="false" customHeight="true" outlineLevel="0" collapsed="false">
      <c r="A446" s="8" t="n">
        <f aca="false">A445+1</f>
        <v>444</v>
      </c>
      <c r="B446" s="9" t="n">
        <f aca="false">MOD(4*A446^2,10)</f>
        <v>4</v>
      </c>
      <c r="C446" s="9" t="n">
        <f aca="false">(26*B446-5*B446^2)/24</f>
        <v>1</v>
      </c>
      <c r="D446" s="9" t="n">
        <f aca="false">(A446^2+4*C446)/5</f>
        <v>39428</v>
      </c>
      <c r="E446" s="9" t="n">
        <f aca="false">MOD(D446,10)</f>
        <v>8</v>
      </c>
      <c r="F446" s="9" t="n">
        <f aca="false">2*D446</f>
        <v>78856</v>
      </c>
      <c r="G446" s="9" t="n">
        <f aca="false">MOD(F446,10)</f>
        <v>6</v>
      </c>
      <c r="H446" s="9" t="n">
        <f aca="false">G446/2</f>
        <v>3</v>
      </c>
      <c r="I446" s="9" t="str">
        <f aca="false">IF(H446=0,"—",IF(H446=1,"unison (1:1)",IF(H446=2,"octave (2:1)",IF(H446=3,"fifth (3:2)",IF(H446=4,"fourth (4:3)","?")))))</f>
        <v>fifth (3:2)</v>
      </c>
      <c r="J446" s="9" t="str">
        <f aca="false">IF(H446=0,"—",IF(H446=1,"ὁμώνυμον",IF(H446=2,"διὰ πασῶν",IF(H446=3,"διὰ πέντε",IF(H446=4,"διὰ τεσσάρων","?")))))</f>
        <v>διὰ πέντε</v>
      </c>
      <c r="K446" s="10"/>
      <c r="L446" s="14"/>
      <c r="M446" s="13"/>
    </row>
    <row r="447" customFormat="false" ht="15.75" hidden="false" customHeight="true" outlineLevel="0" collapsed="false">
      <c r="A447" s="8" t="n">
        <f aca="false">A446+1</f>
        <v>445</v>
      </c>
      <c r="B447" s="9" t="n">
        <f aca="false">MOD(4*A447^2,10)</f>
        <v>0</v>
      </c>
      <c r="C447" s="9" t="n">
        <f aca="false">(26*B447-5*B447^2)/24</f>
        <v>0</v>
      </c>
      <c r="D447" s="9" t="n">
        <f aca="false">(A447^2+4*C447)/5</f>
        <v>39605</v>
      </c>
      <c r="E447" s="9" t="n">
        <f aca="false">MOD(D447,10)</f>
        <v>5</v>
      </c>
      <c r="F447" s="9" t="n">
        <f aca="false">2*D447</f>
        <v>79210</v>
      </c>
      <c r="G447" s="9" t="n">
        <f aca="false">MOD(F447,10)</f>
        <v>0</v>
      </c>
      <c r="H447" s="9" t="n">
        <f aca="false">G447/2</f>
        <v>0</v>
      </c>
      <c r="I447" s="9" t="str">
        <f aca="false">IF(H447=0,"—",IF(H447=1,"unison (1:1)",IF(H447=2,"octave (2:1)",IF(H447=3,"fifth (3:2)",IF(H447=4,"fourth (4:3)","?")))))</f>
        <v>—</v>
      </c>
      <c r="J447" s="9" t="str">
        <f aca="false">IF(H447=0,"—",IF(H447=1,"ὁμώνυμον",IF(H447=2,"διὰ πασῶν",IF(H447=3,"διὰ πέντε",IF(H447=4,"διὰ τεσσάρων","?")))))</f>
        <v>—</v>
      </c>
      <c r="K447" s="10"/>
      <c r="L447" s="14"/>
      <c r="M447" s="13"/>
    </row>
    <row r="448" customFormat="false" ht="15.75" hidden="false" customHeight="true" outlineLevel="0" collapsed="false">
      <c r="A448" s="8" t="n">
        <f aca="false">A447+1</f>
        <v>446</v>
      </c>
      <c r="B448" s="9" t="n">
        <f aca="false">MOD(4*A448^2,10)</f>
        <v>4</v>
      </c>
      <c r="C448" s="9" t="n">
        <f aca="false">(26*B448-5*B448^2)/24</f>
        <v>1</v>
      </c>
      <c r="D448" s="9" t="n">
        <f aca="false">(A448^2+4*C448)/5</f>
        <v>39784</v>
      </c>
      <c r="E448" s="9" t="n">
        <f aca="false">MOD(D448,10)</f>
        <v>4</v>
      </c>
      <c r="F448" s="9" t="n">
        <f aca="false">2*D448</f>
        <v>79568</v>
      </c>
      <c r="G448" s="9" t="n">
        <f aca="false">MOD(F448,10)</f>
        <v>8</v>
      </c>
      <c r="H448" s="9" t="n">
        <f aca="false">G448/2</f>
        <v>4</v>
      </c>
      <c r="I448" s="9" t="str">
        <f aca="false">IF(H448=0,"—",IF(H448=1,"unison (1:1)",IF(H448=2,"octave (2:1)",IF(H448=3,"fifth (3:2)",IF(H448=4,"fourth (4:3)","?")))))</f>
        <v>fourth (4:3)</v>
      </c>
      <c r="J448" s="9" t="str">
        <f aca="false">IF(H448=0,"—",IF(H448=1,"ὁμώνυμον",IF(H448=2,"διὰ πασῶν",IF(H448=3,"διὰ πέντε",IF(H448=4,"διὰ τεσσάρων","?")))))</f>
        <v>διὰ τεσσάρων</v>
      </c>
      <c r="K448" s="10"/>
      <c r="L448" s="14"/>
      <c r="M448" s="13"/>
    </row>
    <row r="449" customFormat="false" ht="15.75" hidden="false" customHeight="true" outlineLevel="0" collapsed="false">
      <c r="A449" s="8" t="n">
        <f aca="false">A448+1</f>
        <v>447</v>
      </c>
      <c r="B449" s="9" t="n">
        <f aca="false">MOD(4*A449^2,10)</f>
        <v>6</v>
      </c>
      <c r="C449" s="9" t="n">
        <f aca="false">(26*B449-5*B449^2)/24</f>
        <v>-1</v>
      </c>
      <c r="D449" s="9" t="n">
        <f aca="false">(A449^2+4*C449)/5</f>
        <v>39961</v>
      </c>
      <c r="E449" s="9" t="n">
        <f aca="false">MOD(D449,10)</f>
        <v>1</v>
      </c>
      <c r="F449" s="9" t="n">
        <f aca="false">2*D449</f>
        <v>79922</v>
      </c>
      <c r="G449" s="9" t="n">
        <f aca="false">MOD(F449,10)</f>
        <v>2</v>
      </c>
      <c r="H449" s="9" t="n">
        <f aca="false">G449/2</f>
        <v>1</v>
      </c>
      <c r="I449" s="9" t="str">
        <f aca="false">IF(H449=0,"—",IF(H449=1,"unison (1:1)",IF(H449=2,"octave (2:1)",IF(H449=3,"fifth (3:2)",IF(H449=4,"fourth (4:3)","?")))))</f>
        <v>unison (1:1)</v>
      </c>
      <c r="J449" s="9" t="str">
        <f aca="false">IF(H449=0,"—",IF(H449=1,"ὁμώνυμον",IF(H449=2,"διὰ πασῶν",IF(H449=3,"διὰ πέντε",IF(H449=4,"διὰ τεσσάρων","?")))))</f>
        <v>ὁμώνυμον</v>
      </c>
      <c r="K449" s="10"/>
      <c r="L449" s="14"/>
      <c r="M449" s="13"/>
    </row>
    <row r="450" customFormat="false" ht="15.75" hidden="false" customHeight="true" outlineLevel="0" collapsed="false">
      <c r="A450" s="8" t="n">
        <f aca="false">A449+1</f>
        <v>448</v>
      </c>
      <c r="B450" s="9" t="n">
        <f aca="false">MOD(4*A450^2,10)</f>
        <v>6</v>
      </c>
      <c r="C450" s="9" t="n">
        <f aca="false">(26*B450-5*B450^2)/24</f>
        <v>-1</v>
      </c>
      <c r="D450" s="9" t="n">
        <f aca="false">(A450^2+4*C450)/5</f>
        <v>40140</v>
      </c>
      <c r="E450" s="9" t="n">
        <f aca="false">MOD(D450,10)</f>
        <v>0</v>
      </c>
      <c r="F450" s="9" t="n">
        <f aca="false">2*D450</f>
        <v>80280</v>
      </c>
      <c r="G450" s="9" t="n">
        <f aca="false">MOD(F450,10)</f>
        <v>0</v>
      </c>
      <c r="H450" s="9" t="n">
        <f aca="false">G450/2</f>
        <v>0</v>
      </c>
      <c r="I450" s="9" t="str">
        <f aca="false">IF(H450=0,"—",IF(H450=1,"unison (1:1)",IF(H450=2,"octave (2:1)",IF(H450=3,"fifth (3:2)",IF(H450=4,"fourth (4:3)","?")))))</f>
        <v>—</v>
      </c>
      <c r="J450" s="9" t="str">
        <f aca="false">IF(H450=0,"—",IF(H450=1,"ὁμώνυμον",IF(H450=2,"διὰ πασῶν",IF(H450=3,"διὰ πέντε",IF(H450=4,"διὰ τεσσάρων","?")))))</f>
        <v>—</v>
      </c>
      <c r="K450" s="10"/>
      <c r="L450" s="14"/>
      <c r="M450" s="13"/>
    </row>
    <row r="451" customFormat="false" ht="15.75" hidden="false" customHeight="true" outlineLevel="0" collapsed="false">
      <c r="A451" s="8" t="n">
        <f aca="false">A450+1</f>
        <v>449</v>
      </c>
      <c r="B451" s="9" t="n">
        <f aca="false">MOD(4*A451^2,10)</f>
        <v>4</v>
      </c>
      <c r="C451" s="9" t="n">
        <f aca="false">(26*B451-5*B451^2)/24</f>
        <v>1</v>
      </c>
      <c r="D451" s="9" t="n">
        <f aca="false">(A451^2+4*C451)/5</f>
        <v>40321</v>
      </c>
      <c r="E451" s="9" t="n">
        <f aca="false">MOD(D451,10)</f>
        <v>1</v>
      </c>
      <c r="F451" s="9" t="n">
        <f aca="false">2*D451</f>
        <v>80642</v>
      </c>
      <c r="G451" s="9" t="n">
        <f aca="false">MOD(F451,10)</f>
        <v>2</v>
      </c>
      <c r="H451" s="9" t="n">
        <f aca="false">G451/2</f>
        <v>1</v>
      </c>
      <c r="I451" s="9" t="str">
        <f aca="false">IF(H451=0,"—",IF(H451=1,"unison (1:1)",IF(H451=2,"octave (2:1)",IF(H451=3,"fifth (3:2)",IF(H451=4,"fourth (4:3)","?")))))</f>
        <v>unison (1:1)</v>
      </c>
      <c r="J451" s="9" t="str">
        <f aca="false">IF(H451=0,"—",IF(H451=1,"ὁμώνυμον",IF(H451=2,"διὰ πασῶν",IF(H451=3,"διὰ πέντε",IF(H451=4,"διὰ τεσσάρων","?")))))</f>
        <v>ὁμώνυμον</v>
      </c>
      <c r="K451" s="10"/>
      <c r="L451" s="14"/>
      <c r="M451" s="13"/>
    </row>
    <row r="452" customFormat="false" ht="15.75" hidden="false" customHeight="true" outlineLevel="0" collapsed="false">
      <c r="A452" s="8" t="n">
        <f aca="false">A451+1</f>
        <v>450</v>
      </c>
      <c r="B452" s="9" t="n">
        <f aca="false">MOD(4*A452^2,10)</f>
        <v>0</v>
      </c>
      <c r="C452" s="9" t="n">
        <f aca="false">(26*B452-5*B452^2)/24</f>
        <v>0</v>
      </c>
      <c r="D452" s="9" t="n">
        <f aca="false">(A452^2+4*C452)/5</f>
        <v>40500</v>
      </c>
      <c r="E452" s="9" t="n">
        <f aca="false">MOD(D452,10)</f>
        <v>0</v>
      </c>
      <c r="F452" s="9" t="n">
        <f aca="false">2*D452</f>
        <v>81000</v>
      </c>
      <c r="G452" s="9" t="n">
        <f aca="false">MOD(F452,10)</f>
        <v>0</v>
      </c>
      <c r="H452" s="9" t="n">
        <f aca="false">G452/2</f>
        <v>0</v>
      </c>
      <c r="I452" s="9" t="str">
        <f aca="false">IF(H452=0,"—",IF(H452=1,"unison (1:1)",IF(H452=2,"octave (2:1)",IF(H452=3,"fifth (3:2)",IF(H452=4,"fourth (4:3)","?")))))</f>
        <v>—</v>
      </c>
      <c r="J452" s="9" t="str">
        <f aca="false">IF(H452=0,"—",IF(H452=1,"ὁμώνυμον",IF(H452=2,"διὰ πασῶν",IF(H452=3,"διὰ πέντε",IF(H452=4,"διὰ τεσσάρων","?")))))</f>
        <v>—</v>
      </c>
      <c r="K452" s="10"/>
      <c r="L452" s="14"/>
      <c r="M452" s="13"/>
    </row>
    <row r="453" customFormat="false" ht="15.75" hidden="false" customHeight="true" outlineLevel="0" collapsed="false">
      <c r="A453" s="8" t="n">
        <f aca="false">A452+1</f>
        <v>451</v>
      </c>
      <c r="B453" s="9" t="n">
        <f aca="false">MOD(4*A453^2,10)</f>
        <v>4</v>
      </c>
      <c r="C453" s="9" t="n">
        <f aca="false">(26*B453-5*B453^2)/24</f>
        <v>1</v>
      </c>
      <c r="D453" s="9" t="n">
        <f aca="false">(A453^2+4*C453)/5</f>
        <v>40681</v>
      </c>
      <c r="E453" s="9" t="n">
        <f aca="false">MOD(D453,10)</f>
        <v>1</v>
      </c>
      <c r="F453" s="9" t="n">
        <f aca="false">2*D453</f>
        <v>81362</v>
      </c>
      <c r="G453" s="9" t="n">
        <f aca="false">MOD(F453,10)</f>
        <v>2</v>
      </c>
      <c r="H453" s="9" t="n">
        <f aca="false">G453/2</f>
        <v>1</v>
      </c>
      <c r="I453" s="9" t="str">
        <f aca="false">IF(H453=0,"—",IF(H453=1,"unison (1:1)",IF(H453=2,"octave (2:1)",IF(H453=3,"fifth (3:2)",IF(H453=4,"fourth (4:3)","?")))))</f>
        <v>unison (1:1)</v>
      </c>
      <c r="J453" s="9" t="str">
        <f aca="false">IF(H453=0,"—",IF(H453=1,"ὁμώνυμον",IF(H453=2,"διὰ πασῶν",IF(H453=3,"διὰ πέντε",IF(H453=4,"διὰ τεσσάρων","?")))))</f>
        <v>ὁμώνυμον</v>
      </c>
      <c r="K453" s="10"/>
      <c r="L453" s="14"/>
      <c r="M453" s="13"/>
    </row>
    <row r="454" customFormat="false" ht="15.75" hidden="false" customHeight="true" outlineLevel="0" collapsed="false">
      <c r="A454" s="8" t="n">
        <f aca="false">A453+1</f>
        <v>452</v>
      </c>
      <c r="B454" s="9" t="n">
        <f aca="false">MOD(4*A454^2,10)</f>
        <v>6</v>
      </c>
      <c r="C454" s="9" t="n">
        <f aca="false">(26*B454-5*B454^2)/24</f>
        <v>-1</v>
      </c>
      <c r="D454" s="9" t="n">
        <f aca="false">(A454^2+4*C454)/5</f>
        <v>40860</v>
      </c>
      <c r="E454" s="9" t="n">
        <f aca="false">MOD(D454,10)</f>
        <v>0</v>
      </c>
      <c r="F454" s="9" t="n">
        <f aca="false">2*D454</f>
        <v>81720</v>
      </c>
      <c r="G454" s="9" t="n">
        <f aca="false">MOD(F454,10)</f>
        <v>0</v>
      </c>
      <c r="H454" s="9" t="n">
        <f aca="false">G454/2</f>
        <v>0</v>
      </c>
      <c r="I454" s="9" t="str">
        <f aca="false">IF(H454=0,"—",IF(H454=1,"unison (1:1)",IF(H454=2,"octave (2:1)",IF(H454=3,"fifth (3:2)",IF(H454=4,"fourth (4:3)","?")))))</f>
        <v>—</v>
      </c>
      <c r="J454" s="9" t="str">
        <f aca="false">IF(H454=0,"—",IF(H454=1,"ὁμώνυμον",IF(H454=2,"διὰ πασῶν",IF(H454=3,"διὰ πέντε",IF(H454=4,"διὰ τεσσάρων","?")))))</f>
        <v>—</v>
      </c>
      <c r="K454" s="10"/>
      <c r="L454" s="14"/>
      <c r="M454" s="13"/>
    </row>
    <row r="455" customFormat="false" ht="15.75" hidden="false" customHeight="true" outlineLevel="0" collapsed="false">
      <c r="A455" s="8" t="n">
        <f aca="false">A454+1</f>
        <v>453</v>
      </c>
      <c r="B455" s="9" t="n">
        <f aca="false">MOD(4*A455^2,10)</f>
        <v>6</v>
      </c>
      <c r="C455" s="9" t="n">
        <f aca="false">(26*B455-5*B455^2)/24</f>
        <v>-1</v>
      </c>
      <c r="D455" s="9" t="n">
        <f aca="false">(A455^2+4*C455)/5</f>
        <v>41041</v>
      </c>
      <c r="E455" s="9" t="n">
        <f aca="false">MOD(D455,10)</f>
        <v>1</v>
      </c>
      <c r="F455" s="9" t="n">
        <f aca="false">2*D455</f>
        <v>82082</v>
      </c>
      <c r="G455" s="9" t="n">
        <f aca="false">MOD(F455,10)</f>
        <v>2</v>
      </c>
      <c r="H455" s="9" t="n">
        <f aca="false">G455/2</f>
        <v>1</v>
      </c>
      <c r="I455" s="9" t="str">
        <f aca="false">IF(H455=0,"—",IF(H455=1,"unison (1:1)",IF(H455=2,"octave (2:1)",IF(H455=3,"fifth (3:2)",IF(H455=4,"fourth (4:3)","?")))))</f>
        <v>unison (1:1)</v>
      </c>
      <c r="J455" s="9" t="str">
        <f aca="false">IF(H455=0,"—",IF(H455=1,"ὁμώνυμον",IF(H455=2,"διὰ πασῶν",IF(H455=3,"διὰ πέντε",IF(H455=4,"διὰ τεσσάρων","?")))))</f>
        <v>ὁμώνυμον</v>
      </c>
      <c r="K455" s="10"/>
      <c r="L455" s="14"/>
      <c r="M455" s="13"/>
    </row>
    <row r="456" customFormat="false" ht="15.75" hidden="false" customHeight="true" outlineLevel="0" collapsed="false">
      <c r="A456" s="8" t="n">
        <f aca="false">A455+1</f>
        <v>454</v>
      </c>
      <c r="B456" s="9" t="n">
        <f aca="false">MOD(4*A456^2,10)</f>
        <v>4</v>
      </c>
      <c r="C456" s="9" t="n">
        <f aca="false">(26*B456-5*B456^2)/24</f>
        <v>1</v>
      </c>
      <c r="D456" s="9" t="n">
        <f aca="false">(A456^2+4*C456)/5</f>
        <v>41224</v>
      </c>
      <c r="E456" s="9" t="n">
        <f aca="false">MOD(D456,10)</f>
        <v>4</v>
      </c>
      <c r="F456" s="9" t="n">
        <f aca="false">2*D456</f>
        <v>82448</v>
      </c>
      <c r="G456" s="9" t="n">
        <f aca="false">MOD(F456,10)</f>
        <v>8</v>
      </c>
      <c r="H456" s="9" t="n">
        <f aca="false">G456/2</f>
        <v>4</v>
      </c>
      <c r="I456" s="9" t="str">
        <f aca="false">IF(H456=0,"—",IF(H456=1,"unison (1:1)",IF(H456=2,"octave (2:1)",IF(H456=3,"fifth (3:2)",IF(H456=4,"fourth (4:3)","?")))))</f>
        <v>fourth (4:3)</v>
      </c>
      <c r="J456" s="9" t="str">
        <f aca="false">IF(H456=0,"—",IF(H456=1,"ὁμώνυμον",IF(H456=2,"διὰ πασῶν",IF(H456=3,"διὰ πέντε",IF(H456=4,"διὰ τεσσάρων","?")))))</f>
        <v>διὰ τεσσάρων</v>
      </c>
      <c r="K456" s="10"/>
      <c r="L456" s="14"/>
      <c r="M456" s="13"/>
    </row>
    <row r="457" customFormat="false" ht="15.75" hidden="false" customHeight="true" outlineLevel="0" collapsed="false">
      <c r="A457" s="8" t="n">
        <f aca="false">A456+1</f>
        <v>455</v>
      </c>
      <c r="B457" s="9" t="n">
        <f aca="false">MOD(4*A457^2,10)</f>
        <v>0</v>
      </c>
      <c r="C457" s="9" t="n">
        <f aca="false">(26*B457-5*B457^2)/24</f>
        <v>0</v>
      </c>
      <c r="D457" s="9" t="n">
        <f aca="false">(A457^2+4*C457)/5</f>
        <v>41405</v>
      </c>
      <c r="E457" s="9" t="n">
        <f aca="false">MOD(D457,10)</f>
        <v>5</v>
      </c>
      <c r="F457" s="9" t="n">
        <f aca="false">2*D457</f>
        <v>82810</v>
      </c>
      <c r="G457" s="9" t="n">
        <f aca="false">MOD(F457,10)</f>
        <v>0</v>
      </c>
      <c r="H457" s="9" t="n">
        <f aca="false">G457/2</f>
        <v>0</v>
      </c>
      <c r="I457" s="9" t="str">
        <f aca="false">IF(H457=0,"—",IF(H457=1,"unison (1:1)",IF(H457=2,"octave (2:1)",IF(H457=3,"fifth (3:2)",IF(H457=4,"fourth (4:3)","?")))))</f>
        <v>—</v>
      </c>
      <c r="J457" s="9" t="str">
        <f aca="false">IF(H457=0,"—",IF(H457=1,"ὁμώνυμον",IF(H457=2,"διὰ πασῶν",IF(H457=3,"διὰ πέντε",IF(H457=4,"διὰ τεσσάρων","?")))))</f>
        <v>—</v>
      </c>
      <c r="K457" s="10"/>
      <c r="L457" s="14"/>
      <c r="M457" s="13"/>
    </row>
    <row r="458" customFormat="false" ht="15.75" hidden="false" customHeight="true" outlineLevel="0" collapsed="false">
      <c r="A458" s="8" t="n">
        <f aca="false">A457+1</f>
        <v>456</v>
      </c>
      <c r="B458" s="9" t="n">
        <f aca="false">MOD(4*A458^2,10)</f>
        <v>4</v>
      </c>
      <c r="C458" s="9" t="n">
        <f aca="false">(26*B458-5*B458^2)/24</f>
        <v>1</v>
      </c>
      <c r="D458" s="9" t="n">
        <f aca="false">(A458^2+4*C458)/5</f>
        <v>41588</v>
      </c>
      <c r="E458" s="9" t="n">
        <f aca="false">MOD(D458,10)</f>
        <v>8</v>
      </c>
      <c r="F458" s="9" t="n">
        <f aca="false">2*D458</f>
        <v>83176</v>
      </c>
      <c r="G458" s="9" t="n">
        <f aca="false">MOD(F458,10)</f>
        <v>6</v>
      </c>
      <c r="H458" s="9" t="n">
        <f aca="false">G458/2</f>
        <v>3</v>
      </c>
      <c r="I458" s="9" t="str">
        <f aca="false">IF(H458=0,"—",IF(H458=1,"unison (1:1)",IF(H458=2,"octave (2:1)",IF(H458=3,"fifth (3:2)",IF(H458=4,"fourth (4:3)","?")))))</f>
        <v>fifth (3:2)</v>
      </c>
      <c r="J458" s="9" t="str">
        <f aca="false">IF(H458=0,"—",IF(H458=1,"ὁμώνυμον",IF(H458=2,"διὰ πασῶν",IF(H458=3,"διὰ πέντε",IF(H458=4,"διὰ τεσσάρων","?")))))</f>
        <v>διὰ πέντε</v>
      </c>
      <c r="K458" s="10"/>
      <c r="L458" s="14"/>
      <c r="M458" s="13"/>
    </row>
    <row r="459" customFormat="false" ht="15.75" hidden="false" customHeight="true" outlineLevel="0" collapsed="false">
      <c r="A459" s="8" t="n">
        <f aca="false">A458+1</f>
        <v>457</v>
      </c>
      <c r="B459" s="9" t="n">
        <f aca="false">MOD(4*A459^2,10)</f>
        <v>6</v>
      </c>
      <c r="C459" s="9" t="n">
        <f aca="false">(26*B459-5*B459^2)/24</f>
        <v>-1</v>
      </c>
      <c r="D459" s="9" t="n">
        <f aca="false">(A459^2+4*C459)/5</f>
        <v>41769</v>
      </c>
      <c r="E459" s="9" t="n">
        <f aca="false">MOD(D459,10)</f>
        <v>9</v>
      </c>
      <c r="F459" s="9" t="n">
        <f aca="false">2*D459</f>
        <v>83538</v>
      </c>
      <c r="G459" s="9" t="n">
        <f aca="false">MOD(F459,10)</f>
        <v>8</v>
      </c>
      <c r="H459" s="9" t="n">
        <f aca="false">G459/2</f>
        <v>4</v>
      </c>
      <c r="I459" s="9" t="str">
        <f aca="false">IF(H459=0,"—",IF(H459=1,"unison (1:1)",IF(H459=2,"octave (2:1)",IF(H459=3,"fifth (3:2)",IF(H459=4,"fourth (4:3)","?")))))</f>
        <v>fourth (4:3)</v>
      </c>
      <c r="J459" s="9" t="str">
        <f aca="false">IF(H459=0,"—",IF(H459=1,"ὁμώνυμον",IF(H459=2,"διὰ πασῶν",IF(H459=3,"διὰ πέντε",IF(H459=4,"διὰ τεσσάρων","?")))))</f>
        <v>διὰ τεσσάρων</v>
      </c>
      <c r="K459" s="10"/>
      <c r="L459" s="14"/>
      <c r="M459" s="13"/>
    </row>
    <row r="460" customFormat="false" ht="15.75" hidden="false" customHeight="true" outlineLevel="0" collapsed="false">
      <c r="A460" s="8" t="n">
        <f aca="false">A459+1</f>
        <v>458</v>
      </c>
      <c r="B460" s="9" t="n">
        <f aca="false">MOD(4*A460^2,10)</f>
        <v>6</v>
      </c>
      <c r="C460" s="9" t="n">
        <f aca="false">(26*B460-5*B460^2)/24</f>
        <v>-1</v>
      </c>
      <c r="D460" s="9" t="n">
        <f aca="false">(A460^2+4*C460)/5</f>
        <v>41952</v>
      </c>
      <c r="E460" s="9" t="n">
        <f aca="false">MOD(D460,10)</f>
        <v>2</v>
      </c>
      <c r="F460" s="9" t="n">
        <f aca="false">2*D460</f>
        <v>83904</v>
      </c>
      <c r="G460" s="9" t="n">
        <f aca="false">MOD(F460,10)</f>
        <v>4</v>
      </c>
      <c r="H460" s="9" t="n">
        <f aca="false">G460/2</f>
        <v>2</v>
      </c>
      <c r="I460" s="9" t="str">
        <f aca="false">IF(H460=0,"—",IF(H460=1,"unison (1:1)",IF(H460=2,"octave (2:1)",IF(H460=3,"fifth (3:2)",IF(H460=4,"fourth (4:3)","?")))))</f>
        <v>octave (2:1)</v>
      </c>
      <c r="J460" s="9" t="str">
        <f aca="false">IF(H460=0,"—",IF(H460=1,"ὁμώνυμον",IF(H460=2,"διὰ πασῶν",IF(H460=3,"διὰ πέντε",IF(H460=4,"διὰ τεσσάρων","?")))))</f>
        <v>διὰ πασῶν</v>
      </c>
      <c r="K460" s="10"/>
      <c r="L460" s="14"/>
      <c r="M460" s="13"/>
    </row>
    <row r="461" customFormat="false" ht="15.75" hidden="false" customHeight="true" outlineLevel="0" collapsed="false">
      <c r="A461" s="8" t="n">
        <f aca="false">A460+1</f>
        <v>459</v>
      </c>
      <c r="B461" s="9" t="n">
        <f aca="false">MOD(4*A461^2,10)</f>
        <v>4</v>
      </c>
      <c r="C461" s="9" t="n">
        <f aca="false">(26*B461-5*B461^2)/24</f>
        <v>1</v>
      </c>
      <c r="D461" s="9" t="n">
        <f aca="false">(A461^2+4*C461)/5</f>
        <v>42137</v>
      </c>
      <c r="E461" s="9" t="n">
        <f aca="false">MOD(D461,10)</f>
        <v>7</v>
      </c>
      <c r="F461" s="9" t="n">
        <f aca="false">2*D461</f>
        <v>84274</v>
      </c>
      <c r="G461" s="9" t="n">
        <f aca="false">MOD(F461,10)</f>
        <v>4</v>
      </c>
      <c r="H461" s="9" t="n">
        <f aca="false">G461/2</f>
        <v>2</v>
      </c>
      <c r="I461" s="9" t="str">
        <f aca="false">IF(H461=0,"—",IF(H461=1,"unison (1:1)",IF(H461=2,"octave (2:1)",IF(H461=3,"fifth (3:2)",IF(H461=4,"fourth (4:3)","?")))))</f>
        <v>octave (2:1)</v>
      </c>
      <c r="J461" s="9" t="str">
        <f aca="false">IF(H461=0,"—",IF(H461=1,"ὁμώνυμον",IF(H461=2,"διὰ πασῶν",IF(H461=3,"διὰ πέντε",IF(H461=4,"διὰ τεσσάρων","?")))))</f>
        <v>διὰ πασῶν</v>
      </c>
      <c r="K461" s="10"/>
      <c r="L461" s="14"/>
      <c r="M461" s="13"/>
    </row>
    <row r="462" customFormat="false" ht="15.75" hidden="false" customHeight="true" outlineLevel="0" collapsed="false">
      <c r="A462" s="8" t="n">
        <f aca="false">A461+1</f>
        <v>460</v>
      </c>
      <c r="B462" s="9" t="n">
        <f aca="false">MOD(4*A462^2,10)</f>
        <v>0</v>
      </c>
      <c r="C462" s="9" t="n">
        <f aca="false">(26*B462-5*B462^2)/24</f>
        <v>0</v>
      </c>
      <c r="D462" s="9" t="n">
        <f aca="false">(A462^2+4*C462)/5</f>
        <v>42320</v>
      </c>
      <c r="E462" s="9" t="n">
        <f aca="false">MOD(D462,10)</f>
        <v>0</v>
      </c>
      <c r="F462" s="9" t="n">
        <f aca="false">2*D462</f>
        <v>84640</v>
      </c>
      <c r="G462" s="9" t="n">
        <f aca="false">MOD(F462,10)</f>
        <v>0</v>
      </c>
      <c r="H462" s="9" t="n">
        <f aca="false">G462/2</f>
        <v>0</v>
      </c>
      <c r="I462" s="9" t="str">
        <f aca="false">IF(H462=0,"—",IF(H462=1,"unison (1:1)",IF(H462=2,"octave (2:1)",IF(H462=3,"fifth (3:2)",IF(H462=4,"fourth (4:3)","?")))))</f>
        <v>—</v>
      </c>
      <c r="J462" s="9" t="str">
        <f aca="false">IF(H462=0,"—",IF(H462=1,"ὁμώνυμον",IF(H462=2,"διὰ πασῶν",IF(H462=3,"διὰ πέντε",IF(H462=4,"διὰ τεσσάρων","?")))))</f>
        <v>—</v>
      </c>
      <c r="K462" s="10"/>
      <c r="L462" s="14"/>
      <c r="M462" s="13"/>
    </row>
    <row r="463" customFormat="false" ht="15.75" hidden="false" customHeight="true" outlineLevel="0" collapsed="false">
      <c r="A463" s="8" t="n">
        <f aca="false">A462+1</f>
        <v>461</v>
      </c>
      <c r="B463" s="9" t="n">
        <f aca="false">MOD(4*A463^2,10)</f>
        <v>4</v>
      </c>
      <c r="C463" s="9" t="n">
        <f aca="false">(26*B463-5*B463^2)/24</f>
        <v>1</v>
      </c>
      <c r="D463" s="9" t="n">
        <f aca="false">(A463^2+4*C463)/5</f>
        <v>42505</v>
      </c>
      <c r="E463" s="9" t="n">
        <f aca="false">MOD(D463,10)</f>
        <v>5</v>
      </c>
      <c r="F463" s="9" t="n">
        <f aca="false">2*D463</f>
        <v>85010</v>
      </c>
      <c r="G463" s="9" t="n">
        <f aca="false">MOD(F463,10)</f>
        <v>0</v>
      </c>
      <c r="H463" s="9" t="n">
        <f aca="false">G463/2</f>
        <v>0</v>
      </c>
      <c r="I463" s="9" t="str">
        <f aca="false">IF(H463=0,"—",IF(H463=1,"unison (1:1)",IF(H463=2,"octave (2:1)",IF(H463=3,"fifth (3:2)",IF(H463=4,"fourth (4:3)","?")))))</f>
        <v>—</v>
      </c>
      <c r="J463" s="9" t="str">
        <f aca="false">IF(H463=0,"—",IF(H463=1,"ὁμώνυμον",IF(H463=2,"διὰ πασῶν",IF(H463=3,"διὰ πέντε",IF(H463=4,"διὰ τεσσάρων","?")))))</f>
        <v>—</v>
      </c>
      <c r="K463" s="10"/>
      <c r="L463" s="14"/>
      <c r="M463" s="13"/>
    </row>
    <row r="464" customFormat="false" ht="15.75" hidden="false" customHeight="true" outlineLevel="0" collapsed="false">
      <c r="A464" s="8" t="n">
        <f aca="false">A463+1</f>
        <v>462</v>
      </c>
      <c r="B464" s="9" t="n">
        <f aca="false">MOD(4*A464^2,10)</f>
        <v>6</v>
      </c>
      <c r="C464" s="9" t="n">
        <f aca="false">(26*B464-5*B464^2)/24</f>
        <v>-1</v>
      </c>
      <c r="D464" s="9" t="n">
        <f aca="false">(A464^2+4*C464)/5</f>
        <v>42688</v>
      </c>
      <c r="E464" s="9" t="n">
        <f aca="false">MOD(D464,10)</f>
        <v>8</v>
      </c>
      <c r="F464" s="9" t="n">
        <f aca="false">2*D464</f>
        <v>85376</v>
      </c>
      <c r="G464" s="9" t="n">
        <f aca="false">MOD(F464,10)</f>
        <v>6</v>
      </c>
      <c r="H464" s="9" t="n">
        <f aca="false">G464/2</f>
        <v>3</v>
      </c>
      <c r="I464" s="9" t="str">
        <f aca="false">IF(H464=0,"—",IF(H464=1,"unison (1:1)",IF(H464=2,"octave (2:1)",IF(H464=3,"fifth (3:2)",IF(H464=4,"fourth (4:3)","?")))))</f>
        <v>fifth (3:2)</v>
      </c>
      <c r="J464" s="9" t="str">
        <f aca="false">IF(H464=0,"—",IF(H464=1,"ὁμώνυμον",IF(H464=2,"διὰ πασῶν",IF(H464=3,"διὰ πέντε",IF(H464=4,"διὰ τεσσάρων","?")))))</f>
        <v>διὰ πέντε</v>
      </c>
      <c r="K464" s="10"/>
      <c r="L464" s="14"/>
      <c r="M464" s="13"/>
    </row>
    <row r="465" customFormat="false" ht="15.75" hidden="false" customHeight="true" outlineLevel="0" collapsed="false">
      <c r="A465" s="8" t="n">
        <f aca="false">A464+1</f>
        <v>463</v>
      </c>
      <c r="B465" s="9" t="n">
        <f aca="false">MOD(4*A465^2,10)</f>
        <v>6</v>
      </c>
      <c r="C465" s="9" t="n">
        <f aca="false">(26*B465-5*B465^2)/24</f>
        <v>-1</v>
      </c>
      <c r="D465" s="9" t="n">
        <f aca="false">(A465^2+4*C465)/5</f>
        <v>42873</v>
      </c>
      <c r="E465" s="9" t="n">
        <f aca="false">MOD(D465,10)</f>
        <v>3</v>
      </c>
      <c r="F465" s="9" t="n">
        <f aca="false">2*D465</f>
        <v>85746</v>
      </c>
      <c r="G465" s="9" t="n">
        <f aca="false">MOD(F465,10)</f>
        <v>6</v>
      </c>
      <c r="H465" s="9" t="n">
        <f aca="false">G465/2</f>
        <v>3</v>
      </c>
      <c r="I465" s="9" t="str">
        <f aca="false">IF(H465=0,"—",IF(H465=1,"unison (1:1)",IF(H465=2,"octave (2:1)",IF(H465=3,"fifth (3:2)",IF(H465=4,"fourth (4:3)","?")))))</f>
        <v>fifth (3:2)</v>
      </c>
      <c r="J465" s="9" t="str">
        <f aca="false">IF(H465=0,"—",IF(H465=1,"ὁμώνυμον",IF(H465=2,"διὰ πασῶν",IF(H465=3,"διὰ πέντε",IF(H465=4,"διὰ τεσσάρων","?")))))</f>
        <v>διὰ πέντε</v>
      </c>
      <c r="K465" s="10"/>
      <c r="L465" s="14"/>
      <c r="M465" s="13"/>
    </row>
    <row r="466" customFormat="false" ht="15.75" hidden="false" customHeight="true" outlineLevel="0" collapsed="false">
      <c r="A466" s="8" t="n">
        <f aca="false">A465+1</f>
        <v>464</v>
      </c>
      <c r="B466" s="9" t="n">
        <f aca="false">MOD(4*A466^2,10)</f>
        <v>4</v>
      </c>
      <c r="C466" s="9" t="n">
        <f aca="false">(26*B466-5*B466^2)/24</f>
        <v>1</v>
      </c>
      <c r="D466" s="9" t="n">
        <f aca="false">(A466^2+4*C466)/5</f>
        <v>43060</v>
      </c>
      <c r="E466" s="9" t="n">
        <f aca="false">MOD(D466,10)</f>
        <v>0</v>
      </c>
      <c r="F466" s="9" t="n">
        <f aca="false">2*D466</f>
        <v>86120</v>
      </c>
      <c r="G466" s="9" t="n">
        <f aca="false">MOD(F466,10)</f>
        <v>0</v>
      </c>
      <c r="H466" s="9" t="n">
        <f aca="false">G466/2</f>
        <v>0</v>
      </c>
      <c r="I466" s="9" t="str">
        <f aca="false">IF(H466=0,"—",IF(H466=1,"unison (1:1)",IF(H466=2,"octave (2:1)",IF(H466=3,"fifth (3:2)",IF(H466=4,"fourth (4:3)","?")))))</f>
        <v>—</v>
      </c>
      <c r="J466" s="9" t="str">
        <f aca="false">IF(H466=0,"—",IF(H466=1,"ὁμώνυμον",IF(H466=2,"διὰ πασῶν",IF(H466=3,"διὰ πέντε",IF(H466=4,"διὰ τεσσάρων","?")))))</f>
        <v>—</v>
      </c>
      <c r="K466" s="10"/>
      <c r="L466" s="14"/>
      <c r="M466" s="13"/>
    </row>
    <row r="467" customFormat="false" ht="15.75" hidden="false" customHeight="true" outlineLevel="0" collapsed="false">
      <c r="A467" s="8" t="n">
        <f aca="false">A466+1</f>
        <v>465</v>
      </c>
      <c r="B467" s="9" t="n">
        <f aca="false">MOD(4*A467^2,10)</f>
        <v>0</v>
      </c>
      <c r="C467" s="9" t="n">
        <f aca="false">(26*B467-5*B467^2)/24</f>
        <v>0</v>
      </c>
      <c r="D467" s="9" t="n">
        <f aca="false">(A467^2+4*C467)/5</f>
        <v>43245</v>
      </c>
      <c r="E467" s="9" t="n">
        <f aca="false">MOD(D467,10)</f>
        <v>5</v>
      </c>
      <c r="F467" s="9" t="n">
        <f aca="false">2*D467</f>
        <v>86490</v>
      </c>
      <c r="G467" s="9" t="n">
        <f aca="false">MOD(F467,10)</f>
        <v>0</v>
      </c>
      <c r="H467" s="9" t="n">
        <f aca="false">G467/2</f>
        <v>0</v>
      </c>
      <c r="I467" s="9" t="str">
        <f aca="false">IF(H467=0,"—",IF(H467=1,"unison (1:1)",IF(H467=2,"octave (2:1)",IF(H467=3,"fifth (3:2)",IF(H467=4,"fourth (4:3)","?")))))</f>
        <v>—</v>
      </c>
      <c r="J467" s="9" t="str">
        <f aca="false">IF(H467=0,"—",IF(H467=1,"ὁμώνυμον",IF(H467=2,"διὰ πασῶν",IF(H467=3,"διὰ πέντε",IF(H467=4,"διὰ τεσσάρων","?")))))</f>
        <v>—</v>
      </c>
      <c r="K467" s="10"/>
      <c r="L467" s="14"/>
      <c r="M467" s="13"/>
    </row>
    <row r="468" customFormat="false" ht="15.75" hidden="false" customHeight="true" outlineLevel="0" collapsed="false">
      <c r="A468" s="8" t="n">
        <f aca="false">A467+1</f>
        <v>466</v>
      </c>
      <c r="B468" s="9" t="n">
        <f aca="false">MOD(4*A468^2,10)</f>
        <v>4</v>
      </c>
      <c r="C468" s="9" t="n">
        <f aca="false">(26*B468-5*B468^2)/24</f>
        <v>1</v>
      </c>
      <c r="D468" s="9" t="n">
        <f aca="false">(A468^2+4*C468)/5</f>
        <v>43432</v>
      </c>
      <c r="E468" s="9" t="n">
        <f aca="false">MOD(D468,10)</f>
        <v>2</v>
      </c>
      <c r="F468" s="9" t="n">
        <f aca="false">2*D468</f>
        <v>86864</v>
      </c>
      <c r="G468" s="9" t="n">
        <f aca="false">MOD(F468,10)</f>
        <v>4</v>
      </c>
      <c r="H468" s="9" t="n">
        <f aca="false">G468/2</f>
        <v>2</v>
      </c>
      <c r="I468" s="9" t="str">
        <f aca="false">IF(H468=0,"—",IF(H468=1,"unison (1:1)",IF(H468=2,"octave (2:1)",IF(H468=3,"fifth (3:2)",IF(H468=4,"fourth (4:3)","?")))))</f>
        <v>octave (2:1)</v>
      </c>
      <c r="J468" s="9" t="str">
        <f aca="false">IF(H468=0,"—",IF(H468=1,"ὁμώνυμον",IF(H468=2,"διὰ πασῶν",IF(H468=3,"διὰ πέντε",IF(H468=4,"διὰ τεσσάρων","?")))))</f>
        <v>διὰ πασῶν</v>
      </c>
      <c r="K468" s="10"/>
      <c r="L468" s="14"/>
      <c r="M468" s="13"/>
    </row>
    <row r="469" customFormat="false" ht="15.75" hidden="false" customHeight="true" outlineLevel="0" collapsed="false">
      <c r="A469" s="8" t="n">
        <f aca="false">A468+1</f>
        <v>467</v>
      </c>
      <c r="B469" s="9" t="n">
        <f aca="false">MOD(4*A469^2,10)</f>
        <v>6</v>
      </c>
      <c r="C469" s="9" t="n">
        <f aca="false">(26*B469-5*B469^2)/24</f>
        <v>-1</v>
      </c>
      <c r="D469" s="9" t="n">
        <f aca="false">(A469^2+4*C469)/5</f>
        <v>43617</v>
      </c>
      <c r="E469" s="9" t="n">
        <f aca="false">MOD(D469,10)</f>
        <v>7</v>
      </c>
      <c r="F469" s="9" t="n">
        <f aca="false">2*D469</f>
        <v>87234</v>
      </c>
      <c r="G469" s="9" t="n">
        <f aca="false">MOD(F469,10)</f>
        <v>4</v>
      </c>
      <c r="H469" s="9" t="n">
        <f aca="false">G469/2</f>
        <v>2</v>
      </c>
      <c r="I469" s="9" t="str">
        <f aca="false">IF(H469=0,"—",IF(H469=1,"unison (1:1)",IF(H469=2,"octave (2:1)",IF(H469=3,"fifth (3:2)",IF(H469=4,"fourth (4:3)","?")))))</f>
        <v>octave (2:1)</v>
      </c>
      <c r="J469" s="9" t="str">
        <f aca="false">IF(H469=0,"—",IF(H469=1,"ὁμώνυμον",IF(H469=2,"διὰ πασῶν",IF(H469=3,"διὰ πέντε",IF(H469=4,"διὰ τεσσάρων","?")))))</f>
        <v>διὰ πασῶν</v>
      </c>
      <c r="K469" s="10"/>
      <c r="L469" s="14"/>
      <c r="M469" s="13"/>
    </row>
    <row r="470" customFormat="false" ht="15.75" hidden="false" customHeight="true" outlineLevel="0" collapsed="false">
      <c r="A470" s="8" t="n">
        <f aca="false">A469+1</f>
        <v>468</v>
      </c>
      <c r="B470" s="9" t="n">
        <f aca="false">MOD(4*A470^2,10)</f>
        <v>6</v>
      </c>
      <c r="C470" s="9" t="n">
        <f aca="false">(26*B470-5*B470^2)/24</f>
        <v>-1</v>
      </c>
      <c r="D470" s="9" t="n">
        <f aca="false">(A470^2+4*C470)/5</f>
        <v>43804</v>
      </c>
      <c r="E470" s="9" t="n">
        <f aca="false">MOD(D470,10)</f>
        <v>4</v>
      </c>
      <c r="F470" s="9" t="n">
        <f aca="false">2*D470</f>
        <v>87608</v>
      </c>
      <c r="G470" s="9" t="n">
        <f aca="false">MOD(F470,10)</f>
        <v>8</v>
      </c>
      <c r="H470" s="9" t="n">
        <f aca="false">G470/2</f>
        <v>4</v>
      </c>
      <c r="I470" s="9" t="str">
        <f aca="false">IF(H470=0,"—",IF(H470=1,"unison (1:1)",IF(H470=2,"octave (2:1)",IF(H470=3,"fifth (3:2)",IF(H470=4,"fourth (4:3)","?")))))</f>
        <v>fourth (4:3)</v>
      </c>
      <c r="J470" s="9" t="str">
        <f aca="false">IF(H470=0,"—",IF(H470=1,"ὁμώνυμον",IF(H470=2,"διὰ πασῶν",IF(H470=3,"διὰ πέντε",IF(H470=4,"διὰ τεσσάρων","?")))))</f>
        <v>διὰ τεσσάρων</v>
      </c>
      <c r="K470" s="10"/>
      <c r="L470" s="14"/>
      <c r="M470" s="13"/>
    </row>
    <row r="471" customFormat="false" ht="15.75" hidden="false" customHeight="true" outlineLevel="0" collapsed="false">
      <c r="A471" s="8" t="n">
        <f aca="false">A470+1</f>
        <v>469</v>
      </c>
      <c r="B471" s="9" t="n">
        <f aca="false">MOD(4*A471^2,10)</f>
        <v>4</v>
      </c>
      <c r="C471" s="9" t="n">
        <f aca="false">(26*B471-5*B471^2)/24</f>
        <v>1</v>
      </c>
      <c r="D471" s="9" t="n">
        <f aca="false">(A471^2+4*C471)/5</f>
        <v>43993</v>
      </c>
      <c r="E471" s="9" t="n">
        <f aca="false">MOD(D471,10)</f>
        <v>3</v>
      </c>
      <c r="F471" s="9" t="n">
        <f aca="false">2*D471</f>
        <v>87986</v>
      </c>
      <c r="G471" s="9" t="n">
        <f aca="false">MOD(F471,10)</f>
        <v>6</v>
      </c>
      <c r="H471" s="9" t="n">
        <f aca="false">G471/2</f>
        <v>3</v>
      </c>
      <c r="I471" s="9" t="str">
        <f aca="false">IF(H471=0,"—",IF(H471=1,"unison (1:1)",IF(H471=2,"octave (2:1)",IF(H471=3,"fifth (3:2)",IF(H471=4,"fourth (4:3)","?")))))</f>
        <v>fifth (3:2)</v>
      </c>
      <c r="J471" s="9" t="str">
        <f aca="false">IF(H471=0,"—",IF(H471=1,"ὁμώνυμον",IF(H471=2,"διὰ πασῶν",IF(H471=3,"διὰ πέντε",IF(H471=4,"διὰ τεσσάρων","?")))))</f>
        <v>διὰ πέντε</v>
      </c>
      <c r="K471" s="10"/>
      <c r="L471" s="14"/>
      <c r="M471" s="13"/>
    </row>
    <row r="472" customFormat="false" ht="15.75" hidden="false" customHeight="true" outlineLevel="0" collapsed="false">
      <c r="A472" s="8" t="n">
        <f aca="false">A471+1</f>
        <v>470</v>
      </c>
      <c r="B472" s="9" t="n">
        <f aca="false">MOD(4*A472^2,10)</f>
        <v>0</v>
      </c>
      <c r="C472" s="9" t="n">
        <f aca="false">(26*B472-5*B472^2)/24</f>
        <v>0</v>
      </c>
      <c r="D472" s="9" t="n">
        <f aca="false">(A472^2+4*C472)/5</f>
        <v>44180</v>
      </c>
      <c r="E472" s="9" t="n">
        <f aca="false">MOD(D472,10)</f>
        <v>0</v>
      </c>
      <c r="F472" s="9" t="n">
        <f aca="false">2*D472</f>
        <v>88360</v>
      </c>
      <c r="G472" s="9" t="n">
        <f aca="false">MOD(F472,10)</f>
        <v>0</v>
      </c>
      <c r="H472" s="9" t="n">
        <f aca="false">G472/2</f>
        <v>0</v>
      </c>
      <c r="I472" s="9" t="str">
        <f aca="false">IF(H472=0,"—",IF(H472=1,"unison (1:1)",IF(H472=2,"octave (2:1)",IF(H472=3,"fifth (3:2)",IF(H472=4,"fourth (4:3)","?")))))</f>
        <v>—</v>
      </c>
      <c r="J472" s="9" t="str">
        <f aca="false">IF(H472=0,"—",IF(H472=1,"ὁμώνυμον",IF(H472=2,"διὰ πασῶν",IF(H472=3,"διὰ πέντε",IF(H472=4,"διὰ τεσσάρων","?")))))</f>
        <v>—</v>
      </c>
      <c r="K472" s="10"/>
      <c r="L472" s="14"/>
      <c r="M472" s="13"/>
    </row>
    <row r="473" customFormat="false" ht="15.75" hidden="false" customHeight="true" outlineLevel="0" collapsed="false">
      <c r="A473" s="8" t="n">
        <f aca="false">A472+1</f>
        <v>471</v>
      </c>
      <c r="B473" s="9" t="n">
        <f aca="false">MOD(4*A473^2,10)</f>
        <v>4</v>
      </c>
      <c r="C473" s="9" t="n">
        <f aca="false">(26*B473-5*B473^2)/24</f>
        <v>1</v>
      </c>
      <c r="D473" s="9" t="n">
        <f aca="false">(A473^2+4*C473)/5</f>
        <v>44369</v>
      </c>
      <c r="E473" s="9" t="n">
        <f aca="false">MOD(D473,10)</f>
        <v>9</v>
      </c>
      <c r="F473" s="9" t="n">
        <f aca="false">2*D473</f>
        <v>88738</v>
      </c>
      <c r="G473" s="9" t="n">
        <f aca="false">MOD(F473,10)</f>
        <v>8</v>
      </c>
      <c r="H473" s="9" t="n">
        <f aca="false">G473/2</f>
        <v>4</v>
      </c>
      <c r="I473" s="9" t="str">
        <f aca="false">IF(H473=0,"—",IF(H473=1,"unison (1:1)",IF(H473=2,"octave (2:1)",IF(H473=3,"fifth (3:2)",IF(H473=4,"fourth (4:3)","?")))))</f>
        <v>fourth (4:3)</v>
      </c>
      <c r="J473" s="9" t="str">
        <f aca="false">IF(H473=0,"—",IF(H473=1,"ὁμώνυμον",IF(H473=2,"διὰ πασῶν",IF(H473=3,"διὰ πέντε",IF(H473=4,"διὰ τεσσάρων","?")))))</f>
        <v>διὰ τεσσάρων</v>
      </c>
      <c r="K473" s="10"/>
      <c r="L473" s="14"/>
      <c r="M473" s="13"/>
    </row>
    <row r="474" customFormat="false" ht="15.75" hidden="false" customHeight="true" outlineLevel="0" collapsed="false">
      <c r="A474" s="8" t="n">
        <f aca="false">A473+1</f>
        <v>472</v>
      </c>
      <c r="B474" s="9" t="n">
        <f aca="false">MOD(4*A474^2,10)</f>
        <v>6</v>
      </c>
      <c r="C474" s="9" t="n">
        <f aca="false">(26*B474-5*B474^2)/24</f>
        <v>-1</v>
      </c>
      <c r="D474" s="9" t="n">
        <f aca="false">(A474^2+4*C474)/5</f>
        <v>44556</v>
      </c>
      <c r="E474" s="9" t="n">
        <f aca="false">MOD(D474,10)</f>
        <v>6</v>
      </c>
      <c r="F474" s="9" t="n">
        <f aca="false">2*D474</f>
        <v>89112</v>
      </c>
      <c r="G474" s="9" t="n">
        <f aca="false">MOD(F474,10)</f>
        <v>2</v>
      </c>
      <c r="H474" s="9" t="n">
        <f aca="false">G474/2</f>
        <v>1</v>
      </c>
      <c r="I474" s="9" t="str">
        <f aca="false">IF(H474=0,"—",IF(H474=1,"unison (1:1)",IF(H474=2,"octave (2:1)",IF(H474=3,"fifth (3:2)",IF(H474=4,"fourth (4:3)","?")))))</f>
        <v>unison (1:1)</v>
      </c>
      <c r="J474" s="9" t="str">
        <f aca="false">IF(H474=0,"—",IF(H474=1,"ὁμώνυμον",IF(H474=2,"διὰ πασῶν",IF(H474=3,"διὰ πέντε",IF(H474=4,"διὰ τεσσάρων","?")))))</f>
        <v>ὁμώνυμον</v>
      </c>
      <c r="K474" s="10"/>
      <c r="L474" s="14"/>
      <c r="M474" s="13"/>
    </row>
    <row r="475" customFormat="false" ht="15.75" hidden="false" customHeight="true" outlineLevel="0" collapsed="false">
      <c r="A475" s="8" t="n">
        <f aca="false">A474+1</f>
        <v>473</v>
      </c>
      <c r="B475" s="9" t="n">
        <f aca="false">MOD(4*A475^2,10)</f>
        <v>6</v>
      </c>
      <c r="C475" s="9" t="n">
        <f aca="false">(26*B475-5*B475^2)/24</f>
        <v>-1</v>
      </c>
      <c r="D475" s="9" t="n">
        <f aca="false">(A475^2+4*C475)/5</f>
        <v>44745</v>
      </c>
      <c r="E475" s="9" t="n">
        <f aca="false">MOD(D475,10)</f>
        <v>5</v>
      </c>
      <c r="F475" s="9" t="n">
        <f aca="false">2*D475</f>
        <v>89490</v>
      </c>
      <c r="G475" s="9" t="n">
        <f aca="false">MOD(F475,10)</f>
        <v>0</v>
      </c>
      <c r="H475" s="9" t="n">
        <f aca="false">G475/2</f>
        <v>0</v>
      </c>
      <c r="I475" s="9" t="str">
        <f aca="false">IF(H475=0,"—",IF(H475=1,"unison (1:1)",IF(H475=2,"octave (2:1)",IF(H475=3,"fifth (3:2)",IF(H475=4,"fourth (4:3)","?")))))</f>
        <v>—</v>
      </c>
      <c r="J475" s="9" t="str">
        <f aca="false">IF(H475=0,"—",IF(H475=1,"ὁμώνυμον",IF(H475=2,"διὰ πασῶν",IF(H475=3,"διὰ πέντε",IF(H475=4,"διὰ τεσσάρων","?")))))</f>
        <v>—</v>
      </c>
      <c r="K475" s="10"/>
      <c r="L475" s="14"/>
      <c r="M475" s="13"/>
    </row>
    <row r="476" customFormat="false" ht="15.75" hidden="false" customHeight="true" outlineLevel="0" collapsed="false">
      <c r="A476" s="8" t="n">
        <f aca="false">A475+1</f>
        <v>474</v>
      </c>
      <c r="B476" s="9" t="n">
        <f aca="false">MOD(4*A476^2,10)</f>
        <v>4</v>
      </c>
      <c r="C476" s="9" t="n">
        <f aca="false">(26*B476-5*B476^2)/24</f>
        <v>1</v>
      </c>
      <c r="D476" s="9" t="n">
        <f aca="false">(A476^2+4*C476)/5</f>
        <v>44936</v>
      </c>
      <c r="E476" s="9" t="n">
        <f aca="false">MOD(D476,10)</f>
        <v>6</v>
      </c>
      <c r="F476" s="9" t="n">
        <f aca="false">2*D476</f>
        <v>89872</v>
      </c>
      <c r="G476" s="9" t="n">
        <f aca="false">MOD(F476,10)</f>
        <v>2</v>
      </c>
      <c r="H476" s="9" t="n">
        <f aca="false">G476/2</f>
        <v>1</v>
      </c>
      <c r="I476" s="9" t="str">
        <f aca="false">IF(H476=0,"—",IF(H476=1,"unison (1:1)",IF(H476=2,"octave (2:1)",IF(H476=3,"fifth (3:2)",IF(H476=4,"fourth (4:3)","?")))))</f>
        <v>unison (1:1)</v>
      </c>
      <c r="J476" s="9" t="str">
        <f aca="false">IF(H476=0,"—",IF(H476=1,"ὁμώνυμον",IF(H476=2,"διὰ πασῶν",IF(H476=3,"διὰ πέντε",IF(H476=4,"διὰ τεσσάρων","?")))))</f>
        <v>ὁμώνυμον</v>
      </c>
      <c r="K476" s="10"/>
      <c r="L476" s="14"/>
      <c r="M476" s="13"/>
    </row>
    <row r="477" customFormat="false" ht="15.75" hidden="false" customHeight="true" outlineLevel="0" collapsed="false">
      <c r="A477" s="8" t="n">
        <f aca="false">A476+1</f>
        <v>475</v>
      </c>
      <c r="B477" s="9" t="n">
        <f aca="false">MOD(4*A477^2,10)</f>
        <v>0</v>
      </c>
      <c r="C477" s="9" t="n">
        <f aca="false">(26*B477-5*B477^2)/24</f>
        <v>0</v>
      </c>
      <c r="D477" s="9" t="n">
        <f aca="false">(A477^2+4*C477)/5</f>
        <v>45125</v>
      </c>
      <c r="E477" s="9" t="n">
        <f aca="false">MOD(D477,10)</f>
        <v>5</v>
      </c>
      <c r="F477" s="9" t="n">
        <f aca="false">2*D477</f>
        <v>90250</v>
      </c>
      <c r="G477" s="9" t="n">
        <f aca="false">MOD(F477,10)</f>
        <v>0</v>
      </c>
      <c r="H477" s="9" t="n">
        <f aca="false">G477/2</f>
        <v>0</v>
      </c>
      <c r="I477" s="9" t="str">
        <f aca="false">IF(H477=0,"—",IF(H477=1,"unison (1:1)",IF(H477=2,"octave (2:1)",IF(H477=3,"fifth (3:2)",IF(H477=4,"fourth (4:3)","?")))))</f>
        <v>—</v>
      </c>
      <c r="J477" s="9" t="str">
        <f aca="false">IF(H477=0,"—",IF(H477=1,"ὁμώνυμον",IF(H477=2,"διὰ πασῶν",IF(H477=3,"διὰ πέντε",IF(H477=4,"διὰ τεσσάρων","?")))))</f>
        <v>—</v>
      </c>
      <c r="K477" s="10"/>
      <c r="L477" s="14"/>
      <c r="M477" s="13"/>
    </row>
    <row r="478" customFormat="false" ht="15.75" hidden="false" customHeight="true" outlineLevel="0" collapsed="false">
      <c r="A478" s="8" t="n">
        <f aca="false">A477+1</f>
        <v>476</v>
      </c>
      <c r="B478" s="9" t="n">
        <f aca="false">MOD(4*A478^2,10)</f>
        <v>4</v>
      </c>
      <c r="C478" s="9" t="n">
        <f aca="false">(26*B478-5*B478^2)/24</f>
        <v>1</v>
      </c>
      <c r="D478" s="9" t="n">
        <f aca="false">(A478^2+4*C478)/5</f>
        <v>45316</v>
      </c>
      <c r="E478" s="9" t="n">
        <f aca="false">MOD(D478,10)</f>
        <v>6</v>
      </c>
      <c r="F478" s="9" t="n">
        <f aca="false">2*D478</f>
        <v>90632</v>
      </c>
      <c r="G478" s="9" t="n">
        <f aca="false">MOD(F478,10)</f>
        <v>2</v>
      </c>
      <c r="H478" s="9" t="n">
        <f aca="false">G478/2</f>
        <v>1</v>
      </c>
      <c r="I478" s="9" t="str">
        <f aca="false">IF(H478=0,"—",IF(H478=1,"unison (1:1)",IF(H478=2,"octave (2:1)",IF(H478=3,"fifth (3:2)",IF(H478=4,"fourth (4:3)","?")))))</f>
        <v>unison (1:1)</v>
      </c>
      <c r="J478" s="9" t="str">
        <f aca="false">IF(H478=0,"—",IF(H478=1,"ὁμώνυμον",IF(H478=2,"διὰ πασῶν",IF(H478=3,"διὰ πέντε",IF(H478=4,"διὰ τεσσάρων","?")))))</f>
        <v>ὁμώνυμον</v>
      </c>
      <c r="K478" s="10"/>
      <c r="L478" s="14"/>
      <c r="M478" s="13"/>
    </row>
    <row r="479" customFormat="false" ht="15.75" hidden="false" customHeight="true" outlineLevel="0" collapsed="false">
      <c r="A479" s="8" t="n">
        <f aca="false">A478+1</f>
        <v>477</v>
      </c>
      <c r="B479" s="9" t="n">
        <f aca="false">MOD(4*A479^2,10)</f>
        <v>6</v>
      </c>
      <c r="C479" s="9" t="n">
        <f aca="false">(26*B479-5*B479^2)/24</f>
        <v>-1</v>
      </c>
      <c r="D479" s="9" t="n">
        <f aca="false">(A479^2+4*C479)/5</f>
        <v>45505</v>
      </c>
      <c r="E479" s="9" t="n">
        <f aca="false">MOD(D479,10)</f>
        <v>5</v>
      </c>
      <c r="F479" s="9" t="n">
        <f aca="false">2*D479</f>
        <v>91010</v>
      </c>
      <c r="G479" s="9" t="n">
        <f aca="false">MOD(F479,10)</f>
        <v>0</v>
      </c>
      <c r="H479" s="9" t="n">
        <f aca="false">G479/2</f>
        <v>0</v>
      </c>
      <c r="I479" s="9" t="str">
        <f aca="false">IF(H479=0,"—",IF(H479=1,"unison (1:1)",IF(H479=2,"octave (2:1)",IF(H479=3,"fifth (3:2)",IF(H479=4,"fourth (4:3)","?")))))</f>
        <v>—</v>
      </c>
      <c r="J479" s="9" t="str">
        <f aca="false">IF(H479=0,"—",IF(H479=1,"ὁμώνυμον",IF(H479=2,"διὰ πασῶν",IF(H479=3,"διὰ πέντε",IF(H479=4,"διὰ τεσσάρων","?")))))</f>
        <v>—</v>
      </c>
      <c r="K479" s="10"/>
      <c r="L479" s="14"/>
      <c r="M479" s="13"/>
    </row>
    <row r="480" customFormat="false" ht="15.75" hidden="false" customHeight="true" outlineLevel="0" collapsed="false">
      <c r="A480" s="8" t="n">
        <f aca="false">A479+1</f>
        <v>478</v>
      </c>
      <c r="B480" s="9" t="n">
        <f aca="false">MOD(4*A480^2,10)</f>
        <v>6</v>
      </c>
      <c r="C480" s="9" t="n">
        <f aca="false">(26*B480-5*B480^2)/24</f>
        <v>-1</v>
      </c>
      <c r="D480" s="9" t="n">
        <f aca="false">(A480^2+4*C480)/5</f>
        <v>45696</v>
      </c>
      <c r="E480" s="9" t="n">
        <f aca="false">MOD(D480,10)</f>
        <v>6</v>
      </c>
      <c r="F480" s="9" t="n">
        <f aca="false">2*D480</f>
        <v>91392</v>
      </c>
      <c r="G480" s="9" t="n">
        <f aca="false">MOD(F480,10)</f>
        <v>2</v>
      </c>
      <c r="H480" s="9" t="n">
        <f aca="false">G480/2</f>
        <v>1</v>
      </c>
      <c r="I480" s="9" t="str">
        <f aca="false">IF(H480=0,"—",IF(H480=1,"unison (1:1)",IF(H480=2,"octave (2:1)",IF(H480=3,"fifth (3:2)",IF(H480=4,"fourth (4:3)","?")))))</f>
        <v>unison (1:1)</v>
      </c>
      <c r="J480" s="9" t="str">
        <f aca="false">IF(H480=0,"—",IF(H480=1,"ὁμώνυμον",IF(H480=2,"διὰ πασῶν",IF(H480=3,"διὰ πέντε",IF(H480=4,"διὰ τεσσάρων","?")))))</f>
        <v>ὁμώνυμον</v>
      </c>
      <c r="K480" s="10"/>
      <c r="L480" s="14"/>
      <c r="M480" s="13"/>
    </row>
    <row r="481" customFormat="false" ht="15.75" hidden="false" customHeight="true" outlineLevel="0" collapsed="false">
      <c r="A481" s="8" t="n">
        <f aca="false">A480+1</f>
        <v>479</v>
      </c>
      <c r="B481" s="9" t="n">
        <f aca="false">MOD(4*A481^2,10)</f>
        <v>4</v>
      </c>
      <c r="C481" s="9" t="n">
        <f aca="false">(26*B481-5*B481^2)/24</f>
        <v>1</v>
      </c>
      <c r="D481" s="9" t="n">
        <f aca="false">(A481^2+4*C481)/5</f>
        <v>45889</v>
      </c>
      <c r="E481" s="9" t="n">
        <f aca="false">MOD(D481,10)</f>
        <v>9</v>
      </c>
      <c r="F481" s="9" t="n">
        <f aca="false">2*D481</f>
        <v>91778</v>
      </c>
      <c r="G481" s="9" t="n">
        <f aca="false">MOD(F481,10)</f>
        <v>8</v>
      </c>
      <c r="H481" s="9" t="n">
        <f aca="false">G481/2</f>
        <v>4</v>
      </c>
      <c r="I481" s="9" t="str">
        <f aca="false">IF(H481=0,"—",IF(H481=1,"unison (1:1)",IF(H481=2,"octave (2:1)",IF(H481=3,"fifth (3:2)",IF(H481=4,"fourth (4:3)","?")))))</f>
        <v>fourth (4:3)</v>
      </c>
      <c r="J481" s="9" t="str">
        <f aca="false">IF(H481=0,"—",IF(H481=1,"ὁμώνυμον",IF(H481=2,"διὰ πασῶν",IF(H481=3,"διὰ πέντε",IF(H481=4,"διὰ τεσσάρων","?")))))</f>
        <v>διὰ τεσσάρων</v>
      </c>
      <c r="K481" s="10"/>
      <c r="L481" s="14"/>
      <c r="M481" s="13"/>
    </row>
    <row r="482" customFormat="false" ht="15.75" hidden="false" customHeight="true" outlineLevel="0" collapsed="false">
      <c r="A482" s="8" t="n">
        <f aca="false">A481+1</f>
        <v>480</v>
      </c>
      <c r="B482" s="9" t="n">
        <f aca="false">MOD(4*A482^2,10)</f>
        <v>0</v>
      </c>
      <c r="C482" s="9" t="n">
        <f aca="false">(26*B482-5*B482^2)/24</f>
        <v>0</v>
      </c>
      <c r="D482" s="9" t="n">
        <f aca="false">(A482^2+4*C482)/5</f>
        <v>46080</v>
      </c>
      <c r="E482" s="9" t="n">
        <f aca="false">MOD(D482,10)</f>
        <v>0</v>
      </c>
      <c r="F482" s="9" t="n">
        <f aca="false">2*D482</f>
        <v>92160</v>
      </c>
      <c r="G482" s="9" t="n">
        <f aca="false">MOD(F482,10)</f>
        <v>0</v>
      </c>
      <c r="H482" s="9" t="n">
        <f aca="false">G482/2</f>
        <v>0</v>
      </c>
      <c r="I482" s="9" t="str">
        <f aca="false">IF(H482=0,"—",IF(H482=1,"unison (1:1)",IF(H482=2,"octave (2:1)",IF(H482=3,"fifth (3:2)",IF(H482=4,"fourth (4:3)","?")))))</f>
        <v>—</v>
      </c>
      <c r="J482" s="9" t="str">
        <f aca="false">IF(H482=0,"—",IF(H482=1,"ὁμώνυμον",IF(H482=2,"διὰ πασῶν",IF(H482=3,"διὰ πέντε",IF(H482=4,"διὰ τεσσάρων","?")))))</f>
        <v>—</v>
      </c>
      <c r="K482" s="10"/>
      <c r="L482" s="14"/>
      <c r="M482" s="13"/>
    </row>
    <row r="483" customFormat="false" ht="15.75" hidden="false" customHeight="true" outlineLevel="0" collapsed="false">
      <c r="A483" s="8" t="n">
        <f aca="false">A482+1</f>
        <v>481</v>
      </c>
      <c r="B483" s="9" t="n">
        <f aca="false">MOD(4*A483^2,10)</f>
        <v>4</v>
      </c>
      <c r="C483" s="9" t="n">
        <f aca="false">(26*B483-5*B483^2)/24</f>
        <v>1</v>
      </c>
      <c r="D483" s="9" t="n">
        <f aca="false">(A483^2+4*C483)/5</f>
        <v>46273</v>
      </c>
      <c r="E483" s="9" t="n">
        <f aca="false">MOD(D483,10)</f>
        <v>3</v>
      </c>
      <c r="F483" s="9" t="n">
        <f aca="false">2*D483</f>
        <v>92546</v>
      </c>
      <c r="G483" s="9" t="n">
        <f aca="false">MOD(F483,10)</f>
        <v>6</v>
      </c>
      <c r="H483" s="9" t="n">
        <f aca="false">G483/2</f>
        <v>3</v>
      </c>
      <c r="I483" s="9" t="str">
        <f aca="false">IF(H483=0,"—",IF(H483=1,"unison (1:1)",IF(H483=2,"octave (2:1)",IF(H483=3,"fifth (3:2)",IF(H483=4,"fourth (4:3)","?")))))</f>
        <v>fifth (3:2)</v>
      </c>
      <c r="J483" s="9" t="str">
        <f aca="false">IF(H483=0,"—",IF(H483=1,"ὁμώνυμον",IF(H483=2,"διὰ πασῶν",IF(H483=3,"διὰ πέντε",IF(H483=4,"διὰ τεσσάρων","?")))))</f>
        <v>διὰ πέντε</v>
      </c>
      <c r="K483" s="10"/>
      <c r="L483" s="14"/>
      <c r="M483" s="13"/>
    </row>
    <row r="484" customFormat="false" ht="15.75" hidden="false" customHeight="true" outlineLevel="0" collapsed="false">
      <c r="A484" s="8" t="n">
        <f aca="false">A483+1</f>
        <v>482</v>
      </c>
      <c r="B484" s="9" t="n">
        <f aca="false">MOD(4*A484^2,10)</f>
        <v>6</v>
      </c>
      <c r="C484" s="9" t="n">
        <f aca="false">(26*B484-5*B484^2)/24</f>
        <v>-1</v>
      </c>
      <c r="D484" s="9" t="n">
        <f aca="false">(A484^2+4*C484)/5</f>
        <v>46464</v>
      </c>
      <c r="E484" s="9" t="n">
        <f aca="false">MOD(D484,10)</f>
        <v>4</v>
      </c>
      <c r="F484" s="9" t="n">
        <f aca="false">2*D484</f>
        <v>92928</v>
      </c>
      <c r="G484" s="9" t="n">
        <f aca="false">MOD(F484,10)</f>
        <v>8</v>
      </c>
      <c r="H484" s="9" t="n">
        <f aca="false">G484/2</f>
        <v>4</v>
      </c>
      <c r="I484" s="9" t="str">
        <f aca="false">IF(H484=0,"—",IF(H484=1,"unison (1:1)",IF(H484=2,"octave (2:1)",IF(H484=3,"fifth (3:2)",IF(H484=4,"fourth (4:3)","?")))))</f>
        <v>fourth (4:3)</v>
      </c>
      <c r="J484" s="9" t="str">
        <f aca="false">IF(H484=0,"—",IF(H484=1,"ὁμώνυμον",IF(H484=2,"διὰ πασῶν",IF(H484=3,"διὰ πέντε",IF(H484=4,"διὰ τεσσάρων","?")))))</f>
        <v>διὰ τεσσάρων</v>
      </c>
      <c r="K484" s="10"/>
      <c r="L484" s="14"/>
      <c r="M484" s="13"/>
    </row>
    <row r="485" customFormat="false" ht="15.75" hidden="false" customHeight="true" outlineLevel="0" collapsed="false">
      <c r="A485" s="8" t="n">
        <f aca="false">A484+1</f>
        <v>483</v>
      </c>
      <c r="B485" s="9" t="n">
        <f aca="false">MOD(4*A485^2,10)</f>
        <v>6</v>
      </c>
      <c r="C485" s="9" t="n">
        <f aca="false">(26*B485-5*B485^2)/24</f>
        <v>-1</v>
      </c>
      <c r="D485" s="9" t="n">
        <f aca="false">(A485^2+4*C485)/5</f>
        <v>46657</v>
      </c>
      <c r="E485" s="9" t="n">
        <f aca="false">MOD(D485,10)</f>
        <v>7</v>
      </c>
      <c r="F485" s="9" t="n">
        <f aca="false">2*D485</f>
        <v>93314</v>
      </c>
      <c r="G485" s="9" t="n">
        <f aca="false">MOD(F485,10)</f>
        <v>4</v>
      </c>
      <c r="H485" s="9" t="n">
        <f aca="false">G485/2</f>
        <v>2</v>
      </c>
      <c r="I485" s="9" t="str">
        <f aca="false">IF(H485=0,"—",IF(H485=1,"unison (1:1)",IF(H485=2,"octave (2:1)",IF(H485=3,"fifth (3:2)",IF(H485=4,"fourth (4:3)","?")))))</f>
        <v>octave (2:1)</v>
      </c>
      <c r="J485" s="9" t="str">
        <f aca="false">IF(H485=0,"—",IF(H485=1,"ὁμώνυμον",IF(H485=2,"διὰ πασῶν",IF(H485=3,"διὰ πέντε",IF(H485=4,"διὰ τεσσάρων","?")))))</f>
        <v>διὰ πασῶν</v>
      </c>
      <c r="K485" s="10"/>
      <c r="L485" s="14"/>
      <c r="M485" s="13"/>
    </row>
    <row r="486" customFormat="false" ht="15.75" hidden="false" customHeight="true" outlineLevel="0" collapsed="false">
      <c r="A486" s="8" t="n">
        <f aca="false">A485+1</f>
        <v>484</v>
      </c>
      <c r="B486" s="9" t="n">
        <f aca="false">MOD(4*A486^2,10)</f>
        <v>4</v>
      </c>
      <c r="C486" s="9" t="n">
        <f aca="false">(26*B486-5*B486^2)/24</f>
        <v>1</v>
      </c>
      <c r="D486" s="9" t="n">
        <f aca="false">(A486^2+4*C486)/5</f>
        <v>46852</v>
      </c>
      <c r="E486" s="9" t="n">
        <f aca="false">MOD(D486,10)</f>
        <v>2</v>
      </c>
      <c r="F486" s="9" t="n">
        <f aca="false">2*D486</f>
        <v>93704</v>
      </c>
      <c r="G486" s="9" t="n">
        <f aca="false">MOD(F486,10)</f>
        <v>4</v>
      </c>
      <c r="H486" s="9" t="n">
        <f aca="false">G486/2</f>
        <v>2</v>
      </c>
      <c r="I486" s="9" t="str">
        <f aca="false">IF(H486=0,"—",IF(H486=1,"unison (1:1)",IF(H486=2,"octave (2:1)",IF(H486=3,"fifth (3:2)",IF(H486=4,"fourth (4:3)","?")))))</f>
        <v>octave (2:1)</v>
      </c>
      <c r="J486" s="9" t="str">
        <f aca="false">IF(H486=0,"—",IF(H486=1,"ὁμώνυμον",IF(H486=2,"διὰ πασῶν",IF(H486=3,"διὰ πέντε",IF(H486=4,"διὰ τεσσάρων","?")))))</f>
        <v>διὰ πασῶν</v>
      </c>
      <c r="K486" s="10"/>
      <c r="L486" s="14"/>
      <c r="M486" s="13"/>
    </row>
    <row r="487" customFormat="false" ht="15.75" hidden="false" customHeight="true" outlineLevel="0" collapsed="false">
      <c r="A487" s="8" t="n">
        <f aca="false">A486+1</f>
        <v>485</v>
      </c>
      <c r="B487" s="9" t="n">
        <f aca="false">MOD(4*A487^2,10)</f>
        <v>0</v>
      </c>
      <c r="C487" s="9" t="n">
        <f aca="false">(26*B487-5*B487^2)/24</f>
        <v>0</v>
      </c>
      <c r="D487" s="9" t="n">
        <f aca="false">(A487^2+4*C487)/5</f>
        <v>47045</v>
      </c>
      <c r="E487" s="9" t="n">
        <f aca="false">MOD(D487,10)</f>
        <v>5</v>
      </c>
      <c r="F487" s="9" t="n">
        <f aca="false">2*D487</f>
        <v>94090</v>
      </c>
      <c r="G487" s="9" t="n">
        <f aca="false">MOD(F487,10)</f>
        <v>0</v>
      </c>
      <c r="H487" s="9" t="n">
        <f aca="false">G487/2</f>
        <v>0</v>
      </c>
      <c r="I487" s="9" t="str">
        <f aca="false">IF(H487=0,"—",IF(H487=1,"unison (1:1)",IF(H487=2,"octave (2:1)",IF(H487=3,"fifth (3:2)",IF(H487=4,"fourth (4:3)","?")))))</f>
        <v>—</v>
      </c>
      <c r="J487" s="9" t="str">
        <f aca="false">IF(H487=0,"—",IF(H487=1,"ὁμώνυμον",IF(H487=2,"διὰ πασῶν",IF(H487=3,"διὰ πέντε",IF(H487=4,"διὰ τεσσάρων","?")))))</f>
        <v>—</v>
      </c>
      <c r="K487" s="10"/>
      <c r="L487" s="14"/>
      <c r="M487" s="13"/>
    </row>
    <row r="488" customFormat="false" ht="15.75" hidden="false" customHeight="true" outlineLevel="0" collapsed="false">
      <c r="A488" s="8" t="n">
        <f aca="false">A487+1</f>
        <v>486</v>
      </c>
      <c r="B488" s="9" t="n">
        <f aca="false">MOD(4*A488^2,10)</f>
        <v>4</v>
      </c>
      <c r="C488" s="9" t="n">
        <f aca="false">(26*B488-5*B488^2)/24</f>
        <v>1</v>
      </c>
      <c r="D488" s="9" t="n">
        <f aca="false">(A488^2+4*C488)/5</f>
        <v>47240</v>
      </c>
      <c r="E488" s="9" t="n">
        <f aca="false">MOD(D488,10)</f>
        <v>0</v>
      </c>
      <c r="F488" s="9" t="n">
        <f aca="false">2*D488</f>
        <v>94480</v>
      </c>
      <c r="G488" s="9" t="n">
        <f aca="false">MOD(F488,10)</f>
        <v>0</v>
      </c>
      <c r="H488" s="9" t="n">
        <f aca="false">G488/2</f>
        <v>0</v>
      </c>
      <c r="I488" s="9" t="str">
        <f aca="false">IF(H488=0,"—",IF(H488=1,"unison (1:1)",IF(H488=2,"octave (2:1)",IF(H488=3,"fifth (3:2)",IF(H488=4,"fourth (4:3)","?")))))</f>
        <v>—</v>
      </c>
      <c r="J488" s="9" t="str">
        <f aca="false">IF(H488=0,"—",IF(H488=1,"ὁμώνυμον",IF(H488=2,"διὰ πασῶν",IF(H488=3,"διὰ πέντε",IF(H488=4,"διὰ τεσσάρων","?")))))</f>
        <v>—</v>
      </c>
      <c r="K488" s="10"/>
      <c r="L488" s="14"/>
      <c r="M488" s="13"/>
    </row>
    <row r="489" customFormat="false" ht="15.75" hidden="false" customHeight="true" outlineLevel="0" collapsed="false">
      <c r="A489" s="8" t="n">
        <f aca="false">A488+1</f>
        <v>487</v>
      </c>
      <c r="B489" s="9" t="n">
        <f aca="false">MOD(4*A489^2,10)</f>
        <v>6</v>
      </c>
      <c r="C489" s="9" t="n">
        <f aca="false">(26*B489-5*B489^2)/24</f>
        <v>-1</v>
      </c>
      <c r="D489" s="9" t="n">
        <f aca="false">(A489^2+4*C489)/5</f>
        <v>47433</v>
      </c>
      <c r="E489" s="9" t="n">
        <f aca="false">MOD(D489,10)</f>
        <v>3</v>
      </c>
      <c r="F489" s="9" t="n">
        <f aca="false">2*D489</f>
        <v>94866</v>
      </c>
      <c r="G489" s="9" t="n">
        <f aca="false">MOD(F489,10)</f>
        <v>6</v>
      </c>
      <c r="H489" s="9" t="n">
        <f aca="false">G489/2</f>
        <v>3</v>
      </c>
      <c r="I489" s="9" t="str">
        <f aca="false">IF(H489=0,"—",IF(H489=1,"unison (1:1)",IF(H489=2,"octave (2:1)",IF(H489=3,"fifth (3:2)",IF(H489=4,"fourth (4:3)","?")))))</f>
        <v>fifth (3:2)</v>
      </c>
      <c r="J489" s="9" t="str">
        <f aca="false">IF(H489=0,"—",IF(H489=1,"ὁμώνυμον",IF(H489=2,"διὰ πασῶν",IF(H489=3,"διὰ πέντε",IF(H489=4,"διὰ τεσσάρων","?")))))</f>
        <v>διὰ πέντε</v>
      </c>
      <c r="K489" s="10"/>
      <c r="L489" s="14"/>
      <c r="M489" s="13"/>
    </row>
    <row r="490" customFormat="false" ht="15.75" hidden="false" customHeight="true" outlineLevel="0" collapsed="false">
      <c r="A490" s="8" t="n">
        <f aca="false">A489+1</f>
        <v>488</v>
      </c>
      <c r="B490" s="9" t="n">
        <f aca="false">MOD(4*A490^2,10)</f>
        <v>6</v>
      </c>
      <c r="C490" s="9" t="n">
        <f aca="false">(26*B490-5*B490^2)/24</f>
        <v>-1</v>
      </c>
      <c r="D490" s="9" t="n">
        <f aca="false">(A490^2+4*C490)/5</f>
        <v>47628</v>
      </c>
      <c r="E490" s="9" t="n">
        <f aca="false">MOD(D490,10)</f>
        <v>8</v>
      </c>
      <c r="F490" s="9" t="n">
        <f aca="false">2*D490</f>
        <v>95256</v>
      </c>
      <c r="G490" s="9" t="n">
        <f aca="false">MOD(F490,10)</f>
        <v>6</v>
      </c>
      <c r="H490" s="9" t="n">
        <f aca="false">G490/2</f>
        <v>3</v>
      </c>
      <c r="I490" s="9" t="str">
        <f aca="false">IF(H490=0,"—",IF(H490=1,"unison (1:1)",IF(H490=2,"octave (2:1)",IF(H490=3,"fifth (3:2)",IF(H490=4,"fourth (4:3)","?")))))</f>
        <v>fifth (3:2)</v>
      </c>
      <c r="J490" s="9" t="str">
        <f aca="false">IF(H490=0,"—",IF(H490=1,"ὁμώνυμον",IF(H490=2,"διὰ πασῶν",IF(H490=3,"διὰ πέντε",IF(H490=4,"διὰ τεσσάρων","?")))))</f>
        <v>διὰ πέντε</v>
      </c>
      <c r="K490" s="10"/>
      <c r="L490" s="14"/>
      <c r="M490" s="13"/>
    </row>
    <row r="491" customFormat="false" ht="15.75" hidden="false" customHeight="true" outlineLevel="0" collapsed="false">
      <c r="A491" s="8" t="n">
        <f aca="false">A490+1</f>
        <v>489</v>
      </c>
      <c r="B491" s="9" t="n">
        <f aca="false">MOD(4*A491^2,10)</f>
        <v>4</v>
      </c>
      <c r="C491" s="9" t="n">
        <f aca="false">(26*B491-5*B491^2)/24</f>
        <v>1</v>
      </c>
      <c r="D491" s="9" t="n">
        <f aca="false">(A491^2+4*C491)/5</f>
        <v>47825</v>
      </c>
      <c r="E491" s="9" t="n">
        <f aca="false">MOD(D491,10)</f>
        <v>5</v>
      </c>
      <c r="F491" s="9" t="n">
        <f aca="false">2*D491</f>
        <v>95650</v>
      </c>
      <c r="G491" s="9" t="n">
        <f aca="false">MOD(F491,10)</f>
        <v>0</v>
      </c>
      <c r="H491" s="9" t="n">
        <f aca="false">G491/2</f>
        <v>0</v>
      </c>
      <c r="I491" s="9" t="str">
        <f aca="false">IF(H491=0,"—",IF(H491=1,"unison (1:1)",IF(H491=2,"octave (2:1)",IF(H491=3,"fifth (3:2)",IF(H491=4,"fourth (4:3)","?")))))</f>
        <v>—</v>
      </c>
      <c r="J491" s="9" t="str">
        <f aca="false">IF(H491=0,"—",IF(H491=1,"ὁμώνυμον",IF(H491=2,"διὰ πασῶν",IF(H491=3,"διὰ πέντε",IF(H491=4,"διὰ τεσσάρων","?")))))</f>
        <v>—</v>
      </c>
      <c r="K491" s="10"/>
      <c r="L491" s="14"/>
      <c r="M491" s="13"/>
    </row>
    <row r="492" customFormat="false" ht="15.75" hidden="false" customHeight="true" outlineLevel="0" collapsed="false">
      <c r="A492" s="8" t="n">
        <f aca="false">A491+1</f>
        <v>490</v>
      </c>
      <c r="B492" s="9" t="n">
        <f aca="false">MOD(4*A492^2,10)</f>
        <v>0</v>
      </c>
      <c r="C492" s="9" t="n">
        <f aca="false">(26*B492-5*B492^2)/24</f>
        <v>0</v>
      </c>
      <c r="D492" s="9" t="n">
        <f aca="false">(A492^2+4*C492)/5</f>
        <v>48020</v>
      </c>
      <c r="E492" s="9" t="n">
        <f aca="false">MOD(D492,10)</f>
        <v>0</v>
      </c>
      <c r="F492" s="9" t="n">
        <f aca="false">2*D492</f>
        <v>96040</v>
      </c>
      <c r="G492" s="9" t="n">
        <f aca="false">MOD(F492,10)</f>
        <v>0</v>
      </c>
      <c r="H492" s="9" t="n">
        <f aca="false">G492/2</f>
        <v>0</v>
      </c>
      <c r="I492" s="9" t="str">
        <f aca="false">IF(H492=0,"—",IF(H492=1,"unison (1:1)",IF(H492=2,"octave (2:1)",IF(H492=3,"fifth (3:2)",IF(H492=4,"fourth (4:3)","?")))))</f>
        <v>—</v>
      </c>
      <c r="J492" s="9" t="str">
        <f aca="false">IF(H492=0,"—",IF(H492=1,"ὁμώνυμον",IF(H492=2,"διὰ πασῶν",IF(H492=3,"διὰ πέντε",IF(H492=4,"διὰ τεσσάρων","?")))))</f>
        <v>—</v>
      </c>
      <c r="K492" s="10"/>
      <c r="L492" s="14"/>
      <c r="M492" s="13"/>
    </row>
    <row r="493" customFormat="false" ht="15.75" hidden="false" customHeight="true" outlineLevel="0" collapsed="false">
      <c r="A493" s="8" t="n">
        <f aca="false">A492+1</f>
        <v>491</v>
      </c>
      <c r="B493" s="9" t="n">
        <f aca="false">MOD(4*A493^2,10)</f>
        <v>4</v>
      </c>
      <c r="C493" s="9" t="n">
        <f aca="false">(26*B493-5*B493^2)/24</f>
        <v>1</v>
      </c>
      <c r="D493" s="9" t="n">
        <f aca="false">(A493^2+4*C493)/5</f>
        <v>48217</v>
      </c>
      <c r="E493" s="9" t="n">
        <f aca="false">MOD(D493,10)</f>
        <v>7</v>
      </c>
      <c r="F493" s="9" t="n">
        <f aca="false">2*D493</f>
        <v>96434</v>
      </c>
      <c r="G493" s="9" t="n">
        <f aca="false">MOD(F493,10)</f>
        <v>4</v>
      </c>
      <c r="H493" s="9" t="n">
        <f aca="false">G493/2</f>
        <v>2</v>
      </c>
      <c r="I493" s="9" t="str">
        <f aca="false">IF(H493=0,"—",IF(H493=1,"unison (1:1)",IF(H493=2,"octave (2:1)",IF(H493=3,"fifth (3:2)",IF(H493=4,"fourth (4:3)","?")))))</f>
        <v>octave (2:1)</v>
      </c>
      <c r="J493" s="9" t="str">
        <f aca="false">IF(H493=0,"—",IF(H493=1,"ὁμώνυμον",IF(H493=2,"διὰ πασῶν",IF(H493=3,"διὰ πέντε",IF(H493=4,"διὰ τεσσάρων","?")))))</f>
        <v>διὰ πασῶν</v>
      </c>
      <c r="K493" s="10"/>
      <c r="L493" s="14"/>
      <c r="M493" s="13"/>
    </row>
    <row r="494" customFormat="false" ht="15.75" hidden="false" customHeight="true" outlineLevel="0" collapsed="false">
      <c r="A494" s="8" t="n">
        <f aca="false">A493+1</f>
        <v>492</v>
      </c>
      <c r="B494" s="9" t="n">
        <f aca="false">MOD(4*A494^2,10)</f>
        <v>6</v>
      </c>
      <c r="C494" s="9" t="n">
        <f aca="false">(26*B494-5*B494^2)/24</f>
        <v>-1</v>
      </c>
      <c r="D494" s="9" t="n">
        <f aca="false">(A494^2+4*C494)/5</f>
        <v>48412</v>
      </c>
      <c r="E494" s="9" t="n">
        <f aca="false">MOD(D494,10)</f>
        <v>2</v>
      </c>
      <c r="F494" s="9" t="n">
        <f aca="false">2*D494</f>
        <v>96824</v>
      </c>
      <c r="G494" s="9" t="n">
        <f aca="false">MOD(F494,10)</f>
        <v>4</v>
      </c>
      <c r="H494" s="9" t="n">
        <f aca="false">G494/2</f>
        <v>2</v>
      </c>
      <c r="I494" s="9" t="str">
        <f aca="false">IF(H494=0,"—",IF(H494=1,"unison (1:1)",IF(H494=2,"octave (2:1)",IF(H494=3,"fifth (3:2)",IF(H494=4,"fourth (4:3)","?")))))</f>
        <v>octave (2:1)</v>
      </c>
      <c r="J494" s="9" t="str">
        <f aca="false">IF(H494=0,"—",IF(H494=1,"ὁμώνυμον",IF(H494=2,"διὰ πασῶν",IF(H494=3,"διὰ πέντε",IF(H494=4,"διὰ τεσσάρων","?")))))</f>
        <v>διὰ πασῶν</v>
      </c>
      <c r="K494" s="10"/>
      <c r="L494" s="14"/>
      <c r="M494" s="13"/>
    </row>
    <row r="495" customFormat="false" ht="15.75" hidden="false" customHeight="true" outlineLevel="0" collapsed="false">
      <c r="A495" s="8" t="n">
        <f aca="false">A494+1</f>
        <v>493</v>
      </c>
      <c r="B495" s="9" t="n">
        <f aca="false">MOD(4*A495^2,10)</f>
        <v>6</v>
      </c>
      <c r="C495" s="9" t="n">
        <f aca="false">(26*B495-5*B495^2)/24</f>
        <v>-1</v>
      </c>
      <c r="D495" s="9" t="n">
        <f aca="false">(A495^2+4*C495)/5</f>
        <v>48609</v>
      </c>
      <c r="E495" s="9" t="n">
        <f aca="false">MOD(D495,10)</f>
        <v>9</v>
      </c>
      <c r="F495" s="9" t="n">
        <f aca="false">2*D495</f>
        <v>97218</v>
      </c>
      <c r="G495" s="9" t="n">
        <f aca="false">MOD(F495,10)</f>
        <v>8</v>
      </c>
      <c r="H495" s="9" t="n">
        <f aca="false">G495/2</f>
        <v>4</v>
      </c>
      <c r="I495" s="9" t="str">
        <f aca="false">IF(H495=0,"—",IF(H495=1,"unison (1:1)",IF(H495=2,"octave (2:1)",IF(H495=3,"fifth (3:2)",IF(H495=4,"fourth (4:3)","?")))))</f>
        <v>fourth (4:3)</v>
      </c>
      <c r="J495" s="9" t="str">
        <f aca="false">IF(H495=0,"—",IF(H495=1,"ὁμώνυμον",IF(H495=2,"διὰ πασῶν",IF(H495=3,"διὰ πέντε",IF(H495=4,"διὰ τεσσάρων","?")))))</f>
        <v>διὰ τεσσάρων</v>
      </c>
      <c r="K495" s="10"/>
      <c r="L495" s="14"/>
      <c r="M495" s="13"/>
    </row>
    <row r="496" customFormat="false" ht="15.75" hidden="false" customHeight="true" outlineLevel="0" collapsed="false">
      <c r="A496" s="8" t="n">
        <f aca="false">A495+1</f>
        <v>494</v>
      </c>
      <c r="B496" s="9" t="n">
        <f aca="false">MOD(4*A496^2,10)</f>
        <v>4</v>
      </c>
      <c r="C496" s="9" t="n">
        <f aca="false">(26*B496-5*B496^2)/24</f>
        <v>1</v>
      </c>
      <c r="D496" s="9" t="n">
        <f aca="false">(A496^2+4*C496)/5</f>
        <v>48808</v>
      </c>
      <c r="E496" s="9" t="n">
        <f aca="false">MOD(D496,10)</f>
        <v>8</v>
      </c>
      <c r="F496" s="9" t="n">
        <f aca="false">2*D496</f>
        <v>97616</v>
      </c>
      <c r="G496" s="9" t="n">
        <f aca="false">MOD(F496,10)</f>
        <v>6</v>
      </c>
      <c r="H496" s="9" t="n">
        <f aca="false">G496/2</f>
        <v>3</v>
      </c>
      <c r="I496" s="9" t="str">
        <f aca="false">IF(H496=0,"—",IF(H496=1,"unison (1:1)",IF(H496=2,"octave (2:1)",IF(H496=3,"fifth (3:2)",IF(H496=4,"fourth (4:3)","?")))))</f>
        <v>fifth (3:2)</v>
      </c>
      <c r="J496" s="9" t="str">
        <f aca="false">IF(H496=0,"—",IF(H496=1,"ὁμώνυμον",IF(H496=2,"διὰ πασῶν",IF(H496=3,"διὰ πέντε",IF(H496=4,"διὰ τεσσάρων","?")))))</f>
        <v>διὰ πέντε</v>
      </c>
      <c r="K496" s="10"/>
      <c r="L496" s="14"/>
      <c r="M496" s="13"/>
    </row>
    <row r="497" customFormat="false" ht="15.75" hidden="false" customHeight="true" outlineLevel="0" collapsed="false">
      <c r="A497" s="8" t="n">
        <f aca="false">A496+1</f>
        <v>495</v>
      </c>
      <c r="B497" s="9" t="n">
        <f aca="false">MOD(4*A497^2,10)</f>
        <v>0</v>
      </c>
      <c r="C497" s="9" t="n">
        <f aca="false">(26*B497-5*B497^2)/24</f>
        <v>0</v>
      </c>
      <c r="D497" s="9" t="n">
        <f aca="false">(A497^2+4*C497)/5</f>
        <v>49005</v>
      </c>
      <c r="E497" s="9" t="n">
        <f aca="false">MOD(D497,10)</f>
        <v>5</v>
      </c>
      <c r="F497" s="9" t="n">
        <f aca="false">2*D497</f>
        <v>98010</v>
      </c>
      <c r="G497" s="9" t="n">
        <f aca="false">MOD(F497,10)</f>
        <v>0</v>
      </c>
      <c r="H497" s="9" t="n">
        <f aca="false">G497/2</f>
        <v>0</v>
      </c>
      <c r="I497" s="9" t="str">
        <f aca="false">IF(H497=0,"—",IF(H497=1,"unison (1:1)",IF(H497=2,"octave (2:1)",IF(H497=3,"fifth (3:2)",IF(H497=4,"fourth (4:3)","?")))))</f>
        <v>—</v>
      </c>
      <c r="J497" s="9" t="str">
        <f aca="false">IF(H497=0,"—",IF(H497=1,"ὁμώνυμον",IF(H497=2,"διὰ πασῶν",IF(H497=3,"διὰ πέντε",IF(H497=4,"διὰ τεσσάρων","?")))))</f>
        <v>—</v>
      </c>
      <c r="K497" s="10"/>
      <c r="L497" s="14"/>
      <c r="M497" s="13"/>
    </row>
    <row r="498" customFormat="false" ht="15.75" hidden="false" customHeight="true" outlineLevel="0" collapsed="false">
      <c r="A498" s="8" t="n">
        <f aca="false">A497+1</f>
        <v>496</v>
      </c>
      <c r="B498" s="9" t="n">
        <f aca="false">MOD(4*A498^2,10)</f>
        <v>4</v>
      </c>
      <c r="C498" s="9" t="n">
        <f aca="false">(26*B498-5*B498^2)/24</f>
        <v>1</v>
      </c>
      <c r="D498" s="9" t="n">
        <f aca="false">(A498^2+4*C498)/5</f>
        <v>49204</v>
      </c>
      <c r="E498" s="9" t="n">
        <f aca="false">MOD(D498,10)</f>
        <v>4</v>
      </c>
      <c r="F498" s="9" t="n">
        <f aca="false">2*D498</f>
        <v>98408</v>
      </c>
      <c r="G498" s="9" t="n">
        <f aca="false">MOD(F498,10)</f>
        <v>8</v>
      </c>
      <c r="H498" s="9" t="n">
        <f aca="false">G498/2</f>
        <v>4</v>
      </c>
      <c r="I498" s="9" t="str">
        <f aca="false">IF(H498=0,"—",IF(H498=1,"unison (1:1)",IF(H498=2,"octave (2:1)",IF(H498=3,"fifth (3:2)",IF(H498=4,"fourth (4:3)","?")))))</f>
        <v>fourth (4:3)</v>
      </c>
      <c r="J498" s="9" t="str">
        <f aca="false">IF(H498=0,"—",IF(H498=1,"ὁμώνυμον",IF(H498=2,"διὰ πασῶν",IF(H498=3,"διὰ πέντε",IF(H498=4,"διὰ τεσσάρων","?")))))</f>
        <v>διὰ τεσσάρων</v>
      </c>
      <c r="K498" s="10"/>
      <c r="L498" s="14"/>
      <c r="M498" s="13"/>
    </row>
    <row r="499" customFormat="false" ht="15.75" hidden="false" customHeight="true" outlineLevel="0" collapsed="false">
      <c r="A499" s="8" t="n">
        <f aca="false">A498+1</f>
        <v>497</v>
      </c>
      <c r="B499" s="9" t="n">
        <f aca="false">MOD(4*A499^2,10)</f>
        <v>6</v>
      </c>
      <c r="C499" s="9" t="n">
        <f aca="false">(26*B499-5*B499^2)/24</f>
        <v>-1</v>
      </c>
      <c r="D499" s="9" t="n">
        <f aca="false">(A499^2+4*C499)/5</f>
        <v>49401</v>
      </c>
      <c r="E499" s="9" t="n">
        <f aca="false">MOD(D499,10)</f>
        <v>1</v>
      </c>
      <c r="F499" s="9" t="n">
        <f aca="false">2*D499</f>
        <v>98802</v>
      </c>
      <c r="G499" s="9" t="n">
        <f aca="false">MOD(F499,10)</f>
        <v>2</v>
      </c>
      <c r="H499" s="9" t="n">
        <f aca="false">G499/2</f>
        <v>1</v>
      </c>
      <c r="I499" s="9" t="str">
        <f aca="false">IF(H499=0,"—",IF(H499=1,"unison (1:1)",IF(H499=2,"octave (2:1)",IF(H499=3,"fifth (3:2)",IF(H499=4,"fourth (4:3)","?")))))</f>
        <v>unison (1:1)</v>
      </c>
      <c r="J499" s="9" t="str">
        <f aca="false">IF(H499=0,"—",IF(H499=1,"ὁμώνυμον",IF(H499=2,"διὰ πασῶν",IF(H499=3,"διὰ πέντε",IF(H499=4,"διὰ τεσσάρων","?")))))</f>
        <v>ὁμώνυμον</v>
      </c>
      <c r="K499" s="10"/>
      <c r="L499" s="14"/>
      <c r="M499" s="13"/>
    </row>
    <row r="500" customFormat="false" ht="15.75" hidden="false" customHeight="true" outlineLevel="0" collapsed="false">
      <c r="A500" s="8" t="n">
        <f aca="false">A499+1</f>
        <v>498</v>
      </c>
      <c r="B500" s="9" t="n">
        <f aca="false">MOD(4*A500^2,10)</f>
        <v>6</v>
      </c>
      <c r="C500" s="9" t="n">
        <f aca="false">(26*B500-5*B500^2)/24</f>
        <v>-1</v>
      </c>
      <c r="D500" s="9" t="n">
        <f aca="false">(A500^2+4*C500)/5</f>
        <v>49600</v>
      </c>
      <c r="E500" s="9" t="n">
        <f aca="false">MOD(D500,10)</f>
        <v>0</v>
      </c>
      <c r="F500" s="9" t="n">
        <f aca="false">2*D500</f>
        <v>99200</v>
      </c>
      <c r="G500" s="9" t="n">
        <f aca="false">MOD(F500,10)</f>
        <v>0</v>
      </c>
      <c r="H500" s="9" t="n">
        <f aca="false">G500/2</f>
        <v>0</v>
      </c>
      <c r="I500" s="9" t="str">
        <f aca="false">IF(H500=0,"—",IF(H500=1,"unison (1:1)",IF(H500=2,"octave (2:1)",IF(H500=3,"fifth (3:2)",IF(H500=4,"fourth (4:3)","?")))))</f>
        <v>—</v>
      </c>
      <c r="J500" s="9" t="str">
        <f aca="false">IF(H500=0,"—",IF(H500=1,"ὁμώνυμον",IF(H500=2,"διὰ πασῶν",IF(H500=3,"διὰ πέντε",IF(H500=4,"διὰ τεσσάρων","?")))))</f>
        <v>—</v>
      </c>
      <c r="K500" s="10"/>
      <c r="L500" s="14"/>
      <c r="M500" s="13"/>
    </row>
    <row r="501" customFormat="false" ht="15.75" hidden="false" customHeight="true" outlineLevel="0" collapsed="false">
      <c r="A501" s="8" t="n">
        <f aca="false">A500+1</f>
        <v>499</v>
      </c>
      <c r="B501" s="9" t="n">
        <f aca="false">MOD(4*A501^2,10)</f>
        <v>4</v>
      </c>
      <c r="C501" s="9" t="n">
        <f aca="false">(26*B501-5*B501^2)/24</f>
        <v>1</v>
      </c>
      <c r="D501" s="9" t="n">
        <f aca="false">(A501^2+4*C501)/5</f>
        <v>49801</v>
      </c>
      <c r="E501" s="9" t="n">
        <f aca="false">MOD(D501,10)</f>
        <v>1</v>
      </c>
      <c r="F501" s="9" t="n">
        <f aca="false">2*D501</f>
        <v>99602</v>
      </c>
      <c r="G501" s="9" t="n">
        <f aca="false">MOD(F501,10)</f>
        <v>2</v>
      </c>
      <c r="H501" s="9" t="n">
        <f aca="false">G501/2</f>
        <v>1</v>
      </c>
      <c r="I501" s="9" t="str">
        <f aca="false">IF(H501=0,"—",IF(H501=1,"unison (1:1)",IF(H501=2,"octave (2:1)",IF(H501=3,"fifth (3:2)",IF(H501=4,"fourth (4:3)","?")))))</f>
        <v>unison (1:1)</v>
      </c>
      <c r="J501" s="9" t="str">
        <f aca="false">IF(H501=0,"—",IF(H501=1,"ὁμώνυμον",IF(H501=2,"διὰ πασῶν",IF(H501=3,"διὰ πέντε",IF(H501=4,"διὰ τεσσάρων","?")))))</f>
        <v>ὁμώνυμον</v>
      </c>
      <c r="K501" s="10"/>
      <c r="L501" s="14"/>
      <c r="M501" s="13"/>
    </row>
    <row r="502" customFormat="false" ht="15.75" hidden="false" customHeight="true" outlineLevel="0" collapsed="false">
      <c r="A502" s="8" t="n">
        <f aca="false">A501+1</f>
        <v>500</v>
      </c>
      <c r="B502" s="9" t="n">
        <f aca="false">MOD(4*A502^2,10)</f>
        <v>0</v>
      </c>
      <c r="C502" s="9" t="n">
        <f aca="false">(26*B502-5*B502^2)/24</f>
        <v>0</v>
      </c>
      <c r="D502" s="9" t="n">
        <f aca="false">(A502^2+4*C502)/5</f>
        <v>50000</v>
      </c>
      <c r="E502" s="9" t="n">
        <f aca="false">MOD(D502,10)</f>
        <v>0</v>
      </c>
      <c r="F502" s="9" t="n">
        <f aca="false">2*D502</f>
        <v>100000</v>
      </c>
      <c r="G502" s="9" t="n">
        <f aca="false">MOD(F502,10)</f>
        <v>0</v>
      </c>
      <c r="H502" s="9" t="n">
        <f aca="false">G502/2</f>
        <v>0</v>
      </c>
      <c r="I502" s="9" t="str">
        <f aca="false">IF(H502=0,"—",IF(H502=1,"unison (1:1)",IF(H502=2,"octave (2:1)",IF(H502=3,"fifth (3:2)",IF(H502=4,"fourth (4:3)","?")))))</f>
        <v>—</v>
      </c>
      <c r="J502" s="9" t="str">
        <f aca="false">IF(H502=0,"—",IF(H502=1,"ὁμώνυμον",IF(H502=2,"διὰ πασῶν",IF(H502=3,"διὰ πέντε",IF(H502=4,"διὰ τεσσάρων","?")))))</f>
        <v>—</v>
      </c>
      <c r="K502" s="10"/>
      <c r="L502" s="14"/>
      <c r="M502" s="13"/>
    </row>
    <row r="503" customFormat="false" ht="15.75" hidden="false" customHeight="true" outlineLevel="0" collapsed="false">
      <c r="A503" s="8" t="n">
        <f aca="false">A502+1</f>
        <v>501</v>
      </c>
      <c r="B503" s="9" t="n">
        <f aca="false">MOD(4*A503^2,10)</f>
        <v>4</v>
      </c>
      <c r="C503" s="9" t="n">
        <f aca="false">(26*B503-5*B503^2)/24</f>
        <v>1</v>
      </c>
      <c r="D503" s="9" t="n">
        <f aca="false">(A503^2+4*C503)/5</f>
        <v>50201</v>
      </c>
      <c r="E503" s="9" t="n">
        <f aca="false">MOD(D503,10)</f>
        <v>1</v>
      </c>
      <c r="F503" s="9" t="n">
        <f aca="false">2*D503</f>
        <v>100402</v>
      </c>
      <c r="G503" s="9" t="n">
        <f aca="false">MOD(F503,10)</f>
        <v>2</v>
      </c>
      <c r="H503" s="9" t="n">
        <f aca="false">G503/2</f>
        <v>1</v>
      </c>
      <c r="I503" s="9" t="str">
        <f aca="false">IF(H503=0,"—",IF(H503=1,"unison (1:1)",IF(H503=2,"octave (2:1)",IF(H503=3,"fifth (3:2)",IF(H503=4,"fourth (4:3)","?")))))</f>
        <v>unison (1:1)</v>
      </c>
      <c r="J503" s="9" t="str">
        <f aca="false">IF(H503=0,"—",IF(H503=1,"ὁμώνυμον",IF(H503=2,"διὰ πασῶν",IF(H503=3,"διὰ πέντε",IF(H503=4,"διὰ τεσσάρων","?")))))</f>
        <v>ὁμώνυμον</v>
      </c>
      <c r="K503" s="10"/>
      <c r="L503" s="14"/>
      <c r="M503" s="13"/>
    </row>
    <row r="504" customFormat="false" ht="15.75" hidden="false" customHeight="true" outlineLevel="0" collapsed="false">
      <c r="A504" s="8" t="n">
        <f aca="false">A503+1</f>
        <v>502</v>
      </c>
      <c r="B504" s="9" t="n">
        <f aca="false">MOD(4*A504^2,10)</f>
        <v>6</v>
      </c>
      <c r="C504" s="9" t="n">
        <f aca="false">(26*B504-5*B504^2)/24</f>
        <v>-1</v>
      </c>
      <c r="D504" s="9" t="n">
        <f aca="false">(A504^2+4*C504)/5</f>
        <v>50400</v>
      </c>
      <c r="E504" s="9" t="n">
        <f aca="false">MOD(D504,10)</f>
        <v>0</v>
      </c>
      <c r="F504" s="9" t="n">
        <f aca="false">2*D504</f>
        <v>100800</v>
      </c>
      <c r="G504" s="9" t="n">
        <f aca="false">MOD(F504,10)</f>
        <v>0</v>
      </c>
      <c r="H504" s="9" t="n">
        <f aca="false">G504/2</f>
        <v>0</v>
      </c>
      <c r="I504" s="9" t="str">
        <f aca="false">IF(H504=0,"—",IF(H504=1,"unison (1:1)",IF(H504=2,"octave (2:1)",IF(H504=3,"fifth (3:2)",IF(H504=4,"fourth (4:3)","?")))))</f>
        <v>—</v>
      </c>
      <c r="J504" s="9" t="str">
        <f aca="false">IF(H504=0,"—",IF(H504=1,"ὁμώνυμον",IF(H504=2,"διὰ πασῶν",IF(H504=3,"διὰ πέντε",IF(H504=4,"διὰ τεσσάρων","?")))))</f>
        <v>—</v>
      </c>
      <c r="K504" s="10"/>
      <c r="L504" s="14"/>
      <c r="M504" s="13"/>
    </row>
    <row r="505" customFormat="false" ht="15.75" hidden="false" customHeight="true" outlineLevel="0" collapsed="false">
      <c r="A505" s="8" t="n">
        <f aca="false">A504+1</f>
        <v>503</v>
      </c>
      <c r="B505" s="9" t="n">
        <f aca="false">MOD(4*A505^2,10)</f>
        <v>6</v>
      </c>
      <c r="C505" s="9" t="n">
        <f aca="false">(26*B505-5*B505^2)/24</f>
        <v>-1</v>
      </c>
      <c r="D505" s="9" t="n">
        <f aca="false">(A505^2+4*C505)/5</f>
        <v>50601</v>
      </c>
      <c r="E505" s="9" t="n">
        <f aca="false">MOD(D505,10)</f>
        <v>1</v>
      </c>
      <c r="F505" s="9" t="n">
        <f aca="false">2*D505</f>
        <v>101202</v>
      </c>
      <c r="G505" s="9" t="n">
        <f aca="false">MOD(F505,10)</f>
        <v>2</v>
      </c>
      <c r="H505" s="9" t="n">
        <f aca="false">G505/2</f>
        <v>1</v>
      </c>
      <c r="I505" s="9" t="str">
        <f aca="false">IF(H505=0,"—",IF(H505=1,"unison (1:1)",IF(H505=2,"octave (2:1)",IF(H505=3,"fifth (3:2)",IF(H505=4,"fourth (4:3)","?")))))</f>
        <v>unison (1:1)</v>
      </c>
      <c r="J505" s="9" t="str">
        <f aca="false">IF(H505=0,"—",IF(H505=1,"ὁμώνυμον",IF(H505=2,"διὰ πασῶν",IF(H505=3,"διὰ πέντε",IF(H505=4,"διὰ τεσσάρων","?")))))</f>
        <v>ὁμώνυμον</v>
      </c>
      <c r="K505" s="10"/>
      <c r="L505" s="14"/>
      <c r="M505" s="13"/>
    </row>
    <row r="506" customFormat="false" ht="15.75" hidden="false" customHeight="true" outlineLevel="0" collapsed="false">
      <c r="A506" s="8" t="n">
        <f aca="false">A505+1</f>
        <v>504</v>
      </c>
      <c r="B506" s="9" t="n">
        <f aca="false">MOD(4*A506^2,10)</f>
        <v>4</v>
      </c>
      <c r="C506" s="9" t="n">
        <f aca="false">(26*B506-5*B506^2)/24</f>
        <v>1</v>
      </c>
      <c r="D506" s="9" t="n">
        <f aca="false">(A506^2+4*C506)/5</f>
        <v>50804</v>
      </c>
      <c r="E506" s="9" t="n">
        <f aca="false">MOD(D506,10)</f>
        <v>4</v>
      </c>
      <c r="F506" s="9" t="n">
        <f aca="false">2*D506</f>
        <v>101608</v>
      </c>
      <c r="G506" s="9" t="n">
        <f aca="false">MOD(F506,10)</f>
        <v>8</v>
      </c>
      <c r="H506" s="9" t="n">
        <f aca="false">G506/2</f>
        <v>4</v>
      </c>
      <c r="I506" s="9" t="str">
        <f aca="false">IF(H506=0,"—",IF(H506=1,"unison (1:1)",IF(H506=2,"octave (2:1)",IF(H506=3,"fifth (3:2)",IF(H506=4,"fourth (4:3)","?")))))</f>
        <v>fourth (4:3)</v>
      </c>
      <c r="J506" s="9" t="str">
        <f aca="false">IF(H506=0,"—",IF(H506=1,"ὁμώνυμον",IF(H506=2,"διὰ πασῶν",IF(H506=3,"διὰ πέντε",IF(H506=4,"διὰ τεσσάρων","?")))))</f>
        <v>διὰ τεσσάρων</v>
      </c>
      <c r="K506" s="10"/>
      <c r="L506" s="14"/>
      <c r="M506" s="13"/>
    </row>
    <row r="507" customFormat="false" ht="15.75" hidden="false" customHeight="true" outlineLevel="0" collapsed="false">
      <c r="A507" s="8" t="n">
        <f aca="false">A506+1</f>
        <v>505</v>
      </c>
      <c r="B507" s="9" t="n">
        <f aca="false">MOD(4*A507^2,10)</f>
        <v>0</v>
      </c>
      <c r="C507" s="9" t="n">
        <f aca="false">(26*B507-5*B507^2)/24</f>
        <v>0</v>
      </c>
      <c r="D507" s="9" t="n">
        <f aca="false">(A507^2+4*C507)/5</f>
        <v>51005</v>
      </c>
      <c r="E507" s="9" t="n">
        <f aca="false">MOD(D507,10)</f>
        <v>5</v>
      </c>
      <c r="F507" s="9" t="n">
        <f aca="false">2*D507</f>
        <v>102010</v>
      </c>
      <c r="G507" s="9" t="n">
        <f aca="false">MOD(F507,10)</f>
        <v>0</v>
      </c>
      <c r="H507" s="9" t="n">
        <f aca="false">G507/2</f>
        <v>0</v>
      </c>
      <c r="I507" s="9" t="str">
        <f aca="false">IF(H507=0,"—",IF(H507=1,"unison (1:1)",IF(H507=2,"octave (2:1)",IF(H507=3,"fifth (3:2)",IF(H507=4,"fourth (4:3)","?")))))</f>
        <v>—</v>
      </c>
      <c r="J507" s="9" t="str">
        <f aca="false">IF(H507=0,"—",IF(H507=1,"ὁμώνυμον",IF(H507=2,"διὰ πασῶν",IF(H507=3,"διὰ πέντε",IF(H507=4,"διὰ τεσσάρων","?")))))</f>
        <v>—</v>
      </c>
      <c r="K507" s="10"/>
      <c r="L507" s="14"/>
      <c r="M507" s="13"/>
    </row>
    <row r="508" customFormat="false" ht="15.75" hidden="false" customHeight="true" outlineLevel="0" collapsed="false">
      <c r="A508" s="8" t="n">
        <f aca="false">A507+1</f>
        <v>506</v>
      </c>
      <c r="B508" s="9" t="n">
        <f aca="false">MOD(4*A508^2,10)</f>
        <v>4</v>
      </c>
      <c r="C508" s="9" t="n">
        <f aca="false">(26*B508-5*B508^2)/24</f>
        <v>1</v>
      </c>
      <c r="D508" s="9" t="n">
        <f aca="false">(A508^2+4*C508)/5</f>
        <v>51208</v>
      </c>
      <c r="E508" s="9" t="n">
        <f aca="false">MOD(D508,10)</f>
        <v>8</v>
      </c>
      <c r="F508" s="9" t="n">
        <f aca="false">2*D508</f>
        <v>102416</v>
      </c>
      <c r="G508" s="9" t="n">
        <f aca="false">MOD(F508,10)</f>
        <v>6</v>
      </c>
      <c r="H508" s="9" t="n">
        <f aca="false">G508/2</f>
        <v>3</v>
      </c>
      <c r="I508" s="9" t="str">
        <f aca="false">IF(H508=0,"—",IF(H508=1,"unison (1:1)",IF(H508=2,"octave (2:1)",IF(H508=3,"fifth (3:2)",IF(H508=4,"fourth (4:3)","?")))))</f>
        <v>fifth (3:2)</v>
      </c>
      <c r="J508" s="9" t="str">
        <f aca="false">IF(H508=0,"—",IF(H508=1,"ὁμώνυμον",IF(H508=2,"διὰ πασῶν",IF(H508=3,"διὰ πέντε",IF(H508=4,"διὰ τεσσάρων","?")))))</f>
        <v>διὰ πέντε</v>
      </c>
      <c r="K508" s="10"/>
      <c r="L508" s="14"/>
      <c r="M508" s="13"/>
    </row>
    <row r="509" customFormat="false" ht="15.75" hidden="false" customHeight="true" outlineLevel="0" collapsed="false">
      <c r="A509" s="8" t="n">
        <f aca="false">A508+1</f>
        <v>507</v>
      </c>
      <c r="B509" s="9" t="n">
        <f aca="false">MOD(4*A509^2,10)</f>
        <v>6</v>
      </c>
      <c r="C509" s="9" t="n">
        <f aca="false">(26*B509-5*B509^2)/24</f>
        <v>-1</v>
      </c>
      <c r="D509" s="9" t="n">
        <f aca="false">(A509^2+4*C509)/5</f>
        <v>51409</v>
      </c>
      <c r="E509" s="9" t="n">
        <f aca="false">MOD(D509,10)</f>
        <v>9</v>
      </c>
      <c r="F509" s="9" t="n">
        <f aca="false">2*D509</f>
        <v>102818</v>
      </c>
      <c r="G509" s="9" t="n">
        <f aca="false">MOD(F509,10)</f>
        <v>8</v>
      </c>
      <c r="H509" s="9" t="n">
        <f aca="false">G509/2</f>
        <v>4</v>
      </c>
      <c r="I509" s="9" t="str">
        <f aca="false">IF(H509=0,"—",IF(H509=1,"unison (1:1)",IF(H509=2,"octave (2:1)",IF(H509=3,"fifth (3:2)",IF(H509=4,"fourth (4:3)","?")))))</f>
        <v>fourth (4:3)</v>
      </c>
      <c r="J509" s="9" t="str">
        <f aca="false">IF(H509=0,"—",IF(H509=1,"ὁμώνυμον",IF(H509=2,"διὰ πασῶν",IF(H509=3,"διὰ πέντε",IF(H509=4,"διὰ τεσσάρων","?")))))</f>
        <v>διὰ τεσσάρων</v>
      </c>
      <c r="K509" s="10"/>
      <c r="L509" s="14"/>
      <c r="M509" s="13"/>
    </row>
    <row r="510" customFormat="false" ht="15.75" hidden="false" customHeight="true" outlineLevel="0" collapsed="false">
      <c r="A510" s="8" t="n">
        <f aca="false">A509+1</f>
        <v>508</v>
      </c>
      <c r="B510" s="9" t="n">
        <f aca="false">MOD(4*A510^2,10)</f>
        <v>6</v>
      </c>
      <c r="C510" s="9" t="n">
        <f aca="false">(26*B510-5*B510^2)/24</f>
        <v>-1</v>
      </c>
      <c r="D510" s="9" t="n">
        <f aca="false">(A510^2+4*C510)/5</f>
        <v>51612</v>
      </c>
      <c r="E510" s="9" t="n">
        <f aca="false">MOD(D510,10)</f>
        <v>2</v>
      </c>
      <c r="F510" s="9" t="n">
        <f aca="false">2*D510</f>
        <v>103224</v>
      </c>
      <c r="G510" s="9" t="n">
        <f aca="false">MOD(F510,10)</f>
        <v>4</v>
      </c>
      <c r="H510" s="9" t="n">
        <f aca="false">G510/2</f>
        <v>2</v>
      </c>
      <c r="I510" s="9" t="str">
        <f aca="false">IF(H510=0,"—",IF(H510=1,"unison (1:1)",IF(H510=2,"octave (2:1)",IF(H510=3,"fifth (3:2)",IF(H510=4,"fourth (4:3)","?")))))</f>
        <v>octave (2:1)</v>
      </c>
      <c r="J510" s="9" t="str">
        <f aca="false">IF(H510=0,"—",IF(H510=1,"ὁμώνυμον",IF(H510=2,"διὰ πασῶν",IF(H510=3,"διὰ πέντε",IF(H510=4,"διὰ τεσσάρων","?")))))</f>
        <v>διὰ πασῶν</v>
      </c>
      <c r="K510" s="10"/>
      <c r="L510" s="14"/>
      <c r="M510" s="13"/>
    </row>
    <row r="511" customFormat="false" ht="15.75" hidden="false" customHeight="true" outlineLevel="0" collapsed="false">
      <c r="A511" s="8" t="n">
        <f aca="false">A510+1</f>
        <v>509</v>
      </c>
      <c r="B511" s="9" t="n">
        <f aca="false">MOD(4*A511^2,10)</f>
        <v>4</v>
      </c>
      <c r="C511" s="9" t="n">
        <f aca="false">(26*B511-5*B511^2)/24</f>
        <v>1</v>
      </c>
      <c r="D511" s="9" t="n">
        <f aca="false">(A511^2+4*C511)/5</f>
        <v>51817</v>
      </c>
      <c r="E511" s="9" t="n">
        <f aca="false">MOD(D511,10)</f>
        <v>7</v>
      </c>
      <c r="F511" s="9" t="n">
        <f aca="false">2*D511</f>
        <v>103634</v>
      </c>
      <c r="G511" s="9" t="n">
        <f aca="false">MOD(F511,10)</f>
        <v>4</v>
      </c>
      <c r="H511" s="9" t="n">
        <f aca="false">G511/2</f>
        <v>2</v>
      </c>
      <c r="I511" s="9" t="str">
        <f aca="false">IF(H511=0,"—",IF(H511=1,"unison (1:1)",IF(H511=2,"octave (2:1)",IF(H511=3,"fifth (3:2)",IF(H511=4,"fourth (4:3)","?")))))</f>
        <v>octave (2:1)</v>
      </c>
      <c r="J511" s="9" t="str">
        <f aca="false">IF(H511=0,"—",IF(H511=1,"ὁμώνυμον",IF(H511=2,"διὰ πασῶν",IF(H511=3,"διὰ πέντε",IF(H511=4,"διὰ τεσσάρων","?")))))</f>
        <v>διὰ πασῶν</v>
      </c>
      <c r="K511" s="10"/>
      <c r="L511" s="14"/>
      <c r="M511" s="13"/>
    </row>
    <row r="512" customFormat="false" ht="15.75" hidden="false" customHeight="true" outlineLevel="0" collapsed="false">
      <c r="A512" s="8" t="n">
        <f aca="false">A511+1</f>
        <v>510</v>
      </c>
      <c r="B512" s="9" t="n">
        <f aca="false">MOD(4*A512^2,10)</f>
        <v>0</v>
      </c>
      <c r="C512" s="9" t="n">
        <f aca="false">(26*B512-5*B512^2)/24</f>
        <v>0</v>
      </c>
      <c r="D512" s="9" t="n">
        <f aca="false">(A512^2+4*C512)/5</f>
        <v>52020</v>
      </c>
      <c r="E512" s="9" t="n">
        <f aca="false">MOD(D512,10)</f>
        <v>0</v>
      </c>
      <c r="F512" s="9" t="n">
        <f aca="false">2*D512</f>
        <v>104040</v>
      </c>
      <c r="G512" s="9" t="n">
        <f aca="false">MOD(F512,10)</f>
        <v>0</v>
      </c>
      <c r="H512" s="9" t="n">
        <f aca="false">G512/2</f>
        <v>0</v>
      </c>
      <c r="I512" s="9" t="str">
        <f aca="false">IF(H512=0,"—",IF(H512=1,"unison (1:1)",IF(H512=2,"octave (2:1)",IF(H512=3,"fifth (3:2)",IF(H512=4,"fourth (4:3)","?")))))</f>
        <v>—</v>
      </c>
      <c r="J512" s="9" t="str">
        <f aca="false">IF(H512=0,"—",IF(H512=1,"ὁμώνυμον",IF(H512=2,"διὰ πασῶν",IF(H512=3,"διὰ πέντε",IF(H512=4,"διὰ τεσσάρων","?")))))</f>
        <v>—</v>
      </c>
      <c r="K512" s="10"/>
      <c r="L512" s="14"/>
      <c r="M512" s="13"/>
    </row>
    <row r="513" customFormat="false" ht="15.75" hidden="false" customHeight="true" outlineLevel="0" collapsed="false">
      <c r="A513" s="8" t="n">
        <f aca="false">A512+1</f>
        <v>511</v>
      </c>
      <c r="B513" s="9" t="n">
        <f aca="false">MOD(4*A513^2,10)</f>
        <v>4</v>
      </c>
      <c r="C513" s="9" t="n">
        <f aca="false">(26*B513-5*B513^2)/24</f>
        <v>1</v>
      </c>
      <c r="D513" s="9" t="n">
        <f aca="false">(A513^2+4*C513)/5</f>
        <v>52225</v>
      </c>
      <c r="E513" s="9" t="n">
        <f aca="false">MOD(D513,10)</f>
        <v>5</v>
      </c>
      <c r="F513" s="9" t="n">
        <f aca="false">2*D513</f>
        <v>104450</v>
      </c>
      <c r="G513" s="9" t="n">
        <f aca="false">MOD(F513,10)</f>
        <v>0</v>
      </c>
      <c r="H513" s="9" t="n">
        <f aca="false">G513/2</f>
        <v>0</v>
      </c>
      <c r="I513" s="9" t="str">
        <f aca="false">IF(H513=0,"—",IF(H513=1,"unison (1:1)",IF(H513=2,"octave (2:1)",IF(H513=3,"fifth (3:2)",IF(H513=4,"fourth (4:3)","?")))))</f>
        <v>—</v>
      </c>
      <c r="J513" s="9" t="str">
        <f aca="false">IF(H513=0,"—",IF(H513=1,"ὁμώνυμον",IF(H513=2,"διὰ πασῶν",IF(H513=3,"διὰ πέντε",IF(H513=4,"διὰ τεσσάρων","?")))))</f>
        <v>—</v>
      </c>
      <c r="K513" s="10"/>
      <c r="L513" s="14"/>
      <c r="M513" s="13"/>
    </row>
    <row r="514" customFormat="false" ht="15.75" hidden="false" customHeight="true" outlineLevel="0" collapsed="false">
      <c r="A514" s="8" t="n">
        <f aca="false">A513+1</f>
        <v>512</v>
      </c>
      <c r="B514" s="9" t="n">
        <f aca="false">MOD(4*A514^2,10)</f>
        <v>6</v>
      </c>
      <c r="C514" s="9" t="n">
        <f aca="false">(26*B514-5*B514^2)/24</f>
        <v>-1</v>
      </c>
      <c r="D514" s="9" t="n">
        <f aca="false">(A514^2+4*C514)/5</f>
        <v>52428</v>
      </c>
      <c r="E514" s="9" t="n">
        <f aca="false">MOD(D514,10)</f>
        <v>8</v>
      </c>
      <c r="F514" s="9" t="n">
        <f aca="false">2*D514</f>
        <v>104856</v>
      </c>
      <c r="G514" s="9" t="n">
        <f aca="false">MOD(F514,10)</f>
        <v>6</v>
      </c>
      <c r="H514" s="9" t="n">
        <f aca="false">G514/2</f>
        <v>3</v>
      </c>
      <c r="I514" s="9" t="str">
        <f aca="false">IF(H514=0,"—",IF(H514=1,"unison (1:1)",IF(H514=2,"octave (2:1)",IF(H514=3,"fifth (3:2)",IF(H514=4,"fourth (4:3)","?")))))</f>
        <v>fifth (3:2)</v>
      </c>
      <c r="J514" s="9" t="str">
        <f aca="false">IF(H514=0,"—",IF(H514=1,"ὁμώνυμον",IF(H514=2,"διὰ πασῶν",IF(H514=3,"διὰ πέντε",IF(H514=4,"διὰ τεσσάρων","?")))))</f>
        <v>διὰ πέντε</v>
      </c>
      <c r="K514" s="10"/>
      <c r="L514" s="14"/>
      <c r="M514" s="13"/>
    </row>
    <row r="515" customFormat="false" ht="15.75" hidden="false" customHeight="true" outlineLevel="0" collapsed="false">
      <c r="A515" s="8" t="n">
        <f aca="false">A514+1</f>
        <v>513</v>
      </c>
      <c r="B515" s="9" t="n">
        <f aca="false">MOD(4*A515^2,10)</f>
        <v>6</v>
      </c>
      <c r="C515" s="9" t="n">
        <f aca="false">(26*B515-5*B515^2)/24</f>
        <v>-1</v>
      </c>
      <c r="D515" s="9" t="n">
        <f aca="false">(A515^2+4*C515)/5</f>
        <v>52633</v>
      </c>
      <c r="E515" s="9" t="n">
        <f aca="false">MOD(D515,10)</f>
        <v>3</v>
      </c>
      <c r="F515" s="9" t="n">
        <f aca="false">2*D515</f>
        <v>105266</v>
      </c>
      <c r="G515" s="9" t="n">
        <f aca="false">MOD(F515,10)</f>
        <v>6</v>
      </c>
      <c r="H515" s="9" t="n">
        <f aca="false">G515/2</f>
        <v>3</v>
      </c>
      <c r="I515" s="9" t="str">
        <f aca="false">IF(H515=0,"—",IF(H515=1,"unison (1:1)",IF(H515=2,"octave (2:1)",IF(H515=3,"fifth (3:2)",IF(H515=4,"fourth (4:3)","?")))))</f>
        <v>fifth (3:2)</v>
      </c>
      <c r="J515" s="9" t="str">
        <f aca="false">IF(H515=0,"—",IF(H515=1,"ὁμώνυμον",IF(H515=2,"διὰ πασῶν",IF(H515=3,"διὰ πέντε",IF(H515=4,"διὰ τεσσάρων","?")))))</f>
        <v>διὰ πέντε</v>
      </c>
      <c r="K515" s="10"/>
      <c r="L515" s="14"/>
      <c r="M515" s="13"/>
    </row>
    <row r="516" customFormat="false" ht="15.75" hidden="false" customHeight="true" outlineLevel="0" collapsed="false">
      <c r="A516" s="8" t="n">
        <f aca="false">A515+1</f>
        <v>514</v>
      </c>
      <c r="B516" s="9" t="n">
        <f aca="false">MOD(4*A516^2,10)</f>
        <v>4</v>
      </c>
      <c r="C516" s="9" t="n">
        <f aca="false">(26*B516-5*B516^2)/24</f>
        <v>1</v>
      </c>
      <c r="D516" s="9" t="n">
        <f aca="false">(A516^2+4*C516)/5</f>
        <v>52840</v>
      </c>
      <c r="E516" s="9" t="n">
        <f aca="false">MOD(D516,10)</f>
        <v>0</v>
      </c>
      <c r="F516" s="9" t="n">
        <f aca="false">2*D516</f>
        <v>105680</v>
      </c>
      <c r="G516" s="9" t="n">
        <f aca="false">MOD(F516,10)</f>
        <v>0</v>
      </c>
      <c r="H516" s="9" t="n">
        <f aca="false">G516/2</f>
        <v>0</v>
      </c>
      <c r="I516" s="9" t="str">
        <f aca="false">IF(H516=0,"—",IF(H516=1,"unison (1:1)",IF(H516=2,"octave (2:1)",IF(H516=3,"fifth (3:2)",IF(H516=4,"fourth (4:3)","?")))))</f>
        <v>—</v>
      </c>
      <c r="J516" s="9" t="str">
        <f aca="false">IF(H516=0,"—",IF(H516=1,"ὁμώνυμον",IF(H516=2,"διὰ πασῶν",IF(H516=3,"διὰ πέντε",IF(H516=4,"διὰ τεσσάρων","?")))))</f>
        <v>—</v>
      </c>
      <c r="K516" s="10"/>
      <c r="L516" s="14"/>
      <c r="M516" s="13"/>
    </row>
    <row r="517" customFormat="false" ht="15.75" hidden="false" customHeight="true" outlineLevel="0" collapsed="false">
      <c r="A517" s="8" t="n">
        <f aca="false">A516+1</f>
        <v>515</v>
      </c>
      <c r="B517" s="9" t="n">
        <f aca="false">MOD(4*A517^2,10)</f>
        <v>0</v>
      </c>
      <c r="C517" s="9" t="n">
        <f aca="false">(26*B517-5*B517^2)/24</f>
        <v>0</v>
      </c>
      <c r="D517" s="9" t="n">
        <f aca="false">(A517^2+4*C517)/5</f>
        <v>53045</v>
      </c>
      <c r="E517" s="9" t="n">
        <f aca="false">MOD(D517,10)</f>
        <v>5</v>
      </c>
      <c r="F517" s="9" t="n">
        <f aca="false">2*D517</f>
        <v>106090</v>
      </c>
      <c r="G517" s="9" t="n">
        <f aca="false">MOD(F517,10)</f>
        <v>0</v>
      </c>
      <c r="H517" s="9" t="n">
        <f aca="false">G517/2</f>
        <v>0</v>
      </c>
      <c r="I517" s="9" t="str">
        <f aca="false">IF(H517=0,"—",IF(H517=1,"unison (1:1)",IF(H517=2,"octave (2:1)",IF(H517=3,"fifth (3:2)",IF(H517=4,"fourth (4:3)","?")))))</f>
        <v>—</v>
      </c>
      <c r="J517" s="9" t="str">
        <f aca="false">IF(H517=0,"—",IF(H517=1,"ὁμώνυμον",IF(H517=2,"διὰ πασῶν",IF(H517=3,"διὰ πέντε",IF(H517=4,"διὰ τεσσάρων","?")))))</f>
        <v>—</v>
      </c>
      <c r="K517" s="10"/>
      <c r="L517" s="14"/>
      <c r="M517" s="13"/>
    </row>
    <row r="518" customFormat="false" ht="15.75" hidden="false" customHeight="true" outlineLevel="0" collapsed="false">
      <c r="A518" s="8" t="n">
        <f aca="false">A517+1</f>
        <v>516</v>
      </c>
      <c r="B518" s="9" t="n">
        <f aca="false">MOD(4*A518^2,10)</f>
        <v>4</v>
      </c>
      <c r="C518" s="9" t="n">
        <f aca="false">(26*B518-5*B518^2)/24</f>
        <v>1</v>
      </c>
      <c r="D518" s="9" t="n">
        <f aca="false">(A518^2+4*C518)/5</f>
        <v>53252</v>
      </c>
      <c r="E518" s="9" t="n">
        <f aca="false">MOD(D518,10)</f>
        <v>2</v>
      </c>
      <c r="F518" s="9" t="n">
        <f aca="false">2*D518</f>
        <v>106504</v>
      </c>
      <c r="G518" s="9" t="n">
        <f aca="false">MOD(F518,10)</f>
        <v>4</v>
      </c>
      <c r="H518" s="9" t="n">
        <f aca="false">G518/2</f>
        <v>2</v>
      </c>
      <c r="I518" s="9" t="str">
        <f aca="false">IF(H518=0,"—",IF(H518=1,"unison (1:1)",IF(H518=2,"octave (2:1)",IF(H518=3,"fifth (3:2)",IF(H518=4,"fourth (4:3)","?")))))</f>
        <v>octave (2:1)</v>
      </c>
      <c r="J518" s="9" t="str">
        <f aca="false">IF(H518=0,"—",IF(H518=1,"ὁμώνυμον",IF(H518=2,"διὰ πασῶν",IF(H518=3,"διὰ πέντε",IF(H518=4,"διὰ τεσσάρων","?")))))</f>
        <v>διὰ πασῶν</v>
      </c>
      <c r="K518" s="10"/>
      <c r="L518" s="14"/>
      <c r="M518" s="13"/>
    </row>
    <row r="519" customFormat="false" ht="15.75" hidden="false" customHeight="true" outlineLevel="0" collapsed="false">
      <c r="A519" s="8" t="n">
        <f aca="false">A518+1</f>
        <v>517</v>
      </c>
      <c r="B519" s="9" t="n">
        <f aca="false">MOD(4*A519^2,10)</f>
        <v>6</v>
      </c>
      <c r="C519" s="9" t="n">
        <f aca="false">(26*B519-5*B519^2)/24</f>
        <v>-1</v>
      </c>
      <c r="D519" s="9" t="n">
        <f aca="false">(A519^2+4*C519)/5</f>
        <v>53457</v>
      </c>
      <c r="E519" s="9" t="n">
        <f aca="false">MOD(D519,10)</f>
        <v>7</v>
      </c>
      <c r="F519" s="9" t="n">
        <f aca="false">2*D519</f>
        <v>106914</v>
      </c>
      <c r="G519" s="9" t="n">
        <f aca="false">MOD(F519,10)</f>
        <v>4</v>
      </c>
      <c r="H519" s="9" t="n">
        <f aca="false">G519/2</f>
        <v>2</v>
      </c>
      <c r="I519" s="9" t="str">
        <f aca="false">IF(H519=0,"—",IF(H519=1,"unison (1:1)",IF(H519=2,"octave (2:1)",IF(H519=3,"fifth (3:2)",IF(H519=4,"fourth (4:3)","?")))))</f>
        <v>octave (2:1)</v>
      </c>
      <c r="J519" s="9" t="str">
        <f aca="false">IF(H519=0,"—",IF(H519=1,"ὁμώνυμον",IF(H519=2,"διὰ πασῶν",IF(H519=3,"διὰ πέντε",IF(H519=4,"διὰ τεσσάρων","?")))))</f>
        <v>διὰ πασῶν</v>
      </c>
      <c r="K519" s="10"/>
      <c r="L519" s="14"/>
      <c r="M519" s="13"/>
    </row>
    <row r="520" customFormat="false" ht="15.75" hidden="false" customHeight="true" outlineLevel="0" collapsed="false">
      <c r="A520" s="8" t="n">
        <f aca="false">A519+1</f>
        <v>518</v>
      </c>
      <c r="B520" s="9" t="n">
        <f aca="false">MOD(4*A520^2,10)</f>
        <v>6</v>
      </c>
      <c r="C520" s="9" t="n">
        <f aca="false">(26*B520-5*B520^2)/24</f>
        <v>-1</v>
      </c>
      <c r="D520" s="9" t="n">
        <f aca="false">(A520^2+4*C520)/5</f>
        <v>53664</v>
      </c>
      <c r="E520" s="9" t="n">
        <f aca="false">MOD(D520,10)</f>
        <v>4</v>
      </c>
      <c r="F520" s="9" t="n">
        <f aca="false">2*D520</f>
        <v>107328</v>
      </c>
      <c r="G520" s="9" t="n">
        <f aca="false">MOD(F520,10)</f>
        <v>8</v>
      </c>
      <c r="H520" s="9" t="n">
        <f aca="false">G520/2</f>
        <v>4</v>
      </c>
      <c r="I520" s="9" t="str">
        <f aca="false">IF(H520=0,"—",IF(H520=1,"unison (1:1)",IF(H520=2,"octave (2:1)",IF(H520=3,"fifth (3:2)",IF(H520=4,"fourth (4:3)","?")))))</f>
        <v>fourth (4:3)</v>
      </c>
      <c r="J520" s="9" t="str">
        <f aca="false">IF(H520=0,"—",IF(H520=1,"ὁμώνυμον",IF(H520=2,"διὰ πασῶν",IF(H520=3,"διὰ πέντε",IF(H520=4,"διὰ τεσσάρων","?")))))</f>
        <v>διὰ τεσσάρων</v>
      </c>
      <c r="K520" s="10"/>
      <c r="L520" s="14"/>
      <c r="M520" s="13"/>
    </row>
    <row r="521" customFormat="false" ht="15.75" hidden="false" customHeight="true" outlineLevel="0" collapsed="false">
      <c r="A521" s="8" t="n">
        <f aca="false">A520+1</f>
        <v>519</v>
      </c>
      <c r="B521" s="9" t="n">
        <f aca="false">MOD(4*A521^2,10)</f>
        <v>4</v>
      </c>
      <c r="C521" s="9" t="n">
        <f aca="false">(26*B521-5*B521^2)/24</f>
        <v>1</v>
      </c>
      <c r="D521" s="9" t="n">
        <f aca="false">(A521^2+4*C521)/5</f>
        <v>53873</v>
      </c>
      <c r="E521" s="9" t="n">
        <f aca="false">MOD(D521,10)</f>
        <v>3</v>
      </c>
      <c r="F521" s="9" t="n">
        <f aca="false">2*D521</f>
        <v>107746</v>
      </c>
      <c r="G521" s="9" t="n">
        <f aca="false">MOD(F521,10)</f>
        <v>6</v>
      </c>
      <c r="H521" s="9" t="n">
        <f aca="false">G521/2</f>
        <v>3</v>
      </c>
      <c r="I521" s="9" t="str">
        <f aca="false">IF(H521=0,"—",IF(H521=1,"unison (1:1)",IF(H521=2,"octave (2:1)",IF(H521=3,"fifth (3:2)",IF(H521=4,"fourth (4:3)","?")))))</f>
        <v>fifth (3:2)</v>
      </c>
      <c r="J521" s="9" t="str">
        <f aca="false">IF(H521=0,"—",IF(H521=1,"ὁμώνυμον",IF(H521=2,"διὰ πασῶν",IF(H521=3,"διὰ πέντε",IF(H521=4,"διὰ τεσσάρων","?")))))</f>
        <v>διὰ πέντε</v>
      </c>
      <c r="K521" s="10"/>
      <c r="L521" s="14"/>
      <c r="M521" s="13"/>
    </row>
    <row r="522" customFormat="false" ht="15.75" hidden="false" customHeight="true" outlineLevel="0" collapsed="false">
      <c r="A522" s="8" t="n">
        <f aca="false">A521+1</f>
        <v>520</v>
      </c>
      <c r="B522" s="9" t="n">
        <f aca="false">MOD(4*A522^2,10)</f>
        <v>0</v>
      </c>
      <c r="C522" s="9" t="n">
        <f aca="false">(26*B522-5*B522^2)/24</f>
        <v>0</v>
      </c>
      <c r="D522" s="9" t="n">
        <f aca="false">(A522^2+4*C522)/5</f>
        <v>54080</v>
      </c>
      <c r="E522" s="9" t="n">
        <f aca="false">MOD(D522,10)</f>
        <v>0</v>
      </c>
      <c r="F522" s="9" t="n">
        <f aca="false">2*D522</f>
        <v>108160</v>
      </c>
      <c r="G522" s="9" t="n">
        <f aca="false">MOD(F522,10)</f>
        <v>0</v>
      </c>
      <c r="H522" s="9" t="n">
        <f aca="false">G522/2</f>
        <v>0</v>
      </c>
      <c r="I522" s="9" t="str">
        <f aca="false">IF(H522=0,"—",IF(H522=1,"unison (1:1)",IF(H522=2,"octave (2:1)",IF(H522=3,"fifth (3:2)",IF(H522=4,"fourth (4:3)","?")))))</f>
        <v>—</v>
      </c>
      <c r="J522" s="9" t="str">
        <f aca="false">IF(H522=0,"—",IF(H522=1,"ὁμώνυμον",IF(H522=2,"διὰ πασῶν",IF(H522=3,"διὰ πέντε",IF(H522=4,"διὰ τεσσάρων","?")))))</f>
        <v>—</v>
      </c>
      <c r="K522" s="10"/>
      <c r="L522" s="14"/>
      <c r="M522" s="13"/>
    </row>
    <row r="523" customFormat="false" ht="15.75" hidden="false" customHeight="true" outlineLevel="0" collapsed="false">
      <c r="A523" s="8" t="n">
        <f aca="false">A522+1</f>
        <v>521</v>
      </c>
      <c r="B523" s="9" t="n">
        <f aca="false">MOD(4*A523^2,10)</f>
        <v>4</v>
      </c>
      <c r="C523" s="9" t="n">
        <f aca="false">(26*B523-5*B523^2)/24</f>
        <v>1</v>
      </c>
      <c r="D523" s="9" t="n">
        <f aca="false">(A523^2+4*C523)/5</f>
        <v>54289</v>
      </c>
      <c r="E523" s="9" t="n">
        <f aca="false">MOD(D523,10)</f>
        <v>9</v>
      </c>
      <c r="F523" s="9" t="n">
        <f aca="false">2*D523</f>
        <v>108578</v>
      </c>
      <c r="G523" s="9" t="n">
        <f aca="false">MOD(F523,10)</f>
        <v>8</v>
      </c>
      <c r="H523" s="9" t="n">
        <f aca="false">G523/2</f>
        <v>4</v>
      </c>
      <c r="I523" s="9" t="str">
        <f aca="false">IF(H523=0,"—",IF(H523=1,"unison (1:1)",IF(H523=2,"octave (2:1)",IF(H523=3,"fifth (3:2)",IF(H523=4,"fourth (4:3)","?")))))</f>
        <v>fourth (4:3)</v>
      </c>
      <c r="J523" s="9" t="str">
        <f aca="false">IF(H523=0,"—",IF(H523=1,"ὁμώνυμον",IF(H523=2,"διὰ πασῶν",IF(H523=3,"διὰ πέντε",IF(H523=4,"διὰ τεσσάρων","?")))))</f>
        <v>διὰ τεσσάρων</v>
      </c>
      <c r="K523" s="10"/>
      <c r="L523" s="14"/>
      <c r="M523" s="13"/>
    </row>
    <row r="524" customFormat="false" ht="15.75" hidden="false" customHeight="true" outlineLevel="0" collapsed="false">
      <c r="A524" s="8" t="n">
        <f aca="false">A523+1</f>
        <v>522</v>
      </c>
      <c r="B524" s="9" t="n">
        <f aca="false">MOD(4*A524^2,10)</f>
        <v>6</v>
      </c>
      <c r="C524" s="9" t="n">
        <f aca="false">(26*B524-5*B524^2)/24</f>
        <v>-1</v>
      </c>
      <c r="D524" s="9" t="n">
        <f aca="false">(A524^2+4*C524)/5</f>
        <v>54496</v>
      </c>
      <c r="E524" s="9" t="n">
        <f aca="false">MOD(D524,10)</f>
        <v>6</v>
      </c>
      <c r="F524" s="9" t="n">
        <f aca="false">2*D524</f>
        <v>108992</v>
      </c>
      <c r="G524" s="9" t="n">
        <f aca="false">MOD(F524,10)</f>
        <v>2</v>
      </c>
      <c r="H524" s="9" t="n">
        <f aca="false">G524/2</f>
        <v>1</v>
      </c>
      <c r="I524" s="9" t="str">
        <f aca="false">IF(H524=0,"—",IF(H524=1,"unison (1:1)",IF(H524=2,"octave (2:1)",IF(H524=3,"fifth (3:2)",IF(H524=4,"fourth (4:3)","?")))))</f>
        <v>unison (1:1)</v>
      </c>
      <c r="J524" s="9" t="str">
        <f aca="false">IF(H524=0,"—",IF(H524=1,"ὁμώνυμον",IF(H524=2,"διὰ πασῶν",IF(H524=3,"διὰ πέντε",IF(H524=4,"διὰ τεσσάρων","?")))))</f>
        <v>ὁμώνυμον</v>
      </c>
      <c r="K524" s="10"/>
      <c r="L524" s="14"/>
      <c r="M524" s="13"/>
    </row>
    <row r="525" customFormat="false" ht="15.75" hidden="false" customHeight="true" outlineLevel="0" collapsed="false">
      <c r="A525" s="8" t="n">
        <f aca="false">A524+1</f>
        <v>523</v>
      </c>
      <c r="B525" s="9" t="n">
        <f aca="false">MOD(4*A525^2,10)</f>
        <v>6</v>
      </c>
      <c r="C525" s="9" t="n">
        <f aca="false">(26*B525-5*B525^2)/24</f>
        <v>-1</v>
      </c>
      <c r="D525" s="9" t="n">
        <f aca="false">(A525^2+4*C525)/5</f>
        <v>54705</v>
      </c>
      <c r="E525" s="9" t="n">
        <f aca="false">MOD(D525,10)</f>
        <v>5</v>
      </c>
      <c r="F525" s="9" t="n">
        <f aca="false">2*D525</f>
        <v>109410</v>
      </c>
      <c r="G525" s="9" t="n">
        <f aca="false">MOD(F525,10)</f>
        <v>0</v>
      </c>
      <c r="H525" s="9" t="n">
        <f aca="false">G525/2</f>
        <v>0</v>
      </c>
      <c r="I525" s="9" t="str">
        <f aca="false">IF(H525=0,"—",IF(H525=1,"unison (1:1)",IF(H525=2,"octave (2:1)",IF(H525=3,"fifth (3:2)",IF(H525=4,"fourth (4:3)","?")))))</f>
        <v>—</v>
      </c>
      <c r="J525" s="9" t="str">
        <f aca="false">IF(H525=0,"—",IF(H525=1,"ὁμώνυμον",IF(H525=2,"διὰ πασῶν",IF(H525=3,"διὰ πέντε",IF(H525=4,"διὰ τεσσάρων","?")))))</f>
        <v>—</v>
      </c>
      <c r="K525" s="10"/>
      <c r="L525" s="14"/>
      <c r="M525" s="13"/>
    </row>
    <row r="526" customFormat="false" ht="15.75" hidden="false" customHeight="true" outlineLevel="0" collapsed="false">
      <c r="A526" s="8" t="n">
        <f aca="false">A525+1</f>
        <v>524</v>
      </c>
      <c r="B526" s="9" t="n">
        <f aca="false">MOD(4*A526^2,10)</f>
        <v>4</v>
      </c>
      <c r="C526" s="9" t="n">
        <f aca="false">(26*B526-5*B526^2)/24</f>
        <v>1</v>
      </c>
      <c r="D526" s="9" t="n">
        <f aca="false">(A526^2+4*C526)/5</f>
        <v>54916</v>
      </c>
      <c r="E526" s="9" t="n">
        <f aca="false">MOD(D526,10)</f>
        <v>6</v>
      </c>
      <c r="F526" s="9" t="n">
        <f aca="false">2*D526</f>
        <v>109832</v>
      </c>
      <c r="G526" s="9" t="n">
        <f aca="false">MOD(F526,10)</f>
        <v>2</v>
      </c>
      <c r="H526" s="9" t="n">
        <f aca="false">G526/2</f>
        <v>1</v>
      </c>
      <c r="I526" s="9" t="str">
        <f aca="false">IF(H526=0,"—",IF(H526=1,"unison (1:1)",IF(H526=2,"octave (2:1)",IF(H526=3,"fifth (3:2)",IF(H526=4,"fourth (4:3)","?")))))</f>
        <v>unison (1:1)</v>
      </c>
      <c r="J526" s="9" t="str">
        <f aca="false">IF(H526=0,"—",IF(H526=1,"ὁμώνυμον",IF(H526=2,"διὰ πασῶν",IF(H526=3,"διὰ πέντε",IF(H526=4,"διὰ τεσσάρων","?")))))</f>
        <v>ὁμώνυμον</v>
      </c>
      <c r="K526" s="10"/>
      <c r="L526" s="14"/>
      <c r="M526" s="13"/>
    </row>
    <row r="527" customFormat="false" ht="15.75" hidden="false" customHeight="true" outlineLevel="0" collapsed="false">
      <c r="A527" s="8" t="n">
        <f aca="false">A526+1</f>
        <v>525</v>
      </c>
      <c r="B527" s="9" t="n">
        <f aca="false">MOD(4*A527^2,10)</f>
        <v>0</v>
      </c>
      <c r="C527" s="9" t="n">
        <f aca="false">(26*B527-5*B527^2)/24</f>
        <v>0</v>
      </c>
      <c r="D527" s="9" t="n">
        <f aca="false">(A527^2+4*C527)/5</f>
        <v>55125</v>
      </c>
      <c r="E527" s="9" t="n">
        <f aca="false">MOD(D527,10)</f>
        <v>5</v>
      </c>
      <c r="F527" s="9" t="n">
        <f aca="false">2*D527</f>
        <v>110250</v>
      </c>
      <c r="G527" s="9" t="n">
        <f aca="false">MOD(F527,10)</f>
        <v>0</v>
      </c>
      <c r="H527" s="9" t="n">
        <f aca="false">G527/2</f>
        <v>0</v>
      </c>
      <c r="I527" s="9" t="str">
        <f aca="false">IF(H527=0,"—",IF(H527=1,"unison (1:1)",IF(H527=2,"octave (2:1)",IF(H527=3,"fifth (3:2)",IF(H527=4,"fourth (4:3)","?")))))</f>
        <v>—</v>
      </c>
      <c r="J527" s="9" t="str">
        <f aca="false">IF(H527=0,"—",IF(H527=1,"ὁμώνυμον",IF(H527=2,"διὰ πασῶν",IF(H527=3,"διὰ πέντε",IF(H527=4,"διὰ τεσσάρων","?")))))</f>
        <v>—</v>
      </c>
      <c r="K527" s="10"/>
      <c r="L527" s="14"/>
      <c r="M527" s="13"/>
    </row>
    <row r="528" customFormat="false" ht="15.75" hidden="false" customHeight="true" outlineLevel="0" collapsed="false">
      <c r="A528" s="8" t="n">
        <f aca="false">A527+1</f>
        <v>526</v>
      </c>
      <c r="B528" s="9" t="n">
        <f aca="false">MOD(4*A528^2,10)</f>
        <v>4</v>
      </c>
      <c r="C528" s="9" t="n">
        <f aca="false">(26*B528-5*B528^2)/24</f>
        <v>1</v>
      </c>
      <c r="D528" s="9" t="n">
        <f aca="false">(A528^2+4*C528)/5</f>
        <v>55336</v>
      </c>
      <c r="E528" s="9" t="n">
        <f aca="false">MOD(D528,10)</f>
        <v>6</v>
      </c>
      <c r="F528" s="9" t="n">
        <f aca="false">2*D528</f>
        <v>110672</v>
      </c>
      <c r="G528" s="9" t="n">
        <f aca="false">MOD(F528,10)</f>
        <v>2</v>
      </c>
      <c r="H528" s="9" t="n">
        <f aca="false">G528/2</f>
        <v>1</v>
      </c>
      <c r="I528" s="9" t="str">
        <f aca="false">IF(H528=0,"—",IF(H528=1,"unison (1:1)",IF(H528=2,"octave (2:1)",IF(H528=3,"fifth (3:2)",IF(H528=4,"fourth (4:3)","?")))))</f>
        <v>unison (1:1)</v>
      </c>
      <c r="J528" s="9" t="str">
        <f aca="false">IF(H528=0,"—",IF(H528=1,"ὁμώνυμον",IF(H528=2,"διὰ πασῶν",IF(H528=3,"διὰ πέντε",IF(H528=4,"διὰ τεσσάρων","?")))))</f>
        <v>ὁμώνυμον</v>
      </c>
      <c r="K528" s="10"/>
      <c r="L528" s="14"/>
      <c r="M528" s="13"/>
    </row>
    <row r="529" customFormat="false" ht="15.75" hidden="false" customHeight="true" outlineLevel="0" collapsed="false">
      <c r="A529" s="8" t="n">
        <f aca="false">A528+1</f>
        <v>527</v>
      </c>
      <c r="B529" s="9" t="n">
        <f aca="false">MOD(4*A529^2,10)</f>
        <v>6</v>
      </c>
      <c r="C529" s="9" t="n">
        <f aca="false">(26*B529-5*B529^2)/24</f>
        <v>-1</v>
      </c>
      <c r="D529" s="9" t="n">
        <f aca="false">(A529^2+4*C529)/5</f>
        <v>55545</v>
      </c>
      <c r="E529" s="9" t="n">
        <f aca="false">MOD(D529,10)</f>
        <v>5</v>
      </c>
      <c r="F529" s="9" t="n">
        <f aca="false">2*D529</f>
        <v>111090</v>
      </c>
      <c r="G529" s="9" t="n">
        <f aca="false">MOD(F529,10)</f>
        <v>0</v>
      </c>
      <c r="H529" s="9" t="n">
        <f aca="false">G529/2</f>
        <v>0</v>
      </c>
      <c r="I529" s="9" t="str">
        <f aca="false">IF(H529=0,"—",IF(H529=1,"unison (1:1)",IF(H529=2,"octave (2:1)",IF(H529=3,"fifth (3:2)",IF(H529=4,"fourth (4:3)","?")))))</f>
        <v>—</v>
      </c>
      <c r="J529" s="9" t="str">
        <f aca="false">IF(H529=0,"—",IF(H529=1,"ὁμώνυμον",IF(H529=2,"διὰ πασῶν",IF(H529=3,"διὰ πέντε",IF(H529=4,"διὰ τεσσάρων","?")))))</f>
        <v>—</v>
      </c>
      <c r="K529" s="10"/>
      <c r="L529" s="14"/>
      <c r="M529" s="13"/>
    </row>
    <row r="530" customFormat="false" ht="15.75" hidden="false" customHeight="true" outlineLevel="0" collapsed="false">
      <c r="A530" s="8" t="n">
        <f aca="false">A529+1</f>
        <v>528</v>
      </c>
      <c r="B530" s="9" t="n">
        <f aca="false">MOD(4*A530^2,10)</f>
        <v>6</v>
      </c>
      <c r="C530" s="9" t="n">
        <f aca="false">(26*B530-5*B530^2)/24</f>
        <v>-1</v>
      </c>
      <c r="D530" s="9" t="n">
        <f aca="false">(A530^2+4*C530)/5</f>
        <v>55756</v>
      </c>
      <c r="E530" s="9" t="n">
        <f aca="false">MOD(D530,10)</f>
        <v>6</v>
      </c>
      <c r="F530" s="9" t="n">
        <f aca="false">2*D530</f>
        <v>111512</v>
      </c>
      <c r="G530" s="9" t="n">
        <f aca="false">MOD(F530,10)</f>
        <v>2</v>
      </c>
      <c r="H530" s="9" t="n">
        <f aca="false">G530/2</f>
        <v>1</v>
      </c>
      <c r="I530" s="9" t="str">
        <f aca="false">IF(H530=0,"—",IF(H530=1,"unison (1:1)",IF(H530=2,"octave (2:1)",IF(H530=3,"fifth (3:2)",IF(H530=4,"fourth (4:3)","?")))))</f>
        <v>unison (1:1)</v>
      </c>
      <c r="J530" s="9" t="str">
        <f aca="false">IF(H530=0,"—",IF(H530=1,"ὁμώνυμον",IF(H530=2,"διὰ πασῶν",IF(H530=3,"διὰ πέντε",IF(H530=4,"διὰ τεσσάρων","?")))))</f>
        <v>ὁμώνυμον</v>
      </c>
      <c r="K530" s="10"/>
      <c r="L530" s="14"/>
      <c r="M530" s="13"/>
    </row>
    <row r="531" customFormat="false" ht="15.75" hidden="false" customHeight="true" outlineLevel="0" collapsed="false">
      <c r="A531" s="8" t="n">
        <f aca="false">A530+1</f>
        <v>529</v>
      </c>
      <c r="B531" s="9" t="n">
        <f aca="false">MOD(4*A531^2,10)</f>
        <v>4</v>
      </c>
      <c r="C531" s="9" t="n">
        <f aca="false">(26*B531-5*B531^2)/24</f>
        <v>1</v>
      </c>
      <c r="D531" s="9" t="n">
        <f aca="false">(A531^2+4*C531)/5</f>
        <v>55969</v>
      </c>
      <c r="E531" s="9" t="n">
        <f aca="false">MOD(D531,10)</f>
        <v>9</v>
      </c>
      <c r="F531" s="9" t="n">
        <f aca="false">2*D531</f>
        <v>111938</v>
      </c>
      <c r="G531" s="9" t="n">
        <f aca="false">MOD(F531,10)</f>
        <v>8</v>
      </c>
      <c r="H531" s="9" t="n">
        <f aca="false">G531/2</f>
        <v>4</v>
      </c>
      <c r="I531" s="9" t="str">
        <f aca="false">IF(H531=0,"—",IF(H531=1,"unison (1:1)",IF(H531=2,"octave (2:1)",IF(H531=3,"fifth (3:2)",IF(H531=4,"fourth (4:3)","?")))))</f>
        <v>fourth (4:3)</v>
      </c>
      <c r="J531" s="9" t="str">
        <f aca="false">IF(H531=0,"—",IF(H531=1,"ὁμώνυμον",IF(H531=2,"διὰ πασῶν",IF(H531=3,"διὰ πέντε",IF(H531=4,"διὰ τεσσάρων","?")))))</f>
        <v>διὰ τεσσάρων</v>
      </c>
      <c r="K531" s="10"/>
      <c r="L531" s="14"/>
      <c r="M531" s="13"/>
    </row>
    <row r="532" customFormat="false" ht="15.75" hidden="false" customHeight="true" outlineLevel="0" collapsed="false">
      <c r="A532" s="8" t="n">
        <f aca="false">A531+1</f>
        <v>530</v>
      </c>
      <c r="B532" s="9" t="n">
        <f aca="false">MOD(4*A532^2,10)</f>
        <v>0</v>
      </c>
      <c r="C532" s="9" t="n">
        <f aca="false">(26*B532-5*B532^2)/24</f>
        <v>0</v>
      </c>
      <c r="D532" s="9" t="n">
        <f aca="false">(A532^2+4*C532)/5</f>
        <v>56180</v>
      </c>
      <c r="E532" s="9" t="n">
        <f aca="false">MOD(D532,10)</f>
        <v>0</v>
      </c>
      <c r="F532" s="9" t="n">
        <f aca="false">2*D532</f>
        <v>112360</v>
      </c>
      <c r="G532" s="9" t="n">
        <f aca="false">MOD(F532,10)</f>
        <v>0</v>
      </c>
      <c r="H532" s="9" t="n">
        <f aca="false">G532/2</f>
        <v>0</v>
      </c>
      <c r="I532" s="9" t="str">
        <f aca="false">IF(H532=0,"—",IF(H532=1,"unison (1:1)",IF(H532=2,"octave (2:1)",IF(H532=3,"fifth (3:2)",IF(H532=4,"fourth (4:3)","?")))))</f>
        <v>—</v>
      </c>
      <c r="J532" s="9" t="str">
        <f aca="false">IF(H532=0,"—",IF(H532=1,"ὁμώνυμον",IF(H532=2,"διὰ πασῶν",IF(H532=3,"διὰ πέντε",IF(H532=4,"διὰ τεσσάρων","?")))))</f>
        <v>—</v>
      </c>
      <c r="K532" s="10"/>
      <c r="L532" s="14"/>
      <c r="M532" s="13"/>
    </row>
    <row r="533" customFormat="false" ht="15.75" hidden="false" customHeight="true" outlineLevel="0" collapsed="false">
      <c r="A533" s="8" t="n">
        <f aca="false">A532+1</f>
        <v>531</v>
      </c>
      <c r="B533" s="9" t="n">
        <f aca="false">MOD(4*A533^2,10)</f>
        <v>4</v>
      </c>
      <c r="C533" s="9" t="n">
        <f aca="false">(26*B533-5*B533^2)/24</f>
        <v>1</v>
      </c>
      <c r="D533" s="9" t="n">
        <f aca="false">(A533^2+4*C533)/5</f>
        <v>56393</v>
      </c>
      <c r="E533" s="9" t="n">
        <f aca="false">MOD(D533,10)</f>
        <v>3</v>
      </c>
      <c r="F533" s="9" t="n">
        <f aca="false">2*D533</f>
        <v>112786</v>
      </c>
      <c r="G533" s="9" t="n">
        <f aca="false">MOD(F533,10)</f>
        <v>6</v>
      </c>
      <c r="H533" s="9" t="n">
        <f aca="false">G533/2</f>
        <v>3</v>
      </c>
      <c r="I533" s="9" t="str">
        <f aca="false">IF(H533=0,"—",IF(H533=1,"unison (1:1)",IF(H533=2,"octave (2:1)",IF(H533=3,"fifth (3:2)",IF(H533=4,"fourth (4:3)","?")))))</f>
        <v>fifth (3:2)</v>
      </c>
      <c r="J533" s="9" t="str">
        <f aca="false">IF(H533=0,"—",IF(H533=1,"ὁμώνυμον",IF(H533=2,"διὰ πασῶν",IF(H533=3,"διὰ πέντε",IF(H533=4,"διὰ τεσσάρων","?")))))</f>
        <v>διὰ πέντε</v>
      </c>
      <c r="K533" s="10"/>
      <c r="L533" s="14"/>
      <c r="M533" s="13"/>
    </row>
    <row r="534" customFormat="false" ht="15.75" hidden="false" customHeight="true" outlineLevel="0" collapsed="false">
      <c r="A534" s="8" t="n">
        <f aca="false">A533+1</f>
        <v>532</v>
      </c>
      <c r="B534" s="9" t="n">
        <f aca="false">MOD(4*A534^2,10)</f>
        <v>6</v>
      </c>
      <c r="C534" s="9" t="n">
        <f aca="false">(26*B534-5*B534^2)/24</f>
        <v>-1</v>
      </c>
      <c r="D534" s="9" t="n">
        <f aca="false">(A534^2+4*C534)/5</f>
        <v>56604</v>
      </c>
      <c r="E534" s="9" t="n">
        <f aca="false">MOD(D534,10)</f>
        <v>4</v>
      </c>
      <c r="F534" s="9" t="n">
        <f aca="false">2*D534</f>
        <v>113208</v>
      </c>
      <c r="G534" s="9" t="n">
        <f aca="false">MOD(F534,10)</f>
        <v>8</v>
      </c>
      <c r="H534" s="9" t="n">
        <f aca="false">G534/2</f>
        <v>4</v>
      </c>
      <c r="I534" s="9" t="str">
        <f aca="false">IF(H534=0,"—",IF(H534=1,"unison (1:1)",IF(H534=2,"octave (2:1)",IF(H534=3,"fifth (3:2)",IF(H534=4,"fourth (4:3)","?")))))</f>
        <v>fourth (4:3)</v>
      </c>
      <c r="J534" s="9" t="str">
        <f aca="false">IF(H534=0,"—",IF(H534=1,"ὁμώνυμον",IF(H534=2,"διὰ πασῶν",IF(H534=3,"διὰ πέντε",IF(H534=4,"διὰ τεσσάρων","?")))))</f>
        <v>διὰ τεσσάρων</v>
      </c>
      <c r="K534" s="10"/>
      <c r="L534" s="14"/>
      <c r="M534" s="13"/>
    </row>
    <row r="535" customFormat="false" ht="15.75" hidden="false" customHeight="true" outlineLevel="0" collapsed="false">
      <c r="A535" s="8" t="n">
        <f aca="false">A534+1</f>
        <v>533</v>
      </c>
      <c r="B535" s="9" t="n">
        <f aca="false">MOD(4*A535^2,10)</f>
        <v>6</v>
      </c>
      <c r="C535" s="9" t="n">
        <f aca="false">(26*B535-5*B535^2)/24</f>
        <v>-1</v>
      </c>
      <c r="D535" s="9" t="n">
        <f aca="false">(A535^2+4*C535)/5</f>
        <v>56817</v>
      </c>
      <c r="E535" s="9" t="n">
        <f aca="false">MOD(D535,10)</f>
        <v>7</v>
      </c>
      <c r="F535" s="9" t="n">
        <f aca="false">2*D535</f>
        <v>113634</v>
      </c>
      <c r="G535" s="9" t="n">
        <f aca="false">MOD(F535,10)</f>
        <v>4</v>
      </c>
      <c r="H535" s="9" t="n">
        <f aca="false">G535/2</f>
        <v>2</v>
      </c>
      <c r="I535" s="9" t="str">
        <f aca="false">IF(H535=0,"—",IF(H535=1,"unison (1:1)",IF(H535=2,"octave (2:1)",IF(H535=3,"fifth (3:2)",IF(H535=4,"fourth (4:3)","?")))))</f>
        <v>octave (2:1)</v>
      </c>
      <c r="J535" s="9" t="str">
        <f aca="false">IF(H535=0,"—",IF(H535=1,"ὁμώνυμον",IF(H535=2,"διὰ πασῶν",IF(H535=3,"διὰ πέντε",IF(H535=4,"διὰ τεσσάρων","?")))))</f>
        <v>διὰ πασῶν</v>
      </c>
      <c r="K535" s="10"/>
      <c r="L535" s="14"/>
      <c r="M535" s="13"/>
    </row>
    <row r="536" customFormat="false" ht="15.75" hidden="false" customHeight="true" outlineLevel="0" collapsed="false">
      <c r="A536" s="8" t="n">
        <f aca="false">A535+1</f>
        <v>534</v>
      </c>
      <c r="B536" s="9" t="n">
        <f aca="false">MOD(4*A536^2,10)</f>
        <v>4</v>
      </c>
      <c r="C536" s="9" t="n">
        <f aca="false">(26*B536-5*B536^2)/24</f>
        <v>1</v>
      </c>
      <c r="D536" s="9" t="n">
        <f aca="false">(A536^2+4*C536)/5</f>
        <v>57032</v>
      </c>
      <c r="E536" s="9" t="n">
        <f aca="false">MOD(D536,10)</f>
        <v>2</v>
      </c>
      <c r="F536" s="9" t="n">
        <f aca="false">2*D536</f>
        <v>114064</v>
      </c>
      <c r="G536" s="9" t="n">
        <f aca="false">MOD(F536,10)</f>
        <v>4</v>
      </c>
      <c r="H536" s="9" t="n">
        <f aca="false">G536/2</f>
        <v>2</v>
      </c>
      <c r="I536" s="9" t="str">
        <f aca="false">IF(H536=0,"—",IF(H536=1,"unison (1:1)",IF(H536=2,"octave (2:1)",IF(H536=3,"fifth (3:2)",IF(H536=4,"fourth (4:3)","?")))))</f>
        <v>octave (2:1)</v>
      </c>
      <c r="J536" s="9" t="str">
        <f aca="false">IF(H536=0,"—",IF(H536=1,"ὁμώνυμον",IF(H536=2,"διὰ πασῶν",IF(H536=3,"διὰ πέντε",IF(H536=4,"διὰ τεσσάρων","?")))))</f>
        <v>διὰ πασῶν</v>
      </c>
      <c r="K536" s="10"/>
      <c r="L536" s="14"/>
      <c r="M536" s="13"/>
    </row>
    <row r="537" customFormat="false" ht="15.75" hidden="false" customHeight="true" outlineLevel="0" collapsed="false">
      <c r="A537" s="8" t="n">
        <f aca="false">A536+1</f>
        <v>535</v>
      </c>
      <c r="B537" s="9" t="n">
        <f aca="false">MOD(4*A537^2,10)</f>
        <v>0</v>
      </c>
      <c r="C537" s="9" t="n">
        <f aca="false">(26*B537-5*B537^2)/24</f>
        <v>0</v>
      </c>
      <c r="D537" s="9" t="n">
        <f aca="false">(A537^2+4*C537)/5</f>
        <v>57245</v>
      </c>
      <c r="E537" s="9" t="n">
        <f aca="false">MOD(D537,10)</f>
        <v>5</v>
      </c>
      <c r="F537" s="9" t="n">
        <f aca="false">2*D537</f>
        <v>114490</v>
      </c>
      <c r="G537" s="9" t="n">
        <f aca="false">MOD(F537,10)</f>
        <v>0</v>
      </c>
      <c r="H537" s="9" t="n">
        <f aca="false">G537/2</f>
        <v>0</v>
      </c>
      <c r="I537" s="9" t="str">
        <f aca="false">IF(H537=0,"—",IF(H537=1,"unison (1:1)",IF(H537=2,"octave (2:1)",IF(H537=3,"fifth (3:2)",IF(H537=4,"fourth (4:3)","?")))))</f>
        <v>—</v>
      </c>
      <c r="J537" s="9" t="str">
        <f aca="false">IF(H537=0,"—",IF(H537=1,"ὁμώνυμον",IF(H537=2,"διὰ πασῶν",IF(H537=3,"διὰ πέντε",IF(H537=4,"διὰ τεσσάρων","?")))))</f>
        <v>—</v>
      </c>
      <c r="K537" s="10"/>
      <c r="L537" s="14"/>
      <c r="M537" s="13"/>
    </row>
    <row r="538" customFormat="false" ht="15.75" hidden="false" customHeight="true" outlineLevel="0" collapsed="false">
      <c r="A538" s="8" t="n">
        <f aca="false">A537+1</f>
        <v>536</v>
      </c>
      <c r="B538" s="9" t="n">
        <f aca="false">MOD(4*A538^2,10)</f>
        <v>4</v>
      </c>
      <c r="C538" s="9" t="n">
        <f aca="false">(26*B538-5*B538^2)/24</f>
        <v>1</v>
      </c>
      <c r="D538" s="9" t="n">
        <f aca="false">(A538^2+4*C538)/5</f>
        <v>57460</v>
      </c>
      <c r="E538" s="9" t="n">
        <f aca="false">MOD(D538,10)</f>
        <v>0</v>
      </c>
      <c r="F538" s="9" t="n">
        <f aca="false">2*D538</f>
        <v>114920</v>
      </c>
      <c r="G538" s="9" t="n">
        <f aca="false">MOD(F538,10)</f>
        <v>0</v>
      </c>
      <c r="H538" s="9" t="n">
        <f aca="false">G538/2</f>
        <v>0</v>
      </c>
      <c r="I538" s="9" t="str">
        <f aca="false">IF(H538=0,"—",IF(H538=1,"unison (1:1)",IF(H538=2,"octave (2:1)",IF(H538=3,"fifth (3:2)",IF(H538=4,"fourth (4:3)","?")))))</f>
        <v>—</v>
      </c>
      <c r="J538" s="9" t="str">
        <f aca="false">IF(H538=0,"—",IF(H538=1,"ὁμώνυμον",IF(H538=2,"διὰ πασῶν",IF(H538=3,"διὰ πέντε",IF(H538=4,"διὰ τεσσάρων","?")))))</f>
        <v>—</v>
      </c>
      <c r="K538" s="10"/>
      <c r="L538" s="14"/>
      <c r="M538" s="13"/>
    </row>
    <row r="539" customFormat="false" ht="15.75" hidden="false" customHeight="true" outlineLevel="0" collapsed="false">
      <c r="A539" s="8" t="n">
        <f aca="false">A538+1</f>
        <v>537</v>
      </c>
      <c r="B539" s="9" t="n">
        <f aca="false">MOD(4*A539^2,10)</f>
        <v>6</v>
      </c>
      <c r="C539" s="9" t="n">
        <f aca="false">(26*B539-5*B539^2)/24</f>
        <v>-1</v>
      </c>
      <c r="D539" s="9" t="n">
        <f aca="false">(A539^2+4*C539)/5</f>
        <v>57673</v>
      </c>
      <c r="E539" s="9" t="n">
        <f aca="false">MOD(D539,10)</f>
        <v>3</v>
      </c>
      <c r="F539" s="9" t="n">
        <f aca="false">2*D539</f>
        <v>115346</v>
      </c>
      <c r="G539" s="9" t="n">
        <f aca="false">MOD(F539,10)</f>
        <v>6</v>
      </c>
      <c r="H539" s="9" t="n">
        <f aca="false">G539/2</f>
        <v>3</v>
      </c>
      <c r="I539" s="9" t="str">
        <f aca="false">IF(H539=0,"—",IF(H539=1,"unison (1:1)",IF(H539=2,"octave (2:1)",IF(H539=3,"fifth (3:2)",IF(H539=4,"fourth (4:3)","?")))))</f>
        <v>fifth (3:2)</v>
      </c>
      <c r="J539" s="9" t="str">
        <f aca="false">IF(H539=0,"—",IF(H539=1,"ὁμώνυμον",IF(H539=2,"διὰ πασῶν",IF(H539=3,"διὰ πέντε",IF(H539=4,"διὰ τεσσάρων","?")))))</f>
        <v>διὰ πέντε</v>
      </c>
      <c r="K539" s="10"/>
      <c r="L539" s="14"/>
      <c r="M539" s="13"/>
    </row>
    <row r="540" customFormat="false" ht="15.75" hidden="false" customHeight="true" outlineLevel="0" collapsed="false">
      <c r="A540" s="8" t="n">
        <f aca="false">A539+1</f>
        <v>538</v>
      </c>
      <c r="B540" s="9" t="n">
        <f aca="false">MOD(4*A540^2,10)</f>
        <v>6</v>
      </c>
      <c r="C540" s="9" t="n">
        <f aca="false">(26*B540-5*B540^2)/24</f>
        <v>-1</v>
      </c>
      <c r="D540" s="9" t="n">
        <f aca="false">(A540^2+4*C540)/5</f>
        <v>57888</v>
      </c>
      <c r="E540" s="9" t="n">
        <f aca="false">MOD(D540,10)</f>
        <v>8</v>
      </c>
      <c r="F540" s="9" t="n">
        <f aca="false">2*D540</f>
        <v>115776</v>
      </c>
      <c r="G540" s="9" t="n">
        <f aca="false">MOD(F540,10)</f>
        <v>6</v>
      </c>
      <c r="H540" s="9" t="n">
        <f aca="false">G540/2</f>
        <v>3</v>
      </c>
      <c r="I540" s="9" t="str">
        <f aca="false">IF(H540=0,"—",IF(H540=1,"unison (1:1)",IF(H540=2,"octave (2:1)",IF(H540=3,"fifth (3:2)",IF(H540=4,"fourth (4:3)","?")))))</f>
        <v>fifth (3:2)</v>
      </c>
      <c r="J540" s="9" t="str">
        <f aca="false">IF(H540=0,"—",IF(H540=1,"ὁμώνυμον",IF(H540=2,"διὰ πασῶν",IF(H540=3,"διὰ πέντε",IF(H540=4,"διὰ τεσσάρων","?")))))</f>
        <v>διὰ πέντε</v>
      </c>
      <c r="K540" s="10"/>
      <c r="L540" s="14"/>
      <c r="M540" s="13"/>
    </row>
    <row r="541" customFormat="false" ht="15.75" hidden="false" customHeight="true" outlineLevel="0" collapsed="false">
      <c r="A541" s="8" t="n">
        <f aca="false">A540+1</f>
        <v>539</v>
      </c>
      <c r="B541" s="9" t="n">
        <f aca="false">MOD(4*A541^2,10)</f>
        <v>4</v>
      </c>
      <c r="C541" s="9" t="n">
        <f aca="false">(26*B541-5*B541^2)/24</f>
        <v>1</v>
      </c>
      <c r="D541" s="9" t="n">
        <f aca="false">(A541^2+4*C541)/5</f>
        <v>58105</v>
      </c>
      <c r="E541" s="9" t="n">
        <f aca="false">MOD(D541,10)</f>
        <v>5</v>
      </c>
      <c r="F541" s="9" t="n">
        <f aca="false">2*D541</f>
        <v>116210</v>
      </c>
      <c r="G541" s="9" t="n">
        <f aca="false">MOD(F541,10)</f>
        <v>0</v>
      </c>
      <c r="H541" s="9" t="n">
        <f aca="false">G541/2</f>
        <v>0</v>
      </c>
      <c r="I541" s="9" t="str">
        <f aca="false">IF(H541=0,"—",IF(H541=1,"unison (1:1)",IF(H541=2,"octave (2:1)",IF(H541=3,"fifth (3:2)",IF(H541=4,"fourth (4:3)","?")))))</f>
        <v>—</v>
      </c>
      <c r="J541" s="9" t="str">
        <f aca="false">IF(H541=0,"—",IF(H541=1,"ὁμώνυμον",IF(H541=2,"διὰ πασῶν",IF(H541=3,"διὰ πέντε",IF(H541=4,"διὰ τεσσάρων","?")))))</f>
        <v>—</v>
      </c>
      <c r="K541" s="10"/>
      <c r="L541" s="14"/>
      <c r="M541" s="13"/>
    </row>
    <row r="542" customFormat="false" ht="15.75" hidden="false" customHeight="true" outlineLevel="0" collapsed="false">
      <c r="A542" s="8" t="n">
        <f aca="false">A541+1</f>
        <v>540</v>
      </c>
      <c r="B542" s="9" t="n">
        <f aca="false">MOD(4*A542^2,10)</f>
        <v>0</v>
      </c>
      <c r="C542" s="9" t="n">
        <f aca="false">(26*B542-5*B542^2)/24</f>
        <v>0</v>
      </c>
      <c r="D542" s="9" t="n">
        <f aca="false">(A542^2+4*C542)/5</f>
        <v>58320</v>
      </c>
      <c r="E542" s="9" t="n">
        <f aca="false">MOD(D542,10)</f>
        <v>0</v>
      </c>
      <c r="F542" s="9" t="n">
        <f aca="false">2*D542</f>
        <v>116640</v>
      </c>
      <c r="G542" s="9" t="n">
        <f aca="false">MOD(F542,10)</f>
        <v>0</v>
      </c>
      <c r="H542" s="9" t="n">
        <f aca="false">G542/2</f>
        <v>0</v>
      </c>
      <c r="I542" s="9" t="str">
        <f aca="false">IF(H542=0,"—",IF(H542=1,"unison (1:1)",IF(H542=2,"octave (2:1)",IF(H542=3,"fifth (3:2)",IF(H542=4,"fourth (4:3)","?")))))</f>
        <v>—</v>
      </c>
      <c r="J542" s="9" t="str">
        <f aca="false">IF(H542=0,"—",IF(H542=1,"ὁμώνυμον",IF(H542=2,"διὰ πασῶν",IF(H542=3,"διὰ πέντε",IF(H542=4,"διὰ τεσσάρων","?")))))</f>
        <v>—</v>
      </c>
      <c r="K542" s="10"/>
      <c r="L542" s="14"/>
      <c r="M542" s="13"/>
    </row>
    <row r="543" customFormat="false" ht="15.75" hidden="false" customHeight="true" outlineLevel="0" collapsed="false">
      <c r="A543" s="8" t="n">
        <f aca="false">A542+1</f>
        <v>541</v>
      </c>
      <c r="B543" s="9" t="n">
        <f aca="false">MOD(4*A543^2,10)</f>
        <v>4</v>
      </c>
      <c r="C543" s="9" t="n">
        <f aca="false">(26*B543-5*B543^2)/24</f>
        <v>1</v>
      </c>
      <c r="D543" s="9" t="n">
        <f aca="false">(A543^2+4*C543)/5</f>
        <v>58537</v>
      </c>
      <c r="E543" s="9" t="n">
        <f aca="false">MOD(D543,10)</f>
        <v>7</v>
      </c>
      <c r="F543" s="9" t="n">
        <f aca="false">2*D543</f>
        <v>117074</v>
      </c>
      <c r="G543" s="9" t="n">
        <f aca="false">MOD(F543,10)</f>
        <v>4</v>
      </c>
      <c r="H543" s="9" t="n">
        <f aca="false">G543/2</f>
        <v>2</v>
      </c>
      <c r="I543" s="9" t="str">
        <f aca="false">IF(H543=0,"—",IF(H543=1,"unison (1:1)",IF(H543=2,"octave (2:1)",IF(H543=3,"fifth (3:2)",IF(H543=4,"fourth (4:3)","?")))))</f>
        <v>octave (2:1)</v>
      </c>
      <c r="J543" s="9" t="str">
        <f aca="false">IF(H543=0,"—",IF(H543=1,"ὁμώνυμον",IF(H543=2,"διὰ πασῶν",IF(H543=3,"διὰ πέντε",IF(H543=4,"διὰ τεσσάρων","?")))))</f>
        <v>διὰ πασῶν</v>
      </c>
      <c r="K543" s="10"/>
      <c r="L543" s="14"/>
      <c r="M543" s="13"/>
    </row>
    <row r="544" customFormat="false" ht="15.75" hidden="false" customHeight="true" outlineLevel="0" collapsed="false">
      <c r="A544" s="8" t="n">
        <f aca="false">A543+1</f>
        <v>542</v>
      </c>
      <c r="B544" s="9" t="n">
        <f aca="false">MOD(4*A544^2,10)</f>
        <v>6</v>
      </c>
      <c r="C544" s="9" t="n">
        <f aca="false">(26*B544-5*B544^2)/24</f>
        <v>-1</v>
      </c>
      <c r="D544" s="9" t="n">
        <f aca="false">(A544^2+4*C544)/5</f>
        <v>58752</v>
      </c>
      <c r="E544" s="9" t="n">
        <f aca="false">MOD(D544,10)</f>
        <v>2</v>
      </c>
      <c r="F544" s="9" t="n">
        <f aca="false">2*D544</f>
        <v>117504</v>
      </c>
      <c r="G544" s="9" t="n">
        <f aca="false">MOD(F544,10)</f>
        <v>4</v>
      </c>
      <c r="H544" s="9" t="n">
        <f aca="false">G544/2</f>
        <v>2</v>
      </c>
      <c r="I544" s="9" t="str">
        <f aca="false">IF(H544=0,"—",IF(H544=1,"unison (1:1)",IF(H544=2,"octave (2:1)",IF(H544=3,"fifth (3:2)",IF(H544=4,"fourth (4:3)","?")))))</f>
        <v>octave (2:1)</v>
      </c>
      <c r="J544" s="9" t="str">
        <f aca="false">IF(H544=0,"—",IF(H544=1,"ὁμώνυμον",IF(H544=2,"διὰ πασῶν",IF(H544=3,"διὰ πέντε",IF(H544=4,"διὰ τεσσάρων","?")))))</f>
        <v>διὰ πασῶν</v>
      </c>
      <c r="K544" s="10"/>
      <c r="L544" s="14"/>
      <c r="M544" s="13"/>
    </row>
    <row r="545" customFormat="false" ht="15.75" hidden="false" customHeight="true" outlineLevel="0" collapsed="false">
      <c r="A545" s="8" t="n">
        <f aca="false">A544+1</f>
        <v>543</v>
      </c>
      <c r="B545" s="9" t="n">
        <f aca="false">MOD(4*A545^2,10)</f>
        <v>6</v>
      </c>
      <c r="C545" s="9" t="n">
        <f aca="false">(26*B545-5*B545^2)/24</f>
        <v>-1</v>
      </c>
      <c r="D545" s="9" t="n">
        <f aca="false">(A545^2+4*C545)/5</f>
        <v>58969</v>
      </c>
      <c r="E545" s="9" t="n">
        <f aca="false">MOD(D545,10)</f>
        <v>9</v>
      </c>
      <c r="F545" s="9" t="n">
        <f aca="false">2*D545</f>
        <v>117938</v>
      </c>
      <c r="G545" s="9" t="n">
        <f aca="false">MOD(F545,10)</f>
        <v>8</v>
      </c>
      <c r="H545" s="9" t="n">
        <f aca="false">G545/2</f>
        <v>4</v>
      </c>
      <c r="I545" s="9" t="str">
        <f aca="false">IF(H545=0,"—",IF(H545=1,"unison (1:1)",IF(H545=2,"octave (2:1)",IF(H545=3,"fifth (3:2)",IF(H545=4,"fourth (4:3)","?")))))</f>
        <v>fourth (4:3)</v>
      </c>
      <c r="J545" s="9" t="str">
        <f aca="false">IF(H545=0,"—",IF(H545=1,"ὁμώνυμον",IF(H545=2,"διὰ πασῶν",IF(H545=3,"διὰ πέντε",IF(H545=4,"διὰ τεσσάρων","?")))))</f>
        <v>διὰ τεσσάρων</v>
      </c>
      <c r="K545" s="10"/>
      <c r="L545" s="14"/>
      <c r="M545" s="13"/>
    </row>
    <row r="546" customFormat="false" ht="15.75" hidden="false" customHeight="true" outlineLevel="0" collapsed="false">
      <c r="A546" s="8" t="n">
        <f aca="false">A545+1</f>
        <v>544</v>
      </c>
      <c r="B546" s="9" t="n">
        <f aca="false">MOD(4*A546^2,10)</f>
        <v>4</v>
      </c>
      <c r="C546" s="9" t="n">
        <f aca="false">(26*B546-5*B546^2)/24</f>
        <v>1</v>
      </c>
      <c r="D546" s="9" t="n">
        <f aca="false">(A546^2+4*C546)/5</f>
        <v>59188</v>
      </c>
      <c r="E546" s="9" t="n">
        <f aca="false">MOD(D546,10)</f>
        <v>8</v>
      </c>
      <c r="F546" s="9" t="n">
        <f aca="false">2*D546</f>
        <v>118376</v>
      </c>
      <c r="G546" s="9" t="n">
        <f aca="false">MOD(F546,10)</f>
        <v>6</v>
      </c>
      <c r="H546" s="9" t="n">
        <f aca="false">G546/2</f>
        <v>3</v>
      </c>
      <c r="I546" s="9" t="str">
        <f aca="false">IF(H546=0,"—",IF(H546=1,"unison (1:1)",IF(H546=2,"octave (2:1)",IF(H546=3,"fifth (3:2)",IF(H546=4,"fourth (4:3)","?")))))</f>
        <v>fifth (3:2)</v>
      </c>
      <c r="J546" s="9" t="str">
        <f aca="false">IF(H546=0,"—",IF(H546=1,"ὁμώνυμον",IF(H546=2,"διὰ πασῶν",IF(H546=3,"διὰ πέντε",IF(H546=4,"διὰ τεσσάρων","?")))))</f>
        <v>διὰ πέντε</v>
      </c>
      <c r="K546" s="10"/>
      <c r="L546" s="14"/>
      <c r="M546" s="13"/>
    </row>
    <row r="547" customFormat="false" ht="15.75" hidden="false" customHeight="true" outlineLevel="0" collapsed="false">
      <c r="A547" s="8" t="n">
        <f aca="false">A546+1</f>
        <v>545</v>
      </c>
      <c r="B547" s="9" t="n">
        <f aca="false">MOD(4*A547^2,10)</f>
        <v>0</v>
      </c>
      <c r="C547" s="9" t="n">
        <f aca="false">(26*B547-5*B547^2)/24</f>
        <v>0</v>
      </c>
      <c r="D547" s="9" t="n">
        <f aca="false">(A547^2+4*C547)/5</f>
        <v>59405</v>
      </c>
      <c r="E547" s="9" t="n">
        <f aca="false">MOD(D547,10)</f>
        <v>5</v>
      </c>
      <c r="F547" s="9" t="n">
        <f aca="false">2*D547</f>
        <v>118810</v>
      </c>
      <c r="G547" s="9" t="n">
        <f aca="false">MOD(F547,10)</f>
        <v>0</v>
      </c>
      <c r="H547" s="9" t="n">
        <f aca="false">G547/2</f>
        <v>0</v>
      </c>
      <c r="I547" s="9" t="str">
        <f aca="false">IF(H547=0,"—",IF(H547=1,"unison (1:1)",IF(H547=2,"octave (2:1)",IF(H547=3,"fifth (3:2)",IF(H547=4,"fourth (4:3)","?")))))</f>
        <v>—</v>
      </c>
      <c r="J547" s="9" t="str">
        <f aca="false">IF(H547=0,"—",IF(H547=1,"ὁμώνυμον",IF(H547=2,"διὰ πασῶν",IF(H547=3,"διὰ πέντε",IF(H547=4,"διὰ τεσσάρων","?")))))</f>
        <v>—</v>
      </c>
      <c r="K547" s="10"/>
      <c r="L547" s="14"/>
      <c r="M547" s="13"/>
    </row>
    <row r="548" customFormat="false" ht="15.75" hidden="false" customHeight="true" outlineLevel="0" collapsed="false">
      <c r="A548" s="8" t="n">
        <f aca="false">A547+1</f>
        <v>546</v>
      </c>
      <c r="B548" s="9" t="n">
        <f aca="false">MOD(4*A548^2,10)</f>
        <v>4</v>
      </c>
      <c r="C548" s="9" t="n">
        <f aca="false">(26*B548-5*B548^2)/24</f>
        <v>1</v>
      </c>
      <c r="D548" s="9" t="n">
        <f aca="false">(A548^2+4*C548)/5</f>
        <v>59624</v>
      </c>
      <c r="E548" s="9" t="n">
        <f aca="false">MOD(D548,10)</f>
        <v>4</v>
      </c>
      <c r="F548" s="9" t="n">
        <f aca="false">2*D548</f>
        <v>119248</v>
      </c>
      <c r="G548" s="9" t="n">
        <f aca="false">MOD(F548,10)</f>
        <v>8</v>
      </c>
      <c r="H548" s="9" t="n">
        <f aca="false">G548/2</f>
        <v>4</v>
      </c>
      <c r="I548" s="9" t="str">
        <f aca="false">IF(H548=0,"—",IF(H548=1,"unison (1:1)",IF(H548=2,"octave (2:1)",IF(H548=3,"fifth (3:2)",IF(H548=4,"fourth (4:3)","?")))))</f>
        <v>fourth (4:3)</v>
      </c>
      <c r="J548" s="9" t="str">
        <f aca="false">IF(H548=0,"—",IF(H548=1,"ὁμώνυμον",IF(H548=2,"διὰ πασῶν",IF(H548=3,"διὰ πέντε",IF(H548=4,"διὰ τεσσάρων","?")))))</f>
        <v>διὰ τεσσάρων</v>
      </c>
      <c r="K548" s="10"/>
      <c r="L548" s="14"/>
      <c r="M548" s="13"/>
    </row>
    <row r="549" customFormat="false" ht="15.75" hidden="false" customHeight="true" outlineLevel="0" collapsed="false">
      <c r="A549" s="8" t="n">
        <f aca="false">A548+1</f>
        <v>547</v>
      </c>
      <c r="B549" s="9" t="n">
        <f aca="false">MOD(4*A549^2,10)</f>
        <v>6</v>
      </c>
      <c r="C549" s="9" t="n">
        <f aca="false">(26*B549-5*B549^2)/24</f>
        <v>-1</v>
      </c>
      <c r="D549" s="9" t="n">
        <f aca="false">(A549^2+4*C549)/5</f>
        <v>59841</v>
      </c>
      <c r="E549" s="9" t="n">
        <f aca="false">MOD(D549,10)</f>
        <v>1</v>
      </c>
      <c r="F549" s="9" t="n">
        <f aca="false">2*D549</f>
        <v>119682</v>
      </c>
      <c r="G549" s="9" t="n">
        <f aca="false">MOD(F549,10)</f>
        <v>2</v>
      </c>
      <c r="H549" s="9" t="n">
        <f aca="false">G549/2</f>
        <v>1</v>
      </c>
      <c r="I549" s="9" t="str">
        <f aca="false">IF(H549=0,"—",IF(H549=1,"unison (1:1)",IF(H549=2,"octave (2:1)",IF(H549=3,"fifth (3:2)",IF(H549=4,"fourth (4:3)","?")))))</f>
        <v>unison (1:1)</v>
      </c>
      <c r="J549" s="9" t="str">
        <f aca="false">IF(H549=0,"—",IF(H549=1,"ὁμώνυμον",IF(H549=2,"διὰ πασῶν",IF(H549=3,"διὰ πέντε",IF(H549=4,"διὰ τεσσάρων","?")))))</f>
        <v>ὁμώνυμον</v>
      </c>
      <c r="K549" s="10"/>
      <c r="L549" s="14"/>
      <c r="M549" s="13"/>
    </row>
    <row r="550" customFormat="false" ht="15.75" hidden="false" customHeight="true" outlineLevel="0" collapsed="false">
      <c r="A550" s="8" t="n">
        <f aca="false">A549+1</f>
        <v>548</v>
      </c>
      <c r="B550" s="9" t="n">
        <f aca="false">MOD(4*A550^2,10)</f>
        <v>6</v>
      </c>
      <c r="C550" s="9" t="n">
        <f aca="false">(26*B550-5*B550^2)/24</f>
        <v>-1</v>
      </c>
      <c r="D550" s="9" t="n">
        <f aca="false">(A550^2+4*C550)/5</f>
        <v>60060</v>
      </c>
      <c r="E550" s="9" t="n">
        <f aca="false">MOD(D550,10)</f>
        <v>0</v>
      </c>
      <c r="F550" s="9" t="n">
        <f aca="false">2*D550</f>
        <v>120120</v>
      </c>
      <c r="G550" s="9" t="n">
        <f aca="false">MOD(F550,10)</f>
        <v>0</v>
      </c>
      <c r="H550" s="9" t="n">
        <f aca="false">G550/2</f>
        <v>0</v>
      </c>
      <c r="I550" s="9" t="str">
        <f aca="false">IF(H550=0,"—",IF(H550=1,"unison (1:1)",IF(H550=2,"octave (2:1)",IF(H550=3,"fifth (3:2)",IF(H550=4,"fourth (4:3)","?")))))</f>
        <v>—</v>
      </c>
      <c r="J550" s="9" t="str">
        <f aca="false">IF(H550=0,"—",IF(H550=1,"ὁμώνυμον",IF(H550=2,"διὰ πασῶν",IF(H550=3,"διὰ πέντε",IF(H550=4,"διὰ τεσσάρων","?")))))</f>
        <v>—</v>
      </c>
      <c r="K550" s="10"/>
      <c r="L550" s="14"/>
      <c r="M550" s="13"/>
    </row>
    <row r="551" customFormat="false" ht="15.75" hidden="false" customHeight="true" outlineLevel="0" collapsed="false">
      <c r="A551" s="8" t="n">
        <f aca="false">A550+1</f>
        <v>549</v>
      </c>
      <c r="B551" s="9" t="n">
        <f aca="false">MOD(4*A551^2,10)</f>
        <v>4</v>
      </c>
      <c r="C551" s="9" t="n">
        <f aca="false">(26*B551-5*B551^2)/24</f>
        <v>1</v>
      </c>
      <c r="D551" s="9" t="n">
        <f aca="false">(A551^2+4*C551)/5</f>
        <v>60281</v>
      </c>
      <c r="E551" s="9" t="n">
        <f aca="false">MOD(D551,10)</f>
        <v>1</v>
      </c>
      <c r="F551" s="9" t="n">
        <f aca="false">2*D551</f>
        <v>120562</v>
      </c>
      <c r="G551" s="9" t="n">
        <f aca="false">MOD(F551,10)</f>
        <v>2</v>
      </c>
      <c r="H551" s="9" t="n">
        <f aca="false">G551/2</f>
        <v>1</v>
      </c>
      <c r="I551" s="9" t="str">
        <f aca="false">IF(H551=0,"—",IF(H551=1,"unison (1:1)",IF(H551=2,"octave (2:1)",IF(H551=3,"fifth (3:2)",IF(H551=4,"fourth (4:3)","?")))))</f>
        <v>unison (1:1)</v>
      </c>
      <c r="J551" s="9" t="str">
        <f aca="false">IF(H551=0,"—",IF(H551=1,"ὁμώνυμον",IF(H551=2,"διὰ πασῶν",IF(H551=3,"διὰ πέντε",IF(H551=4,"διὰ τεσσάρων","?")))))</f>
        <v>ὁμώνυμον</v>
      </c>
      <c r="K551" s="10"/>
      <c r="L551" s="14"/>
      <c r="M551" s="13"/>
    </row>
    <row r="552" customFormat="false" ht="15.75" hidden="false" customHeight="true" outlineLevel="0" collapsed="false">
      <c r="A552" s="8" t="n">
        <f aca="false">A551+1</f>
        <v>550</v>
      </c>
      <c r="B552" s="9" t="n">
        <f aca="false">MOD(4*A552^2,10)</f>
        <v>0</v>
      </c>
      <c r="C552" s="9" t="n">
        <f aca="false">(26*B552-5*B552^2)/24</f>
        <v>0</v>
      </c>
      <c r="D552" s="9" t="n">
        <f aca="false">(A552^2+4*C552)/5</f>
        <v>60500</v>
      </c>
      <c r="E552" s="9" t="n">
        <f aca="false">MOD(D552,10)</f>
        <v>0</v>
      </c>
      <c r="F552" s="9" t="n">
        <f aca="false">2*D552</f>
        <v>121000</v>
      </c>
      <c r="G552" s="9" t="n">
        <f aca="false">MOD(F552,10)</f>
        <v>0</v>
      </c>
      <c r="H552" s="9" t="n">
        <f aca="false">G552/2</f>
        <v>0</v>
      </c>
      <c r="I552" s="9" t="str">
        <f aca="false">IF(H552=0,"—",IF(H552=1,"unison (1:1)",IF(H552=2,"octave (2:1)",IF(H552=3,"fifth (3:2)",IF(H552=4,"fourth (4:3)","?")))))</f>
        <v>—</v>
      </c>
      <c r="J552" s="9" t="str">
        <f aca="false">IF(H552=0,"—",IF(H552=1,"ὁμώνυμον",IF(H552=2,"διὰ πασῶν",IF(H552=3,"διὰ πέντε",IF(H552=4,"διὰ τεσσάρων","?")))))</f>
        <v>—</v>
      </c>
      <c r="K552" s="10"/>
      <c r="L552" s="14"/>
      <c r="M552" s="13"/>
    </row>
    <row r="553" customFormat="false" ht="15.75" hidden="false" customHeight="true" outlineLevel="0" collapsed="false">
      <c r="A553" s="8" t="n">
        <f aca="false">A552+1</f>
        <v>551</v>
      </c>
      <c r="B553" s="9" t="n">
        <f aca="false">MOD(4*A553^2,10)</f>
        <v>4</v>
      </c>
      <c r="C553" s="9" t="n">
        <f aca="false">(26*B553-5*B553^2)/24</f>
        <v>1</v>
      </c>
      <c r="D553" s="9" t="n">
        <f aca="false">(A553^2+4*C553)/5</f>
        <v>60721</v>
      </c>
      <c r="E553" s="9" t="n">
        <f aca="false">MOD(D553,10)</f>
        <v>1</v>
      </c>
      <c r="F553" s="9" t="n">
        <f aca="false">2*D553</f>
        <v>121442</v>
      </c>
      <c r="G553" s="9" t="n">
        <f aca="false">MOD(F553,10)</f>
        <v>2</v>
      </c>
      <c r="H553" s="9" t="n">
        <f aca="false">G553/2</f>
        <v>1</v>
      </c>
      <c r="I553" s="9" t="str">
        <f aca="false">IF(H553=0,"—",IF(H553=1,"unison (1:1)",IF(H553=2,"octave (2:1)",IF(H553=3,"fifth (3:2)",IF(H553=4,"fourth (4:3)","?")))))</f>
        <v>unison (1:1)</v>
      </c>
      <c r="J553" s="9" t="str">
        <f aca="false">IF(H553=0,"—",IF(H553=1,"ὁμώνυμον",IF(H553=2,"διὰ πασῶν",IF(H553=3,"διὰ πέντε",IF(H553=4,"διὰ τεσσάρων","?")))))</f>
        <v>ὁμώνυμον</v>
      </c>
      <c r="K553" s="10"/>
      <c r="L553" s="14"/>
      <c r="M553" s="13"/>
    </row>
    <row r="554" customFormat="false" ht="15.75" hidden="false" customHeight="true" outlineLevel="0" collapsed="false">
      <c r="A554" s="8" t="n">
        <f aca="false">A553+1</f>
        <v>552</v>
      </c>
      <c r="B554" s="9" t="n">
        <f aca="false">MOD(4*A554^2,10)</f>
        <v>6</v>
      </c>
      <c r="C554" s="9" t="n">
        <f aca="false">(26*B554-5*B554^2)/24</f>
        <v>-1</v>
      </c>
      <c r="D554" s="9" t="n">
        <f aca="false">(A554^2+4*C554)/5</f>
        <v>60940</v>
      </c>
      <c r="E554" s="9" t="n">
        <f aca="false">MOD(D554,10)</f>
        <v>0</v>
      </c>
      <c r="F554" s="9" t="n">
        <f aca="false">2*D554</f>
        <v>121880</v>
      </c>
      <c r="G554" s="9" t="n">
        <f aca="false">MOD(F554,10)</f>
        <v>0</v>
      </c>
      <c r="H554" s="9" t="n">
        <f aca="false">G554/2</f>
        <v>0</v>
      </c>
      <c r="I554" s="9" t="str">
        <f aca="false">IF(H554=0,"—",IF(H554=1,"unison (1:1)",IF(H554=2,"octave (2:1)",IF(H554=3,"fifth (3:2)",IF(H554=4,"fourth (4:3)","?")))))</f>
        <v>—</v>
      </c>
      <c r="J554" s="9" t="str">
        <f aca="false">IF(H554=0,"—",IF(H554=1,"ὁμώνυμον",IF(H554=2,"διὰ πασῶν",IF(H554=3,"διὰ πέντε",IF(H554=4,"διὰ τεσσάρων","?")))))</f>
        <v>—</v>
      </c>
      <c r="K554" s="10"/>
      <c r="L554" s="14"/>
      <c r="M554" s="13"/>
    </row>
    <row r="555" customFormat="false" ht="15.75" hidden="false" customHeight="true" outlineLevel="0" collapsed="false">
      <c r="A555" s="8" t="n">
        <f aca="false">A554+1</f>
        <v>553</v>
      </c>
      <c r="B555" s="9" t="n">
        <f aca="false">MOD(4*A555^2,10)</f>
        <v>6</v>
      </c>
      <c r="C555" s="9" t="n">
        <f aca="false">(26*B555-5*B555^2)/24</f>
        <v>-1</v>
      </c>
      <c r="D555" s="9" t="n">
        <f aca="false">(A555^2+4*C555)/5</f>
        <v>61161</v>
      </c>
      <c r="E555" s="9" t="n">
        <f aca="false">MOD(D555,10)</f>
        <v>1</v>
      </c>
      <c r="F555" s="9" t="n">
        <f aca="false">2*D555</f>
        <v>122322</v>
      </c>
      <c r="G555" s="9" t="n">
        <f aca="false">MOD(F555,10)</f>
        <v>2</v>
      </c>
      <c r="H555" s="9" t="n">
        <f aca="false">G555/2</f>
        <v>1</v>
      </c>
      <c r="I555" s="9" t="str">
        <f aca="false">IF(H555=0,"—",IF(H555=1,"unison (1:1)",IF(H555=2,"octave (2:1)",IF(H555=3,"fifth (3:2)",IF(H555=4,"fourth (4:3)","?")))))</f>
        <v>unison (1:1)</v>
      </c>
      <c r="J555" s="9" t="str">
        <f aca="false">IF(H555=0,"—",IF(H555=1,"ὁμώνυμον",IF(H555=2,"διὰ πασῶν",IF(H555=3,"διὰ πέντε",IF(H555=4,"διὰ τεσσάρων","?")))))</f>
        <v>ὁμώνυμον</v>
      </c>
      <c r="K555" s="10"/>
      <c r="L555" s="14"/>
      <c r="M555" s="13"/>
    </row>
    <row r="556" customFormat="false" ht="15.75" hidden="false" customHeight="true" outlineLevel="0" collapsed="false">
      <c r="A556" s="8" t="n">
        <f aca="false">A555+1</f>
        <v>554</v>
      </c>
      <c r="B556" s="9" t="n">
        <f aca="false">MOD(4*A556^2,10)</f>
        <v>4</v>
      </c>
      <c r="C556" s="9" t="n">
        <f aca="false">(26*B556-5*B556^2)/24</f>
        <v>1</v>
      </c>
      <c r="D556" s="9" t="n">
        <f aca="false">(A556^2+4*C556)/5</f>
        <v>61384</v>
      </c>
      <c r="E556" s="9" t="n">
        <f aca="false">MOD(D556,10)</f>
        <v>4</v>
      </c>
      <c r="F556" s="9" t="n">
        <f aca="false">2*D556</f>
        <v>122768</v>
      </c>
      <c r="G556" s="9" t="n">
        <f aca="false">MOD(F556,10)</f>
        <v>8</v>
      </c>
      <c r="H556" s="9" t="n">
        <f aca="false">G556/2</f>
        <v>4</v>
      </c>
      <c r="I556" s="9" t="str">
        <f aca="false">IF(H556=0,"—",IF(H556=1,"unison (1:1)",IF(H556=2,"octave (2:1)",IF(H556=3,"fifth (3:2)",IF(H556=4,"fourth (4:3)","?")))))</f>
        <v>fourth (4:3)</v>
      </c>
      <c r="J556" s="9" t="str">
        <f aca="false">IF(H556=0,"—",IF(H556=1,"ὁμώνυμον",IF(H556=2,"διὰ πασῶν",IF(H556=3,"διὰ πέντε",IF(H556=4,"διὰ τεσσάρων","?")))))</f>
        <v>διὰ τεσσάρων</v>
      </c>
      <c r="K556" s="10"/>
      <c r="L556" s="14"/>
      <c r="M556" s="13"/>
    </row>
    <row r="557" customFormat="false" ht="15.75" hidden="false" customHeight="true" outlineLevel="0" collapsed="false">
      <c r="A557" s="8" t="n">
        <f aca="false">A556+1</f>
        <v>555</v>
      </c>
      <c r="B557" s="9" t="n">
        <f aca="false">MOD(4*A557^2,10)</f>
        <v>0</v>
      </c>
      <c r="C557" s="9" t="n">
        <f aca="false">(26*B557-5*B557^2)/24</f>
        <v>0</v>
      </c>
      <c r="D557" s="9" t="n">
        <f aca="false">(A557^2+4*C557)/5</f>
        <v>61605</v>
      </c>
      <c r="E557" s="9" t="n">
        <f aca="false">MOD(D557,10)</f>
        <v>5</v>
      </c>
      <c r="F557" s="9" t="n">
        <f aca="false">2*D557</f>
        <v>123210</v>
      </c>
      <c r="G557" s="9" t="n">
        <f aca="false">MOD(F557,10)</f>
        <v>0</v>
      </c>
      <c r="H557" s="9" t="n">
        <f aca="false">G557/2</f>
        <v>0</v>
      </c>
      <c r="I557" s="9" t="str">
        <f aca="false">IF(H557=0,"—",IF(H557=1,"unison (1:1)",IF(H557=2,"octave (2:1)",IF(H557=3,"fifth (3:2)",IF(H557=4,"fourth (4:3)","?")))))</f>
        <v>—</v>
      </c>
      <c r="J557" s="9" t="str">
        <f aca="false">IF(H557=0,"—",IF(H557=1,"ὁμώνυμον",IF(H557=2,"διὰ πασῶν",IF(H557=3,"διὰ πέντε",IF(H557=4,"διὰ τεσσάρων","?")))))</f>
        <v>—</v>
      </c>
      <c r="K557" s="10"/>
      <c r="L557" s="14"/>
      <c r="M557" s="13"/>
    </row>
    <row r="558" customFormat="false" ht="15.75" hidden="false" customHeight="true" outlineLevel="0" collapsed="false">
      <c r="A558" s="8" t="n">
        <f aca="false">A557+1</f>
        <v>556</v>
      </c>
      <c r="B558" s="9" t="n">
        <f aca="false">MOD(4*A558^2,10)</f>
        <v>4</v>
      </c>
      <c r="C558" s="9" t="n">
        <f aca="false">(26*B558-5*B558^2)/24</f>
        <v>1</v>
      </c>
      <c r="D558" s="9" t="n">
        <f aca="false">(A558^2+4*C558)/5</f>
        <v>61828</v>
      </c>
      <c r="E558" s="9" t="n">
        <f aca="false">MOD(D558,10)</f>
        <v>8</v>
      </c>
      <c r="F558" s="9" t="n">
        <f aca="false">2*D558</f>
        <v>123656</v>
      </c>
      <c r="G558" s="9" t="n">
        <f aca="false">MOD(F558,10)</f>
        <v>6</v>
      </c>
      <c r="H558" s="9" t="n">
        <f aca="false">G558/2</f>
        <v>3</v>
      </c>
      <c r="I558" s="9" t="str">
        <f aca="false">IF(H558=0,"—",IF(H558=1,"unison (1:1)",IF(H558=2,"octave (2:1)",IF(H558=3,"fifth (3:2)",IF(H558=4,"fourth (4:3)","?")))))</f>
        <v>fifth (3:2)</v>
      </c>
      <c r="J558" s="9" t="str">
        <f aca="false">IF(H558=0,"—",IF(H558=1,"ὁμώνυμον",IF(H558=2,"διὰ πασῶν",IF(H558=3,"διὰ πέντε",IF(H558=4,"διὰ τεσσάρων","?")))))</f>
        <v>διὰ πέντε</v>
      </c>
      <c r="K558" s="10"/>
      <c r="L558" s="14"/>
      <c r="M558" s="13"/>
    </row>
    <row r="559" customFormat="false" ht="15.75" hidden="false" customHeight="true" outlineLevel="0" collapsed="false">
      <c r="A559" s="8" t="n">
        <f aca="false">A558+1</f>
        <v>557</v>
      </c>
      <c r="B559" s="9" t="n">
        <f aca="false">MOD(4*A559^2,10)</f>
        <v>6</v>
      </c>
      <c r="C559" s="9" t="n">
        <f aca="false">(26*B559-5*B559^2)/24</f>
        <v>-1</v>
      </c>
      <c r="D559" s="9" t="n">
        <f aca="false">(A559^2+4*C559)/5</f>
        <v>62049</v>
      </c>
      <c r="E559" s="9" t="n">
        <f aca="false">MOD(D559,10)</f>
        <v>9</v>
      </c>
      <c r="F559" s="9" t="n">
        <f aca="false">2*D559</f>
        <v>124098</v>
      </c>
      <c r="G559" s="9" t="n">
        <f aca="false">MOD(F559,10)</f>
        <v>8</v>
      </c>
      <c r="H559" s="9" t="n">
        <f aca="false">G559/2</f>
        <v>4</v>
      </c>
      <c r="I559" s="9" t="str">
        <f aca="false">IF(H559=0,"—",IF(H559=1,"unison (1:1)",IF(H559=2,"octave (2:1)",IF(H559=3,"fifth (3:2)",IF(H559=4,"fourth (4:3)","?")))))</f>
        <v>fourth (4:3)</v>
      </c>
      <c r="J559" s="9" t="str">
        <f aca="false">IF(H559=0,"—",IF(H559=1,"ὁμώνυμον",IF(H559=2,"διὰ πασῶν",IF(H559=3,"διὰ πέντε",IF(H559=4,"διὰ τεσσάρων","?")))))</f>
        <v>διὰ τεσσάρων</v>
      </c>
      <c r="K559" s="10"/>
      <c r="L559" s="14"/>
      <c r="M559" s="13"/>
    </row>
    <row r="560" customFormat="false" ht="15.75" hidden="false" customHeight="true" outlineLevel="0" collapsed="false">
      <c r="A560" s="8" t="n">
        <f aca="false">A559+1</f>
        <v>558</v>
      </c>
      <c r="B560" s="9" t="n">
        <f aca="false">MOD(4*A560^2,10)</f>
        <v>6</v>
      </c>
      <c r="C560" s="9" t="n">
        <f aca="false">(26*B560-5*B560^2)/24</f>
        <v>-1</v>
      </c>
      <c r="D560" s="9" t="n">
        <f aca="false">(A560^2+4*C560)/5</f>
        <v>62272</v>
      </c>
      <c r="E560" s="9" t="n">
        <f aca="false">MOD(D560,10)</f>
        <v>2</v>
      </c>
      <c r="F560" s="9" t="n">
        <f aca="false">2*D560</f>
        <v>124544</v>
      </c>
      <c r="G560" s="9" t="n">
        <f aca="false">MOD(F560,10)</f>
        <v>4</v>
      </c>
      <c r="H560" s="9" t="n">
        <f aca="false">G560/2</f>
        <v>2</v>
      </c>
      <c r="I560" s="9" t="str">
        <f aca="false">IF(H560=0,"—",IF(H560=1,"unison (1:1)",IF(H560=2,"octave (2:1)",IF(H560=3,"fifth (3:2)",IF(H560=4,"fourth (4:3)","?")))))</f>
        <v>octave (2:1)</v>
      </c>
      <c r="J560" s="9" t="str">
        <f aca="false">IF(H560=0,"—",IF(H560=1,"ὁμώνυμον",IF(H560=2,"διὰ πασῶν",IF(H560=3,"διὰ πέντε",IF(H560=4,"διὰ τεσσάρων","?")))))</f>
        <v>διὰ πασῶν</v>
      </c>
      <c r="K560" s="10"/>
      <c r="L560" s="14"/>
      <c r="M560" s="13"/>
    </row>
    <row r="561" customFormat="false" ht="15.75" hidden="false" customHeight="true" outlineLevel="0" collapsed="false">
      <c r="A561" s="8" t="n">
        <f aca="false">A560+1</f>
        <v>559</v>
      </c>
      <c r="B561" s="9" t="n">
        <f aca="false">MOD(4*A561^2,10)</f>
        <v>4</v>
      </c>
      <c r="C561" s="9" t="n">
        <f aca="false">(26*B561-5*B561^2)/24</f>
        <v>1</v>
      </c>
      <c r="D561" s="9" t="n">
        <f aca="false">(A561^2+4*C561)/5</f>
        <v>62497</v>
      </c>
      <c r="E561" s="9" t="n">
        <f aca="false">MOD(D561,10)</f>
        <v>7</v>
      </c>
      <c r="F561" s="9" t="n">
        <f aca="false">2*D561</f>
        <v>124994</v>
      </c>
      <c r="G561" s="9" t="n">
        <f aca="false">MOD(F561,10)</f>
        <v>4</v>
      </c>
      <c r="H561" s="9" t="n">
        <f aca="false">G561/2</f>
        <v>2</v>
      </c>
      <c r="I561" s="9" t="str">
        <f aca="false">IF(H561=0,"—",IF(H561=1,"unison (1:1)",IF(H561=2,"octave (2:1)",IF(H561=3,"fifth (3:2)",IF(H561=4,"fourth (4:3)","?")))))</f>
        <v>octave (2:1)</v>
      </c>
      <c r="J561" s="9" t="str">
        <f aca="false">IF(H561=0,"—",IF(H561=1,"ὁμώνυμον",IF(H561=2,"διὰ πασῶν",IF(H561=3,"διὰ πέντε",IF(H561=4,"διὰ τεσσάρων","?")))))</f>
        <v>διὰ πασῶν</v>
      </c>
      <c r="K561" s="10"/>
      <c r="L561" s="14"/>
      <c r="M561" s="13"/>
    </row>
    <row r="562" customFormat="false" ht="15.75" hidden="false" customHeight="true" outlineLevel="0" collapsed="false">
      <c r="A562" s="8" t="n">
        <f aca="false">A561+1</f>
        <v>560</v>
      </c>
      <c r="B562" s="9" t="n">
        <f aca="false">MOD(4*A562^2,10)</f>
        <v>0</v>
      </c>
      <c r="C562" s="9" t="n">
        <f aca="false">(26*B562-5*B562^2)/24</f>
        <v>0</v>
      </c>
      <c r="D562" s="9" t="n">
        <f aca="false">(A562^2+4*C562)/5</f>
        <v>62720</v>
      </c>
      <c r="E562" s="9" t="n">
        <f aca="false">MOD(D562,10)</f>
        <v>0</v>
      </c>
      <c r="F562" s="9" t="n">
        <f aca="false">2*D562</f>
        <v>125440</v>
      </c>
      <c r="G562" s="9" t="n">
        <f aca="false">MOD(F562,10)</f>
        <v>0</v>
      </c>
      <c r="H562" s="9" t="n">
        <f aca="false">G562/2</f>
        <v>0</v>
      </c>
      <c r="I562" s="9" t="str">
        <f aca="false">IF(H562=0,"—",IF(H562=1,"unison (1:1)",IF(H562=2,"octave (2:1)",IF(H562=3,"fifth (3:2)",IF(H562=4,"fourth (4:3)","?")))))</f>
        <v>—</v>
      </c>
      <c r="J562" s="9" t="str">
        <f aca="false">IF(H562=0,"—",IF(H562=1,"ὁμώνυμον",IF(H562=2,"διὰ πασῶν",IF(H562=3,"διὰ πέντε",IF(H562=4,"διὰ τεσσάρων","?")))))</f>
        <v>—</v>
      </c>
      <c r="K562" s="10"/>
      <c r="L562" s="14"/>
      <c r="M562" s="13"/>
    </row>
    <row r="563" customFormat="false" ht="15.75" hidden="false" customHeight="true" outlineLevel="0" collapsed="false">
      <c r="A563" s="8" t="n">
        <f aca="false">A562+1</f>
        <v>561</v>
      </c>
      <c r="B563" s="9" t="n">
        <f aca="false">MOD(4*A563^2,10)</f>
        <v>4</v>
      </c>
      <c r="C563" s="9" t="n">
        <f aca="false">(26*B563-5*B563^2)/24</f>
        <v>1</v>
      </c>
      <c r="D563" s="9" t="n">
        <f aca="false">(A563^2+4*C563)/5</f>
        <v>62945</v>
      </c>
      <c r="E563" s="9" t="n">
        <f aca="false">MOD(D563,10)</f>
        <v>5</v>
      </c>
      <c r="F563" s="9" t="n">
        <f aca="false">2*D563</f>
        <v>125890</v>
      </c>
      <c r="G563" s="9" t="n">
        <f aca="false">MOD(F563,10)</f>
        <v>0</v>
      </c>
      <c r="H563" s="9" t="n">
        <f aca="false">G563/2</f>
        <v>0</v>
      </c>
      <c r="I563" s="9" t="str">
        <f aca="false">IF(H563=0,"—",IF(H563=1,"unison (1:1)",IF(H563=2,"octave (2:1)",IF(H563=3,"fifth (3:2)",IF(H563=4,"fourth (4:3)","?")))))</f>
        <v>—</v>
      </c>
      <c r="J563" s="9" t="str">
        <f aca="false">IF(H563=0,"—",IF(H563=1,"ὁμώνυμον",IF(H563=2,"διὰ πασῶν",IF(H563=3,"διὰ πέντε",IF(H563=4,"διὰ τεσσάρων","?")))))</f>
        <v>—</v>
      </c>
      <c r="K563" s="10"/>
      <c r="L563" s="14"/>
      <c r="M563" s="13"/>
    </row>
    <row r="564" customFormat="false" ht="15.75" hidden="false" customHeight="true" outlineLevel="0" collapsed="false">
      <c r="A564" s="8" t="n">
        <f aca="false">A563+1</f>
        <v>562</v>
      </c>
      <c r="B564" s="9" t="n">
        <f aca="false">MOD(4*A564^2,10)</f>
        <v>6</v>
      </c>
      <c r="C564" s="9" t="n">
        <f aca="false">(26*B564-5*B564^2)/24</f>
        <v>-1</v>
      </c>
      <c r="D564" s="9" t="n">
        <f aca="false">(A564^2+4*C564)/5</f>
        <v>63168</v>
      </c>
      <c r="E564" s="9" t="n">
        <f aca="false">MOD(D564,10)</f>
        <v>8</v>
      </c>
      <c r="F564" s="9" t="n">
        <f aca="false">2*D564</f>
        <v>126336</v>
      </c>
      <c r="G564" s="9" t="n">
        <f aca="false">MOD(F564,10)</f>
        <v>6</v>
      </c>
      <c r="H564" s="9" t="n">
        <f aca="false">G564/2</f>
        <v>3</v>
      </c>
      <c r="I564" s="9" t="str">
        <f aca="false">IF(H564=0,"—",IF(H564=1,"unison (1:1)",IF(H564=2,"octave (2:1)",IF(H564=3,"fifth (3:2)",IF(H564=4,"fourth (4:3)","?")))))</f>
        <v>fifth (3:2)</v>
      </c>
      <c r="J564" s="9" t="str">
        <f aca="false">IF(H564=0,"—",IF(H564=1,"ὁμώνυμον",IF(H564=2,"διὰ πασῶν",IF(H564=3,"διὰ πέντε",IF(H564=4,"διὰ τεσσάρων","?")))))</f>
        <v>διὰ πέντε</v>
      </c>
      <c r="K564" s="10"/>
      <c r="L564" s="14"/>
      <c r="M564" s="13"/>
    </row>
    <row r="565" customFormat="false" ht="15.75" hidden="false" customHeight="true" outlineLevel="0" collapsed="false">
      <c r="A565" s="8" t="n">
        <f aca="false">A564+1</f>
        <v>563</v>
      </c>
      <c r="B565" s="9" t="n">
        <f aca="false">MOD(4*A565^2,10)</f>
        <v>6</v>
      </c>
      <c r="C565" s="9" t="n">
        <f aca="false">(26*B565-5*B565^2)/24</f>
        <v>-1</v>
      </c>
      <c r="D565" s="9" t="n">
        <f aca="false">(A565^2+4*C565)/5</f>
        <v>63393</v>
      </c>
      <c r="E565" s="9" t="n">
        <f aca="false">MOD(D565,10)</f>
        <v>3</v>
      </c>
      <c r="F565" s="9" t="n">
        <f aca="false">2*D565</f>
        <v>126786</v>
      </c>
      <c r="G565" s="9" t="n">
        <f aca="false">MOD(F565,10)</f>
        <v>6</v>
      </c>
      <c r="H565" s="9" t="n">
        <f aca="false">G565/2</f>
        <v>3</v>
      </c>
      <c r="I565" s="9" t="str">
        <f aca="false">IF(H565=0,"—",IF(H565=1,"unison (1:1)",IF(H565=2,"octave (2:1)",IF(H565=3,"fifth (3:2)",IF(H565=4,"fourth (4:3)","?")))))</f>
        <v>fifth (3:2)</v>
      </c>
      <c r="J565" s="9" t="str">
        <f aca="false">IF(H565=0,"—",IF(H565=1,"ὁμώνυμον",IF(H565=2,"διὰ πασῶν",IF(H565=3,"διὰ πέντε",IF(H565=4,"διὰ τεσσάρων","?")))))</f>
        <v>διὰ πέντε</v>
      </c>
      <c r="K565" s="10"/>
      <c r="L565" s="14"/>
      <c r="M565" s="13"/>
    </row>
    <row r="566" customFormat="false" ht="15.75" hidden="false" customHeight="true" outlineLevel="0" collapsed="false">
      <c r="A566" s="8" t="n">
        <f aca="false">A565+1</f>
        <v>564</v>
      </c>
      <c r="B566" s="9" t="n">
        <f aca="false">MOD(4*A566^2,10)</f>
        <v>4</v>
      </c>
      <c r="C566" s="9" t="n">
        <f aca="false">(26*B566-5*B566^2)/24</f>
        <v>1</v>
      </c>
      <c r="D566" s="9" t="n">
        <f aca="false">(A566^2+4*C566)/5</f>
        <v>63620</v>
      </c>
      <c r="E566" s="9" t="n">
        <f aca="false">MOD(D566,10)</f>
        <v>0</v>
      </c>
      <c r="F566" s="9" t="n">
        <f aca="false">2*D566</f>
        <v>127240</v>
      </c>
      <c r="G566" s="9" t="n">
        <f aca="false">MOD(F566,10)</f>
        <v>0</v>
      </c>
      <c r="H566" s="9" t="n">
        <f aca="false">G566/2</f>
        <v>0</v>
      </c>
      <c r="I566" s="9" t="str">
        <f aca="false">IF(H566=0,"—",IF(H566=1,"unison (1:1)",IF(H566=2,"octave (2:1)",IF(H566=3,"fifth (3:2)",IF(H566=4,"fourth (4:3)","?")))))</f>
        <v>—</v>
      </c>
      <c r="J566" s="9" t="str">
        <f aca="false">IF(H566=0,"—",IF(H566=1,"ὁμώνυμον",IF(H566=2,"διὰ πασῶν",IF(H566=3,"διὰ πέντε",IF(H566=4,"διὰ τεσσάρων","?")))))</f>
        <v>—</v>
      </c>
      <c r="K566" s="10"/>
      <c r="L566" s="14"/>
      <c r="M566" s="13"/>
    </row>
    <row r="567" customFormat="false" ht="15.75" hidden="false" customHeight="true" outlineLevel="0" collapsed="false">
      <c r="A567" s="8" t="n">
        <f aca="false">A566+1</f>
        <v>565</v>
      </c>
      <c r="B567" s="9" t="n">
        <f aca="false">MOD(4*A567^2,10)</f>
        <v>0</v>
      </c>
      <c r="C567" s="9" t="n">
        <f aca="false">(26*B567-5*B567^2)/24</f>
        <v>0</v>
      </c>
      <c r="D567" s="9" t="n">
        <f aca="false">(A567^2+4*C567)/5</f>
        <v>63845</v>
      </c>
      <c r="E567" s="9" t="n">
        <f aca="false">MOD(D567,10)</f>
        <v>5</v>
      </c>
      <c r="F567" s="9" t="n">
        <f aca="false">2*D567</f>
        <v>127690</v>
      </c>
      <c r="G567" s="9" t="n">
        <f aca="false">MOD(F567,10)</f>
        <v>0</v>
      </c>
      <c r="H567" s="9" t="n">
        <f aca="false">G567/2</f>
        <v>0</v>
      </c>
      <c r="I567" s="9" t="str">
        <f aca="false">IF(H567=0,"—",IF(H567=1,"unison (1:1)",IF(H567=2,"octave (2:1)",IF(H567=3,"fifth (3:2)",IF(H567=4,"fourth (4:3)","?")))))</f>
        <v>—</v>
      </c>
      <c r="J567" s="9" t="str">
        <f aca="false">IF(H567=0,"—",IF(H567=1,"ὁμώνυμον",IF(H567=2,"διὰ πασῶν",IF(H567=3,"διὰ πέντε",IF(H567=4,"διὰ τεσσάρων","?")))))</f>
        <v>—</v>
      </c>
      <c r="K567" s="10"/>
      <c r="L567" s="14"/>
      <c r="M567" s="13"/>
    </row>
    <row r="568" customFormat="false" ht="15.75" hidden="false" customHeight="true" outlineLevel="0" collapsed="false">
      <c r="A568" s="8" t="n">
        <f aca="false">A567+1</f>
        <v>566</v>
      </c>
      <c r="B568" s="9" t="n">
        <f aca="false">MOD(4*A568^2,10)</f>
        <v>4</v>
      </c>
      <c r="C568" s="9" t="n">
        <f aca="false">(26*B568-5*B568^2)/24</f>
        <v>1</v>
      </c>
      <c r="D568" s="9" t="n">
        <f aca="false">(A568^2+4*C568)/5</f>
        <v>64072</v>
      </c>
      <c r="E568" s="9" t="n">
        <f aca="false">MOD(D568,10)</f>
        <v>2</v>
      </c>
      <c r="F568" s="9" t="n">
        <f aca="false">2*D568</f>
        <v>128144</v>
      </c>
      <c r="G568" s="9" t="n">
        <f aca="false">MOD(F568,10)</f>
        <v>4</v>
      </c>
      <c r="H568" s="9" t="n">
        <f aca="false">G568/2</f>
        <v>2</v>
      </c>
      <c r="I568" s="9" t="str">
        <f aca="false">IF(H568=0,"—",IF(H568=1,"unison (1:1)",IF(H568=2,"octave (2:1)",IF(H568=3,"fifth (3:2)",IF(H568=4,"fourth (4:3)","?")))))</f>
        <v>octave (2:1)</v>
      </c>
      <c r="J568" s="9" t="str">
        <f aca="false">IF(H568=0,"—",IF(H568=1,"ὁμώνυμον",IF(H568=2,"διὰ πασῶν",IF(H568=3,"διὰ πέντε",IF(H568=4,"διὰ τεσσάρων","?")))))</f>
        <v>διὰ πασῶν</v>
      </c>
      <c r="K568" s="10"/>
      <c r="L568" s="14"/>
      <c r="M568" s="13"/>
    </row>
    <row r="569" customFormat="false" ht="15.75" hidden="false" customHeight="true" outlineLevel="0" collapsed="false">
      <c r="A569" s="8" t="n">
        <f aca="false">A568+1</f>
        <v>567</v>
      </c>
      <c r="B569" s="9" t="n">
        <f aca="false">MOD(4*A569^2,10)</f>
        <v>6</v>
      </c>
      <c r="C569" s="9" t="n">
        <f aca="false">(26*B569-5*B569^2)/24</f>
        <v>-1</v>
      </c>
      <c r="D569" s="9" t="n">
        <f aca="false">(A569^2+4*C569)/5</f>
        <v>64297</v>
      </c>
      <c r="E569" s="9" t="n">
        <f aca="false">MOD(D569,10)</f>
        <v>7</v>
      </c>
      <c r="F569" s="9" t="n">
        <f aca="false">2*D569</f>
        <v>128594</v>
      </c>
      <c r="G569" s="9" t="n">
        <f aca="false">MOD(F569,10)</f>
        <v>4</v>
      </c>
      <c r="H569" s="9" t="n">
        <f aca="false">G569/2</f>
        <v>2</v>
      </c>
      <c r="I569" s="9" t="str">
        <f aca="false">IF(H569=0,"—",IF(H569=1,"unison (1:1)",IF(H569=2,"octave (2:1)",IF(H569=3,"fifth (3:2)",IF(H569=4,"fourth (4:3)","?")))))</f>
        <v>octave (2:1)</v>
      </c>
      <c r="J569" s="9" t="str">
        <f aca="false">IF(H569=0,"—",IF(H569=1,"ὁμώνυμον",IF(H569=2,"διὰ πασῶν",IF(H569=3,"διὰ πέντε",IF(H569=4,"διὰ τεσσάρων","?")))))</f>
        <v>διὰ πασῶν</v>
      </c>
      <c r="K569" s="10"/>
      <c r="L569" s="14"/>
      <c r="M569" s="13"/>
    </row>
    <row r="570" customFormat="false" ht="15.75" hidden="false" customHeight="true" outlineLevel="0" collapsed="false">
      <c r="A570" s="8" t="n">
        <f aca="false">A569+1</f>
        <v>568</v>
      </c>
      <c r="B570" s="9" t="n">
        <f aca="false">MOD(4*A570^2,10)</f>
        <v>6</v>
      </c>
      <c r="C570" s="9" t="n">
        <f aca="false">(26*B570-5*B570^2)/24</f>
        <v>-1</v>
      </c>
      <c r="D570" s="9" t="n">
        <f aca="false">(A570^2+4*C570)/5</f>
        <v>64524</v>
      </c>
      <c r="E570" s="9" t="n">
        <f aca="false">MOD(D570,10)</f>
        <v>4</v>
      </c>
      <c r="F570" s="9" t="n">
        <f aca="false">2*D570</f>
        <v>129048</v>
      </c>
      <c r="G570" s="9" t="n">
        <f aca="false">MOD(F570,10)</f>
        <v>8</v>
      </c>
      <c r="H570" s="9" t="n">
        <f aca="false">G570/2</f>
        <v>4</v>
      </c>
      <c r="I570" s="9" t="str">
        <f aca="false">IF(H570=0,"—",IF(H570=1,"unison (1:1)",IF(H570=2,"octave (2:1)",IF(H570=3,"fifth (3:2)",IF(H570=4,"fourth (4:3)","?")))))</f>
        <v>fourth (4:3)</v>
      </c>
      <c r="J570" s="9" t="str">
        <f aca="false">IF(H570=0,"—",IF(H570=1,"ὁμώνυμον",IF(H570=2,"διὰ πασῶν",IF(H570=3,"διὰ πέντε",IF(H570=4,"διὰ τεσσάρων","?")))))</f>
        <v>διὰ τεσσάρων</v>
      </c>
      <c r="K570" s="10"/>
      <c r="L570" s="14"/>
      <c r="M570" s="13"/>
    </row>
    <row r="571" customFormat="false" ht="15.75" hidden="false" customHeight="true" outlineLevel="0" collapsed="false">
      <c r="A571" s="8" t="n">
        <f aca="false">A570+1</f>
        <v>569</v>
      </c>
      <c r="B571" s="9" t="n">
        <f aca="false">MOD(4*A571^2,10)</f>
        <v>4</v>
      </c>
      <c r="C571" s="9" t="n">
        <f aca="false">(26*B571-5*B571^2)/24</f>
        <v>1</v>
      </c>
      <c r="D571" s="9" t="n">
        <f aca="false">(A571^2+4*C571)/5</f>
        <v>64753</v>
      </c>
      <c r="E571" s="9" t="n">
        <f aca="false">MOD(D571,10)</f>
        <v>3</v>
      </c>
      <c r="F571" s="9" t="n">
        <f aca="false">2*D571</f>
        <v>129506</v>
      </c>
      <c r="G571" s="9" t="n">
        <f aca="false">MOD(F571,10)</f>
        <v>6</v>
      </c>
      <c r="H571" s="9" t="n">
        <f aca="false">G571/2</f>
        <v>3</v>
      </c>
      <c r="I571" s="9" t="str">
        <f aca="false">IF(H571=0,"—",IF(H571=1,"unison (1:1)",IF(H571=2,"octave (2:1)",IF(H571=3,"fifth (3:2)",IF(H571=4,"fourth (4:3)","?")))))</f>
        <v>fifth (3:2)</v>
      </c>
      <c r="J571" s="9" t="str">
        <f aca="false">IF(H571=0,"—",IF(H571=1,"ὁμώνυμον",IF(H571=2,"διὰ πασῶν",IF(H571=3,"διὰ πέντε",IF(H571=4,"διὰ τεσσάρων","?")))))</f>
        <v>διὰ πέντε</v>
      </c>
      <c r="K571" s="10"/>
      <c r="L571" s="14"/>
      <c r="M571" s="13"/>
    </row>
    <row r="572" customFormat="false" ht="15.75" hidden="false" customHeight="true" outlineLevel="0" collapsed="false">
      <c r="A572" s="8" t="n">
        <f aca="false">A571+1</f>
        <v>570</v>
      </c>
      <c r="B572" s="9" t="n">
        <f aca="false">MOD(4*A572^2,10)</f>
        <v>0</v>
      </c>
      <c r="C572" s="9" t="n">
        <f aca="false">(26*B572-5*B572^2)/24</f>
        <v>0</v>
      </c>
      <c r="D572" s="9" t="n">
        <f aca="false">(A572^2+4*C572)/5</f>
        <v>64980</v>
      </c>
      <c r="E572" s="9" t="n">
        <f aca="false">MOD(D572,10)</f>
        <v>0</v>
      </c>
      <c r="F572" s="9" t="n">
        <f aca="false">2*D572</f>
        <v>129960</v>
      </c>
      <c r="G572" s="9" t="n">
        <f aca="false">MOD(F572,10)</f>
        <v>0</v>
      </c>
      <c r="H572" s="9" t="n">
        <f aca="false">G572/2</f>
        <v>0</v>
      </c>
      <c r="I572" s="9" t="str">
        <f aca="false">IF(H572=0,"—",IF(H572=1,"unison (1:1)",IF(H572=2,"octave (2:1)",IF(H572=3,"fifth (3:2)",IF(H572=4,"fourth (4:3)","?")))))</f>
        <v>—</v>
      </c>
      <c r="J572" s="9" t="str">
        <f aca="false">IF(H572=0,"—",IF(H572=1,"ὁμώνυμον",IF(H572=2,"διὰ πασῶν",IF(H572=3,"διὰ πέντε",IF(H572=4,"διὰ τεσσάρων","?")))))</f>
        <v>—</v>
      </c>
      <c r="K572" s="10"/>
      <c r="L572" s="14"/>
      <c r="M572" s="13"/>
    </row>
    <row r="573" customFormat="false" ht="15.75" hidden="false" customHeight="true" outlineLevel="0" collapsed="false">
      <c r="A573" s="8" t="n">
        <f aca="false">A572+1</f>
        <v>571</v>
      </c>
      <c r="B573" s="9" t="n">
        <f aca="false">MOD(4*A573^2,10)</f>
        <v>4</v>
      </c>
      <c r="C573" s="9" t="n">
        <f aca="false">(26*B573-5*B573^2)/24</f>
        <v>1</v>
      </c>
      <c r="D573" s="9" t="n">
        <f aca="false">(A573^2+4*C573)/5</f>
        <v>65209</v>
      </c>
      <c r="E573" s="9" t="n">
        <f aca="false">MOD(D573,10)</f>
        <v>9</v>
      </c>
      <c r="F573" s="9" t="n">
        <f aca="false">2*D573</f>
        <v>130418</v>
      </c>
      <c r="G573" s="9" t="n">
        <f aca="false">MOD(F573,10)</f>
        <v>8</v>
      </c>
      <c r="H573" s="9" t="n">
        <f aca="false">G573/2</f>
        <v>4</v>
      </c>
      <c r="I573" s="9" t="str">
        <f aca="false">IF(H573=0,"—",IF(H573=1,"unison (1:1)",IF(H573=2,"octave (2:1)",IF(H573=3,"fifth (3:2)",IF(H573=4,"fourth (4:3)","?")))))</f>
        <v>fourth (4:3)</v>
      </c>
      <c r="J573" s="9" t="str">
        <f aca="false">IF(H573=0,"—",IF(H573=1,"ὁμώνυμον",IF(H573=2,"διὰ πασῶν",IF(H573=3,"διὰ πέντε",IF(H573=4,"διὰ τεσσάρων","?")))))</f>
        <v>διὰ τεσσάρων</v>
      </c>
      <c r="K573" s="10"/>
      <c r="L573" s="14"/>
      <c r="M573" s="13"/>
    </row>
    <row r="574" customFormat="false" ht="15.75" hidden="false" customHeight="true" outlineLevel="0" collapsed="false">
      <c r="A574" s="8" t="n">
        <f aca="false">A573+1</f>
        <v>572</v>
      </c>
      <c r="B574" s="9" t="n">
        <f aca="false">MOD(4*A574^2,10)</f>
        <v>6</v>
      </c>
      <c r="C574" s="9" t="n">
        <f aca="false">(26*B574-5*B574^2)/24</f>
        <v>-1</v>
      </c>
      <c r="D574" s="9" t="n">
        <f aca="false">(A574^2+4*C574)/5</f>
        <v>65436</v>
      </c>
      <c r="E574" s="9" t="n">
        <f aca="false">MOD(D574,10)</f>
        <v>6</v>
      </c>
      <c r="F574" s="9" t="n">
        <f aca="false">2*D574</f>
        <v>130872</v>
      </c>
      <c r="G574" s="9" t="n">
        <f aca="false">MOD(F574,10)</f>
        <v>2</v>
      </c>
      <c r="H574" s="9" t="n">
        <f aca="false">G574/2</f>
        <v>1</v>
      </c>
      <c r="I574" s="9" t="str">
        <f aca="false">IF(H574=0,"—",IF(H574=1,"unison (1:1)",IF(H574=2,"octave (2:1)",IF(H574=3,"fifth (3:2)",IF(H574=4,"fourth (4:3)","?")))))</f>
        <v>unison (1:1)</v>
      </c>
      <c r="J574" s="9" t="str">
        <f aca="false">IF(H574=0,"—",IF(H574=1,"ὁμώνυμον",IF(H574=2,"διὰ πασῶν",IF(H574=3,"διὰ πέντε",IF(H574=4,"διὰ τεσσάρων","?")))))</f>
        <v>ὁμώνυμον</v>
      </c>
      <c r="K574" s="10"/>
      <c r="L574" s="14"/>
      <c r="M574" s="13"/>
    </row>
    <row r="575" customFormat="false" ht="15.75" hidden="false" customHeight="true" outlineLevel="0" collapsed="false">
      <c r="A575" s="8" t="n">
        <f aca="false">A574+1</f>
        <v>573</v>
      </c>
      <c r="B575" s="9" t="n">
        <f aca="false">MOD(4*A575^2,10)</f>
        <v>6</v>
      </c>
      <c r="C575" s="9" t="n">
        <f aca="false">(26*B575-5*B575^2)/24</f>
        <v>-1</v>
      </c>
      <c r="D575" s="9" t="n">
        <f aca="false">(A575^2+4*C575)/5</f>
        <v>65665</v>
      </c>
      <c r="E575" s="9" t="n">
        <f aca="false">MOD(D575,10)</f>
        <v>5</v>
      </c>
      <c r="F575" s="9" t="n">
        <f aca="false">2*D575</f>
        <v>131330</v>
      </c>
      <c r="G575" s="9" t="n">
        <f aca="false">MOD(F575,10)</f>
        <v>0</v>
      </c>
      <c r="H575" s="9" t="n">
        <f aca="false">G575/2</f>
        <v>0</v>
      </c>
      <c r="I575" s="9" t="str">
        <f aca="false">IF(H575=0,"—",IF(H575=1,"unison (1:1)",IF(H575=2,"octave (2:1)",IF(H575=3,"fifth (3:2)",IF(H575=4,"fourth (4:3)","?")))))</f>
        <v>—</v>
      </c>
      <c r="J575" s="9" t="str">
        <f aca="false">IF(H575=0,"—",IF(H575=1,"ὁμώνυμον",IF(H575=2,"διὰ πασῶν",IF(H575=3,"διὰ πέντε",IF(H575=4,"διὰ τεσσάρων","?")))))</f>
        <v>—</v>
      </c>
      <c r="K575" s="10"/>
      <c r="L575" s="14"/>
      <c r="M575" s="13"/>
    </row>
    <row r="576" customFormat="false" ht="15.75" hidden="false" customHeight="true" outlineLevel="0" collapsed="false">
      <c r="A576" s="8" t="n">
        <f aca="false">A575+1</f>
        <v>574</v>
      </c>
      <c r="B576" s="9" t="n">
        <f aca="false">MOD(4*A576^2,10)</f>
        <v>4</v>
      </c>
      <c r="C576" s="9" t="n">
        <f aca="false">(26*B576-5*B576^2)/24</f>
        <v>1</v>
      </c>
      <c r="D576" s="9" t="n">
        <f aca="false">(A576^2+4*C576)/5</f>
        <v>65896</v>
      </c>
      <c r="E576" s="9" t="n">
        <f aca="false">MOD(D576,10)</f>
        <v>6</v>
      </c>
      <c r="F576" s="9" t="n">
        <f aca="false">2*D576</f>
        <v>131792</v>
      </c>
      <c r="G576" s="9" t="n">
        <f aca="false">MOD(F576,10)</f>
        <v>2</v>
      </c>
      <c r="H576" s="9" t="n">
        <f aca="false">G576/2</f>
        <v>1</v>
      </c>
      <c r="I576" s="9" t="str">
        <f aca="false">IF(H576=0,"—",IF(H576=1,"unison (1:1)",IF(H576=2,"octave (2:1)",IF(H576=3,"fifth (3:2)",IF(H576=4,"fourth (4:3)","?")))))</f>
        <v>unison (1:1)</v>
      </c>
      <c r="J576" s="9" t="str">
        <f aca="false">IF(H576=0,"—",IF(H576=1,"ὁμώνυμον",IF(H576=2,"διὰ πασῶν",IF(H576=3,"διὰ πέντε",IF(H576=4,"διὰ τεσσάρων","?")))))</f>
        <v>ὁμώνυμον</v>
      </c>
      <c r="K576" s="10"/>
      <c r="L576" s="14"/>
      <c r="M576" s="13"/>
    </row>
    <row r="577" customFormat="false" ht="15.75" hidden="false" customHeight="true" outlineLevel="0" collapsed="false">
      <c r="A577" s="8" t="n">
        <f aca="false">A576+1</f>
        <v>575</v>
      </c>
      <c r="B577" s="9" t="n">
        <f aca="false">MOD(4*A577^2,10)</f>
        <v>0</v>
      </c>
      <c r="C577" s="9" t="n">
        <f aca="false">(26*B577-5*B577^2)/24</f>
        <v>0</v>
      </c>
      <c r="D577" s="9" t="n">
        <f aca="false">(A577^2+4*C577)/5</f>
        <v>66125</v>
      </c>
      <c r="E577" s="9" t="n">
        <f aca="false">MOD(D577,10)</f>
        <v>5</v>
      </c>
      <c r="F577" s="9" t="n">
        <f aca="false">2*D577</f>
        <v>132250</v>
      </c>
      <c r="G577" s="9" t="n">
        <f aca="false">MOD(F577,10)</f>
        <v>0</v>
      </c>
      <c r="H577" s="9" t="n">
        <f aca="false">G577/2</f>
        <v>0</v>
      </c>
      <c r="I577" s="9" t="str">
        <f aca="false">IF(H577=0,"—",IF(H577=1,"unison (1:1)",IF(H577=2,"octave (2:1)",IF(H577=3,"fifth (3:2)",IF(H577=4,"fourth (4:3)","?")))))</f>
        <v>—</v>
      </c>
      <c r="J577" s="9" t="str">
        <f aca="false">IF(H577=0,"—",IF(H577=1,"ὁμώνυμον",IF(H577=2,"διὰ πασῶν",IF(H577=3,"διὰ πέντε",IF(H577=4,"διὰ τεσσάρων","?")))))</f>
        <v>—</v>
      </c>
      <c r="K577" s="10"/>
      <c r="L577" s="14"/>
      <c r="M577" s="13"/>
    </row>
    <row r="578" customFormat="false" ht="15.75" hidden="false" customHeight="true" outlineLevel="0" collapsed="false">
      <c r="A578" s="8" t="n">
        <f aca="false">A577+1</f>
        <v>576</v>
      </c>
      <c r="B578" s="9" t="n">
        <f aca="false">MOD(4*A578^2,10)</f>
        <v>4</v>
      </c>
      <c r="C578" s="9" t="n">
        <f aca="false">(26*B578-5*B578^2)/24</f>
        <v>1</v>
      </c>
      <c r="D578" s="9" t="n">
        <f aca="false">(A578^2+4*C578)/5</f>
        <v>66356</v>
      </c>
      <c r="E578" s="9" t="n">
        <f aca="false">MOD(D578,10)</f>
        <v>6</v>
      </c>
      <c r="F578" s="9" t="n">
        <f aca="false">2*D578</f>
        <v>132712</v>
      </c>
      <c r="G578" s="9" t="n">
        <f aca="false">MOD(F578,10)</f>
        <v>2</v>
      </c>
      <c r="H578" s="9" t="n">
        <f aca="false">G578/2</f>
        <v>1</v>
      </c>
      <c r="I578" s="9" t="str">
        <f aca="false">IF(H578=0,"—",IF(H578=1,"unison (1:1)",IF(H578=2,"octave (2:1)",IF(H578=3,"fifth (3:2)",IF(H578=4,"fourth (4:3)","?")))))</f>
        <v>unison (1:1)</v>
      </c>
      <c r="J578" s="9" t="str">
        <f aca="false">IF(H578=0,"—",IF(H578=1,"ὁμώνυμον",IF(H578=2,"διὰ πασῶν",IF(H578=3,"διὰ πέντε",IF(H578=4,"διὰ τεσσάρων","?")))))</f>
        <v>ὁμώνυμον</v>
      </c>
      <c r="K578" s="10"/>
      <c r="L578" s="14"/>
      <c r="M578" s="13"/>
    </row>
    <row r="579" customFormat="false" ht="15.75" hidden="false" customHeight="true" outlineLevel="0" collapsed="false">
      <c r="A579" s="8" t="n">
        <f aca="false">A578+1</f>
        <v>577</v>
      </c>
      <c r="B579" s="9" t="n">
        <f aca="false">MOD(4*A579^2,10)</f>
        <v>6</v>
      </c>
      <c r="C579" s="9" t="n">
        <f aca="false">(26*B579-5*B579^2)/24</f>
        <v>-1</v>
      </c>
      <c r="D579" s="9" t="n">
        <f aca="false">(A579^2+4*C579)/5</f>
        <v>66585</v>
      </c>
      <c r="E579" s="9" t="n">
        <f aca="false">MOD(D579,10)</f>
        <v>5</v>
      </c>
      <c r="F579" s="9" t="n">
        <f aca="false">2*D579</f>
        <v>133170</v>
      </c>
      <c r="G579" s="9" t="n">
        <f aca="false">MOD(F579,10)</f>
        <v>0</v>
      </c>
      <c r="H579" s="9" t="n">
        <f aca="false">G579/2</f>
        <v>0</v>
      </c>
      <c r="I579" s="9" t="str">
        <f aca="false">IF(H579=0,"—",IF(H579=1,"unison (1:1)",IF(H579=2,"octave (2:1)",IF(H579=3,"fifth (3:2)",IF(H579=4,"fourth (4:3)","?")))))</f>
        <v>—</v>
      </c>
      <c r="J579" s="9" t="str">
        <f aca="false">IF(H579=0,"—",IF(H579=1,"ὁμώνυμον",IF(H579=2,"διὰ πασῶν",IF(H579=3,"διὰ πέντε",IF(H579=4,"διὰ τεσσάρων","?")))))</f>
        <v>—</v>
      </c>
      <c r="K579" s="10"/>
      <c r="L579" s="14"/>
      <c r="M579" s="13"/>
    </row>
    <row r="580" customFormat="false" ht="15.75" hidden="false" customHeight="true" outlineLevel="0" collapsed="false">
      <c r="A580" s="8" t="n">
        <f aca="false">A579+1</f>
        <v>578</v>
      </c>
      <c r="B580" s="9" t="n">
        <f aca="false">MOD(4*A580^2,10)</f>
        <v>6</v>
      </c>
      <c r="C580" s="9" t="n">
        <f aca="false">(26*B580-5*B580^2)/24</f>
        <v>-1</v>
      </c>
      <c r="D580" s="9" t="n">
        <f aca="false">(A580^2+4*C580)/5</f>
        <v>66816</v>
      </c>
      <c r="E580" s="9" t="n">
        <f aca="false">MOD(D580,10)</f>
        <v>6</v>
      </c>
      <c r="F580" s="9" t="n">
        <f aca="false">2*D580</f>
        <v>133632</v>
      </c>
      <c r="G580" s="9" t="n">
        <f aca="false">MOD(F580,10)</f>
        <v>2</v>
      </c>
      <c r="H580" s="9" t="n">
        <f aca="false">G580/2</f>
        <v>1</v>
      </c>
      <c r="I580" s="9" t="str">
        <f aca="false">IF(H580=0,"—",IF(H580=1,"unison (1:1)",IF(H580=2,"octave (2:1)",IF(H580=3,"fifth (3:2)",IF(H580=4,"fourth (4:3)","?")))))</f>
        <v>unison (1:1)</v>
      </c>
      <c r="J580" s="9" t="str">
        <f aca="false">IF(H580=0,"—",IF(H580=1,"ὁμώνυμον",IF(H580=2,"διὰ πασῶν",IF(H580=3,"διὰ πέντε",IF(H580=4,"διὰ τεσσάρων","?")))))</f>
        <v>ὁμώνυμον</v>
      </c>
      <c r="K580" s="10"/>
      <c r="L580" s="14"/>
      <c r="M580" s="13"/>
    </row>
    <row r="581" customFormat="false" ht="15.75" hidden="false" customHeight="true" outlineLevel="0" collapsed="false">
      <c r="A581" s="8" t="n">
        <f aca="false">A580+1</f>
        <v>579</v>
      </c>
      <c r="B581" s="9" t="n">
        <f aca="false">MOD(4*A581^2,10)</f>
        <v>4</v>
      </c>
      <c r="C581" s="9" t="n">
        <f aca="false">(26*B581-5*B581^2)/24</f>
        <v>1</v>
      </c>
      <c r="D581" s="9" t="n">
        <f aca="false">(A581^2+4*C581)/5</f>
        <v>67049</v>
      </c>
      <c r="E581" s="9" t="n">
        <f aca="false">MOD(D581,10)</f>
        <v>9</v>
      </c>
      <c r="F581" s="9" t="n">
        <f aca="false">2*D581</f>
        <v>134098</v>
      </c>
      <c r="G581" s="9" t="n">
        <f aca="false">MOD(F581,10)</f>
        <v>8</v>
      </c>
      <c r="H581" s="9" t="n">
        <f aca="false">G581/2</f>
        <v>4</v>
      </c>
      <c r="I581" s="9" t="str">
        <f aca="false">IF(H581=0,"—",IF(H581=1,"unison (1:1)",IF(H581=2,"octave (2:1)",IF(H581=3,"fifth (3:2)",IF(H581=4,"fourth (4:3)","?")))))</f>
        <v>fourth (4:3)</v>
      </c>
      <c r="J581" s="9" t="str">
        <f aca="false">IF(H581=0,"—",IF(H581=1,"ὁμώνυμον",IF(H581=2,"διὰ πασῶν",IF(H581=3,"διὰ πέντε",IF(H581=4,"διὰ τεσσάρων","?")))))</f>
        <v>διὰ τεσσάρων</v>
      </c>
      <c r="K581" s="10"/>
      <c r="L581" s="14"/>
      <c r="M581" s="13"/>
    </row>
    <row r="582" customFormat="false" ht="15.75" hidden="false" customHeight="true" outlineLevel="0" collapsed="false">
      <c r="A582" s="8" t="n">
        <f aca="false">A581+1</f>
        <v>580</v>
      </c>
      <c r="B582" s="9" t="n">
        <f aca="false">MOD(4*A582^2,10)</f>
        <v>0</v>
      </c>
      <c r="C582" s="9" t="n">
        <f aca="false">(26*B582-5*B582^2)/24</f>
        <v>0</v>
      </c>
      <c r="D582" s="9" t="n">
        <f aca="false">(A582^2+4*C582)/5</f>
        <v>67280</v>
      </c>
      <c r="E582" s="9" t="n">
        <f aca="false">MOD(D582,10)</f>
        <v>0</v>
      </c>
      <c r="F582" s="9" t="n">
        <f aca="false">2*D582</f>
        <v>134560</v>
      </c>
      <c r="G582" s="9" t="n">
        <f aca="false">MOD(F582,10)</f>
        <v>0</v>
      </c>
      <c r="H582" s="9" t="n">
        <f aca="false">G582/2</f>
        <v>0</v>
      </c>
      <c r="I582" s="9" t="str">
        <f aca="false">IF(H582=0,"—",IF(H582=1,"unison (1:1)",IF(H582=2,"octave (2:1)",IF(H582=3,"fifth (3:2)",IF(H582=4,"fourth (4:3)","?")))))</f>
        <v>—</v>
      </c>
      <c r="J582" s="9" t="str">
        <f aca="false">IF(H582=0,"—",IF(H582=1,"ὁμώνυμον",IF(H582=2,"διὰ πασῶν",IF(H582=3,"διὰ πέντε",IF(H582=4,"διὰ τεσσάρων","?")))))</f>
        <v>—</v>
      </c>
      <c r="K582" s="10"/>
      <c r="L582" s="14"/>
      <c r="M582" s="13"/>
    </row>
    <row r="583" customFormat="false" ht="15.75" hidden="false" customHeight="true" outlineLevel="0" collapsed="false">
      <c r="A583" s="8" t="n">
        <f aca="false">A582+1</f>
        <v>581</v>
      </c>
      <c r="B583" s="9" t="n">
        <f aca="false">MOD(4*A583^2,10)</f>
        <v>4</v>
      </c>
      <c r="C583" s="9" t="n">
        <f aca="false">(26*B583-5*B583^2)/24</f>
        <v>1</v>
      </c>
      <c r="D583" s="9" t="n">
        <f aca="false">(A583^2+4*C583)/5</f>
        <v>67513</v>
      </c>
      <c r="E583" s="9" t="n">
        <f aca="false">MOD(D583,10)</f>
        <v>3</v>
      </c>
      <c r="F583" s="9" t="n">
        <f aca="false">2*D583</f>
        <v>135026</v>
      </c>
      <c r="G583" s="9" t="n">
        <f aca="false">MOD(F583,10)</f>
        <v>6</v>
      </c>
      <c r="H583" s="9" t="n">
        <f aca="false">G583/2</f>
        <v>3</v>
      </c>
      <c r="I583" s="9" t="str">
        <f aca="false">IF(H583=0,"—",IF(H583=1,"unison (1:1)",IF(H583=2,"octave (2:1)",IF(H583=3,"fifth (3:2)",IF(H583=4,"fourth (4:3)","?")))))</f>
        <v>fifth (3:2)</v>
      </c>
      <c r="J583" s="9" t="str">
        <f aca="false">IF(H583=0,"—",IF(H583=1,"ὁμώνυμον",IF(H583=2,"διὰ πασῶν",IF(H583=3,"διὰ πέντε",IF(H583=4,"διὰ τεσσάρων","?")))))</f>
        <v>διὰ πέντε</v>
      </c>
      <c r="K583" s="10"/>
      <c r="L583" s="14"/>
      <c r="M583" s="13"/>
    </row>
    <row r="584" customFormat="false" ht="15.75" hidden="false" customHeight="true" outlineLevel="0" collapsed="false">
      <c r="A584" s="8" t="n">
        <f aca="false">A583+1</f>
        <v>582</v>
      </c>
      <c r="B584" s="9" t="n">
        <f aca="false">MOD(4*A584^2,10)</f>
        <v>6</v>
      </c>
      <c r="C584" s="9" t="n">
        <f aca="false">(26*B584-5*B584^2)/24</f>
        <v>-1</v>
      </c>
      <c r="D584" s="9" t="n">
        <f aca="false">(A584^2+4*C584)/5</f>
        <v>67744</v>
      </c>
      <c r="E584" s="9" t="n">
        <f aca="false">MOD(D584,10)</f>
        <v>4</v>
      </c>
      <c r="F584" s="9" t="n">
        <f aca="false">2*D584</f>
        <v>135488</v>
      </c>
      <c r="G584" s="9" t="n">
        <f aca="false">MOD(F584,10)</f>
        <v>8</v>
      </c>
      <c r="H584" s="9" t="n">
        <f aca="false">G584/2</f>
        <v>4</v>
      </c>
      <c r="I584" s="9" t="str">
        <f aca="false">IF(H584=0,"—",IF(H584=1,"unison (1:1)",IF(H584=2,"octave (2:1)",IF(H584=3,"fifth (3:2)",IF(H584=4,"fourth (4:3)","?")))))</f>
        <v>fourth (4:3)</v>
      </c>
      <c r="J584" s="9" t="str">
        <f aca="false">IF(H584=0,"—",IF(H584=1,"ὁμώνυμον",IF(H584=2,"διὰ πασῶν",IF(H584=3,"διὰ πέντε",IF(H584=4,"διὰ τεσσάρων","?")))))</f>
        <v>διὰ τεσσάρων</v>
      </c>
      <c r="K584" s="10"/>
      <c r="L584" s="14"/>
      <c r="M584" s="13"/>
    </row>
    <row r="585" customFormat="false" ht="15.75" hidden="false" customHeight="true" outlineLevel="0" collapsed="false">
      <c r="A585" s="8" t="n">
        <f aca="false">A584+1</f>
        <v>583</v>
      </c>
      <c r="B585" s="9" t="n">
        <f aca="false">MOD(4*A585^2,10)</f>
        <v>6</v>
      </c>
      <c r="C585" s="9" t="n">
        <f aca="false">(26*B585-5*B585^2)/24</f>
        <v>-1</v>
      </c>
      <c r="D585" s="9" t="n">
        <f aca="false">(A585^2+4*C585)/5</f>
        <v>67977</v>
      </c>
      <c r="E585" s="9" t="n">
        <f aca="false">MOD(D585,10)</f>
        <v>7</v>
      </c>
      <c r="F585" s="9" t="n">
        <f aca="false">2*D585</f>
        <v>135954</v>
      </c>
      <c r="G585" s="9" t="n">
        <f aca="false">MOD(F585,10)</f>
        <v>4</v>
      </c>
      <c r="H585" s="9" t="n">
        <f aca="false">G585/2</f>
        <v>2</v>
      </c>
      <c r="I585" s="9" t="str">
        <f aca="false">IF(H585=0,"—",IF(H585=1,"unison (1:1)",IF(H585=2,"octave (2:1)",IF(H585=3,"fifth (3:2)",IF(H585=4,"fourth (4:3)","?")))))</f>
        <v>octave (2:1)</v>
      </c>
      <c r="J585" s="9" t="str">
        <f aca="false">IF(H585=0,"—",IF(H585=1,"ὁμώνυμον",IF(H585=2,"διὰ πασῶν",IF(H585=3,"διὰ πέντε",IF(H585=4,"διὰ τεσσάρων","?")))))</f>
        <v>διὰ πασῶν</v>
      </c>
      <c r="K585" s="10"/>
      <c r="L585" s="14"/>
      <c r="M585" s="13"/>
    </row>
    <row r="586" customFormat="false" ht="15.75" hidden="false" customHeight="true" outlineLevel="0" collapsed="false">
      <c r="A586" s="8" t="n">
        <f aca="false">A585+1</f>
        <v>584</v>
      </c>
      <c r="B586" s="9" t="n">
        <f aca="false">MOD(4*A586^2,10)</f>
        <v>4</v>
      </c>
      <c r="C586" s="9" t="n">
        <f aca="false">(26*B586-5*B586^2)/24</f>
        <v>1</v>
      </c>
      <c r="D586" s="9" t="n">
        <f aca="false">(A586^2+4*C586)/5</f>
        <v>68212</v>
      </c>
      <c r="E586" s="9" t="n">
        <f aca="false">MOD(D586,10)</f>
        <v>2</v>
      </c>
      <c r="F586" s="9" t="n">
        <f aca="false">2*D586</f>
        <v>136424</v>
      </c>
      <c r="G586" s="9" t="n">
        <f aca="false">MOD(F586,10)</f>
        <v>4</v>
      </c>
      <c r="H586" s="9" t="n">
        <f aca="false">G586/2</f>
        <v>2</v>
      </c>
      <c r="I586" s="9" t="str">
        <f aca="false">IF(H586=0,"—",IF(H586=1,"unison (1:1)",IF(H586=2,"octave (2:1)",IF(H586=3,"fifth (3:2)",IF(H586=4,"fourth (4:3)","?")))))</f>
        <v>octave (2:1)</v>
      </c>
      <c r="J586" s="9" t="str">
        <f aca="false">IF(H586=0,"—",IF(H586=1,"ὁμώνυμον",IF(H586=2,"διὰ πασῶν",IF(H586=3,"διὰ πέντε",IF(H586=4,"διὰ τεσσάρων","?")))))</f>
        <v>διὰ πασῶν</v>
      </c>
      <c r="K586" s="10"/>
      <c r="L586" s="14"/>
      <c r="M586" s="13"/>
    </row>
    <row r="587" customFormat="false" ht="15.75" hidden="false" customHeight="true" outlineLevel="0" collapsed="false">
      <c r="A587" s="8" t="n">
        <f aca="false">A586+1</f>
        <v>585</v>
      </c>
      <c r="B587" s="9" t="n">
        <f aca="false">MOD(4*A587^2,10)</f>
        <v>0</v>
      </c>
      <c r="C587" s="9" t="n">
        <f aca="false">(26*B587-5*B587^2)/24</f>
        <v>0</v>
      </c>
      <c r="D587" s="9" t="n">
        <f aca="false">(A587^2+4*C587)/5</f>
        <v>68445</v>
      </c>
      <c r="E587" s="9" t="n">
        <f aca="false">MOD(D587,10)</f>
        <v>5</v>
      </c>
      <c r="F587" s="9" t="n">
        <f aca="false">2*D587</f>
        <v>136890</v>
      </c>
      <c r="G587" s="9" t="n">
        <f aca="false">MOD(F587,10)</f>
        <v>0</v>
      </c>
      <c r="H587" s="9" t="n">
        <f aca="false">G587/2</f>
        <v>0</v>
      </c>
      <c r="I587" s="9" t="str">
        <f aca="false">IF(H587=0,"—",IF(H587=1,"unison (1:1)",IF(H587=2,"octave (2:1)",IF(H587=3,"fifth (3:2)",IF(H587=4,"fourth (4:3)","?")))))</f>
        <v>—</v>
      </c>
      <c r="J587" s="9" t="str">
        <f aca="false">IF(H587=0,"—",IF(H587=1,"ὁμώνυμον",IF(H587=2,"διὰ πασῶν",IF(H587=3,"διὰ πέντε",IF(H587=4,"διὰ τεσσάρων","?")))))</f>
        <v>—</v>
      </c>
      <c r="K587" s="10"/>
      <c r="L587" s="14"/>
      <c r="M587" s="13"/>
    </row>
    <row r="588" customFormat="false" ht="15.75" hidden="false" customHeight="true" outlineLevel="0" collapsed="false">
      <c r="A588" s="8" t="n">
        <f aca="false">A587+1</f>
        <v>586</v>
      </c>
      <c r="B588" s="9" t="n">
        <f aca="false">MOD(4*A588^2,10)</f>
        <v>4</v>
      </c>
      <c r="C588" s="9" t="n">
        <f aca="false">(26*B588-5*B588^2)/24</f>
        <v>1</v>
      </c>
      <c r="D588" s="9" t="n">
        <f aca="false">(A588^2+4*C588)/5</f>
        <v>68680</v>
      </c>
      <c r="E588" s="9" t="n">
        <f aca="false">MOD(D588,10)</f>
        <v>0</v>
      </c>
      <c r="F588" s="9" t="n">
        <f aca="false">2*D588</f>
        <v>137360</v>
      </c>
      <c r="G588" s="9" t="n">
        <f aca="false">MOD(F588,10)</f>
        <v>0</v>
      </c>
      <c r="H588" s="9" t="n">
        <f aca="false">G588/2</f>
        <v>0</v>
      </c>
      <c r="I588" s="9" t="str">
        <f aca="false">IF(H588=0,"—",IF(H588=1,"unison (1:1)",IF(H588=2,"octave (2:1)",IF(H588=3,"fifth (3:2)",IF(H588=4,"fourth (4:3)","?")))))</f>
        <v>—</v>
      </c>
      <c r="J588" s="9" t="str">
        <f aca="false">IF(H588=0,"—",IF(H588=1,"ὁμώνυμον",IF(H588=2,"διὰ πασῶν",IF(H588=3,"διὰ πέντε",IF(H588=4,"διὰ τεσσάρων","?")))))</f>
        <v>—</v>
      </c>
      <c r="K588" s="10"/>
      <c r="L588" s="14"/>
      <c r="M588" s="13"/>
    </row>
    <row r="589" customFormat="false" ht="15.75" hidden="false" customHeight="true" outlineLevel="0" collapsed="false">
      <c r="A589" s="8" t="n">
        <f aca="false">A588+1</f>
        <v>587</v>
      </c>
      <c r="B589" s="9" t="n">
        <f aca="false">MOD(4*A589^2,10)</f>
        <v>6</v>
      </c>
      <c r="C589" s="9" t="n">
        <f aca="false">(26*B589-5*B589^2)/24</f>
        <v>-1</v>
      </c>
      <c r="D589" s="9" t="n">
        <f aca="false">(A589^2+4*C589)/5</f>
        <v>68913</v>
      </c>
      <c r="E589" s="9" t="n">
        <f aca="false">MOD(D589,10)</f>
        <v>3</v>
      </c>
      <c r="F589" s="9" t="n">
        <f aca="false">2*D589</f>
        <v>137826</v>
      </c>
      <c r="G589" s="9" t="n">
        <f aca="false">MOD(F589,10)</f>
        <v>6</v>
      </c>
      <c r="H589" s="9" t="n">
        <f aca="false">G589/2</f>
        <v>3</v>
      </c>
      <c r="I589" s="9" t="str">
        <f aca="false">IF(H589=0,"—",IF(H589=1,"unison (1:1)",IF(H589=2,"octave (2:1)",IF(H589=3,"fifth (3:2)",IF(H589=4,"fourth (4:3)","?")))))</f>
        <v>fifth (3:2)</v>
      </c>
      <c r="J589" s="9" t="str">
        <f aca="false">IF(H589=0,"—",IF(H589=1,"ὁμώνυμον",IF(H589=2,"διὰ πασῶν",IF(H589=3,"διὰ πέντε",IF(H589=4,"διὰ τεσσάρων","?")))))</f>
        <v>διὰ πέντε</v>
      </c>
      <c r="K589" s="10"/>
      <c r="L589" s="14"/>
      <c r="M589" s="13"/>
    </row>
    <row r="590" customFormat="false" ht="15.75" hidden="false" customHeight="true" outlineLevel="0" collapsed="false">
      <c r="A590" s="8" t="n">
        <f aca="false">A589+1</f>
        <v>588</v>
      </c>
      <c r="B590" s="9" t="n">
        <f aca="false">MOD(4*A590^2,10)</f>
        <v>6</v>
      </c>
      <c r="C590" s="9" t="n">
        <f aca="false">(26*B590-5*B590^2)/24</f>
        <v>-1</v>
      </c>
      <c r="D590" s="9" t="n">
        <f aca="false">(A590^2+4*C590)/5</f>
        <v>69148</v>
      </c>
      <c r="E590" s="9" t="n">
        <f aca="false">MOD(D590,10)</f>
        <v>8</v>
      </c>
      <c r="F590" s="9" t="n">
        <f aca="false">2*D590</f>
        <v>138296</v>
      </c>
      <c r="G590" s="9" t="n">
        <f aca="false">MOD(F590,10)</f>
        <v>6</v>
      </c>
      <c r="H590" s="9" t="n">
        <f aca="false">G590/2</f>
        <v>3</v>
      </c>
      <c r="I590" s="9" t="str">
        <f aca="false">IF(H590=0,"—",IF(H590=1,"unison (1:1)",IF(H590=2,"octave (2:1)",IF(H590=3,"fifth (3:2)",IF(H590=4,"fourth (4:3)","?")))))</f>
        <v>fifth (3:2)</v>
      </c>
      <c r="J590" s="9" t="str">
        <f aca="false">IF(H590=0,"—",IF(H590=1,"ὁμώνυμον",IF(H590=2,"διὰ πασῶν",IF(H590=3,"διὰ πέντε",IF(H590=4,"διὰ τεσσάρων","?")))))</f>
        <v>διὰ πέντε</v>
      </c>
      <c r="K590" s="10"/>
      <c r="L590" s="14"/>
      <c r="M590" s="13"/>
    </row>
    <row r="591" customFormat="false" ht="15.75" hidden="false" customHeight="true" outlineLevel="0" collapsed="false">
      <c r="A591" s="8" t="n">
        <f aca="false">A590+1</f>
        <v>589</v>
      </c>
      <c r="B591" s="9" t="n">
        <f aca="false">MOD(4*A591^2,10)</f>
        <v>4</v>
      </c>
      <c r="C591" s="9" t="n">
        <f aca="false">(26*B591-5*B591^2)/24</f>
        <v>1</v>
      </c>
      <c r="D591" s="9" t="n">
        <f aca="false">(A591^2+4*C591)/5</f>
        <v>69385</v>
      </c>
      <c r="E591" s="9" t="n">
        <f aca="false">MOD(D591,10)</f>
        <v>5</v>
      </c>
      <c r="F591" s="9" t="n">
        <f aca="false">2*D591</f>
        <v>138770</v>
      </c>
      <c r="G591" s="9" t="n">
        <f aca="false">MOD(F591,10)</f>
        <v>0</v>
      </c>
      <c r="H591" s="9" t="n">
        <f aca="false">G591/2</f>
        <v>0</v>
      </c>
      <c r="I591" s="9" t="str">
        <f aca="false">IF(H591=0,"—",IF(H591=1,"unison (1:1)",IF(H591=2,"octave (2:1)",IF(H591=3,"fifth (3:2)",IF(H591=4,"fourth (4:3)","?")))))</f>
        <v>—</v>
      </c>
      <c r="J591" s="9" t="str">
        <f aca="false">IF(H591=0,"—",IF(H591=1,"ὁμώνυμον",IF(H591=2,"διὰ πασῶν",IF(H591=3,"διὰ πέντε",IF(H591=4,"διὰ τεσσάρων","?")))))</f>
        <v>—</v>
      </c>
      <c r="K591" s="10"/>
      <c r="L591" s="14"/>
      <c r="M591" s="13"/>
    </row>
    <row r="592" customFormat="false" ht="15.75" hidden="false" customHeight="true" outlineLevel="0" collapsed="false">
      <c r="A592" s="8" t="n">
        <f aca="false">A591+1</f>
        <v>590</v>
      </c>
      <c r="B592" s="9" t="n">
        <f aca="false">MOD(4*A592^2,10)</f>
        <v>0</v>
      </c>
      <c r="C592" s="9" t="n">
        <f aca="false">(26*B592-5*B592^2)/24</f>
        <v>0</v>
      </c>
      <c r="D592" s="9" t="n">
        <f aca="false">(A592^2+4*C592)/5</f>
        <v>69620</v>
      </c>
      <c r="E592" s="9" t="n">
        <f aca="false">MOD(D592,10)</f>
        <v>0</v>
      </c>
      <c r="F592" s="9" t="n">
        <f aca="false">2*D592</f>
        <v>139240</v>
      </c>
      <c r="G592" s="9" t="n">
        <f aca="false">MOD(F592,10)</f>
        <v>0</v>
      </c>
      <c r="H592" s="9" t="n">
        <f aca="false">G592/2</f>
        <v>0</v>
      </c>
      <c r="I592" s="9" t="str">
        <f aca="false">IF(H592=0,"—",IF(H592=1,"unison (1:1)",IF(H592=2,"octave (2:1)",IF(H592=3,"fifth (3:2)",IF(H592=4,"fourth (4:3)","?")))))</f>
        <v>—</v>
      </c>
      <c r="J592" s="9" t="str">
        <f aca="false">IF(H592=0,"—",IF(H592=1,"ὁμώνυμον",IF(H592=2,"διὰ πασῶν",IF(H592=3,"διὰ πέντε",IF(H592=4,"διὰ τεσσάρων","?")))))</f>
        <v>—</v>
      </c>
      <c r="K592" s="10"/>
      <c r="L592" s="14"/>
      <c r="M592" s="13"/>
    </row>
    <row r="593" customFormat="false" ht="15.75" hidden="false" customHeight="true" outlineLevel="0" collapsed="false">
      <c r="A593" s="8" t="n">
        <f aca="false">A592+1</f>
        <v>591</v>
      </c>
      <c r="B593" s="9" t="n">
        <f aca="false">MOD(4*A593^2,10)</f>
        <v>4</v>
      </c>
      <c r="C593" s="9" t="n">
        <f aca="false">(26*B593-5*B593^2)/24</f>
        <v>1</v>
      </c>
      <c r="D593" s="9" t="n">
        <f aca="false">(A593^2+4*C593)/5</f>
        <v>69857</v>
      </c>
      <c r="E593" s="9" t="n">
        <f aca="false">MOD(D593,10)</f>
        <v>7</v>
      </c>
      <c r="F593" s="9" t="n">
        <f aca="false">2*D593</f>
        <v>139714</v>
      </c>
      <c r="G593" s="9" t="n">
        <f aca="false">MOD(F593,10)</f>
        <v>4</v>
      </c>
      <c r="H593" s="9" t="n">
        <f aca="false">G593/2</f>
        <v>2</v>
      </c>
      <c r="I593" s="9" t="str">
        <f aca="false">IF(H593=0,"—",IF(H593=1,"unison (1:1)",IF(H593=2,"octave (2:1)",IF(H593=3,"fifth (3:2)",IF(H593=4,"fourth (4:3)","?")))))</f>
        <v>octave (2:1)</v>
      </c>
      <c r="J593" s="9" t="str">
        <f aca="false">IF(H593=0,"—",IF(H593=1,"ὁμώνυμον",IF(H593=2,"διὰ πασῶν",IF(H593=3,"διὰ πέντε",IF(H593=4,"διὰ τεσσάρων","?")))))</f>
        <v>διὰ πασῶν</v>
      </c>
      <c r="K593" s="10"/>
      <c r="L593" s="14"/>
      <c r="M593" s="13"/>
    </row>
    <row r="594" customFormat="false" ht="15.75" hidden="false" customHeight="true" outlineLevel="0" collapsed="false">
      <c r="A594" s="8" t="n">
        <f aca="false">A593+1</f>
        <v>592</v>
      </c>
      <c r="B594" s="9" t="n">
        <f aca="false">MOD(4*A594^2,10)</f>
        <v>6</v>
      </c>
      <c r="C594" s="9" t="n">
        <f aca="false">(26*B594-5*B594^2)/24</f>
        <v>-1</v>
      </c>
      <c r="D594" s="9" t="n">
        <f aca="false">(A594^2+4*C594)/5</f>
        <v>70092</v>
      </c>
      <c r="E594" s="9" t="n">
        <f aca="false">MOD(D594,10)</f>
        <v>2</v>
      </c>
      <c r="F594" s="9" t="n">
        <f aca="false">2*D594</f>
        <v>140184</v>
      </c>
      <c r="G594" s="9" t="n">
        <f aca="false">MOD(F594,10)</f>
        <v>4</v>
      </c>
      <c r="H594" s="9" t="n">
        <f aca="false">G594/2</f>
        <v>2</v>
      </c>
      <c r="I594" s="9" t="str">
        <f aca="false">IF(H594=0,"—",IF(H594=1,"unison (1:1)",IF(H594=2,"octave (2:1)",IF(H594=3,"fifth (3:2)",IF(H594=4,"fourth (4:3)","?")))))</f>
        <v>octave (2:1)</v>
      </c>
      <c r="J594" s="9" t="str">
        <f aca="false">IF(H594=0,"—",IF(H594=1,"ὁμώνυμον",IF(H594=2,"διὰ πασῶν",IF(H594=3,"διὰ πέντε",IF(H594=4,"διὰ τεσσάρων","?")))))</f>
        <v>διὰ πασῶν</v>
      </c>
      <c r="K594" s="10"/>
      <c r="L594" s="14"/>
      <c r="M594" s="13"/>
    </row>
    <row r="595" customFormat="false" ht="15.75" hidden="false" customHeight="true" outlineLevel="0" collapsed="false">
      <c r="A595" s="8" t="n">
        <f aca="false">A594+1</f>
        <v>593</v>
      </c>
      <c r="B595" s="9" t="n">
        <f aca="false">MOD(4*A595^2,10)</f>
        <v>6</v>
      </c>
      <c r="C595" s="9" t="n">
        <f aca="false">(26*B595-5*B595^2)/24</f>
        <v>-1</v>
      </c>
      <c r="D595" s="9" t="n">
        <f aca="false">(A595^2+4*C595)/5</f>
        <v>70329</v>
      </c>
      <c r="E595" s="9" t="n">
        <f aca="false">MOD(D595,10)</f>
        <v>9</v>
      </c>
      <c r="F595" s="9" t="n">
        <f aca="false">2*D595</f>
        <v>140658</v>
      </c>
      <c r="G595" s="9" t="n">
        <f aca="false">MOD(F595,10)</f>
        <v>8</v>
      </c>
      <c r="H595" s="9" t="n">
        <f aca="false">G595/2</f>
        <v>4</v>
      </c>
      <c r="I595" s="9" t="str">
        <f aca="false">IF(H595=0,"—",IF(H595=1,"unison (1:1)",IF(H595=2,"octave (2:1)",IF(H595=3,"fifth (3:2)",IF(H595=4,"fourth (4:3)","?")))))</f>
        <v>fourth (4:3)</v>
      </c>
      <c r="J595" s="9" t="str">
        <f aca="false">IF(H595=0,"—",IF(H595=1,"ὁμώνυμον",IF(H595=2,"διὰ πασῶν",IF(H595=3,"διὰ πέντε",IF(H595=4,"διὰ τεσσάρων","?")))))</f>
        <v>διὰ τεσσάρων</v>
      </c>
      <c r="K595" s="10"/>
      <c r="L595" s="14"/>
      <c r="M595" s="13"/>
    </row>
    <row r="596" customFormat="false" ht="15.75" hidden="false" customHeight="true" outlineLevel="0" collapsed="false">
      <c r="A596" s="8" t="n">
        <f aca="false">A595+1</f>
        <v>594</v>
      </c>
      <c r="B596" s="9" t="n">
        <f aca="false">MOD(4*A596^2,10)</f>
        <v>4</v>
      </c>
      <c r="C596" s="9" t="n">
        <f aca="false">(26*B596-5*B596^2)/24</f>
        <v>1</v>
      </c>
      <c r="D596" s="9" t="n">
        <f aca="false">(A596^2+4*C596)/5</f>
        <v>70568</v>
      </c>
      <c r="E596" s="9" t="n">
        <f aca="false">MOD(D596,10)</f>
        <v>8</v>
      </c>
      <c r="F596" s="9" t="n">
        <f aca="false">2*D596</f>
        <v>141136</v>
      </c>
      <c r="G596" s="9" t="n">
        <f aca="false">MOD(F596,10)</f>
        <v>6</v>
      </c>
      <c r="H596" s="9" t="n">
        <f aca="false">G596/2</f>
        <v>3</v>
      </c>
      <c r="I596" s="9" t="str">
        <f aca="false">IF(H596=0,"—",IF(H596=1,"unison (1:1)",IF(H596=2,"octave (2:1)",IF(H596=3,"fifth (3:2)",IF(H596=4,"fourth (4:3)","?")))))</f>
        <v>fifth (3:2)</v>
      </c>
      <c r="J596" s="9" t="str">
        <f aca="false">IF(H596=0,"—",IF(H596=1,"ὁμώνυμον",IF(H596=2,"διὰ πασῶν",IF(H596=3,"διὰ πέντε",IF(H596=4,"διὰ τεσσάρων","?")))))</f>
        <v>διὰ πέντε</v>
      </c>
      <c r="K596" s="10"/>
      <c r="L596" s="14"/>
      <c r="M596" s="13"/>
    </row>
    <row r="597" customFormat="false" ht="15.75" hidden="false" customHeight="true" outlineLevel="0" collapsed="false">
      <c r="A597" s="8" t="n">
        <f aca="false">A596+1</f>
        <v>595</v>
      </c>
      <c r="B597" s="9" t="n">
        <f aca="false">MOD(4*A597^2,10)</f>
        <v>0</v>
      </c>
      <c r="C597" s="9" t="n">
        <f aca="false">(26*B597-5*B597^2)/24</f>
        <v>0</v>
      </c>
      <c r="D597" s="9" t="n">
        <f aca="false">(A597^2+4*C597)/5</f>
        <v>70805</v>
      </c>
      <c r="E597" s="9" t="n">
        <f aca="false">MOD(D597,10)</f>
        <v>5</v>
      </c>
      <c r="F597" s="9" t="n">
        <f aca="false">2*D597</f>
        <v>141610</v>
      </c>
      <c r="G597" s="9" t="n">
        <f aca="false">MOD(F597,10)</f>
        <v>0</v>
      </c>
      <c r="H597" s="9" t="n">
        <f aca="false">G597/2</f>
        <v>0</v>
      </c>
      <c r="I597" s="9" t="str">
        <f aca="false">IF(H597=0,"—",IF(H597=1,"unison (1:1)",IF(H597=2,"octave (2:1)",IF(H597=3,"fifth (3:2)",IF(H597=4,"fourth (4:3)","?")))))</f>
        <v>—</v>
      </c>
      <c r="J597" s="9" t="str">
        <f aca="false">IF(H597=0,"—",IF(H597=1,"ὁμώνυμον",IF(H597=2,"διὰ πασῶν",IF(H597=3,"διὰ πέντε",IF(H597=4,"διὰ τεσσάρων","?")))))</f>
        <v>—</v>
      </c>
      <c r="K597" s="10"/>
      <c r="L597" s="14"/>
      <c r="M597" s="13"/>
    </row>
    <row r="598" customFormat="false" ht="15.75" hidden="false" customHeight="true" outlineLevel="0" collapsed="false">
      <c r="A598" s="8" t="n">
        <f aca="false">A597+1</f>
        <v>596</v>
      </c>
      <c r="B598" s="9" t="n">
        <f aca="false">MOD(4*A598^2,10)</f>
        <v>4</v>
      </c>
      <c r="C598" s="9" t="n">
        <f aca="false">(26*B598-5*B598^2)/24</f>
        <v>1</v>
      </c>
      <c r="D598" s="9" t="n">
        <f aca="false">(A598^2+4*C598)/5</f>
        <v>71044</v>
      </c>
      <c r="E598" s="9" t="n">
        <f aca="false">MOD(D598,10)</f>
        <v>4</v>
      </c>
      <c r="F598" s="9" t="n">
        <f aca="false">2*D598</f>
        <v>142088</v>
      </c>
      <c r="G598" s="9" t="n">
        <f aca="false">MOD(F598,10)</f>
        <v>8</v>
      </c>
      <c r="H598" s="9" t="n">
        <f aca="false">G598/2</f>
        <v>4</v>
      </c>
      <c r="I598" s="9" t="str">
        <f aca="false">IF(H598=0,"—",IF(H598=1,"unison (1:1)",IF(H598=2,"octave (2:1)",IF(H598=3,"fifth (3:2)",IF(H598=4,"fourth (4:3)","?")))))</f>
        <v>fourth (4:3)</v>
      </c>
      <c r="J598" s="9" t="str">
        <f aca="false">IF(H598=0,"—",IF(H598=1,"ὁμώνυμον",IF(H598=2,"διὰ πασῶν",IF(H598=3,"διὰ πέντε",IF(H598=4,"διὰ τεσσάρων","?")))))</f>
        <v>διὰ τεσσάρων</v>
      </c>
      <c r="K598" s="10"/>
      <c r="L598" s="14"/>
      <c r="M598" s="13"/>
    </row>
    <row r="599" customFormat="false" ht="15.75" hidden="false" customHeight="true" outlineLevel="0" collapsed="false">
      <c r="A599" s="8" t="n">
        <f aca="false">A598+1</f>
        <v>597</v>
      </c>
      <c r="B599" s="9" t="n">
        <f aca="false">MOD(4*A599^2,10)</f>
        <v>6</v>
      </c>
      <c r="C599" s="9" t="n">
        <f aca="false">(26*B599-5*B599^2)/24</f>
        <v>-1</v>
      </c>
      <c r="D599" s="9" t="n">
        <f aca="false">(A599^2+4*C599)/5</f>
        <v>71281</v>
      </c>
      <c r="E599" s="9" t="n">
        <f aca="false">MOD(D599,10)</f>
        <v>1</v>
      </c>
      <c r="F599" s="9" t="n">
        <f aca="false">2*D599</f>
        <v>142562</v>
      </c>
      <c r="G599" s="9" t="n">
        <f aca="false">MOD(F599,10)</f>
        <v>2</v>
      </c>
      <c r="H599" s="9" t="n">
        <f aca="false">G599/2</f>
        <v>1</v>
      </c>
      <c r="I599" s="9" t="str">
        <f aca="false">IF(H599=0,"—",IF(H599=1,"unison (1:1)",IF(H599=2,"octave (2:1)",IF(H599=3,"fifth (3:2)",IF(H599=4,"fourth (4:3)","?")))))</f>
        <v>unison (1:1)</v>
      </c>
      <c r="J599" s="9" t="str">
        <f aca="false">IF(H599=0,"—",IF(H599=1,"ὁμώνυμον",IF(H599=2,"διὰ πασῶν",IF(H599=3,"διὰ πέντε",IF(H599=4,"διὰ τεσσάρων","?")))))</f>
        <v>ὁμώνυμον</v>
      </c>
      <c r="K599" s="10"/>
      <c r="L599" s="14"/>
      <c r="M599" s="13"/>
    </row>
    <row r="600" customFormat="false" ht="15.75" hidden="false" customHeight="true" outlineLevel="0" collapsed="false">
      <c r="A600" s="8" t="n">
        <f aca="false">A599+1</f>
        <v>598</v>
      </c>
      <c r="B600" s="9" t="n">
        <f aca="false">MOD(4*A600^2,10)</f>
        <v>6</v>
      </c>
      <c r="C600" s="9" t="n">
        <f aca="false">(26*B600-5*B600^2)/24</f>
        <v>-1</v>
      </c>
      <c r="D600" s="9" t="n">
        <f aca="false">(A600^2+4*C600)/5</f>
        <v>71520</v>
      </c>
      <c r="E600" s="9" t="n">
        <f aca="false">MOD(D600,10)</f>
        <v>0</v>
      </c>
      <c r="F600" s="9" t="n">
        <f aca="false">2*D600</f>
        <v>143040</v>
      </c>
      <c r="G600" s="9" t="n">
        <f aca="false">MOD(F600,10)</f>
        <v>0</v>
      </c>
      <c r="H600" s="9" t="n">
        <f aca="false">G600/2</f>
        <v>0</v>
      </c>
      <c r="I600" s="9" t="str">
        <f aca="false">IF(H600=0,"—",IF(H600=1,"unison (1:1)",IF(H600=2,"octave (2:1)",IF(H600=3,"fifth (3:2)",IF(H600=4,"fourth (4:3)","?")))))</f>
        <v>—</v>
      </c>
      <c r="J600" s="9" t="str">
        <f aca="false">IF(H600=0,"—",IF(H600=1,"ὁμώνυμον",IF(H600=2,"διὰ πασῶν",IF(H600=3,"διὰ πέντε",IF(H600=4,"διὰ τεσσάρων","?")))))</f>
        <v>—</v>
      </c>
      <c r="K600" s="10"/>
      <c r="L600" s="14"/>
      <c r="M600" s="13"/>
    </row>
    <row r="601" customFormat="false" ht="15.75" hidden="false" customHeight="true" outlineLevel="0" collapsed="false">
      <c r="A601" s="8" t="n">
        <f aca="false">A600+1</f>
        <v>599</v>
      </c>
      <c r="B601" s="9" t="n">
        <f aca="false">MOD(4*A601^2,10)</f>
        <v>4</v>
      </c>
      <c r="C601" s="9" t="n">
        <f aca="false">(26*B601-5*B601^2)/24</f>
        <v>1</v>
      </c>
      <c r="D601" s="9" t="n">
        <f aca="false">(A601^2+4*C601)/5</f>
        <v>71761</v>
      </c>
      <c r="E601" s="9" t="n">
        <f aca="false">MOD(D601,10)</f>
        <v>1</v>
      </c>
      <c r="F601" s="9" t="n">
        <f aca="false">2*D601</f>
        <v>143522</v>
      </c>
      <c r="G601" s="9" t="n">
        <f aca="false">MOD(F601,10)</f>
        <v>2</v>
      </c>
      <c r="H601" s="9" t="n">
        <f aca="false">G601/2</f>
        <v>1</v>
      </c>
      <c r="I601" s="9" t="str">
        <f aca="false">IF(H601=0,"—",IF(H601=1,"unison (1:1)",IF(H601=2,"octave (2:1)",IF(H601=3,"fifth (3:2)",IF(H601=4,"fourth (4:3)","?")))))</f>
        <v>unison (1:1)</v>
      </c>
      <c r="J601" s="9" t="str">
        <f aca="false">IF(H601=0,"—",IF(H601=1,"ὁμώνυμον",IF(H601=2,"διὰ πασῶν",IF(H601=3,"διὰ πέντε",IF(H601=4,"διὰ τεσσάρων","?")))))</f>
        <v>ὁμώνυμον</v>
      </c>
      <c r="K601" s="10"/>
      <c r="L601" s="14"/>
      <c r="M601" s="13"/>
    </row>
    <row r="602" customFormat="false" ht="15.75" hidden="false" customHeight="true" outlineLevel="0" collapsed="false">
      <c r="A602" s="8" t="n">
        <f aca="false">A601+1</f>
        <v>600</v>
      </c>
      <c r="B602" s="9" t="n">
        <f aca="false">MOD(4*A602^2,10)</f>
        <v>0</v>
      </c>
      <c r="C602" s="9" t="n">
        <f aca="false">(26*B602-5*B602^2)/24</f>
        <v>0</v>
      </c>
      <c r="D602" s="9" t="n">
        <f aca="false">(A602^2+4*C602)/5</f>
        <v>72000</v>
      </c>
      <c r="E602" s="9" t="n">
        <f aca="false">MOD(D602,10)</f>
        <v>0</v>
      </c>
      <c r="F602" s="9" t="n">
        <f aca="false">2*D602</f>
        <v>144000</v>
      </c>
      <c r="G602" s="9" t="n">
        <f aca="false">MOD(F602,10)</f>
        <v>0</v>
      </c>
      <c r="H602" s="9" t="n">
        <f aca="false">G602/2</f>
        <v>0</v>
      </c>
      <c r="I602" s="9" t="str">
        <f aca="false">IF(H602=0,"—",IF(H602=1,"unison (1:1)",IF(H602=2,"octave (2:1)",IF(H602=3,"fifth (3:2)",IF(H602=4,"fourth (4:3)","?")))))</f>
        <v>—</v>
      </c>
      <c r="J602" s="9" t="str">
        <f aca="false">IF(H602=0,"—",IF(H602=1,"ὁμώνυμον",IF(H602=2,"διὰ πασῶν",IF(H602=3,"διὰ πέντε",IF(H602=4,"διὰ τεσσάρων","?")))))</f>
        <v>—</v>
      </c>
      <c r="K602" s="10"/>
      <c r="L602" s="14"/>
      <c r="M602" s="13"/>
    </row>
    <row r="603" customFormat="false" ht="15.75" hidden="false" customHeight="true" outlineLevel="0" collapsed="false">
      <c r="A603" s="8" t="n">
        <f aca="false">A602+1</f>
        <v>601</v>
      </c>
      <c r="B603" s="9" t="n">
        <f aca="false">MOD(4*A603^2,10)</f>
        <v>4</v>
      </c>
      <c r="C603" s="9" t="n">
        <f aca="false">(26*B603-5*B603^2)/24</f>
        <v>1</v>
      </c>
      <c r="D603" s="9" t="n">
        <f aca="false">(A603^2+4*C603)/5</f>
        <v>72241</v>
      </c>
      <c r="E603" s="9" t="n">
        <f aca="false">MOD(D603,10)</f>
        <v>1</v>
      </c>
      <c r="F603" s="9" t="n">
        <f aca="false">2*D603</f>
        <v>144482</v>
      </c>
      <c r="G603" s="9" t="n">
        <f aca="false">MOD(F603,10)</f>
        <v>2</v>
      </c>
      <c r="H603" s="9" t="n">
        <f aca="false">G603/2</f>
        <v>1</v>
      </c>
      <c r="I603" s="9" t="str">
        <f aca="false">IF(H603=0,"—",IF(H603=1,"unison (1:1)",IF(H603=2,"octave (2:1)",IF(H603=3,"fifth (3:2)",IF(H603=4,"fourth (4:3)","?")))))</f>
        <v>unison (1:1)</v>
      </c>
      <c r="J603" s="9" t="str">
        <f aca="false">IF(H603=0,"—",IF(H603=1,"ὁμώνυμον",IF(H603=2,"διὰ πασῶν",IF(H603=3,"διὰ πέντε",IF(H603=4,"διὰ τεσσάρων","?")))))</f>
        <v>ὁμώνυμον</v>
      </c>
      <c r="K603" s="10"/>
      <c r="L603" s="14"/>
      <c r="M603" s="13"/>
    </row>
    <row r="604" customFormat="false" ht="15.75" hidden="false" customHeight="true" outlineLevel="0" collapsed="false">
      <c r="A604" s="8" t="n">
        <f aca="false">A603+1</f>
        <v>602</v>
      </c>
      <c r="B604" s="9" t="n">
        <f aca="false">MOD(4*A604^2,10)</f>
        <v>6</v>
      </c>
      <c r="C604" s="9" t="n">
        <f aca="false">(26*B604-5*B604^2)/24</f>
        <v>-1</v>
      </c>
      <c r="D604" s="9" t="n">
        <f aca="false">(A604^2+4*C604)/5</f>
        <v>72480</v>
      </c>
      <c r="E604" s="9" t="n">
        <f aca="false">MOD(D604,10)</f>
        <v>0</v>
      </c>
      <c r="F604" s="9" t="n">
        <f aca="false">2*D604</f>
        <v>144960</v>
      </c>
      <c r="G604" s="9" t="n">
        <f aca="false">MOD(F604,10)</f>
        <v>0</v>
      </c>
      <c r="H604" s="9" t="n">
        <f aca="false">G604/2</f>
        <v>0</v>
      </c>
      <c r="I604" s="9" t="str">
        <f aca="false">IF(H604=0,"—",IF(H604=1,"unison (1:1)",IF(H604=2,"octave (2:1)",IF(H604=3,"fifth (3:2)",IF(H604=4,"fourth (4:3)","?")))))</f>
        <v>—</v>
      </c>
      <c r="J604" s="9" t="str">
        <f aca="false">IF(H604=0,"—",IF(H604=1,"ὁμώνυμον",IF(H604=2,"διὰ πασῶν",IF(H604=3,"διὰ πέντε",IF(H604=4,"διὰ τεσσάρων","?")))))</f>
        <v>—</v>
      </c>
      <c r="K604" s="10"/>
      <c r="L604" s="14"/>
      <c r="M604" s="13"/>
    </row>
    <row r="605" customFormat="false" ht="15.75" hidden="false" customHeight="true" outlineLevel="0" collapsed="false">
      <c r="A605" s="8" t="n">
        <f aca="false">A604+1</f>
        <v>603</v>
      </c>
      <c r="B605" s="9" t="n">
        <f aca="false">MOD(4*A605^2,10)</f>
        <v>6</v>
      </c>
      <c r="C605" s="9" t="n">
        <f aca="false">(26*B605-5*B605^2)/24</f>
        <v>-1</v>
      </c>
      <c r="D605" s="9" t="n">
        <f aca="false">(A605^2+4*C605)/5</f>
        <v>72721</v>
      </c>
      <c r="E605" s="9" t="n">
        <f aca="false">MOD(D605,10)</f>
        <v>1</v>
      </c>
      <c r="F605" s="9" t="n">
        <f aca="false">2*D605</f>
        <v>145442</v>
      </c>
      <c r="G605" s="9" t="n">
        <f aca="false">MOD(F605,10)</f>
        <v>2</v>
      </c>
      <c r="H605" s="9" t="n">
        <f aca="false">G605/2</f>
        <v>1</v>
      </c>
      <c r="I605" s="9" t="str">
        <f aca="false">IF(H605=0,"—",IF(H605=1,"unison (1:1)",IF(H605=2,"octave (2:1)",IF(H605=3,"fifth (3:2)",IF(H605=4,"fourth (4:3)","?")))))</f>
        <v>unison (1:1)</v>
      </c>
      <c r="J605" s="9" t="str">
        <f aca="false">IF(H605=0,"—",IF(H605=1,"ὁμώνυμον",IF(H605=2,"διὰ πασῶν",IF(H605=3,"διὰ πέντε",IF(H605=4,"διὰ τεσσάρων","?")))))</f>
        <v>ὁμώνυμον</v>
      </c>
      <c r="K605" s="10"/>
      <c r="L605" s="14"/>
      <c r="M605" s="13"/>
    </row>
    <row r="606" customFormat="false" ht="15.75" hidden="false" customHeight="true" outlineLevel="0" collapsed="false">
      <c r="A606" s="8" t="n">
        <f aca="false">A605+1</f>
        <v>604</v>
      </c>
      <c r="B606" s="9" t="n">
        <f aca="false">MOD(4*A606^2,10)</f>
        <v>4</v>
      </c>
      <c r="C606" s="9" t="n">
        <f aca="false">(26*B606-5*B606^2)/24</f>
        <v>1</v>
      </c>
      <c r="D606" s="9" t="n">
        <f aca="false">(A606^2+4*C606)/5</f>
        <v>72964</v>
      </c>
      <c r="E606" s="9" t="n">
        <f aca="false">MOD(D606,10)</f>
        <v>4</v>
      </c>
      <c r="F606" s="9" t="n">
        <f aca="false">2*D606</f>
        <v>145928</v>
      </c>
      <c r="G606" s="9" t="n">
        <f aca="false">MOD(F606,10)</f>
        <v>8</v>
      </c>
      <c r="H606" s="9" t="n">
        <f aca="false">G606/2</f>
        <v>4</v>
      </c>
      <c r="I606" s="9" t="str">
        <f aca="false">IF(H606=0,"—",IF(H606=1,"unison (1:1)",IF(H606=2,"octave (2:1)",IF(H606=3,"fifth (3:2)",IF(H606=4,"fourth (4:3)","?")))))</f>
        <v>fourth (4:3)</v>
      </c>
      <c r="J606" s="9" t="str">
        <f aca="false">IF(H606=0,"—",IF(H606=1,"ὁμώνυμον",IF(H606=2,"διὰ πασῶν",IF(H606=3,"διὰ πέντε",IF(H606=4,"διὰ τεσσάρων","?")))))</f>
        <v>διὰ τεσσάρων</v>
      </c>
      <c r="K606" s="10"/>
      <c r="L606" s="14"/>
      <c r="M606" s="13"/>
    </row>
    <row r="607" customFormat="false" ht="15.75" hidden="false" customHeight="true" outlineLevel="0" collapsed="false">
      <c r="A607" s="8" t="n">
        <f aca="false">A606+1</f>
        <v>605</v>
      </c>
      <c r="B607" s="9" t="n">
        <f aca="false">MOD(4*A607^2,10)</f>
        <v>0</v>
      </c>
      <c r="C607" s="9" t="n">
        <f aca="false">(26*B607-5*B607^2)/24</f>
        <v>0</v>
      </c>
      <c r="D607" s="9" t="n">
        <f aca="false">(A607^2+4*C607)/5</f>
        <v>73205</v>
      </c>
      <c r="E607" s="9" t="n">
        <f aca="false">MOD(D607,10)</f>
        <v>5</v>
      </c>
      <c r="F607" s="9" t="n">
        <f aca="false">2*D607</f>
        <v>146410</v>
      </c>
      <c r="G607" s="9" t="n">
        <f aca="false">MOD(F607,10)</f>
        <v>0</v>
      </c>
      <c r="H607" s="9" t="n">
        <f aca="false">G607/2</f>
        <v>0</v>
      </c>
      <c r="I607" s="9" t="str">
        <f aca="false">IF(H607=0,"—",IF(H607=1,"unison (1:1)",IF(H607=2,"octave (2:1)",IF(H607=3,"fifth (3:2)",IF(H607=4,"fourth (4:3)","?")))))</f>
        <v>—</v>
      </c>
      <c r="J607" s="9" t="str">
        <f aca="false">IF(H607=0,"—",IF(H607=1,"ὁμώνυμον",IF(H607=2,"διὰ πασῶν",IF(H607=3,"διὰ πέντε",IF(H607=4,"διὰ τεσσάρων","?")))))</f>
        <v>—</v>
      </c>
      <c r="K607" s="10"/>
      <c r="L607" s="14"/>
      <c r="M607" s="13"/>
    </row>
    <row r="608" customFormat="false" ht="15.75" hidden="false" customHeight="true" outlineLevel="0" collapsed="false">
      <c r="A608" s="8" t="n">
        <f aca="false">A607+1</f>
        <v>606</v>
      </c>
      <c r="B608" s="9" t="n">
        <f aca="false">MOD(4*A608^2,10)</f>
        <v>4</v>
      </c>
      <c r="C608" s="9" t="n">
        <f aca="false">(26*B608-5*B608^2)/24</f>
        <v>1</v>
      </c>
      <c r="D608" s="9" t="n">
        <f aca="false">(A608^2+4*C608)/5</f>
        <v>73448</v>
      </c>
      <c r="E608" s="9" t="n">
        <f aca="false">MOD(D608,10)</f>
        <v>8</v>
      </c>
      <c r="F608" s="9" t="n">
        <f aca="false">2*D608</f>
        <v>146896</v>
      </c>
      <c r="G608" s="9" t="n">
        <f aca="false">MOD(F608,10)</f>
        <v>6</v>
      </c>
      <c r="H608" s="9" t="n">
        <f aca="false">G608/2</f>
        <v>3</v>
      </c>
      <c r="I608" s="9" t="str">
        <f aca="false">IF(H608=0,"—",IF(H608=1,"unison (1:1)",IF(H608=2,"octave (2:1)",IF(H608=3,"fifth (3:2)",IF(H608=4,"fourth (4:3)","?")))))</f>
        <v>fifth (3:2)</v>
      </c>
      <c r="J608" s="9" t="str">
        <f aca="false">IF(H608=0,"—",IF(H608=1,"ὁμώνυμον",IF(H608=2,"διὰ πασῶν",IF(H608=3,"διὰ πέντε",IF(H608=4,"διὰ τεσσάρων","?")))))</f>
        <v>διὰ πέντε</v>
      </c>
      <c r="K608" s="10"/>
      <c r="L608" s="14"/>
      <c r="M608" s="13"/>
    </row>
    <row r="609" customFormat="false" ht="15.75" hidden="false" customHeight="true" outlineLevel="0" collapsed="false">
      <c r="A609" s="8" t="n">
        <f aca="false">A608+1</f>
        <v>607</v>
      </c>
      <c r="B609" s="9" t="n">
        <f aca="false">MOD(4*A609^2,10)</f>
        <v>6</v>
      </c>
      <c r="C609" s="9" t="n">
        <f aca="false">(26*B609-5*B609^2)/24</f>
        <v>-1</v>
      </c>
      <c r="D609" s="9" t="n">
        <f aca="false">(A609^2+4*C609)/5</f>
        <v>73689</v>
      </c>
      <c r="E609" s="9" t="n">
        <f aca="false">MOD(D609,10)</f>
        <v>9</v>
      </c>
      <c r="F609" s="9" t="n">
        <f aca="false">2*D609</f>
        <v>147378</v>
      </c>
      <c r="G609" s="9" t="n">
        <f aca="false">MOD(F609,10)</f>
        <v>8</v>
      </c>
      <c r="H609" s="9" t="n">
        <f aca="false">G609/2</f>
        <v>4</v>
      </c>
      <c r="I609" s="9" t="str">
        <f aca="false">IF(H609=0,"—",IF(H609=1,"unison (1:1)",IF(H609=2,"octave (2:1)",IF(H609=3,"fifth (3:2)",IF(H609=4,"fourth (4:3)","?")))))</f>
        <v>fourth (4:3)</v>
      </c>
      <c r="J609" s="9" t="str">
        <f aca="false">IF(H609=0,"—",IF(H609=1,"ὁμώνυμον",IF(H609=2,"διὰ πασῶν",IF(H609=3,"διὰ πέντε",IF(H609=4,"διὰ τεσσάρων","?")))))</f>
        <v>διὰ τεσσάρων</v>
      </c>
      <c r="K609" s="10"/>
      <c r="L609" s="14"/>
      <c r="M609" s="13"/>
    </row>
    <row r="610" customFormat="false" ht="15.75" hidden="false" customHeight="true" outlineLevel="0" collapsed="false">
      <c r="A610" s="8" t="n">
        <f aca="false">A609+1</f>
        <v>608</v>
      </c>
      <c r="B610" s="9" t="n">
        <f aca="false">MOD(4*A610^2,10)</f>
        <v>6</v>
      </c>
      <c r="C610" s="9" t="n">
        <f aca="false">(26*B610-5*B610^2)/24</f>
        <v>-1</v>
      </c>
      <c r="D610" s="9" t="n">
        <f aca="false">(A610^2+4*C610)/5</f>
        <v>73932</v>
      </c>
      <c r="E610" s="9" t="n">
        <f aca="false">MOD(D610,10)</f>
        <v>2</v>
      </c>
      <c r="F610" s="9" t="n">
        <f aca="false">2*D610</f>
        <v>147864</v>
      </c>
      <c r="G610" s="9" t="n">
        <f aca="false">MOD(F610,10)</f>
        <v>4</v>
      </c>
      <c r="H610" s="9" t="n">
        <f aca="false">G610/2</f>
        <v>2</v>
      </c>
      <c r="I610" s="9" t="str">
        <f aca="false">IF(H610=0,"—",IF(H610=1,"unison (1:1)",IF(H610=2,"octave (2:1)",IF(H610=3,"fifth (3:2)",IF(H610=4,"fourth (4:3)","?")))))</f>
        <v>octave (2:1)</v>
      </c>
      <c r="J610" s="9" t="str">
        <f aca="false">IF(H610=0,"—",IF(H610=1,"ὁμώνυμον",IF(H610=2,"διὰ πασῶν",IF(H610=3,"διὰ πέντε",IF(H610=4,"διὰ τεσσάρων","?")))))</f>
        <v>διὰ πασῶν</v>
      </c>
      <c r="K610" s="10"/>
      <c r="L610" s="14"/>
      <c r="M610" s="13"/>
    </row>
    <row r="611" customFormat="false" ht="15.75" hidden="false" customHeight="true" outlineLevel="0" collapsed="false">
      <c r="A611" s="8" t="n">
        <f aca="false">A610+1</f>
        <v>609</v>
      </c>
      <c r="B611" s="9" t="n">
        <f aca="false">MOD(4*A611^2,10)</f>
        <v>4</v>
      </c>
      <c r="C611" s="9" t="n">
        <f aca="false">(26*B611-5*B611^2)/24</f>
        <v>1</v>
      </c>
      <c r="D611" s="9" t="n">
        <f aca="false">(A611^2+4*C611)/5</f>
        <v>74177</v>
      </c>
      <c r="E611" s="9" t="n">
        <f aca="false">MOD(D611,10)</f>
        <v>7</v>
      </c>
      <c r="F611" s="9" t="n">
        <f aca="false">2*D611</f>
        <v>148354</v>
      </c>
      <c r="G611" s="9" t="n">
        <f aca="false">MOD(F611,10)</f>
        <v>4</v>
      </c>
      <c r="H611" s="9" t="n">
        <f aca="false">G611/2</f>
        <v>2</v>
      </c>
      <c r="I611" s="9" t="str">
        <f aca="false">IF(H611=0,"—",IF(H611=1,"unison (1:1)",IF(H611=2,"octave (2:1)",IF(H611=3,"fifth (3:2)",IF(H611=4,"fourth (4:3)","?")))))</f>
        <v>octave (2:1)</v>
      </c>
      <c r="J611" s="9" t="str">
        <f aca="false">IF(H611=0,"—",IF(H611=1,"ὁμώνυμον",IF(H611=2,"διὰ πασῶν",IF(H611=3,"διὰ πέντε",IF(H611=4,"διὰ τεσσάρων","?")))))</f>
        <v>διὰ πασῶν</v>
      </c>
      <c r="K611" s="10"/>
      <c r="L611" s="14"/>
      <c r="M611" s="13"/>
    </row>
    <row r="612" customFormat="false" ht="15.75" hidden="false" customHeight="true" outlineLevel="0" collapsed="false">
      <c r="A612" s="8" t="n">
        <f aca="false">A611+1</f>
        <v>610</v>
      </c>
      <c r="B612" s="9" t="n">
        <f aca="false">MOD(4*A612^2,10)</f>
        <v>0</v>
      </c>
      <c r="C612" s="9" t="n">
        <f aca="false">(26*B612-5*B612^2)/24</f>
        <v>0</v>
      </c>
      <c r="D612" s="9" t="n">
        <f aca="false">(A612^2+4*C612)/5</f>
        <v>74420</v>
      </c>
      <c r="E612" s="9" t="n">
        <f aca="false">MOD(D612,10)</f>
        <v>0</v>
      </c>
      <c r="F612" s="9" t="n">
        <f aca="false">2*D612</f>
        <v>148840</v>
      </c>
      <c r="G612" s="9" t="n">
        <f aca="false">MOD(F612,10)</f>
        <v>0</v>
      </c>
      <c r="H612" s="9" t="n">
        <f aca="false">G612/2</f>
        <v>0</v>
      </c>
      <c r="I612" s="9" t="str">
        <f aca="false">IF(H612=0,"—",IF(H612=1,"unison (1:1)",IF(H612=2,"octave (2:1)",IF(H612=3,"fifth (3:2)",IF(H612=4,"fourth (4:3)","?")))))</f>
        <v>—</v>
      </c>
      <c r="J612" s="9" t="str">
        <f aca="false">IF(H612=0,"—",IF(H612=1,"ὁμώνυμον",IF(H612=2,"διὰ πασῶν",IF(H612=3,"διὰ πέντε",IF(H612=4,"διὰ τεσσάρων","?")))))</f>
        <v>—</v>
      </c>
      <c r="K612" s="10"/>
      <c r="L612" s="14"/>
      <c r="M612" s="13"/>
    </row>
    <row r="613" customFormat="false" ht="15.75" hidden="false" customHeight="true" outlineLevel="0" collapsed="false">
      <c r="A613" s="8" t="n">
        <f aca="false">A612+1</f>
        <v>611</v>
      </c>
      <c r="B613" s="9" t="n">
        <f aca="false">MOD(4*A613^2,10)</f>
        <v>4</v>
      </c>
      <c r="C613" s="9" t="n">
        <f aca="false">(26*B613-5*B613^2)/24</f>
        <v>1</v>
      </c>
      <c r="D613" s="9" t="n">
        <f aca="false">(A613^2+4*C613)/5</f>
        <v>74665</v>
      </c>
      <c r="E613" s="9" t="n">
        <f aca="false">MOD(D613,10)</f>
        <v>5</v>
      </c>
      <c r="F613" s="9" t="n">
        <f aca="false">2*D613</f>
        <v>149330</v>
      </c>
      <c r="G613" s="9" t="n">
        <f aca="false">MOD(F613,10)</f>
        <v>0</v>
      </c>
      <c r="H613" s="9" t="n">
        <f aca="false">G613/2</f>
        <v>0</v>
      </c>
      <c r="I613" s="9" t="str">
        <f aca="false">IF(H613=0,"—",IF(H613=1,"unison (1:1)",IF(H613=2,"octave (2:1)",IF(H613=3,"fifth (3:2)",IF(H613=4,"fourth (4:3)","?")))))</f>
        <v>—</v>
      </c>
      <c r="J613" s="9" t="str">
        <f aca="false">IF(H613=0,"—",IF(H613=1,"ὁμώνυμον",IF(H613=2,"διὰ πασῶν",IF(H613=3,"διὰ πέντε",IF(H613=4,"διὰ τεσσάρων","?")))))</f>
        <v>—</v>
      </c>
      <c r="K613" s="10"/>
      <c r="L613" s="14"/>
      <c r="M613" s="13"/>
    </row>
    <row r="614" customFormat="false" ht="15.75" hidden="false" customHeight="true" outlineLevel="0" collapsed="false">
      <c r="A614" s="8" t="n">
        <f aca="false">A613+1</f>
        <v>612</v>
      </c>
      <c r="B614" s="9" t="n">
        <f aca="false">MOD(4*A614^2,10)</f>
        <v>6</v>
      </c>
      <c r="C614" s="9" t="n">
        <f aca="false">(26*B614-5*B614^2)/24</f>
        <v>-1</v>
      </c>
      <c r="D614" s="9" t="n">
        <f aca="false">(A614^2+4*C614)/5</f>
        <v>74908</v>
      </c>
      <c r="E614" s="9" t="n">
        <f aca="false">MOD(D614,10)</f>
        <v>8</v>
      </c>
      <c r="F614" s="9" t="n">
        <f aca="false">2*D614</f>
        <v>149816</v>
      </c>
      <c r="G614" s="9" t="n">
        <f aca="false">MOD(F614,10)</f>
        <v>6</v>
      </c>
      <c r="H614" s="9" t="n">
        <f aca="false">G614/2</f>
        <v>3</v>
      </c>
      <c r="I614" s="9" t="str">
        <f aca="false">IF(H614=0,"—",IF(H614=1,"unison (1:1)",IF(H614=2,"octave (2:1)",IF(H614=3,"fifth (3:2)",IF(H614=4,"fourth (4:3)","?")))))</f>
        <v>fifth (3:2)</v>
      </c>
      <c r="J614" s="9" t="str">
        <f aca="false">IF(H614=0,"—",IF(H614=1,"ὁμώνυμον",IF(H614=2,"διὰ πασῶν",IF(H614=3,"διὰ πέντε",IF(H614=4,"διὰ τεσσάρων","?")))))</f>
        <v>διὰ πέντε</v>
      </c>
      <c r="K614" s="10"/>
      <c r="L614" s="14"/>
      <c r="M614" s="13"/>
    </row>
    <row r="615" customFormat="false" ht="15.75" hidden="false" customHeight="true" outlineLevel="0" collapsed="false">
      <c r="A615" s="8" t="n">
        <f aca="false">A614+1</f>
        <v>613</v>
      </c>
      <c r="B615" s="9" t="n">
        <f aca="false">MOD(4*A615^2,10)</f>
        <v>6</v>
      </c>
      <c r="C615" s="9" t="n">
        <f aca="false">(26*B615-5*B615^2)/24</f>
        <v>-1</v>
      </c>
      <c r="D615" s="9" t="n">
        <f aca="false">(A615^2+4*C615)/5</f>
        <v>75153</v>
      </c>
      <c r="E615" s="9" t="n">
        <f aca="false">MOD(D615,10)</f>
        <v>3</v>
      </c>
      <c r="F615" s="9" t="n">
        <f aca="false">2*D615</f>
        <v>150306</v>
      </c>
      <c r="G615" s="9" t="n">
        <f aca="false">MOD(F615,10)</f>
        <v>6</v>
      </c>
      <c r="H615" s="9" t="n">
        <f aca="false">G615/2</f>
        <v>3</v>
      </c>
      <c r="I615" s="9" t="str">
        <f aca="false">IF(H615=0,"—",IF(H615=1,"unison (1:1)",IF(H615=2,"octave (2:1)",IF(H615=3,"fifth (3:2)",IF(H615=4,"fourth (4:3)","?")))))</f>
        <v>fifth (3:2)</v>
      </c>
      <c r="J615" s="9" t="str">
        <f aca="false">IF(H615=0,"—",IF(H615=1,"ὁμώνυμον",IF(H615=2,"διὰ πασῶν",IF(H615=3,"διὰ πέντε",IF(H615=4,"διὰ τεσσάρων","?")))))</f>
        <v>διὰ πέντε</v>
      </c>
      <c r="K615" s="10"/>
      <c r="L615" s="14"/>
      <c r="M615" s="13"/>
    </row>
    <row r="616" customFormat="false" ht="15.75" hidden="false" customHeight="true" outlineLevel="0" collapsed="false">
      <c r="A616" s="8" t="n">
        <f aca="false">A615+1</f>
        <v>614</v>
      </c>
      <c r="B616" s="9" t="n">
        <f aca="false">MOD(4*A616^2,10)</f>
        <v>4</v>
      </c>
      <c r="C616" s="9" t="n">
        <f aca="false">(26*B616-5*B616^2)/24</f>
        <v>1</v>
      </c>
      <c r="D616" s="9" t="n">
        <f aca="false">(A616^2+4*C616)/5</f>
        <v>75400</v>
      </c>
      <c r="E616" s="9" t="n">
        <f aca="false">MOD(D616,10)</f>
        <v>0</v>
      </c>
      <c r="F616" s="9" t="n">
        <f aca="false">2*D616</f>
        <v>150800</v>
      </c>
      <c r="G616" s="9" t="n">
        <f aca="false">MOD(F616,10)</f>
        <v>0</v>
      </c>
      <c r="H616" s="9" t="n">
        <f aca="false">G616/2</f>
        <v>0</v>
      </c>
      <c r="I616" s="9" t="str">
        <f aca="false">IF(H616=0,"—",IF(H616=1,"unison (1:1)",IF(H616=2,"octave (2:1)",IF(H616=3,"fifth (3:2)",IF(H616=4,"fourth (4:3)","?")))))</f>
        <v>—</v>
      </c>
      <c r="J616" s="9" t="str">
        <f aca="false">IF(H616=0,"—",IF(H616=1,"ὁμώνυμον",IF(H616=2,"διὰ πασῶν",IF(H616=3,"διὰ πέντε",IF(H616=4,"διὰ τεσσάρων","?")))))</f>
        <v>—</v>
      </c>
      <c r="K616" s="10"/>
      <c r="L616" s="14"/>
      <c r="M616" s="13"/>
    </row>
    <row r="617" customFormat="false" ht="15.75" hidden="false" customHeight="true" outlineLevel="0" collapsed="false">
      <c r="A617" s="8" t="n">
        <f aca="false">A616+1</f>
        <v>615</v>
      </c>
      <c r="B617" s="9" t="n">
        <f aca="false">MOD(4*A617^2,10)</f>
        <v>0</v>
      </c>
      <c r="C617" s="9" t="n">
        <f aca="false">(26*B617-5*B617^2)/24</f>
        <v>0</v>
      </c>
      <c r="D617" s="9" t="n">
        <f aca="false">(A617^2+4*C617)/5</f>
        <v>75645</v>
      </c>
      <c r="E617" s="9" t="n">
        <f aca="false">MOD(D617,10)</f>
        <v>5</v>
      </c>
      <c r="F617" s="9" t="n">
        <f aca="false">2*D617</f>
        <v>151290</v>
      </c>
      <c r="G617" s="9" t="n">
        <f aca="false">MOD(F617,10)</f>
        <v>0</v>
      </c>
      <c r="H617" s="9" t="n">
        <f aca="false">G617/2</f>
        <v>0</v>
      </c>
      <c r="I617" s="9" t="str">
        <f aca="false">IF(H617=0,"—",IF(H617=1,"unison (1:1)",IF(H617=2,"octave (2:1)",IF(H617=3,"fifth (3:2)",IF(H617=4,"fourth (4:3)","?")))))</f>
        <v>—</v>
      </c>
      <c r="J617" s="9" t="str">
        <f aca="false">IF(H617=0,"—",IF(H617=1,"ὁμώνυμον",IF(H617=2,"διὰ πασῶν",IF(H617=3,"διὰ πέντε",IF(H617=4,"διὰ τεσσάρων","?")))))</f>
        <v>—</v>
      </c>
      <c r="K617" s="10"/>
      <c r="L617" s="14"/>
      <c r="M617" s="13"/>
    </row>
    <row r="618" customFormat="false" ht="15.75" hidden="false" customHeight="true" outlineLevel="0" collapsed="false">
      <c r="A618" s="8" t="n">
        <f aca="false">A617+1</f>
        <v>616</v>
      </c>
      <c r="B618" s="9" t="n">
        <f aca="false">MOD(4*A618^2,10)</f>
        <v>4</v>
      </c>
      <c r="C618" s="9" t="n">
        <f aca="false">(26*B618-5*B618^2)/24</f>
        <v>1</v>
      </c>
      <c r="D618" s="9" t="n">
        <f aca="false">(A618^2+4*C618)/5</f>
        <v>75892</v>
      </c>
      <c r="E618" s="9" t="n">
        <f aca="false">MOD(D618,10)</f>
        <v>2</v>
      </c>
      <c r="F618" s="9" t="n">
        <f aca="false">2*D618</f>
        <v>151784</v>
      </c>
      <c r="G618" s="9" t="n">
        <f aca="false">MOD(F618,10)</f>
        <v>4</v>
      </c>
      <c r="H618" s="9" t="n">
        <f aca="false">G618/2</f>
        <v>2</v>
      </c>
      <c r="I618" s="9" t="str">
        <f aca="false">IF(H618=0,"—",IF(H618=1,"unison (1:1)",IF(H618=2,"octave (2:1)",IF(H618=3,"fifth (3:2)",IF(H618=4,"fourth (4:3)","?")))))</f>
        <v>octave (2:1)</v>
      </c>
      <c r="J618" s="9" t="str">
        <f aca="false">IF(H618=0,"—",IF(H618=1,"ὁμώνυμον",IF(H618=2,"διὰ πασῶν",IF(H618=3,"διὰ πέντε",IF(H618=4,"διὰ τεσσάρων","?")))))</f>
        <v>διὰ πασῶν</v>
      </c>
      <c r="K618" s="10"/>
      <c r="L618" s="14"/>
      <c r="M618" s="13"/>
    </row>
    <row r="619" customFormat="false" ht="15.75" hidden="false" customHeight="true" outlineLevel="0" collapsed="false">
      <c r="A619" s="8" t="n">
        <f aca="false">A618+1</f>
        <v>617</v>
      </c>
      <c r="B619" s="9" t="n">
        <f aca="false">MOD(4*A619^2,10)</f>
        <v>6</v>
      </c>
      <c r="C619" s="9" t="n">
        <f aca="false">(26*B619-5*B619^2)/24</f>
        <v>-1</v>
      </c>
      <c r="D619" s="9" t="n">
        <f aca="false">(A619^2+4*C619)/5</f>
        <v>76137</v>
      </c>
      <c r="E619" s="9" t="n">
        <f aca="false">MOD(D619,10)</f>
        <v>7</v>
      </c>
      <c r="F619" s="9" t="n">
        <f aca="false">2*D619</f>
        <v>152274</v>
      </c>
      <c r="G619" s="9" t="n">
        <f aca="false">MOD(F619,10)</f>
        <v>4</v>
      </c>
      <c r="H619" s="9" t="n">
        <f aca="false">G619/2</f>
        <v>2</v>
      </c>
      <c r="I619" s="9" t="str">
        <f aca="false">IF(H619=0,"—",IF(H619=1,"unison (1:1)",IF(H619=2,"octave (2:1)",IF(H619=3,"fifth (3:2)",IF(H619=4,"fourth (4:3)","?")))))</f>
        <v>octave (2:1)</v>
      </c>
      <c r="J619" s="9" t="str">
        <f aca="false">IF(H619=0,"—",IF(H619=1,"ὁμώνυμον",IF(H619=2,"διὰ πασῶν",IF(H619=3,"διὰ πέντε",IF(H619=4,"διὰ τεσσάρων","?")))))</f>
        <v>διὰ πασῶν</v>
      </c>
      <c r="K619" s="10"/>
      <c r="L619" s="14"/>
      <c r="M619" s="13"/>
    </row>
    <row r="620" customFormat="false" ht="15.75" hidden="false" customHeight="true" outlineLevel="0" collapsed="false">
      <c r="A620" s="8" t="n">
        <f aca="false">A619+1</f>
        <v>618</v>
      </c>
      <c r="B620" s="9" t="n">
        <f aca="false">MOD(4*A620^2,10)</f>
        <v>6</v>
      </c>
      <c r="C620" s="9" t="n">
        <f aca="false">(26*B620-5*B620^2)/24</f>
        <v>-1</v>
      </c>
      <c r="D620" s="9" t="n">
        <f aca="false">(A620^2+4*C620)/5</f>
        <v>76384</v>
      </c>
      <c r="E620" s="9" t="n">
        <f aca="false">MOD(D620,10)</f>
        <v>4</v>
      </c>
      <c r="F620" s="9" t="n">
        <f aca="false">2*D620</f>
        <v>152768</v>
      </c>
      <c r="G620" s="9" t="n">
        <f aca="false">MOD(F620,10)</f>
        <v>8</v>
      </c>
      <c r="H620" s="9" t="n">
        <f aca="false">G620/2</f>
        <v>4</v>
      </c>
      <c r="I620" s="9" t="str">
        <f aca="false">IF(H620=0,"—",IF(H620=1,"unison (1:1)",IF(H620=2,"octave (2:1)",IF(H620=3,"fifth (3:2)",IF(H620=4,"fourth (4:3)","?")))))</f>
        <v>fourth (4:3)</v>
      </c>
      <c r="J620" s="9" t="str">
        <f aca="false">IF(H620=0,"—",IF(H620=1,"ὁμώνυμον",IF(H620=2,"διὰ πασῶν",IF(H620=3,"διὰ πέντε",IF(H620=4,"διὰ τεσσάρων","?")))))</f>
        <v>διὰ τεσσάρων</v>
      </c>
      <c r="K620" s="10"/>
      <c r="L620" s="14"/>
      <c r="M620" s="13"/>
    </row>
    <row r="621" customFormat="false" ht="15.75" hidden="false" customHeight="true" outlineLevel="0" collapsed="false">
      <c r="A621" s="8" t="n">
        <f aca="false">A620+1</f>
        <v>619</v>
      </c>
      <c r="B621" s="9" t="n">
        <f aca="false">MOD(4*A621^2,10)</f>
        <v>4</v>
      </c>
      <c r="C621" s="9" t="n">
        <f aca="false">(26*B621-5*B621^2)/24</f>
        <v>1</v>
      </c>
      <c r="D621" s="9" t="n">
        <f aca="false">(A621^2+4*C621)/5</f>
        <v>76633</v>
      </c>
      <c r="E621" s="9" t="n">
        <f aca="false">MOD(D621,10)</f>
        <v>3</v>
      </c>
      <c r="F621" s="9" t="n">
        <f aca="false">2*D621</f>
        <v>153266</v>
      </c>
      <c r="G621" s="9" t="n">
        <f aca="false">MOD(F621,10)</f>
        <v>6</v>
      </c>
      <c r="H621" s="9" t="n">
        <f aca="false">G621/2</f>
        <v>3</v>
      </c>
      <c r="I621" s="9" t="str">
        <f aca="false">IF(H621=0,"—",IF(H621=1,"unison (1:1)",IF(H621=2,"octave (2:1)",IF(H621=3,"fifth (3:2)",IF(H621=4,"fourth (4:3)","?")))))</f>
        <v>fifth (3:2)</v>
      </c>
      <c r="J621" s="9" t="str">
        <f aca="false">IF(H621=0,"—",IF(H621=1,"ὁμώνυμον",IF(H621=2,"διὰ πασῶν",IF(H621=3,"διὰ πέντε",IF(H621=4,"διὰ τεσσάρων","?")))))</f>
        <v>διὰ πέντε</v>
      </c>
      <c r="K621" s="10"/>
      <c r="L621" s="14"/>
      <c r="M621" s="13"/>
    </row>
    <row r="622" customFormat="false" ht="15.75" hidden="false" customHeight="true" outlineLevel="0" collapsed="false">
      <c r="A622" s="8" t="n">
        <f aca="false">A621+1</f>
        <v>620</v>
      </c>
      <c r="B622" s="9" t="n">
        <f aca="false">MOD(4*A622^2,10)</f>
        <v>0</v>
      </c>
      <c r="C622" s="9" t="n">
        <f aca="false">(26*B622-5*B622^2)/24</f>
        <v>0</v>
      </c>
      <c r="D622" s="9" t="n">
        <f aca="false">(A622^2+4*C622)/5</f>
        <v>76880</v>
      </c>
      <c r="E622" s="9" t="n">
        <f aca="false">MOD(D622,10)</f>
        <v>0</v>
      </c>
      <c r="F622" s="9" t="n">
        <f aca="false">2*D622</f>
        <v>153760</v>
      </c>
      <c r="G622" s="9" t="n">
        <f aca="false">MOD(F622,10)</f>
        <v>0</v>
      </c>
      <c r="H622" s="9" t="n">
        <f aca="false">G622/2</f>
        <v>0</v>
      </c>
      <c r="I622" s="9" t="str">
        <f aca="false">IF(H622=0,"—",IF(H622=1,"unison (1:1)",IF(H622=2,"octave (2:1)",IF(H622=3,"fifth (3:2)",IF(H622=4,"fourth (4:3)","?")))))</f>
        <v>—</v>
      </c>
      <c r="J622" s="9" t="str">
        <f aca="false">IF(H622=0,"—",IF(H622=1,"ὁμώνυμον",IF(H622=2,"διὰ πασῶν",IF(H622=3,"διὰ πέντε",IF(H622=4,"διὰ τεσσάρων","?")))))</f>
        <v>—</v>
      </c>
      <c r="K622" s="10"/>
      <c r="L622" s="14"/>
      <c r="M622" s="13"/>
    </row>
    <row r="623" customFormat="false" ht="15.75" hidden="false" customHeight="true" outlineLevel="0" collapsed="false">
      <c r="A623" s="8" t="n">
        <f aca="false">A622+1</f>
        <v>621</v>
      </c>
      <c r="B623" s="9" t="n">
        <f aca="false">MOD(4*A623^2,10)</f>
        <v>4</v>
      </c>
      <c r="C623" s="9" t="n">
        <f aca="false">(26*B623-5*B623^2)/24</f>
        <v>1</v>
      </c>
      <c r="D623" s="9" t="n">
        <f aca="false">(A623^2+4*C623)/5</f>
        <v>77129</v>
      </c>
      <c r="E623" s="9" t="n">
        <f aca="false">MOD(D623,10)</f>
        <v>9</v>
      </c>
      <c r="F623" s="9" t="n">
        <f aca="false">2*D623</f>
        <v>154258</v>
      </c>
      <c r="G623" s="9" t="n">
        <f aca="false">MOD(F623,10)</f>
        <v>8</v>
      </c>
      <c r="H623" s="9" t="n">
        <f aca="false">G623/2</f>
        <v>4</v>
      </c>
      <c r="I623" s="9" t="str">
        <f aca="false">IF(H623=0,"—",IF(H623=1,"unison (1:1)",IF(H623=2,"octave (2:1)",IF(H623=3,"fifth (3:2)",IF(H623=4,"fourth (4:3)","?")))))</f>
        <v>fourth (4:3)</v>
      </c>
      <c r="J623" s="9" t="str">
        <f aca="false">IF(H623=0,"—",IF(H623=1,"ὁμώνυμον",IF(H623=2,"διὰ πασῶν",IF(H623=3,"διὰ πέντε",IF(H623=4,"διὰ τεσσάρων","?")))))</f>
        <v>διὰ τεσσάρων</v>
      </c>
      <c r="K623" s="10"/>
      <c r="L623" s="14"/>
      <c r="M623" s="13"/>
    </row>
    <row r="624" customFormat="false" ht="15.75" hidden="false" customHeight="true" outlineLevel="0" collapsed="false">
      <c r="A624" s="8" t="n">
        <f aca="false">A623+1</f>
        <v>622</v>
      </c>
      <c r="B624" s="9" t="n">
        <f aca="false">MOD(4*A624^2,10)</f>
        <v>6</v>
      </c>
      <c r="C624" s="9" t="n">
        <f aca="false">(26*B624-5*B624^2)/24</f>
        <v>-1</v>
      </c>
      <c r="D624" s="9" t="n">
        <f aca="false">(A624^2+4*C624)/5</f>
        <v>77376</v>
      </c>
      <c r="E624" s="9" t="n">
        <f aca="false">MOD(D624,10)</f>
        <v>6</v>
      </c>
      <c r="F624" s="9" t="n">
        <f aca="false">2*D624</f>
        <v>154752</v>
      </c>
      <c r="G624" s="9" t="n">
        <f aca="false">MOD(F624,10)</f>
        <v>2</v>
      </c>
      <c r="H624" s="9" t="n">
        <f aca="false">G624/2</f>
        <v>1</v>
      </c>
      <c r="I624" s="9" t="str">
        <f aca="false">IF(H624=0,"—",IF(H624=1,"unison (1:1)",IF(H624=2,"octave (2:1)",IF(H624=3,"fifth (3:2)",IF(H624=4,"fourth (4:3)","?")))))</f>
        <v>unison (1:1)</v>
      </c>
      <c r="J624" s="9" t="str">
        <f aca="false">IF(H624=0,"—",IF(H624=1,"ὁμώνυμον",IF(H624=2,"διὰ πασῶν",IF(H624=3,"διὰ πέντε",IF(H624=4,"διὰ τεσσάρων","?")))))</f>
        <v>ὁμώνυμον</v>
      </c>
      <c r="K624" s="10"/>
      <c r="L624" s="14"/>
      <c r="M624" s="13"/>
    </row>
    <row r="625" customFormat="false" ht="15.75" hidden="false" customHeight="true" outlineLevel="0" collapsed="false">
      <c r="A625" s="8" t="n">
        <f aca="false">A624+1</f>
        <v>623</v>
      </c>
      <c r="B625" s="9" t="n">
        <f aca="false">MOD(4*A625^2,10)</f>
        <v>6</v>
      </c>
      <c r="C625" s="9" t="n">
        <f aca="false">(26*B625-5*B625^2)/24</f>
        <v>-1</v>
      </c>
      <c r="D625" s="9" t="n">
        <f aca="false">(A625^2+4*C625)/5</f>
        <v>77625</v>
      </c>
      <c r="E625" s="9" t="n">
        <f aca="false">MOD(D625,10)</f>
        <v>5</v>
      </c>
      <c r="F625" s="9" t="n">
        <f aca="false">2*D625</f>
        <v>155250</v>
      </c>
      <c r="G625" s="9" t="n">
        <f aca="false">MOD(F625,10)</f>
        <v>0</v>
      </c>
      <c r="H625" s="9" t="n">
        <f aca="false">G625/2</f>
        <v>0</v>
      </c>
      <c r="I625" s="9" t="str">
        <f aca="false">IF(H625=0,"—",IF(H625=1,"unison (1:1)",IF(H625=2,"octave (2:1)",IF(H625=3,"fifth (3:2)",IF(H625=4,"fourth (4:3)","?")))))</f>
        <v>—</v>
      </c>
      <c r="J625" s="9" t="str">
        <f aca="false">IF(H625=0,"—",IF(H625=1,"ὁμώνυμον",IF(H625=2,"διὰ πασῶν",IF(H625=3,"διὰ πέντε",IF(H625=4,"διὰ τεσσάρων","?")))))</f>
        <v>—</v>
      </c>
      <c r="K625" s="10"/>
      <c r="L625" s="14"/>
      <c r="M625" s="13"/>
    </row>
    <row r="626" customFormat="false" ht="15.75" hidden="false" customHeight="true" outlineLevel="0" collapsed="false">
      <c r="A626" s="8" t="n">
        <f aca="false">A625+1</f>
        <v>624</v>
      </c>
      <c r="B626" s="9" t="n">
        <f aca="false">MOD(4*A626^2,10)</f>
        <v>4</v>
      </c>
      <c r="C626" s="9" t="n">
        <f aca="false">(26*B626-5*B626^2)/24</f>
        <v>1</v>
      </c>
      <c r="D626" s="9" t="n">
        <f aca="false">(A626^2+4*C626)/5</f>
        <v>77876</v>
      </c>
      <c r="E626" s="9" t="n">
        <f aca="false">MOD(D626,10)</f>
        <v>6</v>
      </c>
      <c r="F626" s="9" t="n">
        <f aca="false">2*D626</f>
        <v>155752</v>
      </c>
      <c r="G626" s="9" t="n">
        <f aca="false">MOD(F626,10)</f>
        <v>2</v>
      </c>
      <c r="H626" s="9" t="n">
        <f aca="false">G626/2</f>
        <v>1</v>
      </c>
      <c r="I626" s="9" t="str">
        <f aca="false">IF(H626=0,"—",IF(H626=1,"unison (1:1)",IF(H626=2,"octave (2:1)",IF(H626=3,"fifth (3:2)",IF(H626=4,"fourth (4:3)","?")))))</f>
        <v>unison (1:1)</v>
      </c>
      <c r="J626" s="9" t="str">
        <f aca="false">IF(H626=0,"—",IF(H626=1,"ὁμώνυμον",IF(H626=2,"διὰ πασῶν",IF(H626=3,"διὰ πέντε",IF(H626=4,"διὰ τεσσάρων","?")))))</f>
        <v>ὁμώνυμον</v>
      </c>
      <c r="K626" s="10"/>
      <c r="L626" s="14"/>
      <c r="M626" s="13"/>
    </row>
    <row r="627" customFormat="false" ht="15.75" hidden="false" customHeight="true" outlineLevel="0" collapsed="false">
      <c r="A627" s="8" t="n">
        <f aca="false">A626+1</f>
        <v>625</v>
      </c>
      <c r="B627" s="9" t="n">
        <f aca="false">MOD(4*A627^2,10)</f>
        <v>0</v>
      </c>
      <c r="C627" s="9" t="n">
        <f aca="false">(26*B627-5*B627^2)/24</f>
        <v>0</v>
      </c>
      <c r="D627" s="9" t="n">
        <f aca="false">(A627^2+4*C627)/5</f>
        <v>78125</v>
      </c>
      <c r="E627" s="9" t="n">
        <f aca="false">MOD(D627,10)</f>
        <v>5</v>
      </c>
      <c r="F627" s="9" t="n">
        <f aca="false">2*D627</f>
        <v>156250</v>
      </c>
      <c r="G627" s="9" t="n">
        <f aca="false">MOD(F627,10)</f>
        <v>0</v>
      </c>
      <c r="H627" s="9" t="n">
        <f aca="false">G627/2</f>
        <v>0</v>
      </c>
      <c r="I627" s="9" t="str">
        <f aca="false">IF(H627=0,"—",IF(H627=1,"unison (1:1)",IF(H627=2,"octave (2:1)",IF(H627=3,"fifth (3:2)",IF(H627=4,"fourth (4:3)","?")))))</f>
        <v>—</v>
      </c>
      <c r="J627" s="9" t="str">
        <f aca="false">IF(H627=0,"—",IF(H627=1,"ὁμώνυμον",IF(H627=2,"διὰ πασῶν",IF(H627=3,"διὰ πέντε",IF(H627=4,"διὰ τεσσάρων","?")))))</f>
        <v>—</v>
      </c>
      <c r="K627" s="10"/>
      <c r="L627" s="14"/>
      <c r="M627" s="13"/>
    </row>
    <row r="628" customFormat="false" ht="15.75" hidden="false" customHeight="true" outlineLevel="0" collapsed="false">
      <c r="A628" s="8" t="n">
        <f aca="false">A627+1</f>
        <v>626</v>
      </c>
      <c r="B628" s="9" t="n">
        <f aca="false">MOD(4*A628^2,10)</f>
        <v>4</v>
      </c>
      <c r="C628" s="9" t="n">
        <f aca="false">(26*B628-5*B628^2)/24</f>
        <v>1</v>
      </c>
      <c r="D628" s="9" t="n">
        <f aca="false">(A628^2+4*C628)/5</f>
        <v>78376</v>
      </c>
      <c r="E628" s="9" t="n">
        <f aca="false">MOD(D628,10)</f>
        <v>6</v>
      </c>
      <c r="F628" s="9" t="n">
        <f aca="false">2*D628</f>
        <v>156752</v>
      </c>
      <c r="G628" s="9" t="n">
        <f aca="false">MOD(F628,10)</f>
        <v>2</v>
      </c>
      <c r="H628" s="9" t="n">
        <f aca="false">G628/2</f>
        <v>1</v>
      </c>
      <c r="I628" s="9" t="str">
        <f aca="false">IF(H628=0,"—",IF(H628=1,"unison (1:1)",IF(H628=2,"octave (2:1)",IF(H628=3,"fifth (3:2)",IF(H628=4,"fourth (4:3)","?")))))</f>
        <v>unison (1:1)</v>
      </c>
      <c r="J628" s="9" t="str">
        <f aca="false">IF(H628=0,"—",IF(H628=1,"ὁμώνυμον",IF(H628=2,"διὰ πασῶν",IF(H628=3,"διὰ πέντε",IF(H628=4,"διὰ τεσσάρων","?")))))</f>
        <v>ὁμώνυμον</v>
      </c>
      <c r="K628" s="10"/>
      <c r="L628" s="14"/>
      <c r="M628" s="13"/>
    </row>
    <row r="629" customFormat="false" ht="15.75" hidden="false" customHeight="true" outlineLevel="0" collapsed="false">
      <c r="A629" s="8" t="n">
        <f aca="false">A628+1</f>
        <v>627</v>
      </c>
      <c r="B629" s="9" t="n">
        <f aca="false">MOD(4*A629^2,10)</f>
        <v>6</v>
      </c>
      <c r="C629" s="9" t="n">
        <f aca="false">(26*B629-5*B629^2)/24</f>
        <v>-1</v>
      </c>
      <c r="D629" s="9" t="n">
        <f aca="false">(A629^2+4*C629)/5</f>
        <v>78625</v>
      </c>
      <c r="E629" s="9" t="n">
        <f aca="false">MOD(D629,10)</f>
        <v>5</v>
      </c>
      <c r="F629" s="9" t="n">
        <f aca="false">2*D629</f>
        <v>157250</v>
      </c>
      <c r="G629" s="9" t="n">
        <f aca="false">MOD(F629,10)</f>
        <v>0</v>
      </c>
      <c r="H629" s="9" t="n">
        <f aca="false">G629/2</f>
        <v>0</v>
      </c>
      <c r="I629" s="9" t="str">
        <f aca="false">IF(H629=0,"—",IF(H629=1,"unison (1:1)",IF(H629=2,"octave (2:1)",IF(H629=3,"fifth (3:2)",IF(H629=4,"fourth (4:3)","?")))))</f>
        <v>—</v>
      </c>
      <c r="J629" s="9" t="str">
        <f aca="false">IF(H629=0,"—",IF(H629=1,"ὁμώνυμον",IF(H629=2,"διὰ πασῶν",IF(H629=3,"διὰ πέντε",IF(H629=4,"διὰ τεσσάρων","?")))))</f>
        <v>—</v>
      </c>
      <c r="K629" s="10"/>
      <c r="L629" s="14"/>
      <c r="M629" s="13"/>
    </row>
    <row r="630" customFormat="false" ht="15.75" hidden="false" customHeight="true" outlineLevel="0" collapsed="false">
      <c r="A630" s="8" t="n">
        <f aca="false">A629+1</f>
        <v>628</v>
      </c>
      <c r="B630" s="9" t="n">
        <f aca="false">MOD(4*A630^2,10)</f>
        <v>6</v>
      </c>
      <c r="C630" s="9" t="n">
        <f aca="false">(26*B630-5*B630^2)/24</f>
        <v>-1</v>
      </c>
      <c r="D630" s="9" t="n">
        <f aca="false">(A630^2+4*C630)/5</f>
        <v>78876</v>
      </c>
      <c r="E630" s="9" t="n">
        <f aca="false">MOD(D630,10)</f>
        <v>6</v>
      </c>
      <c r="F630" s="9" t="n">
        <f aca="false">2*D630</f>
        <v>157752</v>
      </c>
      <c r="G630" s="9" t="n">
        <f aca="false">MOD(F630,10)</f>
        <v>2</v>
      </c>
      <c r="H630" s="9" t="n">
        <f aca="false">G630/2</f>
        <v>1</v>
      </c>
      <c r="I630" s="9" t="str">
        <f aca="false">IF(H630=0,"—",IF(H630=1,"unison (1:1)",IF(H630=2,"octave (2:1)",IF(H630=3,"fifth (3:2)",IF(H630=4,"fourth (4:3)","?")))))</f>
        <v>unison (1:1)</v>
      </c>
      <c r="J630" s="9" t="str">
        <f aca="false">IF(H630=0,"—",IF(H630=1,"ὁμώνυμον",IF(H630=2,"διὰ πασῶν",IF(H630=3,"διὰ πέντε",IF(H630=4,"διὰ τεσσάρων","?")))))</f>
        <v>ὁμώνυμον</v>
      </c>
      <c r="K630" s="10"/>
      <c r="L630" s="14"/>
      <c r="M630" s="13"/>
    </row>
    <row r="631" customFormat="false" ht="15.75" hidden="false" customHeight="true" outlineLevel="0" collapsed="false">
      <c r="A631" s="8" t="n">
        <f aca="false">A630+1</f>
        <v>629</v>
      </c>
      <c r="B631" s="9" t="n">
        <f aca="false">MOD(4*A631^2,10)</f>
        <v>4</v>
      </c>
      <c r="C631" s="9" t="n">
        <f aca="false">(26*B631-5*B631^2)/24</f>
        <v>1</v>
      </c>
      <c r="D631" s="9" t="n">
        <f aca="false">(A631^2+4*C631)/5</f>
        <v>79129</v>
      </c>
      <c r="E631" s="9" t="n">
        <f aca="false">MOD(D631,10)</f>
        <v>9</v>
      </c>
      <c r="F631" s="9" t="n">
        <f aca="false">2*D631</f>
        <v>158258</v>
      </c>
      <c r="G631" s="9" t="n">
        <f aca="false">MOD(F631,10)</f>
        <v>8</v>
      </c>
      <c r="H631" s="9" t="n">
        <f aca="false">G631/2</f>
        <v>4</v>
      </c>
      <c r="I631" s="9" t="str">
        <f aca="false">IF(H631=0,"—",IF(H631=1,"unison (1:1)",IF(H631=2,"octave (2:1)",IF(H631=3,"fifth (3:2)",IF(H631=4,"fourth (4:3)","?")))))</f>
        <v>fourth (4:3)</v>
      </c>
      <c r="J631" s="9" t="str">
        <f aca="false">IF(H631=0,"—",IF(H631=1,"ὁμώνυμον",IF(H631=2,"διὰ πασῶν",IF(H631=3,"διὰ πέντε",IF(H631=4,"διὰ τεσσάρων","?")))))</f>
        <v>διὰ τεσσάρων</v>
      </c>
      <c r="K631" s="10"/>
      <c r="L631" s="14"/>
      <c r="M631" s="13"/>
    </row>
    <row r="632" customFormat="false" ht="15.75" hidden="false" customHeight="true" outlineLevel="0" collapsed="false">
      <c r="A632" s="8" t="n">
        <f aca="false">A631+1</f>
        <v>630</v>
      </c>
      <c r="B632" s="9" t="n">
        <f aca="false">MOD(4*A632^2,10)</f>
        <v>0</v>
      </c>
      <c r="C632" s="9" t="n">
        <f aca="false">(26*B632-5*B632^2)/24</f>
        <v>0</v>
      </c>
      <c r="D632" s="9" t="n">
        <f aca="false">(A632^2+4*C632)/5</f>
        <v>79380</v>
      </c>
      <c r="E632" s="9" t="n">
        <f aca="false">MOD(D632,10)</f>
        <v>0</v>
      </c>
      <c r="F632" s="9" t="n">
        <f aca="false">2*D632</f>
        <v>158760</v>
      </c>
      <c r="G632" s="9" t="n">
        <f aca="false">MOD(F632,10)</f>
        <v>0</v>
      </c>
      <c r="H632" s="9" t="n">
        <f aca="false">G632/2</f>
        <v>0</v>
      </c>
      <c r="I632" s="9" t="str">
        <f aca="false">IF(H632=0,"—",IF(H632=1,"unison (1:1)",IF(H632=2,"octave (2:1)",IF(H632=3,"fifth (3:2)",IF(H632=4,"fourth (4:3)","?")))))</f>
        <v>—</v>
      </c>
      <c r="J632" s="9" t="str">
        <f aca="false">IF(H632=0,"—",IF(H632=1,"ὁμώνυμον",IF(H632=2,"διὰ πασῶν",IF(H632=3,"διὰ πέντε",IF(H632=4,"διὰ τεσσάρων","?")))))</f>
        <v>—</v>
      </c>
      <c r="K632" s="10"/>
      <c r="L632" s="14"/>
      <c r="M632" s="13"/>
    </row>
    <row r="633" customFormat="false" ht="15.75" hidden="false" customHeight="true" outlineLevel="0" collapsed="false">
      <c r="A633" s="8" t="n">
        <f aca="false">A632+1</f>
        <v>631</v>
      </c>
      <c r="B633" s="9" t="n">
        <f aca="false">MOD(4*A633^2,10)</f>
        <v>4</v>
      </c>
      <c r="C633" s="9" t="n">
        <f aca="false">(26*B633-5*B633^2)/24</f>
        <v>1</v>
      </c>
      <c r="D633" s="9" t="n">
        <f aca="false">(A633^2+4*C633)/5</f>
        <v>79633</v>
      </c>
      <c r="E633" s="9" t="n">
        <f aca="false">MOD(D633,10)</f>
        <v>3</v>
      </c>
      <c r="F633" s="9" t="n">
        <f aca="false">2*D633</f>
        <v>159266</v>
      </c>
      <c r="G633" s="9" t="n">
        <f aca="false">MOD(F633,10)</f>
        <v>6</v>
      </c>
      <c r="H633" s="9" t="n">
        <f aca="false">G633/2</f>
        <v>3</v>
      </c>
      <c r="I633" s="9" t="str">
        <f aca="false">IF(H633=0,"—",IF(H633=1,"unison (1:1)",IF(H633=2,"octave (2:1)",IF(H633=3,"fifth (3:2)",IF(H633=4,"fourth (4:3)","?")))))</f>
        <v>fifth (3:2)</v>
      </c>
      <c r="J633" s="9" t="str">
        <f aca="false">IF(H633=0,"—",IF(H633=1,"ὁμώνυμον",IF(H633=2,"διὰ πασῶν",IF(H633=3,"διὰ πέντε",IF(H633=4,"διὰ τεσσάρων","?")))))</f>
        <v>διὰ πέντε</v>
      </c>
      <c r="K633" s="10"/>
      <c r="L633" s="14"/>
      <c r="M633" s="13"/>
    </row>
    <row r="634" customFormat="false" ht="15.75" hidden="false" customHeight="true" outlineLevel="0" collapsed="false">
      <c r="A634" s="8" t="n">
        <f aca="false">A633+1</f>
        <v>632</v>
      </c>
      <c r="B634" s="9" t="n">
        <f aca="false">MOD(4*A634^2,10)</f>
        <v>6</v>
      </c>
      <c r="C634" s="9" t="n">
        <f aca="false">(26*B634-5*B634^2)/24</f>
        <v>-1</v>
      </c>
      <c r="D634" s="9" t="n">
        <f aca="false">(A634^2+4*C634)/5</f>
        <v>79884</v>
      </c>
      <c r="E634" s="9" t="n">
        <f aca="false">MOD(D634,10)</f>
        <v>4</v>
      </c>
      <c r="F634" s="9" t="n">
        <f aca="false">2*D634</f>
        <v>159768</v>
      </c>
      <c r="G634" s="9" t="n">
        <f aca="false">MOD(F634,10)</f>
        <v>8</v>
      </c>
      <c r="H634" s="9" t="n">
        <f aca="false">G634/2</f>
        <v>4</v>
      </c>
      <c r="I634" s="9" t="str">
        <f aca="false">IF(H634=0,"—",IF(H634=1,"unison (1:1)",IF(H634=2,"octave (2:1)",IF(H634=3,"fifth (3:2)",IF(H634=4,"fourth (4:3)","?")))))</f>
        <v>fourth (4:3)</v>
      </c>
      <c r="J634" s="9" t="str">
        <f aca="false">IF(H634=0,"—",IF(H634=1,"ὁμώνυμον",IF(H634=2,"διὰ πασῶν",IF(H634=3,"διὰ πέντε",IF(H634=4,"διὰ τεσσάρων","?")))))</f>
        <v>διὰ τεσσάρων</v>
      </c>
      <c r="K634" s="10"/>
      <c r="L634" s="14"/>
      <c r="M634" s="13"/>
    </row>
    <row r="635" customFormat="false" ht="15.75" hidden="false" customHeight="true" outlineLevel="0" collapsed="false">
      <c r="A635" s="8" t="n">
        <f aca="false">A634+1</f>
        <v>633</v>
      </c>
      <c r="B635" s="9" t="n">
        <f aca="false">MOD(4*A635^2,10)</f>
        <v>6</v>
      </c>
      <c r="C635" s="9" t="n">
        <f aca="false">(26*B635-5*B635^2)/24</f>
        <v>-1</v>
      </c>
      <c r="D635" s="9" t="n">
        <f aca="false">(A635^2+4*C635)/5</f>
        <v>80137</v>
      </c>
      <c r="E635" s="9" t="n">
        <f aca="false">MOD(D635,10)</f>
        <v>7</v>
      </c>
      <c r="F635" s="9" t="n">
        <f aca="false">2*D635</f>
        <v>160274</v>
      </c>
      <c r="G635" s="9" t="n">
        <f aca="false">MOD(F635,10)</f>
        <v>4</v>
      </c>
      <c r="H635" s="9" t="n">
        <f aca="false">G635/2</f>
        <v>2</v>
      </c>
      <c r="I635" s="9" t="str">
        <f aca="false">IF(H635=0,"—",IF(H635=1,"unison (1:1)",IF(H635=2,"octave (2:1)",IF(H635=3,"fifth (3:2)",IF(H635=4,"fourth (4:3)","?")))))</f>
        <v>octave (2:1)</v>
      </c>
      <c r="J635" s="9" t="str">
        <f aca="false">IF(H635=0,"—",IF(H635=1,"ὁμώνυμον",IF(H635=2,"διὰ πασῶν",IF(H635=3,"διὰ πέντε",IF(H635=4,"διὰ τεσσάρων","?")))))</f>
        <v>διὰ πασῶν</v>
      </c>
      <c r="K635" s="10"/>
      <c r="L635" s="14"/>
      <c r="M635" s="13"/>
    </row>
    <row r="636" customFormat="false" ht="15.75" hidden="false" customHeight="true" outlineLevel="0" collapsed="false">
      <c r="A636" s="8" t="n">
        <f aca="false">A635+1</f>
        <v>634</v>
      </c>
      <c r="B636" s="9" t="n">
        <f aca="false">MOD(4*A636^2,10)</f>
        <v>4</v>
      </c>
      <c r="C636" s="9" t="n">
        <f aca="false">(26*B636-5*B636^2)/24</f>
        <v>1</v>
      </c>
      <c r="D636" s="9" t="n">
        <f aca="false">(A636^2+4*C636)/5</f>
        <v>80392</v>
      </c>
      <c r="E636" s="9" t="n">
        <f aca="false">MOD(D636,10)</f>
        <v>2</v>
      </c>
      <c r="F636" s="9" t="n">
        <f aca="false">2*D636</f>
        <v>160784</v>
      </c>
      <c r="G636" s="9" t="n">
        <f aca="false">MOD(F636,10)</f>
        <v>4</v>
      </c>
      <c r="H636" s="9" t="n">
        <f aca="false">G636/2</f>
        <v>2</v>
      </c>
      <c r="I636" s="9" t="str">
        <f aca="false">IF(H636=0,"—",IF(H636=1,"unison (1:1)",IF(H636=2,"octave (2:1)",IF(H636=3,"fifth (3:2)",IF(H636=4,"fourth (4:3)","?")))))</f>
        <v>octave (2:1)</v>
      </c>
      <c r="J636" s="9" t="str">
        <f aca="false">IF(H636=0,"—",IF(H636=1,"ὁμώνυμον",IF(H636=2,"διὰ πασῶν",IF(H636=3,"διὰ πέντε",IF(H636=4,"διὰ τεσσάρων","?")))))</f>
        <v>διὰ πασῶν</v>
      </c>
      <c r="K636" s="10"/>
      <c r="L636" s="14"/>
      <c r="M636" s="13"/>
    </row>
    <row r="637" customFormat="false" ht="15.75" hidden="false" customHeight="true" outlineLevel="0" collapsed="false">
      <c r="A637" s="8" t="n">
        <f aca="false">A636+1</f>
        <v>635</v>
      </c>
      <c r="B637" s="9" t="n">
        <f aca="false">MOD(4*A637^2,10)</f>
        <v>0</v>
      </c>
      <c r="C637" s="9" t="n">
        <f aca="false">(26*B637-5*B637^2)/24</f>
        <v>0</v>
      </c>
      <c r="D637" s="9" t="n">
        <f aca="false">(A637^2+4*C637)/5</f>
        <v>80645</v>
      </c>
      <c r="E637" s="9" t="n">
        <f aca="false">MOD(D637,10)</f>
        <v>5</v>
      </c>
      <c r="F637" s="9" t="n">
        <f aca="false">2*D637</f>
        <v>161290</v>
      </c>
      <c r="G637" s="9" t="n">
        <f aca="false">MOD(F637,10)</f>
        <v>0</v>
      </c>
      <c r="H637" s="9" t="n">
        <f aca="false">G637/2</f>
        <v>0</v>
      </c>
      <c r="I637" s="9" t="str">
        <f aca="false">IF(H637=0,"—",IF(H637=1,"unison (1:1)",IF(H637=2,"octave (2:1)",IF(H637=3,"fifth (3:2)",IF(H637=4,"fourth (4:3)","?")))))</f>
        <v>—</v>
      </c>
      <c r="J637" s="9" t="str">
        <f aca="false">IF(H637=0,"—",IF(H637=1,"ὁμώνυμον",IF(H637=2,"διὰ πασῶν",IF(H637=3,"διὰ πέντε",IF(H637=4,"διὰ τεσσάρων","?")))))</f>
        <v>—</v>
      </c>
      <c r="K637" s="10"/>
      <c r="L637" s="14"/>
      <c r="M637" s="13"/>
    </row>
    <row r="638" customFormat="false" ht="15.75" hidden="false" customHeight="true" outlineLevel="0" collapsed="false">
      <c r="A638" s="8" t="n">
        <f aca="false">A637+1</f>
        <v>636</v>
      </c>
      <c r="B638" s="9" t="n">
        <f aca="false">MOD(4*A638^2,10)</f>
        <v>4</v>
      </c>
      <c r="C638" s="9" t="n">
        <f aca="false">(26*B638-5*B638^2)/24</f>
        <v>1</v>
      </c>
      <c r="D638" s="9" t="n">
        <f aca="false">(A638^2+4*C638)/5</f>
        <v>80900</v>
      </c>
      <c r="E638" s="9" t="n">
        <f aca="false">MOD(D638,10)</f>
        <v>0</v>
      </c>
      <c r="F638" s="9" t="n">
        <f aca="false">2*D638</f>
        <v>161800</v>
      </c>
      <c r="G638" s="9" t="n">
        <f aca="false">MOD(F638,10)</f>
        <v>0</v>
      </c>
      <c r="H638" s="9" t="n">
        <f aca="false">G638/2</f>
        <v>0</v>
      </c>
      <c r="I638" s="9" t="str">
        <f aca="false">IF(H638=0,"—",IF(H638=1,"unison (1:1)",IF(H638=2,"octave (2:1)",IF(H638=3,"fifth (3:2)",IF(H638=4,"fourth (4:3)","?")))))</f>
        <v>—</v>
      </c>
      <c r="J638" s="9" t="str">
        <f aca="false">IF(H638=0,"—",IF(H638=1,"ὁμώνυμον",IF(H638=2,"διὰ πασῶν",IF(H638=3,"διὰ πέντε",IF(H638=4,"διὰ τεσσάρων","?")))))</f>
        <v>—</v>
      </c>
      <c r="K638" s="10"/>
      <c r="L638" s="14"/>
      <c r="M638" s="13"/>
    </row>
    <row r="639" customFormat="false" ht="15.75" hidden="false" customHeight="true" outlineLevel="0" collapsed="false">
      <c r="A639" s="8" t="n">
        <f aca="false">A638+1</f>
        <v>637</v>
      </c>
      <c r="B639" s="9" t="n">
        <f aca="false">MOD(4*A639^2,10)</f>
        <v>6</v>
      </c>
      <c r="C639" s="9" t="n">
        <f aca="false">(26*B639-5*B639^2)/24</f>
        <v>-1</v>
      </c>
      <c r="D639" s="9" t="n">
        <f aca="false">(A639^2+4*C639)/5</f>
        <v>81153</v>
      </c>
      <c r="E639" s="9" t="n">
        <f aca="false">MOD(D639,10)</f>
        <v>3</v>
      </c>
      <c r="F639" s="9" t="n">
        <f aca="false">2*D639</f>
        <v>162306</v>
      </c>
      <c r="G639" s="9" t="n">
        <f aca="false">MOD(F639,10)</f>
        <v>6</v>
      </c>
      <c r="H639" s="9" t="n">
        <f aca="false">G639/2</f>
        <v>3</v>
      </c>
      <c r="I639" s="9" t="str">
        <f aca="false">IF(H639=0,"—",IF(H639=1,"unison (1:1)",IF(H639=2,"octave (2:1)",IF(H639=3,"fifth (3:2)",IF(H639=4,"fourth (4:3)","?")))))</f>
        <v>fifth (3:2)</v>
      </c>
      <c r="J639" s="9" t="str">
        <f aca="false">IF(H639=0,"—",IF(H639=1,"ὁμώνυμον",IF(H639=2,"διὰ πασῶν",IF(H639=3,"διὰ πέντε",IF(H639=4,"διὰ τεσσάρων","?")))))</f>
        <v>διὰ πέντε</v>
      </c>
      <c r="K639" s="10"/>
      <c r="L639" s="14"/>
      <c r="M639" s="13"/>
    </row>
    <row r="640" customFormat="false" ht="15.75" hidden="false" customHeight="true" outlineLevel="0" collapsed="false">
      <c r="A640" s="8" t="n">
        <f aca="false">A639+1</f>
        <v>638</v>
      </c>
      <c r="B640" s="9" t="n">
        <f aca="false">MOD(4*A640^2,10)</f>
        <v>6</v>
      </c>
      <c r="C640" s="9" t="n">
        <f aca="false">(26*B640-5*B640^2)/24</f>
        <v>-1</v>
      </c>
      <c r="D640" s="9" t="n">
        <f aca="false">(A640^2+4*C640)/5</f>
        <v>81408</v>
      </c>
      <c r="E640" s="9" t="n">
        <f aca="false">MOD(D640,10)</f>
        <v>8</v>
      </c>
      <c r="F640" s="9" t="n">
        <f aca="false">2*D640</f>
        <v>162816</v>
      </c>
      <c r="G640" s="9" t="n">
        <f aca="false">MOD(F640,10)</f>
        <v>6</v>
      </c>
      <c r="H640" s="9" t="n">
        <f aca="false">G640/2</f>
        <v>3</v>
      </c>
      <c r="I640" s="9" t="str">
        <f aca="false">IF(H640=0,"—",IF(H640=1,"unison (1:1)",IF(H640=2,"octave (2:1)",IF(H640=3,"fifth (3:2)",IF(H640=4,"fourth (4:3)","?")))))</f>
        <v>fifth (3:2)</v>
      </c>
      <c r="J640" s="9" t="str">
        <f aca="false">IF(H640=0,"—",IF(H640=1,"ὁμώνυμον",IF(H640=2,"διὰ πασῶν",IF(H640=3,"διὰ πέντε",IF(H640=4,"διὰ τεσσάρων","?")))))</f>
        <v>διὰ πέντε</v>
      </c>
      <c r="K640" s="10"/>
      <c r="L640" s="14"/>
      <c r="M640" s="13"/>
    </row>
    <row r="641" customFormat="false" ht="15.75" hidden="false" customHeight="true" outlineLevel="0" collapsed="false">
      <c r="A641" s="8" t="n">
        <f aca="false">A640+1</f>
        <v>639</v>
      </c>
      <c r="B641" s="9" t="n">
        <f aca="false">MOD(4*A641^2,10)</f>
        <v>4</v>
      </c>
      <c r="C641" s="9" t="n">
        <f aca="false">(26*B641-5*B641^2)/24</f>
        <v>1</v>
      </c>
      <c r="D641" s="9" t="n">
        <f aca="false">(A641^2+4*C641)/5</f>
        <v>81665</v>
      </c>
      <c r="E641" s="9" t="n">
        <f aca="false">MOD(D641,10)</f>
        <v>5</v>
      </c>
      <c r="F641" s="9" t="n">
        <f aca="false">2*D641</f>
        <v>163330</v>
      </c>
      <c r="G641" s="9" t="n">
        <f aca="false">MOD(F641,10)</f>
        <v>0</v>
      </c>
      <c r="H641" s="9" t="n">
        <f aca="false">G641/2</f>
        <v>0</v>
      </c>
      <c r="I641" s="9" t="str">
        <f aca="false">IF(H641=0,"—",IF(H641=1,"unison (1:1)",IF(H641=2,"octave (2:1)",IF(H641=3,"fifth (3:2)",IF(H641=4,"fourth (4:3)","?")))))</f>
        <v>—</v>
      </c>
      <c r="J641" s="9" t="str">
        <f aca="false">IF(H641=0,"—",IF(H641=1,"ὁμώνυμον",IF(H641=2,"διὰ πασῶν",IF(H641=3,"διὰ πέντε",IF(H641=4,"διὰ τεσσάρων","?")))))</f>
        <v>—</v>
      </c>
      <c r="K641" s="10"/>
      <c r="L641" s="14"/>
      <c r="M641" s="13"/>
    </row>
    <row r="642" customFormat="false" ht="15.75" hidden="false" customHeight="true" outlineLevel="0" collapsed="false">
      <c r="A642" s="8" t="n">
        <f aca="false">A641+1</f>
        <v>640</v>
      </c>
      <c r="B642" s="9" t="n">
        <f aca="false">MOD(4*A642^2,10)</f>
        <v>0</v>
      </c>
      <c r="C642" s="9" t="n">
        <f aca="false">(26*B642-5*B642^2)/24</f>
        <v>0</v>
      </c>
      <c r="D642" s="9" t="n">
        <f aca="false">(A642^2+4*C642)/5</f>
        <v>81920</v>
      </c>
      <c r="E642" s="9" t="n">
        <f aca="false">MOD(D642,10)</f>
        <v>0</v>
      </c>
      <c r="F642" s="9" t="n">
        <f aca="false">2*D642</f>
        <v>163840</v>
      </c>
      <c r="G642" s="9" t="n">
        <f aca="false">MOD(F642,10)</f>
        <v>0</v>
      </c>
      <c r="H642" s="9" t="n">
        <f aca="false">G642/2</f>
        <v>0</v>
      </c>
      <c r="I642" s="9" t="str">
        <f aca="false">IF(H642=0,"—",IF(H642=1,"unison (1:1)",IF(H642=2,"octave (2:1)",IF(H642=3,"fifth (3:2)",IF(H642=4,"fourth (4:3)","?")))))</f>
        <v>—</v>
      </c>
      <c r="J642" s="9" t="str">
        <f aca="false">IF(H642=0,"—",IF(H642=1,"ὁμώνυμον",IF(H642=2,"διὰ πασῶν",IF(H642=3,"διὰ πέντε",IF(H642=4,"διὰ τεσσάρων","?")))))</f>
        <v>—</v>
      </c>
      <c r="K642" s="10"/>
      <c r="L642" s="14"/>
      <c r="M642" s="13"/>
    </row>
    <row r="643" customFormat="false" ht="15.75" hidden="false" customHeight="true" outlineLevel="0" collapsed="false">
      <c r="A643" s="8" t="n">
        <f aca="false">A642+1</f>
        <v>641</v>
      </c>
      <c r="B643" s="9" t="n">
        <f aca="false">MOD(4*A643^2,10)</f>
        <v>4</v>
      </c>
      <c r="C643" s="9" t="n">
        <f aca="false">(26*B643-5*B643^2)/24</f>
        <v>1</v>
      </c>
      <c r="D643" s="9" t="n">
        <f aca="false">(A643^2+4*C643)/5</f>
        <v>82177</v>
      </c>
      <c r="E643" s="9" t="n">
        <f aca="false">MOD(D643,10)</f>
        <v>7</v>
      </c>
      <c r="F643" s="9" t="n">
        <f aca="false">2*D643</f>
        <v>164354</v>
      </c>
      <c r="G643" s="9" t="n">
        <f aca="false">MOD(F643,10)</f>
        <v>4</v>
      </c>
      <c r="H643" s="9" t="n">
        <f aca="false">G643/2</f>
        <v>2</v>
      </c>
      <c r="I643" s="9" t="str">
        <f aca="false">IF(H643=0,"—",IF(H643=1,"unison (1:1)",IF(H643=2,"octave (2:1)",IF(H643=3,"fifth (3:2)",IF(H643=4,"fourth (4:3)","?")))))</f>
        <v>octave (2:1)</v>
      </c>
      <c r="J643" s="9" t="str">
        <f aca="false">IF(H643=0,"—",IF(H643=1,"ὁμώνυμον",IF(H643=2,"διὰ πασῶν",IF(H643=3,"διὰ πέντε",IF(H643=4,"διὰ τεσσάρων","?")))))</f>
        <v>διὰ πασῶν</v>
      </c>
      <c r="K643" s="10"/>
      <c r="L643" s="14"/>
      <c r="M643" s="13"/>
    </row>
    <row r="644" customFormat="false" ht="15.75" hidden="false" customHeight="true" outlineLevel="0" collapsed="false">
      <c r="A644" s="8" t="n">
        <f aca="false">A643+1</f>
        <v>642</v>
      </c>
      <c r="B644" s="9" t="n">
        <f aca="false">MOD(4*A644^2,10)</f>
        <v>6</v>
      </c>
      <c r="C644" s="9" t="n">
        <f aca="false">(26*B644-5*B644^2)/24</f>
        <v>-1</v>
      </c>
      <c r="D644" s="9" t="n">
        <f aca="false">(A644^2+4*C644)/5</f>
        <v>82432</v>
      </c>
      <c r="E644" s="9" t="n">
        <f aca="false">MOD(D644,10)</f>
        <v>2</v>
      </c>
      <c r="F644" s="9" t="n">
        <f aca="false">2*D644</f>
        <v>164864</v>
      </c>
      <c r="G644" s="9" t="n">
        <f aca="false">MOD(F644,10)</f>
        <v>4</v>
      </c>
      <c r="H644" s="9" t="n">
        <f aca="false">G644/2</f>
        <v>2</v>
      </c>
      <c r="I644" s="9" t="str">
        <f aca="false">IF(H644=0,"—",IF(H644=1,"unison (1:1)",IF(H644=2,"octave (2:1)",IF(H644=3,"fifth (3:2)",IF(H644=4,"fourth (4:3)","?")))))</f>
        <v>octave (2:1)</v>
      </c>
      <c r="J644" s="9" t="str">
        <f aca="false">IF(H644=0,"—",IF(H644=1,"ὁμώνυμον",IF(H644=2,"διὰ πασῶν",IF(H644=3,"διὰ πέντε",IF(H644=4,"διὰ τεσσάρων","?")))))</f>
        <v>διὰ πασῶν</v>
      </c>
      <c r="K644" s="10"/>
      <c r="L644" s="14"/>
      <c r="M644" s="13"/>
    </row>
    <row r="645" customFormat="false" ht="15.75" hidden="false" customHeight="true" outlineLevel="0" collapsed="false">
      <c r="A645" s="8" t="n">
        <f aca="false">A644+1</f>
        <v>643</v>
      </c>
      <c r="B645" s="9" t="n">
        <f aca="false">MOD(4*A645^2,10)</f>
        <v>6</v>
      </c>
      <c r="C645" s="9" t="n">
        <f aca="false">(26*B645-5*B645^2)/24</f>
        <v>-1</v>
      </c>
      <c r="D645" s="9" t="n">
        <f aca="false">(A645^2+4*C645)/5</f>
        <v>82689</v>
      </c>
      <c r="E645" s="9" t="n">
        <f aca="false">MOD(D645,10)</f>
        <v>9</v>
      </c>
      <c r="F645" s="9" t="n">
        <f aca="false">2*D645</f>
        <v>165378</v>
      </c>
      <c r="G645" s="9" t="n">
        <f aca="false">MOD(F645,10)</f>
        <v>8</v>
      </c>
      <c r="H645" s="9" t="n">
        <f aca="false">G645/2</f>
        <v>4</v>
      </c>
      <c r="I645" s="9" t="str">
        <f aca="false">IF(H645=0,"—",IF(H645=1,"unison (1:1)",IF(H645=2,"octave (2:1)",IF(H645=3,"fifth (3:2)",IF(H645=4,"fourth (4:3)","?")))))</f>
        <v>fourth (4:3)</v>
      </c>
      <c r="J645" s="9" t="str">
        <f aca="false">IF(H645=0,"—",IF(H645=1,"ὁμώνυμον",IF(H645=2,"διὰ πασῶν",IF(H645=3,"διὰ πέντε",IF(H645=4,"διὰ τεσσάρων","?")))))</f>
        <v>διὰ τεσσάρων</v>
      </c>
      <c r="K645" s="10"/>
      <c r="L645" s="14"/>
      <c r="M645" s="13"/>
    </row>
    <row r="646" customFormat="false" ht="15.75" hidden="false" customHeight="true" outlineLevel="0" collapsed="false">
      <c r="A646" s="8" t="n">
        <f aca="false">A645+1</f>
        <v>644</v>
      </c>
      <c r="B646" s="9" t="n">
        <f aca="false">MOD(4*A646^2,10)</f>
        <v>4</v>
      </c>
      <c r="C646" s="9" t="n">
        <f aca="false">(26*B646-5*B646^2)/24</f>
        <v>1</v>
      </c>
      <c r="D646" s="9" t="n">
        <f aca="false">(A646^2+4*C646)/5</f>
        <v>82948</v>
      </c>
      <c r="E646" s="9" t="n">
        <f aca="false">MOD(D646,10)</f>
        <v>8</v>
      </c>
      <c r="F646" s="9" t="n">
        <f aca="false">2*D646</f>
        <v>165896</v>
      </c>
      <c r="G646" s="9" t="n">
        <f aca="false">MOD(F646,10)</f>
        <v>6</v>
      </c>
      <c r="H646" s="9" t="n">
        <f aca="false">G646/2</f>
        <v>3</v>
      </c>
      <c r="I646" s="9" t="str">
        <f aca="false">IF(H646=0,"—",IF(H646=1,"unison (1:1)",IF(H646=2,"octave (2:1)",IF(H646=3,"fifth (3:2)",IF(H646=4,"fourth (4:3)","?")))))</f>
        <v>fifth (3:2)</v>
      </c>
      <c r="J646" s="9" t="str">
        <f aca="false">IF(H646=0,"—",IF(H646=1,"ὁμώνυμον",IF(H646=2,"διὰ πασῶν",IF(H646=3,"διὰ πέντε",IF(H646=4,"διὰ τεσσάρων","?")))))</f>
        <v>διὰ πέντε</v>
      </c>
      <c r="K646" s="10"/>
      <c r="L646" s="14"/>
      <c r="M646" s="13"/>
    </row>
    <row r="647" customFormat="false" ht="15.75" hidden="false" customHeight="true" outlineLevel="0" collapsed="false">
      <c r="A647" s="8" t="n">
        <f aca="false">A646+1</f>
        <v>645</v>
      </c>
      <c r="B647" s="9" t="n">
        <f aca="false">MOD(4*A647^2,10)</f>
        <v>0</v>
      </c>
      <c r="C647" s="9" t="n">
        <f aca="false">(26*B647-5*B647^2)/24</f>
        <v>0</v>
      </c>
      <c r="D647" s="9" t="n">
        <f aca="false">(A647^2+4*C647)/5</f>
        <v>83205</v>
      </c>
      <c r="E647" s="9" t="n">
        <f aca="false">MOD(D647,10)</f>
        <v>5</v>
      </c>
      <c r="F647" s="9" t="n">
        <f aca="false">2*D647</f>
        <v>166410</v>
      </c>
      <c r="G647" s="9" t="n">
        <f aca="false">MOD(F647,10)</f>
        <v>0</v>
      </c>
      <c r="H647" s="9" t="n">
        <f aca="false">G647/2</f>
        <v>0</v>
      </c>
      <c r="I647" s="9" t="str">
        <f aca="false">IF(H647=0,"—",IF(H647=1,"unison (1:1)",IF(H647=2,"octave (2:1)",IF(H647=3,"fifth (3:2)",IF(H647=4,"fourth (4:3)","?")))))</f>
        <v>—</v>
      </c>
      <c r="J647" s="9" t="str">
        <f aca="false">IF(H647=0,"—",IF(H647=1,"ὁμώνυμον",IF(H647=2,"διὰ πασῶν",IF(H647=3,"διὰ πέντε",IF(H647=4,"διὰ τεσσάρων","?")))))</f>
        <v>—</v>
      </c>
      <c r="K647" s="10"/>
      <c r="L647" s="14"/>
      <c r="M647" s="13"/>
    </row>
    <row r="648" customFormat="false" ht="15.75" hidden="false" customHeight="true" outlineLevel="0" collapsed="false">
      <c r="A648" s="8" t="n">
        <f aca="false">A647+1</f>
        <v>646</v>
      </c>
      <c r="B648" s="9" t="n">
        <f aca="false">MOD(4*A648^2,10)</f>
        <v>4</v>
      </c>
      <c r="C648" s="9" t="n">
        <f aca="false">(26*B648-5*B648^2)/24</f>
        <v>1</v>
      </c>
      <c r="D648" s="9" t="n">
        <f aca="false">(A648^2+4*C648)/5</f>
        <v>83464</v>
      </c>
      <c r="E648" s="9" t="n">
        <f aca="false">MOD(D648,10)</f>
        <v>4</v>
      </c>
      <c r="F648" s="9" t="n">
        <f aca="false">2*D648</f>
        <v>166928</v>
      </c>
      <c r="G648" s="9" t="n">
        <f aca="false">MOD(F648,10)</f>
        <v>8</v>
      </c>
      <c r="H648" s="9" t="n">
        <f aca="false">G648/2</f>
        <v>4</v>
      </c>
      <c r="I648" s="9" t="str">
        <f aca="false">IF(H648=0,"—",IF(H648=1,"unison (1:1)",IF(H648=2,"octave (2:1)",IF(H648=3,"fifth (3:2)",IF(H648=4,"fourth (4:3)","?")))))</f>
        <v>fourth (4:3)</v>
      </c>
      <c r="J648" s="9" t="str">
        <f aca="false">IF(H648=0,"—",IF(H648=1,"ὁμώνυμον",IF(H648=2,"διὰ πασῶν",IF(H648=3,"διὰ πέντε",IF(H648=4,"διὰ τεσσάρων","?")))))</f>
        <v>διὰ τεσσάρων</v>
      </c>
      <c r="K648" s="10"/>
      <c r="L648" s="14"/>
      <c r="M648" s="13"/>
    </row>
    <row r="649" customFormat="false" ht="15.75" hidden="false" customHeight="true" outlineLevel="0" collapsed="false">
      <c r="A649" s="8" t="n">
        <f aca="false">A648+1</f>
        <v>647</v>
      </c>
      <c r="B649" s="9" t="n">
        <f aca="false">MOD(4*A649^2,10)</f>
        <v>6</v>
      </c>
      <c r="C649" s="9" t="n">
        <f aca="false">(26*B649-5*B649^2)/24</f>
        <v>-1</v>
      </c>
      <c r="D649" s="9" t="n">
        <f aca="false">(A649^2+4*C649)/5</f>
        <v>83721</v>
      </c>
      <c r="E649" s="9" t="n">
        <f aca="false">MOD(D649,10)</f>
        <v>1</v>
      </c>
      <c r="F649" s="9" t="n">
        <f aca="false">2*D649</f>
        <v>167442</v>
      </c>
      <c r="G649" s="9" t="n">
        <f aca="false">MOD(F649,10)</f>
        <v>2</v>
      </c>
      <c r="H649" s="9" t="n">
        <f aca="false">G649/2</f>
        <v>1</v>
      </c>
      <c r="I649" s="9" t="str">
        <f aca="false">IF(H649=0,"—",IF(H649=1,"unison (1:1)",IF(H649=2,"octave (2:1)",IF(H649=3,"fifth (3:2)",IF(H649=4,"fourth (4:3)","?")))))</f>
        <v>unison (1:1)</v>
      </c>
      <c r="J649" s="9" t="str">
        <f aca="false">IF(H649=0,"—",IF(H649=1,"ὁμώνυμον",IF(H649=2,"διὰ πασῶν",IF(H649=3,"διὰ πέντε",IF(H649=4,"διὰ τεσσάρων","?")))))</f>
        <v>ὁμώνυμον</v>
      </c>
      <c r="K649" s="10"/>
      <c r="L649" s="14"/>
      <c r="M649" s="13"/>
    </row>
    <row r="650" customFormat="false" ht="15.75" hidden="false" customHeight="true" outlineLevel="0" collapsed="false">
      <c r="A650" s="8" t="n">
        <f aca="false">A649+1</f>
        <v>648</v>
      </c>
      <c r="B650" s="9" t="n">
        <f aca="false">MOD(4*A650^2,10)</f>
        <v>6</v>
      </c>
      <c r="C650" s="9" t="n">
        <f aca="false">(26*B650-5*B650^2)/24</f>
        <v>-1</v>
      </c>
      <c r="D650" s="9" t="n">
        <f aca="false">(A650^2+4*C650)/5</f>
        <v>83980</v>
      </c>
      <c r="E650" s="9" t="n">
        <f aca="false">MOD(D650,10)</f>
        <v>0</v>
      </c>
      <c r="F650" s="9" t="n">
        <f aca="false">2*D650</f>
        <v>167960</v>
      </c>
      <c r="G650" s="9" t="n">
        <f aca="false">MOD(F650,10)</f>
        <v>0</v>
      </c>
      <c r="H650" s="9" t="n">
        <f aca="false">G650/2</f>
        <v>0</v>
      </c>
      <c r="I650" s="9" t="str">
        <f aca="false">IF(H650=0,"—",IF(H650=1,"unison (1:1)",IF(H650=2,"octave (2:1)",IF(H650=3,"fifth (3:2)",IF(H650=4,"fourth (4:3)","?")))))</f>
        <v>—</v>
      </c>
      <c r="J650" s="9" t="str">
        <f aca="false">IF(H650=0,"—",IF(H650=1,"ὁμώνυμον",IF(H650=2,"διὰ πασῶν",IF(H650=3,"διὰ πέντε",IF(H650=4,"διὰ τεσσάρων","?")))))</f>
        <v>—</v>
      </c>
      <c r="K650" s="10"/>
      <c r="L650" s="14"/>
      <c r="M650" s="13"/>
    </row>
    <row r="651" customFormat="false" ht="15.75" hidden="false" customHeight="true" outlineLevel="0" collapsed="false">
      <c r="A651" s="8" t="n">
        <f aca="false">A650+1</f>
        <v>649</v>
      </c>
      <c r="B651" s="9" t="n">
        <f aca="false">MOD(4*A651^2,10)</f>
        <v>4</v>
      </c>
      <c r="C651" s="9" t="n">
        <f aca="false">(26*B651-5*B651^2)/24</f>
        <v>1</v>
      </c>
      <c r="D651" s="9" t="n">
        <f aca="false">(A651^2+4*C651)/5</f>
        <v>84241</v>
      </c>
      <c r="E651" s="9" t="n">
        <f aca="false">MOD(D651,10)</f>
        <v>1</v>
      </c>
      <c r="F651" s="9" t="n">
        <f aca="false">2*D651</f>
        <v>168482</v>
      </c>
      <c r="G651" s="9" t="n">
        <f aca="false">MOD(F651,10)</f>
        <v>2</v>
      </c>
      <c r="H651" s="9" t="n">
        <f aca="false">G651/2</f>
        <v>1</v>
      </c>
      <c r="I651" s="9" t="str">
        <f aca="false">IF(H651=0,"—",IF(H651=1,"unison (1:1)",IF(H651=2,"octave (2:1)",IF(H651=3,"fifth (3:2)",IF(H651=4,"fourth (4:3)","?")))))</f>
        <v>unison (1:1)</v>
      </c>
      <c r="J651" s="9" t="str">
        <f aca="false">IF(H651=0,"—",IF(H651=1,"ὁμώνυμον",IF(H651=2,"διὰ πασῶν",IF(H651=3,"διὰ πέντε",IF(H651=4,"διὰ τεσσάρων","?")))))</f>
        <v>ὁμώνυμον</v>
      </c>
      <c r="K651" s="10"/>
      <c r="L651" s="14"/>
      <c r="M651" s="13"/>
    </row>
    <row r="652" customFormat="false" ht="15.75" hidden="false" customHeight="true" outlineLevel="0" collapsed="false">
      <c r="A652" s="8" t="n">
        <f aca="false">A651+1</f>
        <v>650</v>
      </c>
      <c r="B652" s="9" t="n">
        <f aca="false">MOD(4*A652^2,10)</f>
        <v>0</v>
      </c>
      <c r="C652" s="9" t="n">
        <f aca="false">(26*B652-5*B652^2)/24</f>
        <v>0</v>
      </c>
      <c r="D652" s="9" t="n">
        <f aca="false">(A652^2+4*C652)/5</f>
        <v>84500</v>
      </c>
      <c r="E652" s="9" t="n">
        <f aca="false">MOD(D652,10)</f>
        <v>0</v>
      </c>
      <c r="F652" s="9" t="n">
        <f aca="false">2*D652</f>
        <v>169000</v>
      </c>
      <c r="G652" s="9" t="n">
        <f aca="false">MOD(F652,10)</f>
        <v>0</v>
      </c>
      <c r="H652" s="9" t="n">
        <f aca="false">G652/2</f>
        <v>0</v>
      </c>
      <c r="I652" s="9" t="str">
        <f aca="false">IF(H652=0,"—",IF(H652=1,"unison (1:1)",IF(H652=2,"octave (2:1)",IF(H652=3,"fifth (3:2)",IF(H652=4,"fourth (4:3)","?")))))</f>
        <v>—</v>
      </c>
      <c r="J652" s="9" t="str">
        <f aca="false">IF(H652=0,"—",IF(H652=1,"ὁμώνυμον",IF(H652=2,"διὰ πασῶν",IF(H652=3,"διὰ πέντε",IF(H652=4,"διὰ τεσσάρων","?")))))</f>
        <v>—</v>
      </c>
      <c r="K652" s="10"/>
      <c r="L652" s="14"/>
      <c r="M652" s="13"/>
    </row>
    <row r="653" customFormat="false" ht="15.75" hidden="false" customHeight="true" outlineLevel="0" collapsed="false">
      <c r="A653" s="8" t="n">
        <f aca="false">A652+1</f>
        <v>651</v>
      </c>
      <c r="B653" s="9" t="n">
        <f aca="false">MOD(4*A653^2,10)</f>
        <v>4</v>
      </c>
      <c r="C653" s="9" t="n">
        <f aca="false">(26*B653-5*B653^2)/24</f>
        <v>1</v>
      </c>
      <c r="D653" s="9" t="n">
        <f aca="false">(A653^2+4*C653)/5</f>
        <v>84761</v>
      </c>
      <c r="E653" s="9" t="n">
        <f aca="false">MOD(D653,10)</f>
        <v>1</v>
      </c>
      <c r="F653" s="9" t="n">
        <f aca="false">2*D653</f>
        <v>169522</v>
      </c>
      <c r="G653" s="9" t="n">
        <f aca="false">MOD(F653,10)</f>
        <v>2</v>
      </c>
      <c r="H653" s="9" t="n">
        <f aca="false">G653/2</f>
        <v>1</v>
      </c>
      <c r="I653" s="9" t="str">
        <f aca="false">IF(H653=0,"—",IF(H653=1,"unison (1:1)",IF(H653=2,"octave (2:1)",IF(H653=3,"fifth (3:2)",IF(H653=4,"fourth (4:3)","?")))))</f>
        <v>unison (1:1)</v>
      </c>
      <c r="J653" s="9" t="str">
        <f aca="false">IF(H653=0,"—",IF(H653=1,"ὁμώνυμον",IF(H653=2,"διὰ πασῶν",IF(H653=3,"διὰ πέντε",IF(H653=4,"διὰ τεσσάρων","?")))))</f>
        <v>ὁμώνυμον</v>
      </c>
      <c r="K653" s="10"/>
      <c r="L653" s="14"/>
      <c r="M653" s="13"/>
    </row>
    <row r="654" customFormat="false" ht="15.75" hidden="false" customHeight="true" outlineLevel="0" collapsed="false">
      <c r="A654" s="8" t="n">
        <f aca="false">A653+1</f>
        <v>652</v>
      </c>
      <c r="B654" s="9" t="n">
        <f aca="false">MOD(4*A654^2,10)</f>
        <v>6</v>
      </c>
      <c r="C654" s="9" t="n">
        <f aca="false">(26*B654-5*B654^2)/24</f>
        <v>-1</v>
      </c>
      <c r="D654" s="9" t="n">
        <f aca="false">(A654^2+4*C654)/5</f>
        <v>85020</v>
      </c>
      <c r="E654" s="9" t="n">
        <f aca="false">MOD(D654,10)</f>
        <v>0</v>
      </c>
      <c r="F654" s="9" t="n">
        <f aca="false">2*D654</f>
        <v>170040</v>
      </c>
      <c r="G654" s="9" t="n">
        <f aca="false">MOD(F654,10)</f>
        <v>0</v>
      </c>
      <c r="H654" s="9" t="n">
        <f aca="false">G654/2</f>
        <v>0</v>
      </c>
      <c r="I654" s="9" t="str">
        <f aca="false">IF(H654=0,"—",IF(H654=1,"unison (1:1)",IF(H654=2,"octave (2:1)",IF(H654=3,"fifth (3:2)",IF(H654=4,"fourth (4:3)","?")))))</f>
        <v>—</v>
      </c>
      <c r="J654" s="9" t="str">
        <f aca="false">IF(H654=0,"—",IF(H654=1,"ὁμώνυμον",IF(H654=2,"διὰ πασῶν",IF(H654=3,"διὰ πέντε",IF(H654=4,"διὰ τεσσάρων","?")))))</f>
        <v>—</v>
      </c>
      <c r="K654" s="10"/>
      <c r="L654" s="14"/>
      <c r="M654" s="13"/>
    </row>
    <row r="655" customFormat="false" ht="15.75" hidden="false" customHeight="true" outlineLevel="0" collapsed="false">
      <c r="A655" s="8" t="n">
        <f aca="false">A654+1</f>
        <v>653</v>
      </c>
      <c r="B655" s="9" t="n">
        <f aca="false">MOD(4*A655^2,10)</f>
        <v>6</v>
      </c>
      <c r="C655" s="9" t="n">
        <f aca="false">(26*B655-5*B655^2)/24</f>
        <v>-1</v>
      </c>
      <c r="D655" s="9" t="n">
        <f aca="false">(A655^2+4*C655)/5</f>
        <v>85281</v>
      </c>
      <c r="E655" s="9" t="n">
        <f aca="false">MOD(D655,10)</f>
        <v>1</v>
      </c>
      <c r="F655" s="9" t="n">
        <f aca="false">2*D655</f>
        <v>170562</v>
      </c>
      <c r="G655" s="9" t="n">
        <f aca="false">MOD(F655,10)</f>
        <v>2</v>
      </c>
      <c r="H655" s="9" t="n">
        <f aca="false">G655/2</f>
        <v>1</v>
      </c>
      <c r="I655" s="9" t="str">
        <f aca="false">IF(H655=0,"—",IF(H655=1,"unison (1:1)",IF(H655=2,"octave (2:1)",IF(H655=3,"fifth (3:2)",IF(H655=4,"fourth (4:3)","?")))))</f>
        <v>unison (1:1)</v>
      </c>
      <c r="J655" s="9" t="str">
        <f aca="false">IF(H655=0,"—",IF(H655=1,"ὁμώνυμον",IF(H655=2,"διὰ πασῶν",IF(H655=3,"διὰ πέντε",IF(H655=4,"διὰ τεσσάρων","?")))))</f>
        <v>ὁμώνυμον</v>
      </c>
      <c r="K655" s="10"/>
      <c r="L655" s="14"/>
      <c r="M655" s="13"/>
    </row>
    <row r="656" customFormat="false" ht="15.75" hidden="false" customHeight="true" outlineLevel="0" collapsed="false">
      <c r="A656" s="8" t="n">
        <f aca="false">A655+1</f>
        <v>654</v>
      </c>
      <c r="B656" s="9" t="n">
        <f aca="false">MOD(4*A656^2,10)</f>
        <v>4</v>
      </c>
      <c r="C656" s="9" t="n">
        <f aca="false">(26*B656-5*B656^2)/24</f>
        <v>1</v>
      </c>
      <c r="D656" s="9" t="n">
        <f aca="false">(A656^2+4*C656)/5</f>
        <v>85544</v>
      </c>
      <c r="E656" s="9" t="n">
        <f aca="false">MOD(D656,10)</f>
        <v>4</v>
      </c>
      <c r="F656" s="9" t="n">
        <f aca="false">2*D656</f>
        <v>171088</v>
      </c>
      <c r="G656" s="9" t="n">
        <f aca="false">MOD(F656,10)</f>
        <v>8</v>
      </c>
      <c r="H656" s="9" t="n">
        <f aca="false">G656/2</f>
        <v>4</v>
      </c>
      <c r="I656" s="9" t="str">
        <f aca="false">IF(H656=0,"—",IF(H656=1,"unison (1:1)",IF(H656=2,"octave (2:1)",IF(H656=3,"fifth (3:2)",IF(H656=4,"fourth (4:3)","?")))))</f>
        <v>fourth (4:3)</v>
      </c>
      <c r="J656" s="9" t="str">
        <f aca="false">IF(H656=0,"—",IF(H656=1,"ὁμώνυμον",IF(H656=2,"διὰ πασῶν",IF(H656=3,"διὰ πέντε",IF(H656=4,"διὰ τεσσάρων","?")))))</f>
        <v>διὰ τεσσάρων</v>
      </c>
      <c r="K656" s="10"/>
      <c r="L656" s="14"/>
      <c r="M656" s="13"/>
    </row>
    <row r="657" customFormat="false" ht="15.75" hidden="false" customHeight="true" outlineLevel="0" collapsed="false">
      <c r="A657" s="8" t="n">
        <f aca="false">A656+1</f>
        <v>655</v>
      </c>
      <c r="B657" s="9" t="n">
        <f aca="false">MOD(4*A657^2,10)</f>
        <v>0</v>
      </c>
      <c r="C657" s="9" t="n">
        <f aca="false">(26*B657-5*B657^2)/24</f>
        <v>0</v>
      </c>
      <c r="D657" s="9" t="n">
        <f aca="false">(A657^2+4*C657)/5</f>
        <v>85805</v>
      </c>
      <c r="E657" s="9" t="n">
        <f aca="false">MOD(D657,10)</f>
        <v>5</v>
      </c>
      <c r="F657" s="9" t="n">
        <f aca="false">2*D657</f>
        <v>171610</v>
      </c>
      <c r="G657" s="9" t="n">
        <f aca="false">MOD(F657,10)</f>
        <v>0</v>
      </c>
      <c r="H657" s="9" t="n">
        <f aca="false">G657/2</f>
        <v>0</v>
      </c>
      <c r="I657" s="9" t="str">
        <f aca="false">IF(H657=0,"—",IF(H657=1,"unison (1:1)",IF(H657=2,"octave (2:1)",IF(H657=3,"fifth (3:2)",IF(H657=4,"fourth (4:3)","?")))))</f>
        <v>—</v>
      </c>
      <c r="J657" s="9" t="str">
        <f aca="false">IF(H657=0,"—",IF(H657=1,"ὁμώνυμον",IF(H657=2,"διὰ πασῶν",IF(H657=3,"διὰ πέντε",IF(H657=4,"διὰ τεσσάρων","?")))))</f>
        <v>—</v>
      </c>
      <c r="K657" s="10"/>
      <c r="L657" s="14"/>
      <c r="M657" s="13"/>
    </row>
    <row r="658" customFormat="false" ht="15.75" hidden="false" customHeight="true" outlineLevel="0" collapsed="false">
      <c r="A658" s="8" t="n">
        <f aca="false">A657+1</f>
        <v>656</v>
      </c>
      <c r="B658" s="9" t="n">
        <f aca="false">MOD(4*A658^2,10)</f>
        <v>4</v>
      </c>
      <c r="C658" s="9" t="n">
        <f aca="false">(26*B658-5*B658^2)/24</f>
        <v>1</v>
      </c>
      <c r="D658" s="9" t="n">
        <f aca="false">(A658^2+4*C658)/5</f>
        <v>86068</v>
      </c>
      <c r="E658" s="9" t="n">
        <f aca="false">MOD(D658,10)</f>
        <v>8</v>
      </c>
      <c r="F658" s="9" t="n">
        <f aca="false">2*D658</f>
        <v>172136</v>
      </c>
      <c r="G658" s="9" t="n">
        <f aca="false">MOD(F658,10)</f>
        <v>6</v>
      </c>
      <c r="H658" s="9" t="n">
        <f aca="false">G658/2</f>
        <v>3</v>
      </c>
      <c r="I658" s="9" t="str">
        <f aca="false">IF(H658=0,"—",IF(H658=1,"unison (1:1)",IF(H658=2,"octave (2:1)",IF(H658=3,"fifth (3:2)",IF(H658=4,"fourth (4:3)","?")))))</f>
        <v>fifth (3:2)</v>
      </c>
      <c r="J658" s="9" t="str">
        <f aca="false">IF(H658=0,"—",IF(H658=1,"ὁμώνυμον",IF(H658=2,"διὰ πασῶν",IF(H658=3,"διὰ πέντε",IF(H658=4,"διὰ τεσσάρων","?")))))</f>
        <v>διὰ πέντε</v>
      </c>
      <c r="K658" s="10"/>
      <c r="L658" s="14"/>
      <c r="M658" s="13"/>
    </row>
    <row r="659" customFormat="false" ht="15.75" hidden="false" customHeight="true" outlineLevel="0" collapsed="false">
      <c r="A659" s="8" t="n">
        <f aca="false">A658+1</f>
        <v>657</v>
      </c>
      <c r="B659" s="9" t="n">
        <f aca="false">MOD(4*A659^2,10)</f>
        <v>6</v>
      </c>
      <c r="C659" s="9" t="n">
        <f aca="false">(26*B659-5*B659^2)/24</f>
        <v>-1</v>
      </c>
      <c r="D659" s="9" t="n">
        <f aca="false">(A659^2+4*C659)/5</f>
        <v>86329</v>
      </c>
      <c r="E659" s="9" t="n">
        <f aca="false">MOD(D659,10)</f>
        <v>9</v>
      </c>
      <c r="F659" s="9" t="n">
        <f aca="false">2*D659</f>
        <v>172658</v>
      </c>
      <c r="G659" s="9" t="n">
        <f aca="false">MOD(F659,10)</f>
        <v>8</v>
      </c>
      <c r="H659" s="9" t="n">
        <f aca="false">G659/2</f>
        <v>4</v>
      </c>
      <c r="I659" s="9" t="str">
        <f aca="false">IF(H659=0,"—",IF(H659=1,"unison (1:1)",IF(H659=2,"octave (2:1)",IF(H659=3,"fifth (3:2)",IF(H659=4,"fourth (4:3)","?")))))</f>
        <v>fourth (4:3)</v>
      </c>
      <c r="J659" s="9" t="str">
        <f aca="false">IF(H659=0,"—",IF(H659=1,"ὁμώνυμον",IF(H659=2,"διὰ πασῶν",IF(H659=3,"διὰ πέντε",IF(H659=4,"διὰ τεσσάρων","?")))))</f>
        <v>διὰ τεσσάρων</v>
      </c>
      <c r="K659" s="10"/>
      <c r="L659" s="14"/>
      <c r="M659" s="13"/>
    </row>
    <row r="660" customFormat="false" ht="15.75" hidden="false" customHeight="true" outlineLevel="0" collapsed="false">
      <c r="A660" s="8" t="n">
        <f aca="false">A659+1</f>
        <v>658</v>
      </c>
      <c r="B660" s="9" t="n">
        <f aca="false">MOD(4*A660^2,10)</f>
        <v>6</v>
      </c>
      <c r="C660" s="9" t="n">
        <f aca="false">(26*B660-5*B660^2)/24</f>
        <v>-1</v>
      </c>
      <c r="D660" s="9" t="n">
        <f aca="false">(A660^2+4*C660)/5</f>
        <v>86592</v>
      </c>
      <c r="E660" s="9" t="n">
        <f aca="false">MOD(D660,10)</f>
        <v>2</v>
      </c>
      <c r="F660" s="9" t="n">
        <f aca="false">2*D660</f>
        <v>173184</v>
      </c>
      <c r="G660" s="9" t="n">
        <f aca="false">MOD(F660,10)</f>
        <v>4</v>
      </c>
      <c r="H660" s="9" t="n">
        <f aca="false">G660/2</f>
        <v>2</v>
      </c>
      <c r="I660" s="9" t="str">
        <f aca="false">IF(H660=0,"—",IF(H660=1,"unison (1:1)",IF(H660=2,"octave (2:1)",IF(H660=3,"fifth (3:2)",IF(H660=4,"fourth (4:3)","?")))))</f>
        <v>octave (2:1)</v>
      </c>
      <c r="J660" s="9" t="str">
        <f aca="false">IF(H660=0,"—",IF(H660=1,"ὁμώνυμον",IF(H660=2,"διὰ πασῶν",IF(H660=3,"διὰ πέντε",IF(H660=4,"διὰ τεσσάρων","?")))))</f>
        <v>διὰ πασῶν</v>
      </c>
      <c r="K660" s="10"/>
      <c r="L660" s="14"/>
      <c r="M660" s="13"/>
    </row>
    <row r="661" customFormat="false" ht="15.75" hidden="false" customHeight="true" outlineLevel="0" collapsed="false">
      <c r="A661" s="8" t="n">
        <f aca="false">A660+1</f>
        <v>659</v>
      </c>
      <c r="B661" s="9" t="n">
        <f aca="false">MOD(4*A661^2,10)</f>
        <v>4</v>
      </c>
      <c r="C661" s="9" t="n">
        <f aca="false">(26*B661-5*B661^2)/24</f>
        <v>1</v>
      </c>
      <c r="D661" s="9" t="n">
        <f aca="false">(A661^2+4*C661)/5</f>
        <v>86857</v>
      </c>
      <c r="E661" s="9" t="n">
        <f aca="false">MOD(D661,10)</f>
        <v>7</v>
      </c>
      <c r="F661" s="9" t="n">
        <f aca="false">2*D661</f>
        <v>173714</v>
      </c>
      <c r="G661" s="9" t="n">
        <f aca="false">MOD(F661,10)</f>
        <v>4</v>
      </c>
      <c r="H661" s="9" t="n">
        <f aca="false">G661/2</f>
        <v>2</v>
      </c>
      <c r="I661" s="9" t="str">
        <f aca="false">IF(H661=0,"—",IF(H661=1,"unison (1:1)",IF(H661=2,"octave (2:1)",IF(H661=3,"fifth (3:2)",IF(H661=4,"fourth (4:3)","?")))))</f>
        <v>octave (2:1)</v>
      </c>
      <c r="J661" s="9" t="str">
        <f aca="false">IF(H661=0,"—",IF(H661=1,"ὁμώνυμον",IF(H661=2,"διὰ πασῶν",IF(H661=3,"διὰ πέντε",IF(H661=4,"διὰ τεσσάρων","?")))))</f>
        <v>διὰ πασῶν</v>
      </c>
      <c r="K661" s="10"/>
      <c r="L661" s="14"/>
      <c r="M661" s="13"/>
    </row>
    <row r="662" customFormat="false" ht="15.75" hidden="false" customHeight="true" outlineLevel="0" collapsed="false">
      <c r="A662" s="8" t="n">
        <f aca="false">A661+1</f>
        <v>660</v>
      </c>
      <c r="B662" s="9" t="n">
        <f aca="false">MOD(4*A662^2,10)</f>
        <v>0</v>
      </c>
      <c r="C662" s="9" t="n">
        <f aca="false">(26*B662-5*B662^2)/24</f>
        <v>0</v>
      </c>
      <c r="D662" s="9" t="n">
        <f aca="false">(A662^2+4*C662)/5</f>
        <v>87120</v>
      </c>
      <c r="E662" s="9" t="n">
        <f aca="false">MOD(D662,10)</f>
        <v>0</v>
      </c>
      <c r="F662" s="9" t="n">
        <f aca="false">2*D662</f>
        <v>174240</v>
      </c>
      <c r="G662" s="9" t="n">
        <f aca="false">MOD(F662,10)</f>
        <v>0</v>
      </c>
      <c r="H662" s="9" t="n">
        <f aca="false">G662/2</f>
        <v>0</v>
      </c>
      <c r="I662" s="9" t="str">
        <f aca="false">IF(H662=0,"—",IF(H662=1,"unison (1:1)",IF(H662=2,"octave (2:1)",IF(H662=3,"fifth (3:2)",IF(H662=4,"fourth (4:3)","?")))))</f>
        <v>—</v>
      </c>
      <c r="J662" s="9" t="str">
        <f aca="false">IF(H662=0,"—",IF(H662=1,"ὁμώνυμον",IF(H662=2,"διὰ πασῶν",IF(H662=3,"διὰ πέντε",IF(H662=4,"διὰ τεσσάρων","?")))))</f>
        <v>—</v>
      </c>
      <c r="K662" s="10"/>
      <c r="L662" s="14"/>
      <c r="M662" s="13"/>
    </row>
    <row r="663" customFormat="false" ht="15.75" hidden="false" customHeight="true" outlineLevel="0" collapsed="false">
      <c r="A663" s="8" t="n">
        <f aca="false">A662+1</f>
        <v>661</v>
      </c>
      <c r="B663" s="9" t="n">
        <f aca="false">MOD(4*A663^2,10)</f>
        <v>4</v>
      </c>
      <c r="C663" s="9" t="n">
        <f aca="false">(26*B663-5*B663^2)/24</f>
        <v>1</v>
      </c>
      <c r="D663" s="9" t="n">
        <f aca="false">(A663^2+4*C663)/5</f>
        <v>87385</v>
      </c>
      <c r="E663" s="9" t="n">
        <f aca="false">MOD(D663,10)</f>
        <v>5</v>
      </c>
      <c r="F663" s="9" t="n">
        <f aca="false">2*D663</f>
        <v>174770</v>
      </c>
      <c r="G663" s="9" t="n">
        <f aca="false">MOD(F663,10)</f>
        <v>0</v>
      </c>
      <c r="H663" s="9" t="n">
        <f aca="false">G663/2</f>
        <v>0</v>
      </c>
      <c r="I663" s="9" t="str">
        <f aca="false">IF(H663=0,"—",IF(H663=1,"unison (1:1)",IF(H663=2,"octave (2:1)",IF(H663=3,"fifth (3:2)",IF(H663=4,"fourth (4:3)","?")))))</f>
        <v>—</v>
      </c>
      <c r="J663" s="9" t="str">
        <f aca="false">IF(H663=0,"—",IF(H663=1,"ὁμώνυμον",IF(H663=2,"διὰ πασῶν",IF(H663=3,"διὰ πέντε",IF(H663=4,"διὰ τεσσάρων","?")))))</f>
        <v>—</v>
      </c>
      <c r="K663" s="10"/>
      <c r="L663" s="14"/>
      <c r="M663" s="13"/>
    </row>
    <row r="664" customFormat="false" ht="15.75" hidden="false" customHeight="true" outlineLevel="0" collapsed="false">
      <c r="A664" s="8" t="n">
        <f aca="false">A663+1</f>
        <v>662</v>
      </c>
      <c r="B664" s="9" t="n">
        <f aca="false">MOD(4*A664^2,10)</f>
        <v>6</v>
      </c>
      <c r="C664" s="9" t="n">
        <f aca="false">(26*B664-5*B664^2)/24</f>
        <v>-1</v>
      </c>
      <c r="D664" s="9" t="n">
        <f aca="false">(A664^2+4*C664)/5</f>
        <v>87648</v>
      </c>
      <c r="E664" s="9" t="n">
        <f aca="false">MOD(D664,10)</f>
        <v>8</v>
      </c>
      <c r="F664" s="9" t="n">
        <f aca="false">2*D664</f>
        <v>175296</v>
      </c>
      <c r="G664" s="9" t="n">
        <f aca="false">MOD(F664,10)</f>
        <v>6</v>
      </c>
      <c r="H664" s="9" t="n">
        <f aca="false">G664/2</f>
        <v>3</v>
      </c>
      <c r="I664" s="9" t="str">
        <f aca="false">IF(H664=0,"—",IF(H664=1,"unison (1:1)",IF(H664=2,"octave (2:1)",IF(H664=3,"fifth (3:2)",IF(H664=4,"fourth (4:3)","?")))))</f>
        <v>fifth (3:2)</v>
      </c>
      <c r="J664" s="9" t="str">
        <f aca="false">IF(H664=0,"—",IF(H664=1,"ὁμώνυμον",IF(H664=2,"διὰ πασῶν",IF(H664=3,"διὰ πέντε",IF(H664=4,"διὰ τεσσάρων","?")))))</f>
        <v>διὰ πέντε</v>
      </c>
      <c r="K664" s="10"/>
      <c r="L664" s="14"/>
      <c r="M664" s="13"/>
    </row>
    <row r="665" customFormat="false" ht="15.75" hidden="false" customHeight="true" outlineLevel="0" collapsed="false">
      <c r="A665" s="8" t="n">
        <f aca="false">A664+1</f>
        <v>663</v>
      </c>
      <c r="B665" s="9" t="n">
        <f aca="false">MOD(4*A665^2,10)</f>
        <v>6</v>
      </c>
      <c r="C665" s="9" t="n">
        <f aca="false">(26*B665-5*B665^2)/24</f>
        <v>-1</v>
      </c>
      <c r="D665" s="9" t="n">
        <f aca="false">(A665^2+4*C665)/5</f>
        <v>87913</v>
      </c>
      <c r="E665" s="9" t="n">
        <f aca="false">MOD(D665,10)</f>
        <v>3</v>
      </c>
      <c r="F665" s="9" t="n">
        <f aca="false">2*D665</f>
        <v>175826</v>
      </c>
      <c r="G665" s="9" t="n">
        <f aca="false">MOD(F665,10)</f>
        <v>6</v>
      </c>
      <c r="H665" s="9" t="n">
        <f aca="false">G665/2</f>
        <v>3</v>
      </c>
      <c r="I665" s="9" t="str">
        <f aca="false">IF(H665=0,"—",IF(H665=1,"unison (1:1)",IF(H665=2,"octave (2:1)",IF(H665=3,"fifth (3:2)",IF(H665=4,"fourth (4:3)","?")))))</f>
        <v>fifth (3:2)</v>
      </c>
      <c r="J665" s="9" t="str">
        <f aca="false">IF(H665=0,"—",IF(H665=1,"ὁμώνυμον",IF(H665=2,"διὰ πασῶν",IF(H665=3,"διὰ πέντε",IF(H665=4,"διὰ τεσσάρων","?")))))</f>
        <v>διὰ πέντε</v>
      </c>
      <c r="K665" s="10"/>
      <c r="L665" s="14"/>
      <c r="M665" s="13"/>
    </row>
    <row r="666" customFormat="false" ht="15.75" hidden="false" customHeight="true" outlineLevel="0" collapsed="false">
      <c r="A666" s="8" t="n">
        <f aca="false">A665+1</f>
        <v>664</v>
      </c>
      <c r="B666" s="9" t="n">
        <f aca="false">MOD(4*A666^2,10)</f>
        <v>4</v>
      </c>
      <c r="C666" s="9" t="n">
        <f aca="false">(26*B666-5*B666^2)/24</f>
        <v>1</v>
      </c>
      <c r="D666" s="9" t="n">
        <f aca="false">(A666^2+4*C666)/5</f>
        <v>88180</v>
      </c>
      <c r="E666" s="9" t="n">
        <f aca="false">MOD(D666,10)</f>
        <v>0</v>
      </c>
      <c r="F666" s="9" t="n">
        <f aca="false">2*D666</f>
        <v>176360</v>
      </c>
      <c r="G666" s="9" t="n">
        <f aca="false">MOD(F666,10)</f>
        <v>0</v>
      </c>
      <c r="H666" s="9" t="n">
        <f aca="false">G666/2</f>
        <v>0</v>
      </c>
      <c r="I666" s="9" t="str">
        <f aca="false">IF(H666=0,"—",IF(H666=1,"unison (1:1)",IF(H666=2,"octave (2:1)",IF(H666=3,"fifth (3:2)",IF(H666=4,"fourth (4:3)","?")))))</f>
        <v>—</v>
      </c>
      <c r="J666" s="9" t="str">
        <f aca="false">IF(H666=0,"—",IF(H666=1,"ὁμώνυμον",IF(H666=2,"διὰ πασῶν",IF(H666=3,"διὰ πέντε",IF(H666=4,"διὰ τεσσάρων","?")))))</f>
        <v>—</v>
      </c>
      <c r="K666" s="10"/>
      <c r="L666" s="14"/>
      <c r="M666" s="13"/>
    </row>
    <row r="667" customFormat="false" ht="15.75" hidden="false" customHeight="true" outlineLevel="0" collapsed="false">
      <c r="A667" s="8" t="n">
        <f aca="false">A666+1</f>
        <v>665</v>
      </c>
      <c r="B667" s="9" t="n">
        <f aca="false">MOD(4*A667^2,10)</f>
        <v>0</v>
      </c>
      <c r="C667" s="9" t="n">
        <f aca="false">(26*B667-5*B667^2)/24</f>
        <v>0</v>
      </c>
      <c r="D667" s="9" t="n">
        <f aca="false">(A667^2+4*C667)/5</f>
        <v>88445</v>
      </c>
      <c r="E667" s="9" t="n">
        <f aca="false">MOD(D667,10)</f>
        <v>5</v>
      </c>
      <c r="F667" s="9" t="n">
        <f aca="false">2*D667</f>
        <v>176890</v>
      </c>
      <c r="G667" s="9" t="n">
        <f aca="false">MOD(F667,10)</f>
        <v>0</v>
      </c>
      <c r="H667" s="9" t="n">
        <f aca="false">G667/2</f>
        <v>0</v>
      </c>
      <c r="I667" s="9" t="str">
        <f aca="false">IF(H667=0,"—",IF(H667=1,"unison (1:1)",IF(H667=2,"octave (2:1)",IF(H667=3,"fifth (3:2)",IF(H667=4,"fourth (4:3)","?")))))</f>
        <v>—</v>
      </c>
      <c r="J667" s="9" t="str">
        <f aca="false">IF(H667=0,"—",IF(H667=1,"ὁμώνυμον",IF(H667=2,"διὰ πασῶν",IF(H667=3,"διὰ πέντε",IF(H667=4,"διὰ τεσσάρων","?")))))</f>
        <v>—</v>
      </c>
      <c r="K667" s="10"/>
      <c r="L667" s="14"/>
      <c r="M667" s="13"/>
    </row>
    <row r="668" customFormat="false" ht="15.75" hidden="false" customHeight="true" outlineLevel="0" collapsed="false">
      <c r="A668" s="8" t="n">
        <f aca="false">A667+1</f>
        <v>666</v>
      </c>
      <c r="B668" s="9" t="n">
        <f aca="false">MOD(4*A668^2,10)</f>
        <v>4</v>
      </c>
      <c r="C668" s="9" t="n">
        <f aca="false">(26*B668-5*B668^2)/24</f>
        <v>1</v>
      </c>
      <c r="D668" s="9" t="n">
        <f aca="false">(A668^2+4*C668)/5</f>
        <v>88712</v>
      </c>
      <c r="E668" s="9" t="n">
        <f aca="false">MOD(D668,10)</f>
        <v>2</v>
      </c>
      <c r="F668" s="9" t="n">
        <f aca="false">2*D668</f>
        <v>177424</v>
      </c>
      <c r="G668" s="9" t="n">
        <f aca="false">MOD(F668,10)</f>
        <v>4</v>
      </c>
      <c r="H668" s="9" t="n">
        <f aca="false">G668/2</f>
        <v>2</v>
      </c>
      <c r="I668" s="9" t="str">
        <f aca="false">IF(H668=0,"—",IF(H668=1,"unison (1:1)",IF(H668=2,"octave (2:1)",IF(H668=3,"fifth (3:2)",IF(H668=4,"fourth (4:3)","?")))))</f>
        <v>octave (2:1)</v>
      </c>
      <c r="J668" s="9" t="str">
        <f aca="false">IF(H668=0,"—",IF(H668=1,"ὁμώνυμον",IF(H668=2,"διὰ πασῶν",IF(H668=3,"διὰ πέντε",IF(H668=4,"διὰ τεσσάρων","?")))))</f>
        <v>διὰ πασῶν</v>
      </c>
      <c r="K668" s="10"/>
      <c r="L668" s="14"/>
      <c r="M668" s="13"/>
    </row>
    <row r="669" customFormat="false" ht="15.75" hidden="false" customHeight="true" outlineLevel="0" collapsed="false">
      <c r="A669" s="8" t="n">
        <f aca="false">A668+1</f>
        <v>667</v>
      </c>
      <c r="B669" s="9" t="n">
        <f aca="false">MOD(4*A669^2,10)</f>
        <v>6</v>
      </c>
      <c r="C669" s="9" t="n">
        <f aca="false">(26*B669-5*B669^2)/24</f>
        <v>-1</v>
      </c>
      <c r="D669" s="9" t="n">
        <f aca="false">(A669^2+4*C669)/5</f>
        <v>88977</v>
      </c>
      <c r="E669" s="9" t="n">
        <f aca="false">MOD(D669,10)</f>
        <v>7</v>
      </c>
      <c r="F669" s="9" t="n">
        <f aca="false">2*D669</f>
        <v>177954</v>
      </c>
      <c r="G669" s="9" t="n">
        <f aca="false">MOD(F669,10)</f>
        <v>4</v>
      </c>
      <c r="H669" s="9" t="n">
        <f aca="false">G669/2</f>
        <v>2</v>
      </c>
      <c r="I669" s="9" t="str">
        <f aca="false">IF(H669=0,"—",IF(H669=1,"unison (1:1)",IF(H669=2,"octave (2:1)",IF(H669=3,"fifth (3:2)",IF(H669=4,"fourth (4:3)","?")))))</f>
        <v>octave (2:1)</v>
      </c>
      <c r="J669" s="9" t="str">
        <f aca="false">IF(H669=0,"—",IF(H669=1,"ὁμώνυμον",IF(H669=2,"διὰ πασῶν",IF(H669=3,"διὰ πέντε",IF(H669=4,"διὰ τεσσάρων","?")))))</f>
        <v>διὰ πασῶν</v>
      </c>
      <c r="K669" s="10"/>
      <c r="L669" s="14"/>
      <c r="M669" s="13"/>
    </row>
    <row r="670" customFormat="false" ht="15.75" hidden="false" customHeight="true" outlineLevel="0" collapsed="false">
      <c r="A670" s="8" t="n">
        <f aca="false">A669+1</f>
        <v>668</v>
      </c>
      <c r="B670" s="9" t="n">
        <f aca="false">MOD(4*A670^2,10)</f>
        <v>6</v>
      </c>
      <c r="C670" s="9" t="n">
        <f aca="false">(26*B670-5*B670^2)/24</f>
        <v>-1</v>
      </c>
      <c r="D670" s="9" t="n">
        <f aca="false">(A670^2+4*C670)/5</f>
        <v>89244</v>
      </c>
      <c r="E670" s="9" t="n">
        <f aca="false">MOD(D670,10)</f>
        <v>4</v>
      </c>
      <c r="F670" s="9" t="n">
        <f aca="false">2*D670</f>
        <v>178488</v>
      </c>
      <c r="G670" s="9" t="n">
        <f aca="false">MOD(F670,10)</f>
        <v>8</v>
      </c>
      <c r="H670" s="9" t="n">
        <f aca="false">G670/2</f>
        <v>4</v>
      </c>
      <c r="I670" s="9" t="str">
        <f aca="false">IF(H670=0,"—",IF(H670=1,"unison (1:1)",IF(H670=2,"octave (2:1)",IF(H670=3,"fifth (3:2)",IF(H670=4,"fourth (4:3)","?")))))</f>
        <v>fourth (4:3)</v>
      </c>
      <c r="J670" s="9" t="str">
        <f aca="false">IF(H670=0,"—",IF(H670=1,"ὁμώνυμον",IF(H670=2,"διὰ πασῶν",IF(H670=3,"διὰ πέντε",IF(H670=4,"διὰ τεσσάρων","?")))))</f>
        <v>διὰ τεσσάρων</v>
      </c>
      <c r="K670" s="10"/>
      <c r="L670" s="14"/>
      <c r="M670" s="13"/>
    </row>
    <row r="671" customFormat="false" ht="15.75" hidden="false" customHeight="true" outlineLevel="0" collapsed="false">
      <c r="A671" s="8" t="n">
        <f aca="false">A670+1</f>
        <v>669</v>
      </c>
      <c r="B671" s="9" t="n">
        <f aca="false">MOD(4*A671^2,10)</f>
        <v>4</v>
      </c>
      <c r="C671" s="9" t="n">
        <f aca="false">(26*B671-5*B671^2)/24</f>
        <v>1</v>
      </c>
      <c r="D671" s="9" t="n">
        <f aca="false">(A671^2+4*C671)/5</f>
        <v>89513</v>
      </c>
      <c r="E671" s="9" t="n">
        <f aca="false">MOD(D671,10)</f>
        <v>3</v>
      </c>
      <c r="F671" s="9" t="n">
        <f aca="false">2*D671</f>
        <v>179026</v>
      </c>
      <c r="G671" s="9" t="n">
        <f aca="false">MOD(F671,10)</f>
        <v>6</v>
      </c>
      <c r="H671" s="9" t="n">
        <f aca="false">G671/2</f>
        <v>3</v>
      </c>
      <c r="I671" s="9" t="str">
        <f aca="false">IF(H671=0,"—",IF(H671=1,"unison (1:1)",IF(H671=2,"octave (2:1)",IF(H671=3,"fifth (3:2)",IF(H671=4,"fourth (4:3)","?")))))</f>
        <v>fifth (3:2)</v>
      </c>
      <c r="J671" s="9" t="str">
        <f aca="false">IF(H671=0,"—",IF(H671=1,"ὁμώνυμον",IF(H671=2,"διὰ πασῶν",IF(H671=3,"διὰ πέντε",IF(H671=4,"διὰ τεσσάρων","?")))))</f>
        <v>διὰ πέντε</v>
      </c>
      <c r="K671" s="10"/>
      <c r="L671" s="14"/>
      <c r="M671" s="13"/>
    </row>
    <row r="672" customFormat="false" ht="15.75" hidden="false" customHeight="true" outlineLevel="0" collapsed="false">
      <c r="A672" s="8" t="n">
        <f aca="false">A671+1</f>
        <v>670</v>
      </c>
      <c r="B672" s="9" t="n">
        <f aca="false">MOD(4*A672^2,10)</f>
        <v>0</v>
      </c>
      <c r="C672" s="9" t="n">
        <f aca="false">(26*B672-5*B672^2)/24</f>
        <v>0</v>
      </c>
      <c r="D672" s="9" t="n">
        <f aca="false">(A672^2+4*C672)/5</f>
        <v>89780</v>
      </c>
      <c r="E672" s="9" t="n">
        <f aca="false">MOD(D672,10)</f>
        <v>0</v>
      </c>
      <c r="F672" s="9" t="n">
        <f aca="false">2*D672</f>
        <v>179560</v>
      </c>
      <c r="G672" s="9" t="n">
        <f aca="false">MOD(F672,10)</f>
        <v>0</v>
      </c>
      <c r="H672" s="9" t="n">
        <f aca="false">G672/2</f>
        <v>0</v>
      </c>
      <c r="I672" s="9" t="str">
        <f aca="false">IF(H672=0,"—",IF(H672=1,"unison (1:1)",IF(H672=2,"octave (2:1)",IF(H672=3,"fifth (3:2)",IF(H672=4,"fourth (4:3)","?")))))</f>
        <v>—</v>
      </c>
      <c r="J672" s="9" t="str">
        <f aca="false">IF(H672=0,"—",IF(H672=1,"ὁμώνυμον",IF(H672=2,"διὰ πασῶν",IF(H672=3,"διὰ πέντε",IF(H672=4,"διὰ τεσσάρων","?")))))</f>
        <v>—</v>
      </c>
      <c r="K672" s="10"/>
      <c r="L672" s="14"/>
      <c r="M672" s="13"/>
    </row>
    <row r="673" customFormat="false" ht="15.75" hidden="false" customHeight="true" outlineLevel="0" collapsed="false">
      <c r="A673" s="8" t="n">
        <f aca="false">A672+1</f>
        <v>671</v>
      </c>
      <c r="B673" s="9" t="n">
        <f aca="false">MOD(4*A673^2,10)</f>
        <v>4</v>
      </c>
      <c r="C673" s="9" t="n">
        <f aca="false">(26*B673-5*B673^2)/24</f>
        <v>1</v>
      </c>
      <c r="D673" s="9" t="n">
        <f aca="false">(A673^2+4*C673)/5</f>
        <v>90049</v>
      </c>
      <c r="E673" s="9" t="n">
        <f aca="false">MOD(D673,10)</f>
        <v>9</v>
      </c>
      <c r="F673" s="9" t="n">
        <f aca="false">2*D673</f>
        <v>180098</v>
      </c>
      <c r="G673" s="9" t="n">
        <f aca="false">MOD(F673,10)</f>
        <v>8</v>
      </c>
      <c r="H673" s="9" t="n">
        <f aca="false">G673/2</f>
        <v>4</v>
      </c>
      <c r="I673" s="9" t="str">
        <f aca="false">IF(H673=0,"—",IF(H673=1,"unison (1:1)",IF(H673=2,"octave (2:1)",IF(H673=3,"fifth (3:2)",IF(H673=4,"fourth (4:3)","?")))))</f>
        <v>fourth (4:3)</v>
      </c>
      <c r="J673" s="9" t="str">
        <f aca="false">IF(H673=0,"—",IF(H673=1,"ὁμώνυμον",IF(H673=2,"διὰ πασῶν",IF(H673=3,"διὰ πέντε",IF(H673=4,"διὰ τεσσάρων","?")))))</f>
        <v>διὰ τεσσάρων</v>
      </c>
      <c r="K673" s="10"/>
      <c r="L673" s="14"/>
      <c r="M673" s="13"/>
    </row>
    <row r="674" customFormat="false" ht="15.75" hidden="false" customHeight="true" outlineLevel="0" collapsed="false">
      <c r="A674" s="8" t="n">
        <f aca="false">A673+1</f>
        <v>672</v>
      </c>
      <c r="B674" s="9" t="n">
        <f aca="false">MOD(4*A674^2,10)</f>
        <v>6</v>
      </c>
      <c r="C674" s="9" t="n">
        <f aca="false">(26*B674-5*B674^2)/24</f>
        <v>-1</v>
      </c>
      <c r="D674" s="9" t="n">
        <f aca="false">(A674^2+4*C674)/5</f>
        <v>90316</v>
      </c>
      <c r="E674" s="9" t="n">
        <f aca="false">MOD(D674,10)</f>
        <v>6</v>
      </c>
      <c r="F674" s="9" t="n">
        <f aca="false">2*D674</f>
        <v>180632</v>
      </c>
      <c r="G674" s="9" t="n">
        <f aca="false">MOD(F674,10)</f>
        <v>2</v>
      </c>
      <c r="H674" s="9" t="n">
        <f aca="false">G674/2</f>
        <v>1</v>
      </c>
      <c r="I674" s="9" t="str">
        <f aca="false">IF(H674=0,"—",IF(H674=1,"unison (1:1)",IF(H674=2,"octave (2:1)",IF(H674=3,"fifth (3:2)",IF(H674=4,"fourth (4:3)","?")))))</f>
        <v>unison (1:1)</v>
      </c>
      <c r="J674" s="9" t="str">
        <f aca="false">IF(H674=0,"—",IF(H674=1,"ὁμώνυμον",IF(H674=2,"διὰ πασῶν",IF(H674=3,"διὰ πέντε",IF(H674=4,"διὰ τεσσάρων","?")))))</f>
        <v>ὁμώνυμον</v>
      </c>
      <c r="K674" s="10"/>
      <c r="L674" s="14"/>
      <c r="M674" s="13"/>
    </row>
    <row r="675" customFormat="false" ht="15.75" hidden="false" customHeight="true" outlineLevel="0" collapsed="false">
      <c r="A675" s="8" t="n">
        <f aca="false">A674+1</f>
        <v>673</v>
      </c>
      <c r="B675" s="9" t="n">
        <f aca="false">MOD(4*A675^2,10)</f>
        <v>6</v>
      </c>
      <c r="C675" s="9" t="n">
        <f aca="false">(26*B675-5*B675^2)/24</f>
        <v>-1</v>
      </c>
      <c r="D675" s="9" t="n">
        <f aca="false">(A675^2+4*C675)/5</f>
        <v>90585</v>
      </c>
      <c r="E675" s="9" t="n">
        <f aca="false">MOD(D675,10)</f>
        <v>5</v>
      </c>
      <c r="F675" s="9" t="n">
        <f aca="false">2*D675</f>
        <v>181170</v>
      </c>
      <c r="G675" s="9" t="n">
        <f aca="false">MOD(F675,10)</f>
        <v>0</v>
      </c>
      <c r="H675" s="9" t="n">
        <f aca="false">G675/2</f>
        <v>0</v>
      </c>
      <c r="I675" s="9" t="str">
        <f aca="false">IF(H675=0,"—",IF(H675=1,"unison (1:1)",IF(H675=2,"octave (2:1)",IF(H675=3,"fifth (3:2)",IF(H675=4,"fourth (4:3)","?")))))</f>
        <v>—</v>
      </c>
      <c r="J675" s="9" t="str">
        <f aca="false">IF(H675=0,"—",IF(H675=1,"ὁμώνυμον",IF(H675=2,"διὰ πασῶν",IF(H675=3,"διὰ πέντε",IF(H675=4,"διὰ τεσσάρων","?")))))</f>
        <v>—</v>
      </c>
      <c r="K675" s="10"/>
      <c r="L675" s="14"/>
      <c r="M675" s="13"/>
    </row>
    <row r="676" customFormat="false" ht="15.75" hidden="false" customHeight="true" outlineLevel="0" collapsed="false">
      <c r="A676" s="8" t="n">
        <f aca="false">A675+1</f>
        <v>674</v>
      </c>
      <c r="B676" s="9" t="n">
        <f aca="false">MOD(4*A676^2,10)</f>
        <v>4</v>
      </c>
      <c r="C676" s="9" t="n">
        <f aca="false">(26*B676-5*B676^2)/24</f>
        <v>1</v>
      </c>
      <c r="D676" s="9" t="n">
        <f aca="false">(A676^2+4*C676)/5</f>
        <v>90856</v>
      </c>
      <c r="E676" s="9" t="n">
        <f aca="false">MOD(D676,10)</f>
        <v>6</v>
      </c>
      <c r="F676" s="9" t="n">
        <f aca="false">2*D676</f>
        <v>181712</v>
      </c>
      <c r="G676" s="9" t="n">
        <f aca="false">MOD(F676,10)</f>
        <v>2</v>
      </c>
      <c r="H676" s="9" t="n">
        <f aca="false">G676/2</f>
        <v>1</v>
      </c>
      <c r="I676" s="9" t="str">
        <f aca="false">IF(H676=0,"—",IF(H676=1,"unison (1:1)",IF(H676=2,"octave (2:1)",IF(H676=3,"fifth (3:2)",IF(H676=4,"fourth (4:3)","?")))))</f>
        <v>unison (1:1)</v>
      </c>
      <c r="J676" s="9" t="str">
        <f aca="false">IF(H676=0,"—",IF(H676=1,"ὁμώνυμον",IF(H676=2,"διὰ πασῶν",IF(H676=3,"διὰ πέντε",IF(H676=4,"διὰ τεσσάρων","?")))))</f>
        <v>ὁμώνυμον</v>
      </c>
      <c r="K676" s="10"/>
      <c r="L676" s="14"/>
      <c r="M676" s="13"/>
    </row>
    <row r="677" customFormat="false" ht="15.75" hidden="false" customHeight="true" outlineLevel="0" collapsed="false">
      <c r="A677" s="8" t="n">
        <f aca="false">A676+1</f>
        <v>675</v>
      </c>
      <c r="B677" s="9" t="n">
        <f aca="false">MOD(4*A677^2,10)</f>
        <v>0</v>
      </c>
      <c r="C677" s="9" t="n">
        <f aca="false">(26*B677-5*B677^2)/24</f>
        <v>0</v>
      </c>
      <c r="D677" s="9" t="n">
        <f aca="false">(A677^2+4*C677)/5</f>
        <v>91125</v>
      </c>
      <c r="E677" s="9" t="n">
        <f aca="false">MOD(D677,10)</f>
        <v>5</v>
      </c>
      <c r="F677" s="9" t="n">
        <f aca="false">2*D677</f>
        <v>182250</v>
      </c>
      <c r="G677" s="9" t="n">
        <f aca="false">MOD(F677,10)</f>
        <v>0</v>
      </c>
      <c r="H677" s="9" t="n">
        <f aca="false">G677/2</f>
        <v>0</v>
      </c>
      <c r="I677" s="9" t="str">
        <f aca="false">IF(H677=0,"—",IF(H677=1,"unison (1:1)",IF(H677=2,"octave (2:1)",IF(H677=3,"fifth (3:2)",IF(H677=4,"fourth (4:3)","?")))))</f>
        <v>—</v>
      </c>
      <c r="J677" s="9" t="str">
        <f aca="false">IF(H677=0,"—",IF(H677=1,"ὁμώνυμον",IF(H677=2,"διὰ πασῶν",IF(H677=3,"διὰ πέντε",IF(H677=4,"διὰ τεσσάρων","?")))))</f>
        <v>—</v>
      </c>
      <c r="K677" s="10"/>
      <c r="L677" s="14"/>
      <c r="M677" s="13"/>
    </row>
    <row r="678" customFormat="false" ht="15.75" hidden="false" customHeight="true" outlineLevel="0" collapsed="false">
      <c r="A678" s="8" t="n">
        <f aca="false">A677+1</f>
        <v>676</v>
      </c>
      <c r="B678" s="9" t="n">
        <f aca="false">MOD(4*A678^2,10)</f>
        <v>4</v>
      </c>
      <c r="C678" s="9" t="n">
        <f aca="false">(26*B678-5*B678^2)/24</f>
        <v>1</v>
      </c>
      <c r="D678" s="9" t="n">
        <f aca="false">(A678^2+4*C678)/5</f>
        <v>91396</v>
      </c>
      <c r="E678" s="9" t="n">
        <f aca="false">MOD(D678,10)</f>
        <v>6</v>
      </c>
      <c r="F678" s="9" t="n">
        <f aca="false">2*D678</f>
        <v>182792</v>
      </c>
      <c r="G678" s="9" t="n">
        <f aca="false">MOD(F678,10)</f>
        <v>2</v>
      </c>
      <c r="H678" s="9" t="n">
        <f aca="false">G678/2</f>
        <v>1</v>
      </c>
      <c r="I678" s="9" t="str">
        <f aca="false">IF(H678=0,"—",IF(H678=1,"unison (1:1)",IF(H678=2,"octave (2:1)",IF(H678=3,"fifth (3:2)",IF(H678=4,"fourth (4:3)","?")))))</f>
        <v>unison (1:1)</v>
      </c>
      <c r="J678" s="9" t="str">
        <f aca="false">IF(H678=0,"—",IF(H678=1,"ὁμώνυμον",IF(H678=2,"διὰ πασῶν",IF(H678=3,"διὰ πέντε",IF(H678=4,"διὰ τεσσάρων","?")))))</f>
        <v>ὁμώνυμον</v>
      </c>
      <c r="K678" s="10"/>
      <c r="L678" s="14"/>
      <c r="M678" s="13"/>
    </row>
    <row r="679" customFormat="false" ht="15.75" hidden="false" customHeight="true" outlineLevel="0" collapsed="false">
      <c r="A679" s="8" t="n">
        <f aca="false">A678+1</f>
        <v>677</v>
      </c>
      <c r="B679" s="9" t="n">
        <f aca="false">MOD(4*A679^2,10)</f>
        <v>6</v>
      </c>
      <c r="C679" s="9" t="n">
        <f aca="false">(26*B679-5*B679^2)/24</f>
        <v>-1</v>
      </c>
      <c r="D679" s="9" t="n">
        <f aca="false">(A679^2+4*C679)/5</f>
        <v>91665</v>
      </c>
      <c r="E679" s="9" t="n">
        <f aca="false">MOD(D679,10)</f>
        <v>5</v>
      </c>
      <c r="F679" s="9" t="n">
        <f aca="false">2*D679</f>
        <v>183330</v>
      </c>
      <c r="G679" s="9" t="n">
        <f aca="false">MOD(F679,10)</f>
        <v>0</v>
      </c>
      <c r="H679" s="9" t="n">
        <f aca="false">G679/2</f>
        <v>0</v>
      </c>
      <c r="I679" s="9" t="str">
        <f aca="false">IF(H679=0,"—",IF(H679=1,"unison (1:1)",IF(H679=2,"octave (2:1)",IF(H679=3,"fifth (3:2)",IF(H679=4,"fourth (4:3)","?")))))</f>
        <v>—</v>
      </c>
      <c r="J679" s="9" t="str">
        <f aca="false">IF(H679=0,"—",IF(H679=1,"ὁμώνυμον",IF(H679=2,"διὰ πασῶν",IF(H679=3,"διὰ πέντε",IF(H679=4,"διὰ τεσσάρων","?")))))</f>
        <v>—</v>
      </c>
      <c r="K679" s="10"/>
      <c r="L679" s="14"/>
      <c r="M679" s="13"/>
    </row>
    <row r="680" customFormat="false" ht="15.75" hidden="false" customHeight="true" outlineLevel="0" collapsed="false">
      <c r="A680" s="8" t="n">
        <f aca="false">A679+1</f>
        <v>678</v>
      </c>
      <c r="B680" s="9" t="n">
        <f aca="false">MOD(4*A680^2,10)</f>
        <v>6</v>
      </c>
      <c r="C680" s="9" t="n">
        <f aca="false">(26*B680-5*B680^2)/24</f>
        <v>-1</v>
      </c>
      <c r="D680" s="9" t="n">
        <f aca="false">(A680^2+4*C680)/5</f>
        <v>91936</v>
      </c>
      <c r="E680" s="9" t="n">
        <f aca="false">MOD(D680,10)</f>
        <v>6</v>
      </c>
      <c r="F680" s="9" t="n">
        <f aca="false">2*D680</f>
        <v>183872</v>
      </c>
      <c r="G680" s="9" t="n">
        <f aca="false">MOD(F680,10)</f>
        <v>2</v>
      </c>
      <c r="H680" s="9" t="n">
        <f aca="false">G680/2</f>
        <v>1</v>
      </c>
      <c r="I680" s="9" t="str">
        <f aca="false">IF(H680=0,"—",IF(H680=1,"unison (1:1)",IF(H680=2,"octave (2:1)",IF(H680=3,"fifth (3:2)",IF(H680=4,"fourth (4:3)","?")))))</f>
        <v>unison (1:1)</v>
      </c>
      <c r="J680" s="9" t="str">
        <f aca="false">IF(H680=0,"—",IF(H680=1,"ὁμώνυμον",IF(H680=2,"διὰ πασῶν",IF(H680=3,"διὰ πέντε",IF(H680=4,"διὰ τεσσάρων","?")))))</f>
        <v>ὁμώνυμον</v>
      </c>
      <c r="K680" s="10"/>
      <c r="L680" s="14"/>
      <c r="M680" s="13"/>
    </row>
    <row r="681" customFormat="false" ht="15.75" hidden="false" customHeight="true" outlineLevel="0" collapsed="false">
      <c r="A681" s="8" t="n">
        <f aca="false">A680+1</f>
        <v>679</v>
      </c>
      <c r="B681" s="9" t="n">
        <f aca="false">MOD(4*A681^2,10)</f>
        <v>4</v>
      </c>
      <c r="C681" s="9" t="n">
        <f aca="false">(26*B681-5*B681^2)/24</f>
        <v>1</v>
      </c>
      <c r="D681" s="9" t="n">
        <f aca="false">(A681^2+4*C681)/5</f>
        <v>92209</v>
      </c>
      <c r="E681" s="9" t="n">
        <f aca="false">MOD(D681,10)</f>
        <v>9</v>
      </c>
      <c r="F681" s="9" t="n">
        <f aca="false">2*D681</f>
        <v>184418</v>
      </c>
      <c r="G681" s="9" t="n">
        <f aca="false">MOD(F681,10)</f>
        <v>8</v>
      </c>
      <c r="H681" s="9" t="n">
        <f aca="false">G681/2</f>
        <v>4</v>
      </c>
      <c r="I681" s="9" t="str">
        <f aca="false">IF(H681=0,"—",IF(H681=1,"unison (1:1)",IF(H681=2,"octave (2:1)",IF(H681=3,"fifth (3:2)",IF(H681=4,"fourth (4:3)","?")))))</f>
        <v>fourth (4:3)</v>
      </c>
      <c r="J681" s="9" t="str">
        <f aca="false">IF(H681=0,"—",IF(H681=1,"ὁμώνυμον",IF(H681=2,"διὰ πασῶν",IF(H681=3,"διὰ πέντε",IF(H681=4,"διὰ τεσσάρων","?")))))</f>
        <v>διὰ τεσσάρων</v>
      </c>
      <c r="K681" s="10"/>
      <c r="L681" s="14"/>
      <c r="M681" s="13"/>
    </row>
    <row r="682" customFormat="false" ht="15.75" hidden="false" customHeight="true" outlineLevel="0" collapsed="false">
      <c r="A682" s="8" t="n">
        <f aca="false">A681+1</f>
        <v>680</v>
      </c>
      <c r="B682" s="9" t="n">
        <f aca="false">MOD(4*A682^2,10)</f>
        <v>0</v>
      </c>
      <c r="C682" s="9" t="n">
        <f aca="false">(26*B682-5*B682^2)/24</f>
        <v>0</v>
      </c>
      <c r="D682" s="9" t="n">
        <f aca="false">(A682^2+4*C682)/5</f>
        <v>92480</v>
      </c>
      <c r="E682" s="9" t="n">
        <f aca="false">MOD(D682,10)</f>
        <v>0</v>
      </c>
      <c r="F682" s="9" t="n">
        <f aca="false">2*D682</f>
        <v>184960</v>
      </c>
      <c r="G682" s="9" t="n">
        <f aca="false">MOD(F682,10)</f>
        <v>0</v>
      </c>
      <c r="H682" s="9" t="n">
        <f aca="false">G682/2</f>
        <v>0</v>
      </c>
      <c r="I682" s="9" t="str">
        <f aca="false">IF(H682=0,"—",IF(H682=1,"unison (1:1)",IF(H682=2,"octave (2:1)",IF(H682=3,"fifth (3:2)",IF(H682=4,"fourth (4:3)","?")))))</f>
        <v>—</v>
      </c>
      <c r="J682" s="9" t="str">
        <f aca="false">IF(H682=0,"—",IF(H682=1,"ὁμώνυμον",IF(H682=2,"διὰ πασῶν",IF(H682=3,"διὰ πέντε",IF(H682=4,"διὰ τεσσάρων","?")))))</f>
        <v>—</v>
      </c>
      <c r="K682" s="10"/>
      <c r="L682" s="14"/>
      <c r="M682" s="13"/>
    </row>
    <row r="683" customFormat="false" ht="15.75" hidden="false" customHeight="true" outlineLevel="0" collapsed="false">
      <c r="A683" s="8" t="n">
        <f aca="false">A682+1</f>
        <v>681</v>
      </c>
      <c r="B683" s="9" t="n">
        <f aca="false">MOD(4*A683^2,10)</f>
        <v>4</v>
      </c>
      <c r="C683" s="9" t="n">
        <f aca="false">(26*B683-5*B683^2)/24</f>
        <v>1</v>
      </c>
      <c r="D683" s="9" t="n">
        <f aca="false">(A683^2+4*C683)/5</f>
        <v>92753</v>
      </c>
      <c r="E683" s="9" t="n">
        <f aca="false">MOD(D683,10)</f>
        <v>3</v>
      </c>
      <c r="F683" s="9" t="n">
        <f aca="false">2*D683</f>
        <v>185506</v>
      </c>
      <c r="G683" s="9" t="n">
        <f aca="false">MOD(F683,10)</f>
        <v>6</v>
      </c>
      <c r="H683" s="9" t="n">
        <f aca="false">G683/2</f>
        <v>3</v>
      </c>
      <c r="I683" s="9" t="str">
        <f aca="false">IF(H683=0,"—",IF(H683=1,"unison (1:1)",IF(H683=2,"octave (2:1)",IF(H683=3,"fifth (3:2)",IF(H683=4,"fourth (4:3)","?")))))</f>
        <v>fifth (3:2)</v>
      </c>
      <c r="J683" s="9" t="str">
        <f aca="false">IF(H683=0,"—",IF(H683=1,"ὁμώνυμον",IF(H683=2,"διὰ πασῶν",IF(H683=3,"διὰ πέντε",IF(H683=4,"διὰ τεσσάρων","?")))))</f>
        <v>διὰ πέντε</v>
      </c>
      <c r="K683" s="10"/>
      <c r="L683" s="14"/>
      <c r="M683" s="13"/>
    </row>
    <row r="684" customFormat="false" ht="15.75" hidden="false" customHeight="true" outlineLevel="0" collapsed="false">
      <c r="A684" s="8" t="n">
        <f aca="false">A683+1</f>
        <v>682</v>
      </c>
      <c r="B684" s="9" t="n">
        <f aca="false">MOD(4*A684^2,10)</f>
        <v>6</v>
      </c>
      <c r="C684" s="9" t="n">
        <f aca="false">(26*B684-5*B684^2)/24</f>
        <v>-1</v>
      </c>
      <c r="D684" s="9" t="n">
        <f aca="false">(A684^2+4*C684)/5</f>
        <v>93024</v>
      </c>
      <c r="E684" s="9" t="n">
        <f aca="false">MOD(D684,10)</f>
        <v>4</v>
      </c>
      <c r="F684" s="9" t="n">
        <f aca="false">2*D684</f>
        <v>186048</v>
      </c>
      <c r="G684" s="9" t="n">
        <f aca="false">MOD(F684,10)</f>
        <v>8</v>
      </c>
      <c r="H684" s="9" t="n">
        <f aca="false">G684/2</f>
        <v>4</v>
      </c>
      <c r="I684" s="9" t="str">
        <f aca="false">IF(H684=0,"—",IF(H684=1,"unison (1:1)",IF(H684=2,"octave (2:1)",IF(H684=3,"fifth (3:2)",IF(H684=4,"fourth (4:3)","?")))))</f>
        <v>fourth (4:3)</v>
      </c>
      <c r="J684" s="9" t="str">
        <f aca="false">IF(H684=0,"—",IF(H684=1,"ὁμώνυμον",IF(H684=2,"διὰ πασῶν",IF(H684=3,"διὰ πέντε",IF(H684=4,"διὰ τεσσάρων","?")))))</f>
        <v>διὰ τεσσάρων</v>
      </c>
      <c r="K684" s="10"/>
      <c r="L684" s="14"/>
      <c r="M684" s="13"/>
    </row>
    <row r="685" customFormat="false" ht="15.75" hidden="false" customHeight="true" outlineLevel="0" collapsed="false">
      <c r="A685" s="8" t="n">
        <f aca="false">A684+1</f>
        <v>683</v>
      </c>
      <c r="B685" s="9" t="n">
        <f aca="false">MOD(4*A685^2,10)</f>
        <v>6</v>
      </c>
      <c r="C685" s="9" t="n">
        <f aca="false">(26*B685-5*B685^2)/24</f>
        <v>-1</v>
      </c>
      <c r="D685" s="9" t="n">
        <f aca="false">(A685^2+4*C685)/5</f>
        <v>93297</v>
      </c>
      <c r="E685" s="9" t="n">
        <f aca="false">MOD(D685,10)</f>
        <v>7</v>
      </c>
      <c r="F685" s="9" t="n">
        <f aca="false">2*D685</f>
        <v>186594</v>
      </c>
      <c r="G685" s="9" t="n">
        <f aca="false">MOD(F685,10)</f>
        <v>4</v>
      </c>
      <c r="H685" s="9" t="n">
        <f aca="false">G685/2</f>
        <v>2</v>
      </c>
      <c r="I685" s="9" t="str">
        <f aca="false">IF(H685=0,"—",IF(H685=1,"unison (1:1)",IF(H685=2,"octave (2:1)",IF(H685=3,"fifth (3:2)",IF(H685=4,"fourth (4:3)","?")))))</f>
        <v>octave (2:1)</v>
      </c>
      <c r="J685" s="9" t="str">
        <f aca="false">IF(H685=0,"—",IF(H685=1,"ὁμώνυμον",IF(H685=2,"διὰ πασῶν",IF(H685=3,"διὰ πέντε",IF(H685=4,"διὰ τεσσάρων","?")))))</f>
        <v>διὰ πασῶν</v>
      </c>
      <c r="K685" s="10"/>
      <c r="L685" s="14"/>
      <c r="M685" s="13"/>
    </row>
    <row r="686" customFormat="false" ht="15.75" hidden="false" customHeight="true" outlineLevel="0" collapsed="false">
      <c r="A686" s="8" t="n">
        <f aca="false">A685+1</f>
        <v>684</v>
      </c>
      <c r="B686" s="9" t="n">
        <f aca="false">MOD(4*A686^2,10)</f>
        <v>4</v>
      </c>
      <c r="C686" s="9" t="n">
        <f aca="false">(26*B686-5*B686^2)/24</f>
        <v>1</v>
      </c>
      <c r="D686" s="9" t="n">
        <f aca="false">(A686^2+4*C686)/5</f>
        <v>93572</v>
      </c>
      <c r="E686" s="9" t="n">
        <f aca="false">MOD(D686,10)</f>
        <v>2</v>
      </c>
      <c r="F686" s="9" t="n">
        <f aca="false">2*D686</f>
        <v>187144</v>
      </c>
      <c r="G686" s="9" t="n">
        <f aca="false">MOD(F686,10)</f>
        <v>4</v>
      </c>
      <c r="H686" s="9" t="n">
        <f aca="false">G686/2</f>
        <v>2</v>
      </c>
      <c r="I686" s="9" t="str">
        <f aca="false">IF(H686=0,"—",IF(H686=1,"unison (1:1)",IF(H686=2,"octave (2:1)",IF(H686=3,"fifth (3:2)",IF(H686=4,"fourth (4:3)","?")))))</f>
        <v>octave (2:1)</v>
      </c>
      <c r="J686" s="9" t="str">
        <f aca="false">IF(H686=0,"—",IF(H686=1,"ὁμώνυμον",IF(H686=2,"διὰ πασῶν",IF(H686=3,"διὰ πέντε",IF(H686=4,"διὰ τεσσάρων","?")))))</f>
        <v>διὰ πασῶν</v>
      </c>
      <c r="K686" s="10"/>
      <c r="L686" s="14"/>
      <c r="M686" s="13"/>
    </row>
    <row r="687" customFormat="false" ht="15.75" hidden="false" customHeight="true" outlineLevel="0" collapsed="false">
      <c r="A687" s="8" t="n">
        <f aca="false">A686+1</f>
        <v>685</v>
      </c>
      <c r="B687" s="9" t="n">
        <f aca="false">MOD(4*A687^2,10)</f>
        <v>0</v>
      </c>
      <c r="C687" s="9" t="n">
        <f aca="false">(26*B687-5*B687^2)/24</f>
        <v>0</v>
      </c>
      <c r="D687" s="9" t="n">
        <f aca="false">(A687^2+4*C687)/5</f>
        <v>93845</v>
      </c>
      <c r="E687" s="9" t="n">
        <f aca="false">MOD(D687,10)</f>
        <v>5</v>
      </c>
      <c r="F687" s="9" t="n">
        <f aca="false">2*D687</f>
        <v>187690</v>
      </c>
      <c r="G687" s="9" t="n">
        <f aca="false">MOD(F687,10)</f>
        <v>0</v>
      </c>
      <c r="H687" s="9" t="n">
        <f aca="false">G687/2</f>
        <v>0</v>
      </c>
      <c r="I687" s="9" t="str">
        <f aca="false">IF(H687=0,"—",IF(H687=1,"unison (1:1)",IF(H687=2,"octave (2:1)",IF(H687=3,"fifth (3:2)",IF(H687=4,"fourth (4:3)","?")))))</f>
        <v>—</v>
      </c>
      <c r="J687" s="9" t="str">
        <f aca="false">IF(H687=0,"—",IF(H687=1,"ὁμώνυμον",IF(H687=2,"διὰ πασῶν",IF(H687=3,"διὰ πέντε",IF(H687=4,"διὰ τεσσάρων","?")))))</f>
        <v>—</v>
      </c>
      <c r="K687" s="10"/>
      <c r="L687" s="14"/>
      <c r="M687" s="13"/>
    </row>
    <row r="688" customFormat="false" ht="15.75" hidden="false" customHeight="true" outlineLevel="0" collapsed="false">
      <c r="A688" s="8" t="n">
        <f aca="false">A687+1</f>
        <v>686</v>
      </c>
      <c r="B688" s="9" t="n">
        <f aca="false">MOD(4*A688^2,10)</f>
        <v>4</v>
      </c>
      <c r="C688" s="9" t="n">
        <f aca="false">(26*B688-5*B688^2)/24</f>
        <v>1</v>
      </c>
      <c r="D688" s="9" t="n">
        <f aca="false">(A688^2+4*C688)/5</f>
        <v>94120</v>
      </c>
      <c r="E688" s="9" t="n">
        <f aca="false">MOD(D688,10)</f>
        <v>0</v>
      </c>
      <c r="F688" s="9" t="n">
        <f aca="false">2*D688</f>
        <v>188240</v>
      </c>
      <c r="G688" s="9" t="n">
        <f aca="false">MOD(F688,10)</f>
        <v>0</v>
      </c>
      <c r="H688" s="9" t="n">
        <f aca="false">G688/2</f>
        <v>0</v>
      </c>
      <c r="I688" s="9" t="str">
        <f aca="false">IF(H688=0,"—",IF(H688=1,"unison (1:1)",IF(H688=2,"octave (2:1)",IF(H688=3,"fifth (3:2)",IF(H688=4,"fourth (4:3)","?")))))</f>
        <v>—</v>
      </c>
      <c r="J688" s="9" t="str">
        <f aca="false">IF(H688=0,"—",IF(H688=1,"ὁμώνυμον",IF(H688=2,"διὰ πασῶν",IF(H688=3,"διὰ πέντε",IF(H688=4,"διὰ τεσσάρων","?")))))</f>
        <v>—</v>
      </c>
      <c r="K688" s="10"/>
      <c r="L688" s="14"/>
      <c r="M688" s="13"/>
    </row>
    <row r="689" customFormat="false" ht="15.75" hidden="false" customHeight="true" outlineLevel="0" collapsed="false">
      <c r="A689" s="8" t="n">
        <f aca="false">A688+1</f>
        <v>687</v>
      </c>
      <c r="B689" s="9" t="n">
        <f aca="false">MOD(4*A689^2,10)</f>
        <v>6</v>
      </c>
      <c r="C689" s="9" t="n">
        <f aca="false">(26*B689-5*B689^2)/24</f>
        <v>-1</v>
      </c>
      <c r="D689" s="9" t="n">
        <f aca="false">(A689^2+4*C689)/5</f>
        <v>94393</v>
      </c>
      <c r="E689" s="9" t="n">
        <f aca="false">MOD(D689,10)</f>
        <v>3</v>
      </c>
      <c r="F689" s="9" t="n">
        <f aca="false">2*D689</f>
        <v>188786</v>
      </c>
      <c r="G689" s="9" t="n">
        <f aca="false">MOD(F689,10)</f>
        <v>6</v>
      </c>
      <c r="H689" s="9" t="n">
        <f aca="false">G689/2</f>
        <v>3</v>
      </c>
      <c r="I689" s="9" t="str">
        <f aca="false">IF(H689=0,"—",IF(H689=1,"unison (1:1)",IF(H689=2,"octave (2:1)",IF(H689=3,"fifth (3:2)",IF(H689=4,"fourth (4:3)","?")))))</f>
        <v>fifth (3:2)</v>
      </c>
      <c r="J689" s="9" t="str">
        <f aca="false">IF(H689=0,"—",IF(H689=1,"ὁμώνυμον",IF(H689=2,"διὰ πασῶν",IF(H689=3,"διὰ πέντε",IF(H689=4,"διὰ τεσσάρων","?")))))</f>
        <v>διὰ πέντε</v>
      </c>
      <c r="K689" s="10"/>
      <c r="L689" s="14"/>
      <c r="M689" s="13"/>
    </row>
    <row r="690" customFormat="false" ht="15.75" hidden="false" customHeight="true" outlineLevel="0" collapsed="false">
      <c r="A690" s="8" t="n">
        <f aca="false">A689+1</f>
        <v>688</v>
      </c>
      <c r="B690" s="9" t="n">
        <f aca="false">MOD(4*A690^2,10)</f>
        <v>6</v>
      </c>
      <c r="C690" s="9" t="n">
        <f aca="false">(26*B690-5*B690^2)/24</f>
        <v>-1</v>
      </c>
      <c r="D690" s="9" t="n">
        <f aca="false">(A690^2+4*C690)/5</f>
        <v>94668</v>
      </c>
      <c r="E690" s="9" t="n">
        <f aca="false">MOD(D690,10)</f>
        <v>8</v>
      </c>
      <c r="F690" s="9" t="n">
        <f aca="false">2*D690</f>
        <v>189336</v>
      </c>
      <c r="G690" s="9" t="n">
        <f aca="false">MOD(F690,10)</f>
        <v>6</v>
      </c>
      <c r="H690" s="9" t="n">
        <f aca="false">G690/2</f>
        <v>3</v>
      </c>
      <c r="I690" s="9" t="str">
        <f aca="false">IF(H690=0,"—",IF(H690=1,"unison (1:1)",IF(H690=2,"octave (2:1)",IF(H690=3,"fifth (3:2)",IF(H690=4,"fourth (4:3)","?")))))</f>
        <v>fifth (3:2)</v>
      </c>
      <c r="J690" s="9" t="str">
        <f aca="false">IF(H690=0,"—",IF(H690=1,"ὁμώνυμον",IF(H690=2,"διὰ πασῶν",IF(H690=3,"διὰ πέντε",IF(H690=4,"διὰ τεσσάρων","?")))))</f>
        <v>διὰ πέντε</v>
      </c>
      <c r="K690" s="10"/>
      <c r="L690" s="14"/>
      <c r="M690" s="13"/>
    </row>
    <row r="691" customFormat="false" ht="15.75" hidden="false" customHeight="true" outlineLevel="0" collapsed="false">
      <c r="A691" s="8" t="n">
        <f aca="false">A690+1</f>
        <v>689</v>
      </c>
      <c r="B691" s="9" t="n">
        <f aca="false">MOD(4*A691^2,10)</f>
        <v>4</v>
      </c>
      <c r="C691" s="9" t="n">
        <f aca="false">(26*B691-5*B691^2)/24</f>
        <v>1</v>
      </c>
      <c r="D691" s="9" t="n">
        <f aca="false">(A691^2+4*C691)/5</f>
        <v>94945</v>
      </c>
      <c r="E691" s="9" t="n">
        <f aca="false">MOD(D691,10)</f>
        <v>5</v>
      </c>
      <c r="F691" s="9" t="n">
        <f aca="false">2*D691</f>
        <v>189890</v>
      </c>
      <c r="G691" s="9" t="n">
        <f aca="false">MOD(F691,10)</f>
        <v>0</v>
      </c>
      <c r="H691" s="9" t="n">
        <f aca="false">G691/2</f>
        <v>0</v>
      </c>
      <c r="I691" s="9" t="str">
        <f aca="false">IF(H691=0,"—",IF(H691=1,"unison (1:1)",IF(H691=2,"octave (2:1)",IF(H691=3,"fifth (3:2)",IF(H691=4,"fourth (4:3)","?")))))</f>
        <v>—</v>
      </c>
      <c r="J691" s="9" t="str">
        <f aca="false">IF(H691=0,"—",IF(H691=1,"ὁμώνυμον",IF(H691=2,"διὰ πασῶν",IF(H691=3,"διὰ πέντε",IF(H691=4,"διὰ τεσσάρων","?")))))</f>
        <v>—</v>
      </c>
      <c r="K691" s="10"/>
      <c r="L691" s="14"/>
      <c r="M691" s="13"/>
    </row>
    <row r="692" customFormat="false" ht="15.75" hidden="false" customHeight="true" outlineLevel="0" collapsed="false">
      <c r="A692" s="8" t="n">
        <f aca="false">A691+1</f>
        <v>690</v>
      </c>
      <c r="B692" s="9" t="n">
        <f aca="false">MOD(4*A692^2,10)</f>
        <v>0</v>
      </c>
      <c r="C692" s="9" t="n">
        <f aca="false">(26*B692-5*B692^2)/24</f>
        <v>0</v>
      </c>
      <c r="D692" s="9" t="n">
        <f aca="false">(A692^2+4*C692)/5</f>
        <v>95220</v>
      </c>
      <c r="E692" s="9" t="n">
        <f aca="false">MOD(D692,10)</f>
        <v>0</v>
      </c>
      <c r="F692" s="9" t="n">
        <f aca="false">2*D692</f>
        <v>190440</v>
      </c>
      <c r="G692" s="9" t="n">
        <f aca="false">MOD(F692,10)</f>
        <v>0</v>
      </c>
      <c r="H692" s="9" t="n">
        <f aca="false">G692/2</f>
        <v>0</v>
      </c>
      <c r="I692" s="9" t="str">
        <f aca="false">IF(H692=0,"—",IF(H692=1,"unison (1:1)",IF(H692=2,"octave (2:1)",IF(H692=3,"fifth (3:2)",IF(H692=4,"fourth (4:3)","?")))))</f>
        <v>—</v>
      </c>
      <c r="J692" s="9" t="str">
        <f aca="false">IF(H692=0,"—",IF(H692=1,"ὁμώνυμον",IF(H692=2,"διὰ πασῶν",IF(H692=3,"διὰ πέντε",IF(H692=4,"διὰ τεσσάρων","?")))))</f>
        <v>—</v>
      </c>
      <c r="K692" s="10"/>
      <c r="L692" s="14"/>
      <c r="M692" s="13"/>
    </row>
    <row r="693" customFormat="false" ht="15.75" hidden="false" customHeight="true" outlineLevel="0" collapsed="false">
      <c r="A693" s="8" t="n">
        <f aca="false">A692+1</f>
        <v>691</v>
      </c>
      <c r="B693" s="9" t="n">
        <f aca="false">MOD(4*A693^2,10)</f>
        <v>4</v>
      </c>
      <c r="C693" s="9" t="n">
        <f aca="false">(26*B693-5*B693^2)/24</f>
        <v>1</v>
      </c>
      <c r="D693" s="9" t="n">
        <f aca="false">(A693^2+4*C693)/5</f>
        <v>95497</v>
      </c>
      <c r="E693" s="9" t="n">
        <f aca="false">MOD(D693,10)</f>
        <v>7</v>
      </c>
      <c r="F693" s="9" t="n">
        <f aca="false">2*D693</f>
        <v>190994</v>
      </c>
      <c r="G693" s="9" t="n">
        <f aca="false">MOD(F693,10)</f>
        <v>4</v>
      </c>
      <c r="H693" s="9" t="n">
        <f aca="false">G693/2</f>
        <v>2</v>
      </c>
      <c r="I693" s="9" t="str">
        <f aca="false">IF(H693=0,"—",IF(H693=1,"unison (1:1)",IF(H693=2,"octave (2:1)",IF(H693=3,"fifth (3:2)",IF(H693=4,"fourth (4:3)","?")))))</f>
        <v>octave (2:1)</v>
      </c>
      <c r="J693" s="9" t="str">
        <f aca="false">IF(H693=0,"—",IF(H693=1,"ὁμώνυμον",IF(H693=2,"διὰ πασῶν",IF(H693=3,"διὰ πέντε",IF(H693=4,"διὰ τεσσάρων","?")))))</f>
        <v>διὰ πασῶν</v>
      </c>
      <c r="K693" s="10"/>
      <c r="L693" s="14"/>
      <c r="M693" s="13"/>
    </row>
    <row r="694" customFormat="false" ht="15.75" hidden="false" customHeight="true" outlineLevel="0" collapsed="false">
      <c r="A694" s="8" t="n">
        <f aca="false">A693+1</f>
        <v>692</v>
      </c>
      <c r="B694" s="9" t="n">
        <f aca="false">MOD(4*A694^2,10)</f>
        <v>6</v>
      </c>
      <c r="C694" s="9" t="n">
        <f aca="false">(26*B694-5*B694^2)/24</f>
        <v>-1</v>
      </c>
      <c r="D694" s="9" t="n">
        <f aca="false">(A694^2+4*C694)/5</f>
        <v>95772</v>
      </c>
      <c r="E694" s="9" t="n">
        <f aca="false">MOD(D694,10)</f>
        <v>2</v>
      </c>
      <c r="F694" s="9" t="n">
        <f aca="false">2*D694</f>
        <v>191544</v>
      </c>
      <c r="G694" s="9" t="n">
        <f aca="false">MOD(F694,10)</f>
        <v>4</v>
      </c>
      <c r="H694" s="9" t="n">
        <f aca="false">G694/2</f>
        <v>2</v>
      </c>
      <c r="I694" s="9" t="str">
        <f aca="false">IF(H694=0,"—",IF(H694=1,"unison (1:1)",IF(H694=2,"octave (2:1)",IF(H694=3,"fifth (3:2)",IF(H694=4,"fourth (4:3)","?")))))</f>
        <v>octave (2:1)</v>
      </c>
      <c r="J694" s="9" t="str">
        <f aca="false">IF(H694=0,"—",IF(H694=1,"ὁμώνυμον",IF(H694=2,"διὰ πασῶν",IF(H694=3,"διὰ πέντε",IF(H694=4,"διὰ τεσσάρων","?")))))</f>
        <v>διὰ πασῶν</v>
      </c>
      <c r="K694" s="10"/>
      <c r="L694" s="14"/>
      <c r="M694" s="13"/>
    </row>
    <row r="695" customFormat="false" ht="15.75" hidden="false" customHeight="true" outlineLevel="0" collapsed="false">
      <c r="A695" s="8" t="n">
        <f aca="false">A694+1</f>
        <v>693</v>
      </c>
      <c r="B695" s="9" t="n">
        <f aca="false">MOD(4*A695^2,10)</f>
        <v>6</v>
      </c>
      <c r="C695" s="9" t="n">
        <f aca="false">(26*B695-5*B695^2)/24</f>
        <v>-1</v>
      </c>
      <c r="D695" s="9" t="n">
        <f aca="false">(A695^2+4*C695)/5</f>
        <v>96049</v>
      </c>
      <c r="E695" s="9" t="n">
        <f aca="false">MOD(D695,10)</f>
        <v>9</v>
      </c>
      <c r="F695" s="9" t="n">
        <f aca="false">2*D695</f>
        <v>192098</v>
      </c>
      <c r="G695" s="9" t="n">
        <f aca="false">MOD(F695,10)</f>
        <v>8</v>
      </c>
      <c r="H695" s="9" t="n">
        <f aca="false">G695/2</f>
        <v>4</v>
      </c>
      <c r="I695" s="9" t="str">
        <f aca="false">IF(H695=0,"—",IF(H695=1,"unison (1:1)",IF(H695=2,"octave (2:1)",IF(H695=3,"fifth (3:2)",IF(H695=4,"fourth (4:3)","?")))))</f>
        <v>fourth (4:3)</v>
      </c>
      <c r="J695" s="9" t="str">
        <f aca="false">IF(H695=0,"—",IF(H695=1,"ὁμώνυμον",IF(H695=2,"διὰ πασῶν",IF(H695=3,"διὰ πέντε",IF(H695=4,"διὰ τεσσάρων","?")))))</f>
        <v>διὰ τεσσάρων</v>
      </c>
      <c r="K695" s="10"/>
      <c r="L695" s="14"/>
      <c r="M695" s="13"/>
    </row>
    <row r="696" customFormat="false" ht="15.75" hidden="false" customHeight="true" outlineLevel="0" collapsed="false">
      <c r="A696" s="8" t="n">
        <f aca="false">A695+1</f>
        <v>694</v>
      </c>
      <c r="B696" s="9" t="n">
        <f aca="false">MOD(4*A696^2,10)</f>
        <v>4</v>
      </c>
      <c r="C696" s="9" t="n">
        <f aca="false">(26*B696-5*B696^2)/24</f>
        <v>1</v>
      </c>
      <c r="D696" s="9" t="n">
        <f aca="false">(A696^2+4*C696)/5</f>
        <v>96328</v>
      </c>
      <c r="E696" s="9" t="n">
        <f aca="false">MOD(D696,10)</f>
        <v>8</v>
      </c>
      <c r="F696" s="9" t="n">
        <f aca="false">2*D696</f>
        <v>192656</v>
      </c>
      <c r="G696" s="9" t="n">
        <f aca="false">MOD(F696,10)</f>
        <v>6</v>
      </c>
      <c r="H696" s="9" t="n">
        <f aca="false">G696/2</f>
        <v>3</v>
      </c>
      <c r="I696" s="9" t="str">
        <f aca="false">IF(H696=0,"—",IF(H696=1,"unison (1:1)",IF(H696=2,"octave (2:1)",IF(H696=3,"fifth (3:2)",IF(H696=4,"fourth (4:3)","?")))))</f>
        <v>fifth (3:2)</v>
      </c>
      <c r="J696" s="9" t="str">
        <f aca="false">IF(H696=0,"—",IF(H696=1,"ὁμώνυμον",IF(H696=2,"διὰ πασῶν",IF(H696=3,"διὰ πέντε",IF(H696=4,"διὰ τεσσάρων","?")))))</f>
        <v>διὰ πέντε</v>
      </c>
      <c r="K696" s="10"/>
      <c r="L696" s="14"/>
      <c r="M696" s="13"/>
    </row>
    <row r="697" customFormat="false" ht="15.75" hidden="false" customHeight="true" outlineLevel="0" collapsed="false">
      <c r="A697" s="8" t="n">
        <f aca="false">A696+1</f>
        <v>695</v>
      </c>
      <c r="B697" s="9" t="n">
        <f aca="false">MOD(4*A697^2,10)</f>
        <v>0</v>
      </c>
      <c r="C697" s="9" t="n">
        <f aca="false">(26*B697-5*B697^2)/24</f>
        <v>0</v>
      </c>
      <c r="D697" s="9" t="n">
        <f aca="false">(A697^2+4*C697)/5</f>
        <v>96605</v>
      </c>
      <c r="E697" s="9" t="n">
        <f aca="false">MOD(D697,10)</f>
        <v>5</v>
      </c>
      <c r="F697" s="9" t="n">
        <f aca="false">2*D697</f>
        <v>193210</v>
      </c>
      <c r="G697" s="9" t="n">
        <f aca="false">MOD(F697,10)</f>
        <v>0</v>
      </c>
      <c r="H697" s="9" t="n">
        <f aca="false">G697/2</f>
        <v>0</v>
      </c>
      <c r="I697" s="9" t="str">
        <f aca="false">IF(H697=0,"—",IF(H697=1,"unison (1:1)",IF(H697=2,"octave (2:1)",IF(H697=3,"fifth (3:2)",IF(H697=4,"fourth (4:3)","?")))))</f>
        <v>—</v>
      </c>
      <c r="J697" s="9" t="str">
        <f aca="false">IF(H697=0,"—",IF(H697=1,"ὁμώνυμον",IF(H697=2,"διὰ πασῶν",IF(H697=3,"διὰ πέντε",IF(H697=4,"διὰ τεσσάρων","?")))))</f>
        <v>—</v>
      </c>
      <c r="K697" s="10"/>
      <c r="L697" s="14"/>
      <c r="M697" s="13"/>
    </row>
    <row r="698" customFormat="false" ht="15.75" hidden="false" customHeight="true" outlineLevel="0" collapsed="false">
      <c r="A698" s="8" t="n">
        <f aca="false">A697+1</f>
        <v>696</v>
      </c>
      <c r="B698" s="9" t="n">
        <f aca="false">MOD(4*A698^2,10)</f>
        <v>4</v>
      </c>
      <c r="C698" s="9" t="n">
        <f aca="false">(26*B698-5*B698^2)/24</f>
        <v>1</v>
      </c>
      <c r="D698" s="9" t="n">
        <f aca="false">(A698^2+4*C698)/5</f>
        <v>96884</v>
      </c>
      <c r="E698" s="9" t="n">
        <f aca="false">MOD(D698,10)</f>
        <v>4</v>
      </c>
      <c r="F698" s="9" t="n">
        <f aca="false">2*D698</f>
        <v>193768</v>
      </c>
      <c r="G698" s="9" t="n">
        <f aca="false">MOD(F698,10)</f>
        <v>8</v>
      </c>
      <c r="H698" s="9" t="n">
        <f aca="false">G698/2</f>
        <v>4</v>
      </c>
      <c r="I698" s="9" t="str">
        <f aca="false">IF(H698=0,"—",IF(H698=1,"unison (1:1)",IF(H698=2,"octave (2:1)",IF(H698=3,"fifth (3:2)",IF(H698=4,"fourth (4:3)","?")))))</f>
        <v>fourth (4:3)</v>
      </c>
      <c r="J698" s="9" t="str">
        <f aca="false">IF(H698=0,"—",IF(H698=1,"ὁμώνυμον",IF(H698=2,"διὰ πασῶν",IF(H698=3,"διὰ πέντε",IF(H698=4,"διὰ τεσσάρων","?")))))</f>
        <v>διὰ τεσσάρων</v>
      </c>
      <c r="K698" s="10"/>
      <c r="L698" s="14"/>
      <c r="M698" s="13"/>
    </row>
    <row r="699" customFormat="false" ht="15.75" hidden="false" customHeight="true" outlineLevel="0" collapsed="false">
      <c r="A699" s="8" t="n">
        <f aca="false">A698+1</f>
        <v>697</v>
      </c>
      <c r="B699" s="9" t="n">
        <f aca="false">MOD(4*A699^2,10)</f>
        <v>6</v>
      </c>
      <c r="C699" s="9" t="n">
        <f aca="false">(26*B699-5*B699^2)/24</f>
        <v>-1</v>
      </c>
      <c r="D699" s="9" t="n">
        <f aca="false">(A699^2+4*C699)/5</f>
        <v>97161</v>
      </c>
      <c r="E699" s="9" t="n">
        <f aca="false">MOD(D699,10)</f>
        <v>1</v>
      </c>
      <c r="F699" s="9" t="n">
        <f aca="false">2*D699</f>
        <v>194322</v>
      </c>
      <c r="G699" s="9" t="n">
        <f aca="false">MOD(F699,10)</f>
        <v>2</v>
      </c>
      <c r="H699" s="9" t="n">
        <f aca="false">G699/2</f>
        <v>1</v>
      </c>
      <c r="I699" s="9" t="str">
        <f aca="false">IF(H699=0,"—",IF(H699=1,"unison (1:1)",IF(H699=2,"octave (2:1)",IF(H699=3,"fifth (3:2)",IF(H699=4,"fourth (4:3)","?")))))</f>
        <v>unison (1:1)</v>
      </c>
      <c r="J699" s="9" t="str">
        <f aca="false">IF(H699=0,"—",IF(H699=1,"ὁμώνυμον",IF(H699=2,"διὰ πασῶν",IF(H699=3,"διὰ πέντε",IF(H699=4,"διὰ τεσσάρων","?")))))</f>
        <v>ὁμώνυμον</v>
      </c>
      <c r="K699" s="10"/>
      <c r="L699" s="14"/>
      <c r="M699" s="13"/>
    </row>
    <row r="700" customFormat="false" ht="15.75" hidden="false" customHeight="true" outlineLevel="0" collapsed="false">
      <c r="A700" s="8" t="n">
        <f aca="false">A699+1</f>
        <v>698</v>
      </c>
      <c r="B700" s="9" t="n">
        <f aca="false">MOD(4*A700^2,10)</f>
        <v>6</v>
      </c>
      <c r="C700" s="9" t="n">
        <f aca="false">(26*B700-5*B700^2)/24</f>
        <v>-1</v>
      </c>
      <c r="D700" s="9" t="n">
        <f aca="false">(A700^2+4*C700)/5</f>
        <v>97440</v>
      </c>
      <c r="E700" s="9" t="n">
        <f aca="false">MOD(D700,10)</f>
        <v>0</v>
      </c>
      <c r="F700" s="9" t="n">
        <f aca="false">2*D700</f>
        <v>194880</v>
      </c>
      <c r="G700" s="9" t="n">
        <f aca="false">MOD(F700,10)</f>
        <v>0</v>
      </c>
      <c r="H700" s="9" t="n">
        <f aca="false">G700/2</f>
        <v>0</v>
      </c>
      <c r="I700" s="9" t="str">
        <f aca="false">IF(H700=0,"—",IF(H700=1,"unison (1:1)",IF(H700=2,"octave (2:1)",IF(H700=3,"fifth (3:2)",IF(H700=4,"fourth (4:3)","?")))))</f>
        <v>—</v>
      </c>
      <c r="J700" s="9" t="str">
        <f aca="false">IF(H700=0,"—",IF(H700=1,"ὁμώνυμον",IF(H700=2,"διὰ πασῶν",IF(H700=3,"διὰ πέντε",IF(H700=4,"διὰ τεσσάρων","?")))))</f>
        <v>—</v>
      </c>
      <c r="K700" s="10"/>
      <c r="L700" s="14"/>
      <c r="M700" s="13"/>
    </row>
    <row r="701" customFormat="false" ht="15.75" hidden="false" customHeight="true" outlineLevel="0" collapsed="false">
      <c r="A701" s="8" t="n">
        <f aca="false">A700+1</f>
        <v>699</v>
      </c>
      <c r="B701" s="9" t="n">
        <f aca="false">MOD(4*A701^2,10)</f>
        <v>4</v>
      </c>
      <c r="C701" s="9" t="n">
        <f aca="false">(26*B701-5*B701^2)/24</f>
        <v>1</v>
      </c>
      <c r="D701" s="9" t="n">
        <f aca="false">(A701^2+4*C701)/5</f>
        <v>97721</v>
      </c>
      <c r="E701" s="9" t="n">
        <f aca="false">MOD(D701,10)</f>
        <v>1</v>
      </c>
      <c r="F701" s="9" t="n">
        <f aca="false">2*D701</f>
        <v>195442</v>
      </c>
      <c r="G701" s="9" t="n">
        <f aca="false">MOD(F701,10)</f>
        <v>2</v>
      </c>
      <c r="H701" s="9" t="n">
        <f aca="false">G701/2</f>
        <v>1</v>
      </c>
      <c r="I701" s="9" t="str">
        <f aca="false">IF(H701=0,"—",IF(H701=1,"unison (1:1)",IF(H701=2,"octave (2:1)",IF(H701=3,"fifth (3:2)",IF(H701=4,"fourth (4:3)","?")))))</f>
        <v>unison (1:1)</v>
      </c>
      <c r="J701" s="9" t="str">
        <f aca="false">IF(H701=0,"—",IF(H701=1,"ὁμώνυμον",IF(H701=2,"διὰ πασῶν",IF(H701=3,"διὰ πέντε",IF(H701=4,"διὰ τεσσάρων","?")))))</f>
        <v>ὁμώνυμον</v>
      </c>
      <c r="K701" s="10"/>
      <c r="L701" s="14"/>
      <c r="M701" s="13"/>
    </row>
    <row r="702" customFormat="false" ht="15.75" hidden="false" customHeight="true" outlineLevel="0" collapsed="false">
      <c r="A702" s="8" t="n">
        <f aca="false">A701+1</f>
        <v>700</v>
      </c>
      <c r="B702" s="9" t="n">
        <f aca="false">MOD(4*A702^2,10)</f>
        <v>0</v>
      </c>
      <c r="C702" s="9" t="n">
        <f aca="false">(26*B702-5*B702^2)/24</f>
        <v>0</v>
      </c>
      <c r="D702" s="9" t="n">
        <f aca="false">(A702^2+4*C702)/5</f>
        <v>98000</v>
      </c>
      <c r="E702" s="9" t="n">
        <f aca="false">MOD(D702,10)</f>
        <v>0</v>
      </c>
      <c r="F702" s="9" t="n">
        <f aca="false">2*D702</f>
        <v>196000</v>
      </c>
      <c r="G702" s="9" t="n">
        <f aca="false">MOD(F702,10)</f>
        <v>0</v>
      </c>
      <c r="H702" s="9" t="n">
        <f aca="false">G702/2</f>
        <v>0</v>
      </c>
      <c r="I702" s="9" t="str">
        <f aca="false">IF(H702=0,"—",IF(H702=1,"unison (1:1)",IF(H702=2,"octave (2:1)",IF(H702=3,"fifth (3:2)",IF(H702=4,"fourth (4:3)","?")))))</f>
        <v>—</v>
      </c>
      <c r="J702" s="9" t="str">
        <f aca="false">IF(H702=0,"—",IF(H702=1,"ὁμώνυμον",IF(H702=2,"διὰ πασῶν",IF(H702=3,"διὰ πέντε",IF(H702=4,"διὰ τεσσάρων","?")))))</f>
        <v>—</v>
      </c>
      <c r="K702" s="10"/>
      <c r="L702" s="14"/>
      <c r="M702" s="13"/>
    </row>
    <row r="703" customFormat="false" ht="15.75" hidden="false" customHeight="true" outlineLevel="0" collapsed="false">
      <c r="A703" s="8" t="n">
        <f aca="false">A702+1</f>
        <v>701</v>
      </c>
      <c r="B703" s="9" t="n">
        <f aca="false">MOD(4*A703^2,10)</f>
        <v>4</v>
      </c>
      <c r="C703" s="9" t="n">
        <f aca="false">(26*B703-5*B703^2)/24</f>
        <v>1</v>
      </c>
      <c r="D703" s="9" t="n">
        <f aca="false">(A703^2+4*C703)/5</f>
        <v>98281</v>
      </c>
      <c r="E703" s="9" t="n">
        <f aca="false">MOD(D703,10)</f>
        <v>1</v>
      </c>
      <c r="F703" s="9" t="n">
        <f aca="false">2*D703</f>
        <v>196562</v>
      </c>
      <c r="G703" s="9" t="n">
        <f aca="false">MOD(F703,10)</f>
        <v>2</v>
      </c>
      <c r="H703" s="9" t="n">
        <f aca="false">G703/2</f>
        <v>1</v>
      </c>
      <c r="I703" s="9" t="str">
        <f aca="false">IF(H703=0,"—",IF(H703=1,"unison (1:1)",IF(H703=2,"octave (2:1)",IF(H703=3,"fifth (3:2)",IF(H703=4,"fourth (4:3)","?")))))</f>
        <v>unison (1:1)</v>
      </c>
      <c r="J703" s="9" t="str">
        <f aca="false">IF(H703=0,"—",IF(H703=1,"ὁμώνυμον",IF(H703=2,"διὰ πασῶν",IF(H703=3,"διὰ πέντε",IF(H703=4,"διὰ τεσσάρων","?")))))</f>
        <v>ὁμώνυμον</v>
      </c>
      <c r="K703" s="10"/>
      <c r="L703" s="14"/>
      <c r="M703" s="13"/>
    </row>
    <row r="704" customFormat="false" ht="15.75" hidden="false" customHeight="true" outlineLevel="0" collapsed="false">
      <c r="A704" s="8" t="n">
        <f aca="false">A703+1</f>
        <v>702</v>
      </c>
      <c r="B704" s="9" t="n">
        <f aca="false">MOD(4*A704^2,10)</f>
        <v>6</v>
      </c>
      <c r="C704" s="9" t="n">
        <f aca="false">(26*B704-5*B704^2)/24</f>
        <v>-1</v>
      </c>
      <c r="D704" s="9" t="n">
        <f aca="false">(A704^2+4*C704)/5</f>
        <v>98560</v>
      </c>
      <c r="E704" s="9" t="n">
        <f aca="false">MOD(D704,10)</f>
        <v>0</v>
      </c>
      <c r="F704" s="9" t="n">
        <f aca="false">2*D704</f>
        <v>197120</v>
      </c>
      <c r="G704" s="9" t="n">
        <f aca="false">MOD(F704,10)</f>
        <v>0</v>
      </c>
      <c r="H704" s="9" t="n">
        <f aca="false">G704/2</f>
        <v>0</v>
      </c>
      <c r="I704" s="9" t="str">
        <f aca="false">IF(H704=0,"—",IF(H704=1,"unison (1:1)",IF(H704=2,"octave (2:1)",IF(H704=3,"fifth (3:2)",IF(H704=4,"fourth (4:3)","?")))))</f>
        <v>—</v>
      </c>
      <c r="J704" s="9" t="str">
        <f aca="false">IF(H704=0,"—",IF(H704=1,"ὁμώνυμον",IF(H704=2,"διὰ πασῶν",IF(H704=3,"διὰ πέντε",IF(H704=4,"διὰ τεσσάρων","?")))))</f>
        <v>—</v>
      </c>
      <c r="K704" s="10"/>
      <c r="L704" s="14"/>
      <c r="M704" s="13"/>
    </row>
    <row r="705" customFormat="false" ht="15.75" hidden="false" customHeight="true" outlineLevel="0" collapsed="false">
      <c r="A705" s="8" t="n">
        <f aca="false">A704+1</f>
        <v>703</v>
      </c>
      <c r="B705" s="9" t="n">
        <f aca="false">MOD(4*A705^2,10)</f>
        <v>6</v>
      </c>
      <c r="C705" s="9" t="n">
        <f aca="false">(26*B705-5*B705^2)/24</f>
        <v>-1</v>
      </c>
      <c r="D705" s="9" t="n">
        <f aca="false">(A705^2+4*C705)/5</f>
        <v>98841</v>
      </c>
      <c r="E705" s="9" t="n">
        <f aca="false">MOD(D705,10)</f>
        <v>1</v>
      </c>
      <c r="F705" s="9" t="n">
        <f aca="false">2*D705</f>
        <v>197682</v>
      </c>
      <c r="G705" s="9" t="n">
        <f aca="false">MOD(F705,10)</f>
        <v>2</v>
      </c>
      <c r="H705" s="9" t="n">
        <f aca="false">G705/2</f>
        <v>1</v>
      </c>
      <c r="I705" s="9" t="str">
        <f aca="false">IF(H705=0,"—",IF(H705=1,"unison (1:1)",IF(H705=2,"octave (2:1)",IF(H705=3,"fifth (3:2)",IF(H705=4,"fourth (4:3)","?")))))</f>
        <v>unison (1:1)</v>
      </c>
      <c r="J705" s="9" t="str">
        <f aca="false">IF(H705=0,"—",IF(H705=1,"ὁμώνυμον",IF(H705=2,"διὰ πασῶν",IF(H705=3,"διὰ πέντε",IF(H705=4,"διὰ τεσσάρων","?")))))</f>
        <v>ὁμώνυμον</v>
      </c>
      <c r="K705" s="10"/>
      <c r="L705" s="14"/>
      <c r="M705" s="13"/>
    </row>
    <row r="706" customFormat="false" ht="15.75" hidden="false" customHeight="true" outlineLevel="0" collapsed="false">
      <c r="A706" s="8" t="n">
        <f aca="false">A705+1</f>
        <v>704</v>
      </c>
      <c r="B706" s="9" t="n">
        <f aca="false">MOD(4*A706^2,10)</f>
        <v>4</v>
      </c>
      <c r="C706" s="9" t="n">
        <f aca="false">(26*B706-5*B706^2)/24</f>
        <v>1</v>
      </c>
      <c r="D706" s="9" t="n">
        <f aca="false">(A706^2+4*C706)/5</f>
        <v>99124</v>
      </c>
      <c r="E706" s="9" t="n">
        <f aca="false">MOD(D706,10)</f>
        <v>4</v>
      </c>
      <c r="F706" s="9" t="n">
        <f aca="false">2*D706</f>
        <v>198248</v>
      </c>
      <c r="G706" s="9" t="n">
        <f aca="false">MOD(F706,10)</f>
        <v>8</v>
      </c>
      <c r="H706" s="9" t="n">
        <f aca="false">G706/2</f>
        <v>4</v>
      </c>
      <c r="I706" s="9" t="str">
        <f aca="false">IF(H706=0,"—",IF(H706=1,"unison (1:1)",IF(H706=2,"octave (2:1)",IF(H706=3,"fifth (3:2)",IF(H706=4,"fourth (4:3)","?")))))</f>
        <v>fourth (4:3)</v>
      </c>
      <c r="J706" s="9" t="str">
        <f aca="false">IF(H706=0,"—",IF(H706=1,"ὁμώνυμον",IF(H706=2,"διὰ πασῶν",IF(H706=3,"διὰ πέντε",IF(H706=4,"διὰ τεσσάρων","?")))))</f>
        <v>διὰ τεσσάρων</v>
      </c>
      <c r="K706" s="10"/>
      <c r="L706" s="14"/>
      <c r="M706" s="13"/>
    </row>
    <row r="707" customFormat="false" ht="15.75" hidden="false" customHeight="true" outlineLevel="0" collapsed="false">
      <c r="A707" s="8" t="n">
        <f aca="false">A706+1</f>
        <v>705</v>
      </c>
      <c r="B707" s="9" t="n">
        <f aca="false">MOD(4*A707^2,10)</f>
        <v>0</v>
      </c>
      <c r="C707" s="9" t="n">
        <f aca="false">(26*B707-5*B707^2)/24</f>
        <v>0</v>
      </c>
      <c r="D707" s="9" t="n">
        <f aca="false">(A707^2+4*C707)/5</f>
        <v>99405</v>
      </c>
      <c r="E707" s="9" t="n">
        <f aca="false">MOD(D707,10)</f>
        <v>5</v>
      </c>
      <c r="F707" s="9" t="n">
        <f aca="false">2*D707</f>
        <v>198810</v>
      </c>
      <c r="G707" s="9" t="n">
        <f aca="false">MOD(F707,10)</f>
        <v>0</v>
      </c>
      <c r="H707" s="9" t="n">
        <f aca="false">G707/2</f>
        <v>0</v>
      </c>
      <c r="I707" s="9" t="str">
        <f aca="false">IF(H707=0,"—",IF(H707=1,"unison (1:1)",IF(H707=2,"octave (2:1)",IF(H707=3,"fifth (3:2)",IF(H707=4,"fourth (4:3)","?")))))</f>
        <v>—</v>
      </c>
      <c r="J707" s="9" t="str">
        <f aca="false">IF(H707=0,"—",IF(H707=1,"ὁμώνυμον",IF(H707=2,"διὰ πασῶν",IF(H707=3,"διὰ πέντε",IF(H707=4,"διὰ τεσσάρων","?")))))</f>
        <v>—</v>
      </c>
      <c r="K707" s="10"/>
      <c r="L707" s="14"/>
      <c r="M707" s="13"/>
    </row>
    <row r="708" customFormat="false" ht="15.75" hidden="false" customHeight="true" outlineLevel="0" collapsed="false">
      <c r="A708" s="8" t="n">
        <f aca="false">A707+1</f>
        <v>706</v>
      </c>
      <c r="B708" s="9" t="n">
        <f aca="false">MOD(4*A708^2,10)</f>
        <v>4</v>
      </c>
      <c r="C708" s="9" t="n">
        <f aca="false">(26*B708-5*B708^2)/24</f>
        <v>1</v>
      </c>
      <c r="D708" s="9" t="n">
        <f aca="false">(A708^2+4*C708)/5</f>
        <v>99688</v>
      </c>
      <c r="E708" s="9" t="n">
        <f aca="false">MOD(D708,10)</f>
        <v>8</v>
      </c>
      <c r="F708" s="9" t="n">
        <f aca="false">2*D708</f>
        <v>199376</v>
      </c>
      <c r="G708" s="9" t="n">
        <f aca="false">MOD(F708,10)</f>
        <v>6</v>
      </c>
      <c r="H708" s="9" t="n">
        <f aca="false">G708/2</f>
        <v>3</v>
      </c>
      <c r="I708" s="9" t="str">
        <f aca="false">IF(H708=0,"—",IF(H708=1,"unison (1:1)",IF(H708=2,"octave (2:1)",IF(H708=3,"fifth (3:2)",IF(H708=4,"fourth (4:3)","?")))))</f>
        <v>fifth (3:2)</v>
      </c>
      <c r="J708" s="9" t="str">
        <f aca="false">IF(H708=0,"—",IF(H708=1,"ὁμώνυμον",IF(H708=2,"διὰ πασῶν",IF(H708=3,"διὰ πέντε",IF(H708=4,"διὰ τεσσάρων","?")))))</f>
        <v>διὰ πέντε</v>
      </c>
      <c r="K708" s="10"/>
      <c r="L708" s="14"/>
      <c r="M708" s="13"/>
    </row>
    <row r="709" customFormat="false" ht="15.75" hidden="false" customHeight="true" outlineLevel="0" collapsed="false">
      <c r="A709" s="8" t="n">
        <f aca="false">A708+1</f>
        <v>707</v>
      </c>
      <c r="B709" s="9" t="n">
        <f aca="false">MOD(4*A709^2,10)</f>
        <v>6</v>
      </c>
      <c r="C709" s="9" t="n">
        <f aca="false">(26*B709-5*B709^2)/24</f>
        <v>-1</v>
      </c>
      <c r="D709" s="9" t="n">
        <f aca="false">(A709^2+4*C709)/5</f>
        <v>99969</v>
      </c>
      <c r="E709" s="9" t="n">
        <f aca="false">MOD(D709,10)</f>
        <v>9</v>
      </c>
      <c r="F709" s="9" t="n">
        <f aca="false">2*D709</f>
        <v>199938</v>
      </c>
      <c r="G709" s="9" t="n">
        <f aca="false">MOD(F709,10)</f>
        <v>8</v>
      </c>
      <c r="H709" s="9" t="n">
        <f aca="false">G709/2</f>
        <v>4</v>
      </c>
      <c r="I709" s="9" t="str">
        <f aca="false">IF(H709=0,"—",IF(H709=1,"unison (1:1)",IF(H709=2,"octave (2:1)",IF(H709=3,"fifth (3:2)",IF(H709=4,"fourth (4:3)","?")))))</f>
        <v>fourth (4:3)</v>
      </c>
      <c r="J709" s="9" t="str">
        <f aca="false">IF(H709=0,"—",IF(H709=1,"ὁμώνυμον",IF(H709=2,"διὰ πασῶν",IF(H709=3,"διὰ πέντε",IF(H709=4,"διὰ τεσσάρων","?")))))</f>
        <v>διὰ τεσσάρων</v>
      </c>
      <c r="K709" s="10"/>
      <c r="L709" s="14"/>
      <c r="M709" s="13"/>
    </row>
    <row r="710" customFormat="false" ht="15.75" hidden="false" customHeight="true" outlineLevel="0" collapsed="false">
      <c r="A710" s="8" t="n">
        <f aca="false">A709+1</f>
        <v>708</v>
      </c>
      <c r="B710" s="9" t="n">
        <f aca="false">MOD(4*A710^2,10)</f>
        <v>6</v>
      </c>
      <c r="C710" s="9" t="n">
        <f aca="false">(26*B710-5*B710^2)/24</f>
        <v>-1</v>
      </c>
      <c r="D710" s="9" t="n">
        <f aca="false">(A710^2+4*C710)/5</f>
        <v>100252</v>
      </c>
      <c r="E710" s="9" t="n">
        <f aca="false">MOD(D710,10)</f>
        <v>2</v>
      </c>
      <c r="F710" s="9" t="n">
        <f aca="false">2*D710</f>
        <v>200504</v>
      </c>
      <c r="G710" s="9" t="n">
        <f aca="false">MOD(F710,10)</f>
        <v>4</v>
      </c>
      <c r="H710" s="9" t="n">
        <f aca="false">G710/2</f>
        <v>2</v>
      </c>
      <c r="I710" s="9" t="str">
        <f aca="false">IF(H710=0,"—",IF(H710=1,"unison (1:1)",IF(H710=2,"octave (2:1)",IF(H710=3,"fifth (3:2)",IF(H710=4,"fourth (4:3)","?")))))</f>
        <v>octave (2:1)</v>
      </c>
      <c r="J710" s="9" t="str">
        <f aca="false">IF(H710=0,"—",IF(H710=1,"ὁμώνυμον",IF(H710=2,"διὰ πασῶν",IF(H710=3,"διὰ πέντε",IF(H710=4,"διὰ τεσσάρων","?")))))</f>
        <v>διὰ πασῶν</v>
      </c>
      <c r="K710" s="10"/>
      <c r="L710" s="14"/>
      <c r="M710" s="13"/>
    </row>
    <row r="711" customFormat="false" ht="15.75" hidden="false" customHeight="true" outlineLevel="0" collapsed="false">
      <c r="A711" s="8" t="n">
        <f aca="false">A710+1</f>
        <v>709</v>
      </c>
      <c r="B711" s="9" t="n">
        <f aca="false">MOD(4*A711^2,10)</f>
        <v>4</v>
      </c>
      <c r="C711" s="9" t="n">
        <f aca="false">(26*B711-5*B711^2)/24</f>
        <v>1</v>
      </c>
      <c r="D711" s="9" t="n">
        <f aca="false">(A711^2+4*C711)/5</f>
        <v>100537</v>
      </c>
      <c r="E711" s="9" t="n">
        <f aca="false">MOD(D711,10)</f>
        <v>7</v>
      </c>
      <c r="F711" s="9" t="n">
        <f aca="false">2*D711</f>
        <v>201074</v>
      </c>
      <c r="G711" s="9" t="n">
        <f aca="false">MOD(F711,10)</f>
        <v>4</v>
      </c>
      <c r="H711" s="9" t="n">
        <f aca="false">G711/2</f>
        <v>2</v>
      </c>
      <c r="I711" s="9" t="str">
        <f aca="false">IF(H711=0,"—",IF(H711=1,"unison (1:1)",IF(H711=2,"octave (2:1)",IF(H711=3,"fifth (3:2)",IF(H711=4,"fourth (4:3)","?")))))</f>
        <v>octave (2:1)</v>
      </c>
      <c r="J711" s="9" t="str">
        <f aca="false">IF(H711=0,"—",IF(H711=1,"ὁμώνυμον",IF(H711=2,"διὰ πασῶν",IF(H711=3,"διὰ πέντε",IF(H711=4,"διὰ τεσσάρων","?")))))</f>
        <v>διὰ πασῶν</v>
      </c>
      <c r="K711" s="10"/>
      <c r="L711" s="14"/>
      <c r="M711" s="13"/>
    </row>
    <row r="712" customFormat="false" ht="15.75" hidden="false" customHeight="true" outlineLevel="0" collapsed="false">
      <c r="A712" s="8" t="n">
        <f aca="false">A711+1</f>
        <v>710</v>
      </c>
      <c r="B712" s="9" t="n">
        <f aca="false">MOD(4*A712^2,10)</f>
        <v>0</v>
      </c>
      <c r="C712" s="9" t="n">
        <f aca="false">(26*B712-5*B712^2)/24</f>
        <v>0</v>
      </c>
      <c r="D712" s="9" t="n">
        <f aca="false">(A712^2+4*C712)/5</f>
        <v>100820</v>
      </c>
      <c r="E712" s="9" t="n">
        <f aca="false">MOD(D712,10)</f>
        <v>0</v>
      </c>
      <c r="F712" s="9" t="n">
        <f aca="false">2*D712</f>
        <v>201640</v>
      </c>
      <c r="G712" s="9" t="n">
        <f aca="false">MOD(F712,10)</f>
        <v>0</v>
      </c>
      <c r="H712" s="9" t="n">
        <f aca="false">G712/2</f>
        <v>0</v>
      </c>
      <c r="I712" s="9" t="str">
        <f aca="false">IF(H712=0,"—",IF(H712=1,"unison (1:1)",IF(H712=2,"octave (2:1)",IF(H712=3,"fifth (3:2)",IF(H712=4,"fourth (4:3)","?")))))</f>
        <v>—</v>
      </c>
      <c r="J712" s="9" t="str">
        <f aca="false">IF(H712=0,"—",IF(H712=1,"ὁμώνυμον",IF(H712=2,"διὰ πασῶν",IF(H712=3,"διὰ πέντε",IF(H712=4,"διὰ τεσσάρων","?")))))</f>
        <v>—</v>
      </c>
      <c r="K712" s="10"/>
      <c r="L712" s="14"/>
      <c r="M712" s="13"/>
    </row>
    <row r="713" customFormat="false" ht="15.75" hidden="false" customHeight="true" outlineLevel="0" collapsed="false">
      <c r="A713" s="8" t="n">
        <f aca="false">A712+1</f>
        <v>711</v>
      </c>
      <c r="B713" s="9" t="n">
        <f aca="false">MOD(4*A713^2,10)</f>
        <v>4</v>
      </c>
      <c r="C713" s="9" t="n">
        <f aca="false">(26*B713-5*B713^2)/24</f>
        <v>1</v>
      </c>
      <c r="D713" s="9" t="n">
        <f aca="false">(A713^2+4*C713)/5</f>
        <v>101105</v>
      </c>
      <c r="E713" s="9" t="n">
        <f aca="false">MOD(D713,10)</f>
        <v>5</v>
      </c>
      <c r="F713" s="9" t="n">
        <f aca="false">2*D713</f>
        <v>202210</v>
      </c>
      <c r="G713" s="9" t="n">
        <f aca="false">MOD(F713,10)</f>
        <v>0</v>
      </c>
      <c r="H713" s="9" t="n">
        <f aca="false">G713/2</f>
        <v>0</v>
      </c>
      <c r="I713" s="9" t="str">
        <f aca="false">IF(H713=0,"—",IF(H713=1,"unison (1:1)",IF(H713=2,"octave (2:1)",IF(H713=3,"fifth (3:2)",IF(H713=4,"fourth (4:3)","?")))))</f>
        <v>—</v>
      </c>
      <c r="J713" s="9" t="str">
        <f aca="false">IF(H713=0,"—",IF(H713=1,"ὁμώνυμον",IF(H713=2,"διὰ πασῶν",IF(H713=3,"διὰ πέντε",IF(H713=4,"διὰ τεσσάρων","?")))))</f>
        <v>—</v>
      </c>
      <c r="K713" s="10"/>
      <c r="L713" s="14"/>
      <c r="M713" s="13"/>
    </row>
    <row r="714" customFormat="false" ht="15.75" hidden="false" customHeight="true" outlineLevel="0" collapsed="false">
      <c r="A714" s="8" t="n">
        <f aca="false">A713+1</f>
        <v>712</v>
      </c>
      <c r="B714" s="9" t="n">
        <f aca="false">MOD(4*A714^2,10)</f>
        <v>6</v>
      </c>
      <c r="C714" s="9" t="n">
        <f aca="false">(26*B714-5*B714^2)/24</f>
        <v>-1</v>
      </c>
      <c r="D714" s="9" t="n">
        <f aca="false">(A714^2+4*C714)/5</f>
        <v>101388</v>
      </c>
      <c r="E714" s="9" t="n">
        <f aca="false">MOD(D714,10)</f>
        <v>8</v>
      </c>
      <c r="F714" s="9" t="n">
        <f aca="false">2*D714</f>
        <v>202776</v>
      </c>
      <c r="G714" s="9" t="n">
        <f aca="false">MOD(F714,10)</f>
        <v>6</v>
      </c>
      <c r="H714" s="9" t="n">
        <f aca="false">G714/2</f>
        <v>3</v>
      </c>
      <c r="I714" s="9" t="str">
        <f aca="false">IF(H714=0,"—",IF(H714=1,"unison (1:1)",IF(H714=2,"octave (2:1)",IF(H714=3,"fifth (3:2)",IF(H714=4,"fourth (4:3)","?")))))</f>
        <v>fifth (3:2)</v>
      </c>
      <c r="J714" s="9" t="str">
        <f aca="false">IF(H714=0,"—",IF(H714=1,"ὁμώνυμον",IF(H714=2,"διὰ πασῶν",IF(H714=3,"διὰ πέντε",IF(H714=4,"διὰ τεσσάρων","?")))))</f>
        <v>διὰ πέντε</v>
      </c>
      <c r="K714" s="10"/>
      <c r="L714" s="14"/>
      <c r="M714" s="13"/>
    </row>
    <row r="715" customFormat="false" ht="15.75" hidden="false" customHeight="true" outlineLevel="0" collapsed="false">
      <c r="A715" s="8" t="n">
        <f aca="false">A714+1</f>
        <v>713</v>
      </c>
      <c r="B715" s="9" t="n">
        <f aca="false">MOD(4*A715^2,10)</f>
        <v>6</v>
      </c>
      <c r="C715" s="9" t="n">
        <f aca="false">(26*B715-5*B715^2)/24</f>
        <v>-1</v>
      </c>
      <c r="D715" s="9" t="n">
        <f aca="false">(A715^2+4*C715)/5</f>
        <v>101673</v>
      </c>
      <c r="E715" s="9" t="n">
        <f aca="false">MOD(D715,10)</f>
        <v>3</v>
      </c>
      <c r="F715" s="9" t="n">
        <f aca="false">2*D715</f>
        <v>203346</v>
      </c>
      <c r="G715" s="9" t="n">
        <f aca="false">MOD(F715,10)</f>
        <v>6</v>
      </c>
      <c r="H715" s="9" t="n">
        <f aca="false">G715/2</f>
        <v>3</v>
      </c>
      <c r="I715" s="9" t="str">
        <f aca="false">IF(H715=0,"—",IF(H715=1,"unison (1:1)",IF(H715=2,"octave (2:1)",IF(H715=3,"fifth (3:2)",IF(H715=4,"fourth (4:3)","?")))))</f>
        <v>fifth (3:2)</v>
      </c>
      <c r="J715" s="9" t="str">
        <f aca="false">IF(H715=0,"—",IF(H715=1,"ὁμώνυμον",IF(H715=2,"διὰ πασῶν",IF(H715=3,"διὰ πέντε",IF(H715=4,"διὰ τεσσάρων","?")))))</f>
        <v>διὰ πέντε</v>
      </c>
      <c r="K715" s="10"/>
      <c r="L715" s="14"/>
      <c r="M715" s="13"/>
    </row>
    <row r="716" customFormat="false" ht="15.75" hidden="false" customHeight="true" outlineLevel="0" collapsed="false">
      <c r="A716" s="8" t="n">
        <f aca="false">A715+1</f>
        <v>714</v>
      </c>
      <c r="B716" s="9" t="n">
        <f aca="false">MOD(4*A716^2,10)</f>
        <v>4</v>
      </c>
      <c r="C716" s="9" t="n">
        <f aca="false">(26*B716-5*B716^2)/24</f>
        <v>1</v>
      </c>
      <c r="D716" s="9" t="n">
        <f aca="false">(A716^2+4*C716)/5</f>
        <v>101960</v>
      </c>
      <c r="E716" s="9" t="n">
        <f aca="false">MOD(D716,10)</f>
        <v>0</v>
      </c>
      <c r="F716" s="9" t="n">
        <f aca="false">2*D716</f>
        <v>203920</v>
      </c>
      <c r="G716" s="9" t="n">
        <f aca="false">MOD(F716,10)</f>
        <v>0</v>
      </c>
      <c r="H716" s="9" t="n">
        <f aca="false">G716/2</f>
        <v>0</v>
      </c>
      <c r="I716" s="9" t="str">
        <f aca="false">IF(H716=0,"—",IF(H716=1,"unison (1:1)",IF(H716=2,"octave (2:1)",IF(H716=3,"fifth (3:2)",IF(H716=4,"fourth (4:3)","?")))))</f>
        <v>—</v>
      </c>
      <c r="J716" s="9" t="str">
        <f aca="false">IF(H716=0,"—",IF(H716=1,"ὁμώνυμον",IF(H716=2,"διὰ πασῶν",IF(H716=3,"διὰ πέντε",IF(H716=4,"διὰ τεσσάρων","?")))))</f>
        <v>—</v>
      </c>
      <c r="K716" s="10"/>
      <c r="L716" s="14"/>
      <c r="M716" s="13"/>
    </row>
    <row r="717" customFormat="false" ht="15.75" hidden="false" customHeight="true" outlineLevel="0" collapsed="false">
      <c r="A717" s="8" t="n">
        <f aca="false">A716+1</f>
        <v>715</v>
      </c>
      <c r="B717" s="9" t="n">
        <f aca="false">MOD(4*A717^2,10)</f>
        <v>0</v>
      </c>
      <c r="C717" s="9" t="n">
        <f aca="false">(26*B717-5*B717^2)/24</f>
        <v>0</v>
      </c>
      <c r="D717" s="9" t="n">
        <f aca="false">(A717^2+4*C717)/5</f>
        <v>102245</v>
      </c>
      <c r="E717" s="9" t="n">
        <f aca="false">MOD(D717,10)</f>
        <v>5</v>
      </c>
      <c r="F717" s="9" t="n">
        <f aca="false">2*D717</f>
        <v>204490</v>
      </c>
      <c r="G717" s="9" t="n">
        <f aca="false">MOD(F717,10)</f>
        <v>0</v>
      </c>
      <c r="H717" s="9" t="n">
        <f aca="false">G717/2</f>
        <v>0</v>
      </c>
      <c r="I717" s="9" t="str">
        <f aca="false">IF(H717=0,"—",IF(H717=1,"unison (1:1)",IF(H717=2,"octave (2:1)",IF(H717=3,"fifth (3:2)",IF(H717=4,"fourth (4:3)","?")))))</f>
        <v>—</v>
      </c>
      <c r="J717" s="9" t="str">
        <f aca="false">IF(H717=0,"—",IF(H717=1,"ὁμώνυμον",IF(H717=2,"διὰ πασῶν",IF(H717=3,"διὰ πέντε",IF(H717=4,"διὰ τεσσάρων","?")))))</f>
        <v>—</v>
      </c>
      <c r="K717" s="10"/>
      <c r="L717" s="14"/>
      <c r="M717" s="13"/>
    </row>
    <row r="718" customFormat="false" ht="15.75" hidden="false" customHeight="true" outlineLevel="0" collapsed="false">
      <c r="A718" s="8" t="n">
        <f aca="false">A717+1</f>
        <v>716</v>
      </c>
      <c r="B718" s="9" t="n">
        <f aca="false">MOD(4*A718^2,10)</f>
        <v>4</v>
      </c>
      <c r="C718" s="9" t="n">
        <f aca="false">(26*B718-5*B718^2)/24</f>
        <v>1</v>
      </c>
      <c r="D718" s="9" t="n">
        <f aca="false">(A718^2+4*C718)/5</f>
        <v>102532</v>
      </c>
      <c r="E718" s="9" t="n">
        <f aca="false">MOD(D718,10)</f>
        <v>2</v>
      </c>
      <c r="F718" s="9" t="n">
        <f aca="false">2*D718</f>
        <v>205064</v>
      </c>
      <c r="G718" s="9" t="n">
        <f aca="false">MOD(F718,10)</f>
        <v>4</v>
      </c>
      <c r="H718" s="9" t="n">
        <f aca="false">G718/2</f>
        <v>2</v>
      </c>
      <c r="I718" s="9" t="str">
        <f aca="false">IF(H718=0,"—",IF(H718=1,"unison (1:1)",IF(H718=2,"octave (2:1)",IF(H718=3,"fifth (3:2)",IF(H718=4,"fourth (4:3)","?")))))</f>
        <v>octave (2:1)</v>
      </c>
      <c r="J718" s="9" t="str">
        <f aca="false">IF(H718=0,"—",IF(H718=1,"ὁμώνυμον",IF(H718=2,"διὰ πασῶν",IF(H718=3,"διὰ πέντε",IF(H718=4,"διὰ τεσσάρων","?")))))</f>
        <v>διὰ πασῶν</v>
      </c>
      <c r="K718" s="10"/>
      <c r="L718" s="14"/>
      <c r="M718" s="13"/>
    </row>
    <row r="719" customFormat="false" ht="15.75" hidden="false" customHeight="true" outlineLevel="0" collapsed="false">
      <c r="A719" s="8" t="n">
        <f aca="false">A718+1</f>
        <v>717</v>
      </c>
      <c r="B719" s="9" t="n">
        <f aca="false">MOD(4*A719^2,10)</f>
        <v>6</v>
      </c>
      <c r="C719" s="9" t="n">
        <f aca="false">(26*B719-5*B719^2)/24</f>
        <v>-1</v>
      </c>
      <c r="D719" s="9" t="n">
        <f aca="false">(A719^2+4*C719)/5</f>
        <v>102817</v>
      </c>
      <c r="E719" s="9" t="n">
        <f aca="false">MOD(D719,10)</f>
        <v>7</v>
      </c>
      <c r="F719" s="9" t="n">
        <f aca="false">2*D719</f>
        <v>205634</v>
      </c>
      <c r="G719" s="9" t="n">
        <f aca="false">MOD(F719,10)</f>
        <v>4</v>
      </c>
      <c r="H719" s="9" t="n">
        <f aca="false">G719/2</f>
        <v>2</v>
      </c>
      <c r="I719" s="9" t="str">
        <f aca="false">IF(H719=0,"—",IF(H719=1,"unison (1:1)",IF(H719=2,"octave (2:1)",IF(H719=3,"fifth (3:2)",IF(H719=4,"fourth (4:3)","?")))))</f>
        <v>octave (2:1)</v>
      </c>
      <c r="J719" s="9" t="str">
        <f aca="false">IF(H719=0,"—",IF(H719=1,"ὁμώνυμον",IF(H719=2,"διὰ πασῶν",IF(H719=3,"διὰ πέντε",IF(H719=4,"διὰ τεσσάρων","?")))))</f>
        <v>διὰ πασῶν</v>
      </c>
      <c r="K719" s="10"/>
      <c r="L719" s="14"/>
      <c r="M719" s="13"/>
    </row>
    <row r="720" customFormat="false" ht="15.75" hidden="false" customHeight="true" outlineLevel="0" collapsed="false">
      <c r="A720" s="8" t="n">
        <f aca="false">A719+1</f>
        <v>718</v>
      </c>
      <c r="B720" s="9" t="n">
        <f aca="false">MOD(4*A720^2,10)</f>
        <v>6</v>
      </c>
      <c r="C720" s="9" t="n">
        <f aca="false">(26*B720-5*B720^2)/24</f>
        <v>-1</v>
      </c>
      <c r="D720" s="9" t="n">
        <f aca="false">(A720^2+4*C720)/5</f>
        <v>103104</v>
      </c>
      <c r="E720" s="9" t="n">
        <f aca="false">MOD(D720,10)</f>
        <v>4</v>
      </c>
      <c r="F720" s="9" t="n">
        <f aca="false">2*D720</f>
        <v>206208</v>
      </c>
      <c r="G720" s="9" t="n">
        <f aca="false">MOD(F720,10)</f>
        <v>8</v>
      </c>
      <c r="H720" s="9" t="n">
        <f aca="false">G720/2</f>
        <v>4</v>
      </c>
      <c r="I720" s="9" t="str">
        <f aca="false">IF(H720=0,"—",IF(H720=1,"unison (1:1)",IF(H720=2,"octave (2:1)",IF(H720=3,"fifth (3:2)",IF(H720=4,"fourth (4:3)","?")))))</f>
        <v>fourth (4:3)</v>
      </c>
      <c r="J720" s="9" t="str">
        <f aca="false">IF(H720=0,"—",IF(H720=1,"ὁμώνυμον",IF(H720=2,"διὰ πασῶν",IF(H720=3,"διὰ πέντε",IF(H720=4,"διὰ τεσσάρων","?")))))</f>
        <v>διὰ τεσσάρων</v>
      </c>
      <c r="K720" s="10"/>
      <c r="L720" s="14"/>
      <c r="M720" s="13"/>
    </row>
    <row r="721" customFormat="false" ht="15.75" hidden="false" customHeight="true" outlineLevel="0" collapsed="false">
      <c r="A721" s="8" t="n">
        <f aca="false">A720+1</f>
        <v>719</v>
      </c>
      <c r="B721" s="9" t="n">
        <f aca="false">MOD(4*A721^2,10)</f>
        <v>4</v>
      </c>
      <c r="C721" s="9" t="n">
        <f aca="false">(26*B721-5*B721^2)/24</f>
        <v>1</v>
      </c>
      <c r="D721" s="9" t="n">
        <f aca="false">(A721^2+4*C721)/5</f>
        <v>103393</v>
      </c>
      <c r="E721" s="9" t="n">
        <f aca="false">MOD(D721,10)</f>
        <v>3</v>
      </c>
      <c r="F721" s="9" t="n">
        <f aca="false">2*D721</f>
        <v>206786</v>
      </c>
      <c r="G721" s="9" t="n">
        <f aca="false">MOD(F721,10)</f>
        <v>6</v>
      </c>
      <c r="H721" s="9" t="n">
        <f aca="false">G721/2</f>
        <v>3</v>
      </c>
      <c r="I721" s="9" t="str">
        <f aca="false">IF(H721=0,"—",IF(H721=1,"unison (1:1)",IF(H721=2,"octave (2:1)",IF(H721=3,"fifth (3:2)",IF(H721=4,"fourth (4:3)","?")))))</f>
        <v>fifth (3:2)</v>
      </c>
      <c r="J721" s="9" t="str">
        <f aca="false">IF(H721=0,"—",IF(H721=1,"ὁμώνυμον",IF(H721=2,"διὰ πασῶν",IF(H721=3,"διὰ πέντε",IF(H721=4,"διὰ τεσσάρων","?")))))</f>
        <v>διὰ πέντε</v>
      </c>
      <c r="K721" s="10"/>
      <c r="L721" s="14"/>
      <c r="M721" s="13"/>
    </row>
    <row r="722" customFormat="false" ht="15.75" hidden="false" customHeight="true" outlineLevel="0" collapsed="false">
      <c r="A722" s="8" t="n">
        <f aca="false">A721+1</f>
        <v>720</v>
      </c>
      <c r="B722" s="9" t="n">
        <f aca="false">MOD(4*A722^2,10)</f>
        <v>0</v>
      </c>
      <c r="C722" s="9" t="n">
        <f aca="false">(26*B722-5*B722^2)/24</f>
        <v>0</v>
      </c>
      <c r="D722" s="9" t="n">
        <f aca="false">(A722^2+4*C722)/5</f>
        <v>103680</v>
      </c>
      <c r="E722" s="9" t="n">
        <f aca="false">MOD(D722,10)</f>
        <v>0</v>
      </c>
      <c r="F722" s="9" t="n">
        <f aca="false">2*D722</f>
        <v>207360</v>
      </c>
      <c r="G722" s="9" t="n">
        <f aca="false">MOD(F722,10)</f>
        <v>0</v>
      </c>
      <c r="H722" s="9" t="n">
        <f aca="false">G722/2</f>
        <v>0</v>
      </c>
      <c r="I722" s="9" t="str">
        <f aca="false">IF(H722=0,"—",IF(H722=1,"unison (1:1)",IF(H722=2,"octave (2:1)",IF(H722=3,"fifth (3:2)",IF(H722=4,"fourth (4:3)","?")))))</f>
        <v>—</v>
      </c>
      <c r="J722" s="9" t="str">
        <f aca="false">IF(H722=0,"—",IF(H722=1,"ὁμώνυμον",IF(H722=2,"διὰ πασῶν",IF(H722=3,"διὰ πέντε",IF(H722=4,"διὰ τεσσάρων","?")))))</f>
        <v>—</v>
      </c>
      <c r="K722" s="10"/>
      <c r="L722" s="14"/>
      <c r="M722" s="13"/>
    </row>
    <row r="723" customFormat="false" ht="15.75" hidden="false" customHeight="true" outlineLevel="0" collapsed="false">
      <c r="A723" s="8" t="n">
        <f aca="false">A722+1</f>
        <v>721</v>
      </c>
      <c r="B723" s="9" t="n">
        <f aca="false">MOD(4*A723^2,10)</f>
        <v>4</v>
      </c>
      <c r="C723" s="9" t="n">
        <f aca="false">(26*B723-5*B723^2)/24</f>
        <v>1</v>
      </c>
      <c r="D723" s="9" t="n">
        <f aca="false">(A723^2+4*C723)/5</f>
        <v>103969</v>
      </c>
      <c r="E723" s="9" t="n">
        <f aca="false">MOD(D723,10)</f>
        <v>9</v>
      </c>
      <c r="F723" s="9" t="n">
        <f aca="false">2*D723</f>
        <v>207938</v>
      </c>
      <c r="G723" s="9" t="n">
        <f aca="false">MOD(F723,10)</f>
        <v>8</v>
      </c>
      <c r="H723" s="9" t="n">
        <f aca="false">G723/2</f>
        <v>4</v>
      </c>
      <c r="I723" s="9" t="str">
        <f aca="false">IF(H723=0,"—",IF(H723=1,"unison (1:1)",IF(H723=2,"octave (2:1)",IF(H723=3,"fifth (3:2)",IF(H723=4,"fourth (4:3)","?")))))</f>
        <v>fourth (4:3)</v>
      </c>
      <c r="J723" s="9" t="str">
        <f aca="false">IF(H723=0,"—",IF(H723=1,"ὁμώνυμον",IF(H723=2,"διὰ πασῶν",IF(H723=3,"διὰ πέντε",IF(H723=4,"διὰ τεσσάρων","?")))))</f>
        <v>διὰ τεσσάρων</v>
      </c>
      <c r="K723" s="10"/>
      <c r="L723" s="14"/>
      <c r="M723" s="13"/>
    </row>
    <row r="724" customFormat="false" ht="15.75" hidden="false" customHeight="true" outlineLevel="0" collapsed="false">
      <c r="A724" s="8" t="n">
        <f aca="false">A723+1</f>
        <v>722</v>
      </c>
      <c r="B724" s="9" t="n">
        <f aca="false">MOD(4*A724^2,10)</f>
        <v>6</v>
      </c>
      <c r="C724" s="9" t="n">
        <f aca="false">(26*B724-5*B724^2)/24</f>
        <v>-1</v>
      </c>
      <c r="D724" s="9" t="n">
        <f aca="false">(A724^2+4*C724)/5</f>
        <v>104256</v>
      </c>
      <c r="E724" s="9" t="n">
        <f aca="false">MOD(D724,10)</f>
        <v>6</v>
      </c>
      <c r="F724" s="9" t="n">
        <f aca="false">2*D724</f>
        <v>208512</v>
      </c>
      <c r="G724" s="9" t="n">
        <f aca="false">MOD(F724,10)</f>
        <v>2</v>
      </c>
      <c r="H724" s="9" t="n">
        <f aca="false">G724/2</f>
        <v>1</v>
      </c>
      <c r="I724" s="9" t="str">
        <f aca="false">IF(H724=0,"—",IF(H724=1,"unison (1:1)",IF(H724=2,"octave (2:1)",IF(H724=3,"fifth (3:2)",IF(H724=4,"fourth (4:3)","?")))))</f>
        <v>unison (1:1)</v>
      </c>
      <c r="J724" s="9" t="str">
        <f aca="false">IF(H724=0,"—",IF(H724=1,"ὁμώνυμον",IF(H724=2,"διὰ πασῶν",IF(H724=3,"διὰ πέντε",IF(H724=4,"διὰ τεσσάρων","?")))))</f>
        <v>ὁμώνυμον</v>
      </c>
      <c r="K724" s="10"/>
      <c r="L724" s="14"/>
      <c r="M724" s="13"/>
    </row>
    <row r="725" customFormat="false" ht="15.75" hidden="false" customHeight="true" outlineLevel="0" collapsed="false">
      <c r="A725" s="8" t="n">
        <f aca="false">A724+1</f>
        <v>723</v>
      </c>
      <c r="B725" s="9" t="n">
        <f aca="false">MOD(4*A725^2,10)</f>
        <v>6</v>
      </c>
      <c r="C725" s="9" t="n">
        <f aca="false">(26*B725-5*B725^2)/24</f>
        <v>-1</v>
      </c>
      <c r="D725" s="9" t="n">
        <f aca="false">(A725^2+4*C725)/5</f>
        <v>104545</v>
      </c>
      <c r="E725" s="9" t="n">
        <f aca="false">MOD(D725,10)</f>
        <v>5</v>
      </c>
      <c r="F725" s="9" t="n">
        <f aca="false">2*D725</f>
        <v>209090</v>
      </c>
      <c r="G725" s="9" t="n">
        <f aca="false">MOD(F725,10)</f>
        <v>0</v>
      </c>
      <c r="H725" s="9" t="n">
        <f aca="false">G725/2</f>
        <v>0</v>
      </c>
      <c r="I725" s="9" t="str">
        <f aca="false">IF(H725=0,"—",IF(H725=1,"unison (1:1)",IF(H725=2,"octave (2:1)",IF(H725=3,"fifth (3:2)",IF(H725=4,"fourth (4:3)","?")))))</f>
        <v>—</v>
      </c>
      <c r="J725" s="9" t="str">
        <f aca="false">IF(H725=0,"—",IF(H725=1,"ὁμώνυμον",IF(H725=2,"διὰ πασῶν",IF(H725=3,"διὰ πέντε",IF(H725=4,"διὰ τεσσάρων","?")))))</f>
        <v>—</v>
      </c>
      <c r="K725" s="10"/>
      <c r="L725" s="14"/>
      <c r="M725" s="13"/>
    </row>
    <row r="726" customFormat="false" ht="15.75" hidden="false" customHeight="true" outlineLevel="0" collapsed="false">
      <c r="A726" s="8" t="n">
        <f aca="false">A725+1</f>
        <v>724</v>
      </c>
      <c r="B726" s="9" t="n">
        <f aca="false">MOD(4*A726^2,10)</f>
        <v>4</v>
      </c>
      <c r="C726" s="9" t="n">
        <f aca="false">(26*B726-5*B726^2)/24</f>
        <v>1</v>
      </c>
      <c r="D726" s="9" t="n">
        <f aca="false">(A726^2+4*C726)/5</f>
        <v>104836</v>
      </c>
      <c r="E726" s="9" t="n">
        <f aca="false">MOD(D726,10)</f>
        <v>6</v>
      </c>
      <c r="F726" s="9" t="n">
        <f aca="false">2*D726</f>
        <v>209672</v>
      </c>
      <c r="G726" s="9" t="n">
        <f aca="false">MOD(F726,10)</f>
        <v>2</v>
      </c>
      <c r="H726" s="9" t="n">
        <f aca="false">G726/2</f>
        <v>1</v>
      </c>
      <c r="I726" s="9" t="str">
        <f aca="false">IF(H726=0,"—",IF(H726=1,"unison (1:1)",IF(H726=2,"octave (2:1)",IF(H726=3,"fifth (3:2)",IF(H726=4,"fourth (4:3)","?")))))</f>
        <v>unison (1:1)</v>
      </c>
      <c r="J726" s="9" t="str">
        <f aca="false">IF(H726=0,"—",IF(H726=1,"ὁμώνυμον",IF(H726=2,"διὰ πασῶν",IF(H726=3,"διὰ πέντε",IF(H726=4,"διὰ τεσσάρων","?")))))</f>
        <v>ὁμώνυμον</v>
      </c>
      <c r="K726" s="10"/>
      <c r="L726" s="14"/>
      <c r="M726" s="13"/>
    </row>
    <row r="727" customFormat="false" ht="15.75" hidden="false" customHeight="true" outlineLevel="0" collapsed="false">
      <c r="A727" s="8" t="n">
        <f aca="false">A726+1</f>
        <v>725</v>
      </c>
      <c r="B727" s="9" t="n">
        <f aca="false">MOD(4*A727^2,10)</f>
        <v>0</v>
      </c>
      <c r="C727" s="9" t="n">
        <f aca="false">(26*B727-5*B727^2)/24</f>
        <v>0</v>
      </c>
      <c r="D727" s="9" t="n">
        <f aca="false">(A727^2+4*C727)/5</f>
        <v>105125</v>
      </c>
      <c r="E727" s="9" t="n">
        <f aca="false">MOD(D727,10)</f>
        <v>5</v>
      </c>
      <c r="F727" s="9" t="n">
        <f aca="false">2*D727</f>
        <v>210250</v>
      </c>
      <c r="G727" s="9" t="n">
        <f aca="false">MOD(F727,10)</f>
        <v>0</v>
      </c>
      <c r="H727" s="9" t="n">
        <f aca="false">G727/2</f>
        <v>0</v>
      </c>
      <c r="I727" s="9" t="str">
        <f aca="false">IF(H727=0,"—",IF(H727=1,"unison (1:1)",IF(H727=2,"octave (2:1)",IF(H727=3,"fifth (3:2)",IF(H727=4,"fourth (4:3)","?")))))</f>
        <v>—</v>
      </c>
      <c r="J727" s="9" t="str">
        <f aca="false">IF(H727=0,"—",IF(H727=1,"ὁμώνυμον",IF(H727=2,"διὰ πασῶν",IF(H727=3,"διὰ πέντε",IF(H727=4,"διὰ τεσσάρων","?")))))</f>
        <v>—</v>
      </c>
      <c r="K727" s="10"/>
      <c r="L727" s="14"/>
      <c r="M727" s="13"/>
    </row>
    <row r="728" customFormat="false" ht="15.75" hidden="false" customHeight="true" outlineLevel="0" collapsed="false">
      <c r="A728" s="8" t="n">
        <f aca="false">A727+1</f>
        <v>726</v>
      </c>
      <c r="B728" s="9" t="n">
        <f aca="false">MOD(4*A728^2,10)</f>
        <v>4</v>
      </c>
      <c r="C728" s="9" t="n">
        <f aca="false">(26*B728-5*B728^2)/24</f>
        <v>1</v>
      </c>
      <c r="D728" s="9" t="n">
        <f aca="false">(A728^2+4*C728)/5</f>
        <v>105416</v>
      </c>
      <c r="E728" s="9" t="n">
        <f aca="false">MOD(D728,10)</f>
        <v>6</v>
      </c>
      <c r="F728" s="9" t="n">
        <f aca="false">2*D728</f>
        <v>210832</v>
      </c>
      <c r="G728" s="9" t="n">
        <f aca="false">MOD(F728,10)</f>
        <v>2</v>
      </c>
      <c r="H728" s="9" t="n">
        <f aca="false">G728/2</f>
        <v>1</v>
      </c>
      <c r="I728" s="9" t="str">
        <f aca="false">IF(H728=0,"—",IF(H728=1,"unison (1:1)",IF(H728=2,"octave (2:1)",IF(H728=3,"fifth (3:2)",IF(H728=4,"fourth (4:3)","?")))))</f>
        <v>unison (1:1)</v>
      </c>
      <c r="J728" s="9" t="str">
        <f aca="false">IF(H728=0,"—",IF(H728=1,"ὁμώνυμον",IF(H728=2,"διὰ πασῶν",IF(H728=3,"διὰ πέντε",IF(H728=4,"διὰ τεσσάρων","?")))))</f>
        <v>ὁμώνυμον</v>
      </c>
      <c r="K728" s="10"/>
      <c r="L728" s="14"/>
      <c r="M728" s="13"/>
    </row>
    <row r="729" customFormat="false" ht="15.75" hidden="false" customHeight="true" outlineLevel="0" collapsed="false">
      <c r="A729" s="8" t="n">
        <f aca="false">A728+1</f>
        <v>727</v>
      </c>
      <c r="B729" s="9" t="n">
        <f aca="false">MOD(4*A729^2,10)</f>
        <v>6</v>
      </c>
      <c r="C729" s="9" t="n">
        <f aca="false">(26*B729-5*B729^2)/24</f>
        <v>-1</v>
      </c>
      <c r="D729" s="9" t="n">
        <f aca="false">(A729^2+4*C729)/5</f>
        <v>105705</v>
      </c>
      <c r="E729" s="9" t="n">
        <f aca="false">MOD(D729,10)</f>
        <v>5</v>
      </c>
      <c r="F729" s="9" t="n">
        <f aca="false">2*D729</f>
        <v>211410</v>
      </c>
      <c r="G729" s="9" t="n">
        <f aca="false">MOD(F729,10)</f>
        <v>0</v>
      </c>
      <c r="H729" s="9" t="n">
        <f aca="false">G729/2</f>
        <v>0</v>
      </c>
      <c r="I729" s="9" t="str">
        <f aca="false">IF(H729=0,"—",IF(H729=1,"unison (1:1)",IF(H729=2,"octave (2:1)",IF(H729=3,"fifth (3:2)",IF(H729=4,"fourth (4:3)","?")))))</f>
        <v>—</v>
      </c>
      <c r="J729" s="9" t="str">
        <f aca="false">IF(H729=0,"—",IF(H729=1,"ὁμώνυμον",IF(H729=2,"διὰ πασῶν",IF(H729=3,"διὰ πέντε",IF(H729=4,"διὰ τεσσάρων","?")))))</f>
        <v>—</v>
      </c>
      <c r="K729" s="10"/>
      <c r="L729" s="14"/>
      <c r="M729" s="13"/>
    </row>
    <row r="730" customFormat="false" ht="15.75" hidden="false" customHeight="true" outlineLevel="0" collapsed="false">
      <c r="A730" s="8" t="n">
        <f aca="false">A729+1</f>
        <v>728</v>
      </c>
      <c r="B730" s="9" t="n">
        <f aca="false">MOD(4*A730^2,10)</f>
        <v>6</v>
      </c>
      <c r="C730" s="9" t="n">
        <f aca="false">(26*B730-5*B730^2)/24</f>
        <v>-1</v>
      </c>
      <c r="D730" s="9" t="n">
        <f aca="false">(A730^2+4*C730)/5</f>
        <v>105996</v>
      </c>
      <c r="E730" s="9" t="n">
        <f aca="false">MOD(D730,10)</f>
        <v>6</v>
      </c>
      <c r="F730" s="9" t="n">
        <f aca="false">2*D730</f>
        <v>211992</v>
      </c>
      <c r="G730" s="9" t="n">
        <f aca="false">MOD(F730,10)</f>
        <v>2</v>
      </c>
      <c r="H730" s="9" t="n">
        <f aca="false">G730/2</f>
        <v>1</v>
      </c>
      <c r="I730" s="9" t="str">
        <f aca="false">IF(H730=0,"—",IF(H730=1,"unison (1:1)",IF(H730=2,"octave (2:1)",IF(H730=3,"fifth (3:2)",IF(H730=4,"fourth (4:3)","?")))))</f>
        <v>unison (1:1)</v>
      </c>
      <c r="J730" s="9" t="str">
        <f aca="false">IF(H730=0,"—",IF(H730=1,"ὁμώνυμον",IF(H730=2,"διὰ πασῶν",IF(H730=3,"διὰ πέντε",IF(H730=4,"διὰ τεσσάρων","?")))))</f>
        <v>ὁμώνυμον</v>
      </c>
      <c r="K730" s="10"/>
      <c r="L730" s="14"/>
      <c r="M730" s="13"/>
    </row>
    <row r="731" customFormat="false" ht="15.75" hidden="false" customHeight="true" outlineLevel="0" collapsed="false">
      <c r="A731" s="8" t="n">
        <f aca="false">A730+1</f>
        <v>729</v>
      </c>
      <c r="B731" s="9" t="n">
        <f aca="false">MOD(4*A731^2,10)</f>
        <v>4</v>
      </c>
      <c r="C731" s="9" t="n">
        <f aca="false">(26*B731-5*B731^2)/24</f>
        <v>1</v>
      </c>
      <c r="D731" s="9" t="n">
        <f aca="false">(A731^2+4*C731)/5</f>
        <v>106289</v>
      </c>
      <c r="E731" s="9" t="n">
        <f aca="false">MOD(D731,10)</f>
        <v>9</v>
      </c>
      <c r="F731" s="9" t="n">
        <f aca="false">2*D731</f>
        <v>212578</v>
      </c>
      <c r="G731" s="9" t="n">
        <f aca="false">MOD(F731,10)</f>
        <v>8</v>
      </c>
      <c r="H731" s="9" t="n">
        <f aca="false">G731/2</f>
        <v>4</v>
      </c>
      <c r="I731" s="9" t="str">
        <f aca="false">IF(H731=0,"—",IF(H731=1,"unison (1:1)",IF(H731=2,"octave (2:1)",IF(H731=3,"fifth (3:2)",IF(H731=4,"fourth (4:3)","?")))))</f>
        <v>fourth (4:3)</v>
      </c>
      <c r="J731" s="9" t="str">
        <f aca="false">IF(H731=0,"—",IF(H731=1,"ὁμώνυμον",IF(H731=2,"διὰ πασῶν",IF(H731=3,"διὰ πέντε",IF(H731=4,"διὰ τεσσάρων","?")))))</f>
        <v>διὰ τεσσάρων</v>
      </c>
      <c r="K731" s="10"/>
      <c r="L731" s="14"/>
      <c r="M731" s="13"/>
    </row>
    <row r="732" customFormat="false" ht="15.75" hidden="false" customHeight="true" outlineLevel="0" collapsed="false">
      <c r="A732" s="8" t="n">
        <f aca="false">A731+1</f>
        <v>730</v>
      </c>
      <c r="B732" s="9" t="n">
        <f aca="false">MOD(4*A732^2,10)</f>
        <v>0</v>
      </c>
      <c r="C732" s="9" t="n">
        <f aca="false">(26*B732-5*B732^2)/24</f>
        <v>0</v>
      </c>
      <c r="D732" s="9" t="n">
        <f aca="false">(A732^2+4*C732)/5</f>
        <v>106580</v>
      </c>
      <c r="E732" s="9" t="n">
        <f aca="false">MOD(D732,10)</f>
        <v>0</v>
      </c>
      <c r="F732" s="9" t="n">
        <f aca="false">2*D732</f>
        <v>213160</v>
      </c>
      <c r="G732" s="9" t="n">
        <f aca="false">MOD(F732,10)</f>
        <v>0</v>
      </c>
      <c r="H732" s="9" t="n">
        <f aca="false">G732/2</f>
        <v>0</v>
      </c>
      <c r="I732" s="9" t="str">
        <f aca="false">IF(H732=0,"—",IF(H732=1,"unison (1:1)",IF(H732=2,"octave (2:1)",IF(H732=3,"fifth (3:2)",IF(H732=4,"fourth (4:3)","?")))))</f>
        <v>—</v>
      </c>
      <c r="J732" s="9" t="str">
        <f aca="false">IF(H732=0,"—",IF(H732=1,"ὁμώνυμον",IF(H732=2,"διὰ πασῶν",IF(H732=3,"διὰ πέντε",IF(H732=4,"διὰ τεσσάρων","?")))))</f>
        <v>—</v>
      </c>
      <c r="K732" s="10"/>
      <c r="L732" s="14"/>
      <c r="M732" s="13"/>
    </row>
    <row r="733" customFormat="false" ht="15.75" hidden="false" customHeight="true" outlineLevel="0" collapsed="false">
      <c r="A733" s="8" t="n">
        <f aca="false">A732+1</f>
        <v>731</v>
      </c>
      <c r="B733" s="9" t="n">
        <f aca="false">MOD(4*A733^2,10)</f>
        <v>4</v>
      </c>
      <c r="C733" s="9" t="n">
        <f aca="false">(26*B733-5*B733^2)/24</f>
        <v>1</v>
      </c>
      <c r="D733" s="9" t="n">
        <f aca="false">(A733^2+4*C733)/5</f>
        <v>106873</v>
      </c>
      <c r="E733" s="9" t="n">
        <f aca="false">MOD(D733,10)</f>
        <v>3</v>
      </c>
      <c r="F733" s="9" t="n">
        <f aca="false">2*D733</f>
        <v>213746</v>
      </c>
      <c r="G733" s="9" t="n">
        <f aca="false">MOD(F733,10)</f>
        <v>6</v>
      </c>
      <c r="H733" s="9" t="n">
        <f aca="false">G733/2</f>
        <v>3</v>
      </c>
      <c r="I733" s="9" t="str">
        <f aca="false">IF(H733=0,"—",IF(H733=1,"unison (1:1)",IF(H733=2,"octave (2:1)",IF(H733=3,"fifth (3:2)",IF(H733=4,"fourth (4:3)","?")))))</f>
        <v>fifth (3:2)</v>
      </c>
      <c r="J733" s="9" t="str">
        <f aca="false">IF(H733=0,"—",IF(H733=1,"ὁμώνυμον",IF(H733=2,"διὰ πασῶν",IF(H733=3,"διὰ πέντε",IF(H733=4,"διὰ τεσσάρων","?")))))</f>
        <v>διὰ πέντε</v>
      </c>
      <c r="K733" s="10"/>
      <c r="L733" s="14"/>
      <c r="M733" s="13"/>
    </row>
    <row r="734" customFormat="false" ht="15.75" hidden="false" customHeight="true" outlineLevel="0" collapsed="false">
      <c r="A734" s="8" t="n">
        <f aca="false">A733+1</f>
        <v>732</v>
      </c>
      <c r="B734" s="9" t="n">
        <f aca="false">MOD(4*A734^2,10)</f>
        <v>6</v>
      </c>
      <c r="C734" s="9" t="n">
        <f aca="false">(26*B734-5*B734^2)/24</f>
        <v>-1</v>
      </c>
      <c r="D734" s="9" t="n">
        <f aca="false">(A734^2+4*C734)/5</f>
        <v>107164</v>
      </c>
      <c r="E734" s="9" t="n">
        <f aca="false">MOD(D734,10)</f>
        <v>4</v>
      </c>
      <c r="F734" s="9" t="n">
        <f aca="false">2*D734</f>
        <v>214328</v>
      </c>
      <c r="G734" s="9" t="n">
        <f aca="false">MOD(F734,10)</f>
        <v>8</v>
      </c>
      <c r="H734" s="9" t="n">
        <f aca="false">G734/2</f>
        <v>4</v>
      </c>
      <c r="I734" s="9" t="str">
        <f aca="false">IF(H734=0,"—",IF(H734=1,"unison (1:1)",IF(H734=2,"octave (2:1)",IF(H734=3,"fifth (3:2)",IF(H734=4,"fourth (4:3)","?")))))</f>
        <v>fourth (4:3)</v>
      </c>
      <c r="J734" s="9" t="str">
        <f aca="false">IF(H734=0,"—",IF(H734=1,"ὁμώνυμον",IF(H734=2,"διὰ πασῶν",IF(H734=3,"διὰ πέντε",IF(H734=4,"διὰ τεσσάρων","?")))))</f>
        <v>διὰ τεσσάρων</v>
      </c>
      <c r="K734" s="10"/>
      <c r="L734" s="14"/>
      <c r="M734" s="13"/>
    </row>
    <row r="735" customFormat="false" ht="15.75" hidden="false" customHeight="true" outlineLevel="0" collapsed="false">
      <c r="A735" s="8" t="n">
        <f aca="false">A734+1</f>
        <v>733</v>
      </c>
      <c r="B735" s="9" t="n">
        <f aca="false">MOD(4*A735^2,10)</f>
        <v>6</v>
      </c>
      <c r="C735" s="9" t="n">
        <f aca="false">(26*B735-5*B735^2)/24</f>
        <v>-1</v>
      </c>
      <c r="D735" s="9" t="n">
        <f aca="false">(A735^2+4*C735)/5</f>
        <v>107457</v>
      </c>
      <c r="E735" s="9" t="n">
        <f aca="false">MOD(D735,10)</f>
        <v>7</v>
      </c>
      <c r="F735" s="9" t="n">
        <f aca="false">2*D735</f>
        <v>214914</v>
      </c>
      <c r="G735" s="9" t="n">
        <f aca="false">MOD(F735,10)</f>
        <v>4</v>
      </c>
      <c r="H735" s="9" t="n">
        <f aca="false">G735/2</f>
        <v>2</v>
      </c>
      <c r="I735" s="9" t="str">
        <f aca="false">IF(H735=0,"—",IF(H735=1,"unison (1:1)",IF(H735=2,"octave (2:1)",IF(H735=3,"fifth (3:2)",IF(H735=4,"fourth (4:3)","?")))))</f>
        <v>octave (2:1)</v>
      </c>
      <c r="J735" s="9" t="str">
        <f aca="false">IF(H735=0,"—",IF(H735=1,"ὁμώνυμον",IF(H735=2,"διὰ πασῶν",IF(H735=3,"διὰ πέντε",IF(H735=4,"διὰ τεσσάρων","?")))))</f>
        <v>διὰ πασῶν</v>
      </c>
      <c r="K735" s="10"/>
      <c r="L735" s="14"/>
      <c r="M735" s="13"/>
    </row>
    <row r="736" customFormat="false" ht="15.75" hidden="false" customHeight="true" outlineLevel="0" collapsed="false">
      <c r="A736" s="8" t="n">
        <f aca="false">A735+1</f>
        <v>734</v>
      </c>
      <c r="B736" s="9" t="n">
        <f aca="false">MOD(4*A736^2,10)</f>
        <v>4</v>
      </c>
      <c r="C736" s="9" t="n">
        <f aca="false">(26*B736-5*B736^2)/24</f>
        <v>1</v>
      </c>
      <c r="D736" s="9" t="n">
        <f aca="false">(A736^2+4*C736)/5</f>
        <v>107752</v>
      </c>
      <c r="E736" s="9" t="n">
        <f aca="false">MOD(D736,10)</f>
        <v>2</v>
      </c>
      <c r="F736" s="9" t="n">
        <f aca="false">2*D736</f>
        <v>215504</v>
      </c>
      <c r="G736" s="9" t="n">
        <f aca="false">MOD(F736,10)</f>
        <v>4</v>
      </c>
      <c r="H736" s="9" t="n">
        <f aca="false">G736/2</f>
        <v>2</v>
      </c>
      <c r="I736" s="9" t="str">
        <f aca="false">IF(H736=0,"—",IF(H736=1,"unison (1:1)",IF(H736=2,"octave (2:1)",IF(H736=3,"fifth (3:2)",IF(H736=4,"fourth (4:3)","?")))))</f>
        <v>octave (2:1)</v>
      </c>
      <c r="J736" s="9" t="str">
        <f aca="false">IF(H736=0,"—",IF(H736=1,"ὁμώνυμον",IF(H736=2,"διὰ πασῶν",IF(H736=3,"διὰ πέντε",IF(H736=4,"διὰ τεσσάρων","?")))))</f>
        <v>διὰ πασῶν</v>
      </c>
      <c r="K736" s="10"/>
      <c r="L736" s="14"/>
      <c r="M736" s="13"/>
    </row>
    <row r="737" customFormat="false" ht="15.75" hidden="false" customHeight="true" outlineLevel="0" collapsed="false">
      <c r="A737" s="8" t="n">
        <f aca="false">A736+1</f>
        <v>735</v>
      </c>
      <c r="B737" s="9" t="n">
        <f aca="false">MOD(4*A737^2,10)</f>
        <v>0</v>
      </c>
      <c r="C737" s="9" t="n">
        <f aca="false">(26*B737-5*B737^2)/24</f>
        <v>0</v>
      </c>
      <c r="D737" s="9" t="n">
        <f aca="false">(A737^2+4*C737)/5</f>
        <v>108045</v>
      </c>
      <c r="E737" s="9" t="n">
        <f aca="false">MOD(D737,10)</f>
        <v>5</v>
      </c>
      <c r="F737" s="9" t="n">
        <f aca="false">2*D737</f>
        <v>216090</v>
      </c>
      <c r="G737" s="9" t="n">
        <f aca="false">MOD(F737,10)</f>
        <v>0</v>
      </c>
      <c r="H737" s="9" t="n">
        <f aca="false">G737/2</f>
        <v>0</v>
      </c>
      <c r="I737" s="9" t="str">
        <f aca="false">IF(H737=0,"—",IF(H737=1,"unison (1:1)",IF(H737=2,"octave (2:1)",IF(H737=3,"fifth (3:2)",IF(H737=4,"fourth (4:3)","?")))))</f>
        <v>—</v>
      </c>
      <c r="J737" s="9" t="str">
        <f aca="false">IF(H737=0,"—",IF(H737=1,"ὁμώνυμον",IF(H737=2,"διὰ πασῶν",IF(H737=3,"διὰ πέντε",IF(H737=4,"διὰ τεσσάρων","?")))))</f>
        <v>—</v>
      </c>
      <c r="K737" s="10"/>
      <c r="L737" s="14"/>
      <c r="M737" s="13"/>
    </row>
    <row r="738" customFormat="false" ht="15.75" hidden="false" customHeight="true" outlineLevel="0" collapsed="false">
      <c r="A738" s="8" t="n">
        <f aca="false">A737+1</f>
        <v>736</v>
      </c>
      <c r="B738" s="9" t="n">
        <f aca="false">MOD(4*A738^2,10)</f>
        <v>4</v>
      </c>
      <c r="C738" s="9" t="n">
        <f aca="false">(26*B738-5*B738^2)/24</f>
        <v>1</v>
      </c>
      <c r="D738" s="9" t="n">
        <f aca="false">(A738^2+4*C738)/5</f>
        <v>108340</v>
      </c>
      <c r="E738" s="9" t="n">
        <f aca="false">MOD(D738,10)</f>
        <v>0</v>
      </c>
      <c r="F738" s="9" t="n">
        <f aca="false">2*D738</f>
        <v>216680</v>
      </c>
      <c r="G738" s="9" t="n">
        <f aca="false">MOD(F738,10)</f>
        <v>0</v>
      </c>
      <c r="H738" s="9" t="n">
        <f aca="false">G738/2</f>
        <v>0</v>
      </c>
      <c r="I738" s="9" t="str">
        <f aca="false">IF(H738=0,"—",IF(H738=1,"unison (1:1)",IF(H738=2,"octave (2:1)",IF(H738=3,"fifth (3:2)",IF(H738=4,"fourth (4:3)","?")))))</f>
        <v>—</v>
      </c>
      <c r="J738" s="9" t="str">
        <f aca="false">IF(H738=0,"—",IF(H738=1,"ὁμώνυμον",IF(H738=2,"διὰ πασῶν",IF(H738=3,"διὰ πέντε",IF(H738=4,"διὰ τεσσάρων","?")))))</f>
        <v>—</v>
      </c>
      <c r="K738" s="10"/>
      <c r="L738" s="14"/>
      <c r="M738" s="13"/>
    </row>
    <row r="739" customFormat="false" ht="15.75" hidden="false" customHeight="true" outlineLevel="0" collapsed="false">
      <c r="A739" s="8" t="n">
        <f aca="false">A738+1</f>
        <v>737</v>
      </c>
      <c r="B739" s="9" t="n">
        <f aca="false">MOD(4*A739^2,10)</f>
        <v>6</v>
      </c>
      <c r="C739" s="9" t="n">
        <f aca="false">(26*B739-5*B739^2)/24</f>
        <v>-1</v>
      </c>
      <c r="D739" s="9" t="n">
        <f aca="false">(A739^2+4*C739)/5</f>
        <v>108633</v>
      </c>
      <c r="E739" s="9" t="n">
        <f aca="false">MOD(D739,10)</f>
        <v>3</v>
      </c>
      <c r="F739" s="9" t="n">
        <f aca="false">2*D739</f>
        <v>217266</v>
      </c>
      <c r="G739" s="9" t="n">
        <f aca="false">MOD(F739,10)</f>
        <v>6</v>
      </c>
      <c r="H739" s="9" t="n">
        <f aca="false">G739/2</f>
        <v>3</v>
      </c>
      <c r="I739" s="9" t="str">
        <f aca="false">IF(H739=0,"—",IF(H739=1,"unison (1:1)",IF(H739=2,"octave (2:1)",IF(H739=3,"fifth (3:2)",IF(H739=4,"fourth (4:3)","?")))))</f>
        <v>fifth (3:2)</v>
      </c>
      <c r="J739" s="9" t="str">
        <f aca="false">IF(H739=0,"—",IF(H739=1,"ὁμώνυμον",IF(H739=2,"διὰ πασῶν",IF(H739=3,"διὰ πέντε",IF(H739=4,"διὰ τεσσάρων","?")))))</f>
        <v>διὰ πέντε</v>
      </c>
      <c r="K739" s="10"/>
      <c r="L739" s="14"/>
      <c r="M739" s="13"/>
    </row>
    <row r="740" customFormat="false" ht="15.75" hidden="false" customHeight="true" outlineLevel="0" collapsed="false">
      <c r="A740" s="8" t="n">
        <f aca="false">A739+1</f>
        <v>738</v>
      </c>
      <c r="B740" s="9" t="n">
        <f aca="false">MOD(4*A740^2,10)</f>
        <v>6</v>
      </c>
      <c r="C740" s="9" t="n">
        <f aca="false">(26*B740-5*B740^2)/24</f>
        <v>-1</v>
      </c>
      <c r="D740" s="9" t="n">
        <f aca="false">(A740^2+4*C740)/5</f>
        <v>108928</v>
      </c>
      <c r="E740" s="9" t="n">
        <f aca="false">MOD(D740,10)</f>
        <v>8</v>
      </c>
      <c r="F740" s="9" t="n">
        <f aca="false">2*D740</f>
        <v>217856</v>
      </c>
      <c r="G740" s="9" t="n">
        <f aca="false">MOD(F740,10)</f>
        <v>6</v>
      </c>
      <c r="H740" s="9" t="n">
        <f aca="false">G740/2</f>
        <v>3</v>
      </c>
      <c r="I740" s="9" t="str">
        <f aca="false">IF(H740=0,"—",IF(H740=1,"unison (1:1)",IF(H740=2,"octave (2:1)",IF(H740=3,"fifth (3:2)",IF(H740=4,"fourth (4:3)","?")))))</f>
        <v>fifth (3:2)</v>
      </c>
      <c r="J740" s="9" t="str">
        <f aca="false">IF(H740=0,"—",IF(H740=1,"ὁμώνυμον",IF(H740=2,"διὰ πασῶν",IF(H740=3,"διὰ πέντε",IF(H740=4,"διὰ τεσσάρων","?")))))</f>
        <v>διὰ πέντε</v>
      </c>
      <c r="K740" s="10"/>
      <c r="L740" s="14"/>
      <c r="M740" s="13"/>
    </row>
    <row r="741" customFormat="false" ht="15.75" hidden="false" customHeight="true" outlineLevel="0" collapsed="false">
      <c r="A741" s="8" t="n">
        <f aca="false">A740+1</f>
        <v>739</v>
      </c>
      <c r="B741" s="9" t="n">
        <f aca="false">MOD(4*A741^2,10)</f>
        <v>4</v>
      </c>
      <c r="C741" s="9" t="n">
        <f aca="false">(26*B741-5*B741^2)/24</f>
        <v>1</v>
      </c>
      <c r="D741" s="9" t="n">
        <f aca="false">(A741^2+4*C741)/5</f>
        <v>109225</v>
      </c>
      <c r="E741" s="9" t="n">
        <f aca="false">MOD(D741,10)</f>
        <v>5</v>
      </c>
      <c r="F741" s="9" t="n">
        <f aca="false">2*D741</f>
        <v>218450</v>
      </c>
      <c r="G741" s="9" t="n">
        <f aca="false">MOD(F741,10)</f>
        <v>0</v>
      </c>
      <c r="H741" s="9" t="n">
        <f aca="false">G741/2</f>
        <v>0</v>
      </c>
      <c r="I741" s="9" t="str">
        <f aca="false">IF(H741=0,"—",IF(H741=1,"unison (1:1)",IF(H741=2,"octave (2:1)",IF(H741=3,"fifth (3:2)",IF(H741=4,"fourth (4:3)","?")))))</f>
        <v>—</v>
      </c>
      <c r="J741" s="9" t="str">
        <f aca="false">IF(H741=0,"—",IF(H741=1,"ὁμώνυμον",IF(H741=2,"διὰ πασῶν",IF(H741=3,"διὰ πέντε",IF(H741=4,"διὰ τεσσάρων","?")))))</f>
        <v>—</v>
      </c>
      <c r="K741" s="10"/>
      <c r="L741" s="14"/>
      <c r="M741" s="13"/>
    </row>
    <row r="742" customFormat="false" ht="15.75" hidden="false" customHeight="true" outlineLevel="0" collapsed="false">
      <c r="A742" s="8" t="n">
        <f aca="false">A741+1</f>
        <v>740</v>
      </c>
      <c r="B742" s="9" t="n">
        <f aca="false">MOD(4*A742^2,10)</f>
        <v>0</v>
      </c>
      <c r="C742" s="9" t="n">
        <f aca="false">(26*B742-5*B742^2)/24</f>
        <v>0</v>
      </c>
      <c r="D742" s="9" t="n">
        <f aca="false">(A742^2+4*C742)/5</f>
        <v>109520</v>
      </c>
      <c r="E742" s="9" t="n">
        <f aca="false">MOD(D742,10)</f>
        <v>0</v>
      </c>
      <c r="F742" s="9" t="n">
        <f aca="false">2*D742</f>
        <v>219040</v>
      </c>
      <c r="G742" s="9" t="n">
        <f aca="false">MOD(F742,10)</f>
        <v>0</v>
      </c>
      <c r="H742" s="9" t="n">
        <f aca="false">G742/2</f>
        <v>0</v>
      </c>
      <c r="I742" s="9" t="str">
        <f aca="false">IF(H742=0,"—",IF(H742=1,"unison (1:1)",IF(H742=2,"octave (2:1)",IF(H742=3,"fifth (3:2)",IF(H742=4,"fourth (4:3)","?")))))</f>
        <v>—</v>
      </c>
      <c r="J742" s="9" t="str">
        <f aca="false">IF(H742=0,"—",IF(H742=1,"ὁμώνυμον",IF(H742=2,"διὰ πασῶν",IF(H742=3,"διὰ πέντε",IF(H742=4,"διὰ τεσσάρων","?")))))</f>
        <v>—</v>
      </c>
      <c r="K742" s="10"/>
      <c r="L742" s="14"/>
      <c r="M742" s="13"/>
    </row>
    <row r="743" customFormat="false" ht="15.75" hidden="false" customHeight="true" outlineLevel="0" collapsed="false">
      <c r="A743" s="8" t="n">
        <f aca="false">A742+1</f>
        <v>741</v>
      </c>
      <c r="B743" s="9" t="n">
        <f aca="false">MOD(4*A743^2,10)</f>
        <v>4</v>
      </c>
      <c r="C743" s="9" t="n">
        <f aca="false">(26*B743-5*B743^2)/24</f>
        <v>1</v>
      </c>
      <c r="D743" s="9" t="n">
        <f aca="false">(A743^2+4*C743)/5</f>
        <v>109817</v>
      </c>
      <c r="E743" s="9" t="n">
        <f aca="false">MOD(D743,10)</f>
        <v>7</v>
      </c>
      <c r="F743" s="9" t="n">
        <f aca="false">2*D743</f>
        <v>219634</v>
      </c>
      <c r="G743" s="9" t="n">
        <f aca="false">MOD(F743,10)</f>
        <v>4</v>
      </c>
      <c r="H743" s="9" t="n">
        <f aca="false">G743/2</f>
        <v>2</v>
      </c>
      <c r="I743" s="9" t="str">
        <f aca="false">IF(H743=0,"—",IF(H743=1,"unison (1:1)",IF(H743=2,"octave (2:1)",IF(H743=3,"fifth (3:2)",IF(H743=4,"fourth (4:3)","?")))))</f>
        <v>octave (2:1)</v>
      </c>
      <c r="J743" s="9" t="str">
        <f aca="false">IF(H743=0,"—",IF(H743=1,"ὁμώνυμον",IF(H743=2,"διὰ πασῶν",IF(H743=3,"διὰ πέντε",IF(H743=4,"διὰ τεσσάρων","?")))))</f>
        <v>διὰ πασῶν</v>
      </c>
      <c r="K743" s="10"/>
      <c r="L743" s="14"/>
      <c r="M743" s="13"/>
    </row>
    <row r="744" customFormat="false" ht="15.75" hidden="false" customHeight="true" outlineLevel="0" collapsed="false">
      <c r="A744" s="8" t="n">
        <f aca="false">A743+1</f>
        <v>742</v>
      </c>
      <c r="B744" s="9" t="n">
        <f aca="false">MOD(4*A744^2,10)</f>
        <v>6</v>
      </c>
      <c r="C744" s="9" t="n">
        <f aca="false">(26*B744-5*B744^2)/24</f>
        <v>-1</v>
      </c>
      <c r="D744" s="9" t="n">
        <f aca="false">(A744^2+4*C744)/5</f>
        <v>110112</v>
      </c>
      <c r="E744" s="9" t="n">
        <f aca="false">MOD(D744,10)</f>
        <v>2</v>
      </c>
      <c r="F744" s="9" t="n">
        <f aca="false">2*D744</f>
        <v>220224</v>
      </c>
      <c r="G744" s="9" t="n">
        <f aca="false">MOD(F744,10)</f>
        <v>4</v>
      </c>
      <c r="H744" s="9" t="n">
        <f aca="false">G744/2</f>
        <v>2</v>
      </c>
      <c r="I744" s="9" t="str">
        <f aca="false">IF(H744=0,"—",IF(H744=1,"unison (1:1)",IF(H744=2,"octave (2:1)",IF(H744=3,"fifth (3:2)",IF(H744=4,"fourth (4:3)","?")))))</f>
        <v>octave (2:1)</v>
      </c>
      <c r="J744" s="9" t="str">
        <f aca="false">IF(H744=0,"—",IF(H744=1,"ὁμώνυμον",IF(H744=2,"διὰ πασῶν",IF(H744=3,"διὰ πέντε",IF(H744=4,"διὰ τεσσάρων","?")))))</f>
        <v>διὰ πασῶν</v>
      </c>
      <c r="K744" s="10"/>
      <c r="L744" s="14"/>
      <c r="M744" s="13"/>
    </row>
    <row r="745" customFormat="false" ht="15.75" hidden="false" customHeight="true" outlineLevel="0" collapsed="false">
      <c r="A745" s="8" t="n">
        <f aca="false">A744+1</f>
        <v>743</v>
      </c>
      <c r="B745" s="9" t="n">
        <f aca="false">MOD(4*A745^2,10)</f>
        <v>6</v>
      </c>
      <c r="C745" s="9" t="n">
        <f aca="false">(26*B745-5*B745^2)/24</f>
        <v>-1</v>
      </c>
      <c r="D745" s="9" t="n">
        <f aca="false">(A745^2+4*C745)/5</f>
        <v>110409</v>
      </c>
      <c r="E745" s="9" t="n">
        <f aca="false">MOD(D745,10)</f>
        <v>9</v>
      </c>
      <c r="F745" s="9" t="n">
        <f aca="false">2*D745</f>
        <v>220818</v>
      </c>
      <c r="G745" s="9" t="n">
        <f aca="false">MOD(F745,10)</f>
        <v>8</v>
      </c>
      <c r="H745" s="9" t="n">
        <f aca="false">G745/2</f>
        <v>4</v>
      </c>
      <c r="I745" s="9" t="str">
        <f aca="false">IF(H745=0,"—",IF(H745=1,"unison (1:1)",IF(H745=2,"octave (2:1)",IF(H745=3,"fifth (3:2)",IF(H745=4,"fourth (4:3)","?")))))</f>
        <v>fourth (4:3)</v>
      </c>
      <c r="J745" s="9" t="str">
        <f aca="false">IF(H745=0,"—",IF(H745=1,"ὁμώνυμον",IF(H745=2,"διὰ πασῶν",IF(H745=3,"διὰ πέντε",IF(H745=4,"διὰ τεσσάρων","?")))))</f>
        <v>διὰ τεσσάρων</v>
      </c>
      <c r="K745" s="10"/>
      <c r="L745" s="14"/>
      <c r="M745" s="13"/>
    </row>
    <row r="746" customFormat="false" ht="15.75" hidden="false" customHeight="true" outlineLevel="0" collapsed="false">
      <c r="A746" s="8" t="n">
        <f aca="false">A745+1</f>
        <v>744</v>
      </c>
      <c r="B746" s="9" t="n">
        <f aca="false">MOD(4*A746^2,10)</f>
        <v>4</v>
      </c>
      <c r="C746" s="9" t="n">
        <f aca="false">(26*B746-5*B746^2)/24</f>
        <v>1</v>
      </c>
      <c r="D746" s="9" t="n">
        <f aca="false">(A746^2+4*C746)/5</f>
        <v>110708</v>
      </c>
      <c r="E746" s="9" t="n">
        <f aca="false">MOD(D746,10)</f>
        <v>8</v>
      </c>
      <c r="F746" s="9" t="n">
        <f aca="false">2*D746</f>
        <v>221416</v>
      </c>
      <c r="G746" s="9" t="n">
        <f aca="false">MOD(F746,10)</f>
        <v>6</v>
      </c>
      <c r="H746" s="9" t="n">
        <f aca="false">G746/2</f>
        <v>3</v>
      </c>
      <c r="I746" s="9" t="str">
        <f aca="false">IF(H746=0,"—",IF(H746=1,"unison (1:1)",IF(H746=2,"octave (2:1)",IF(H746=3,"fifth (3:2)",IF(H746=4,"fourth (4:3)","?")))))</f>
        <v>fifth (3:2)</v>
      </c>
      <c r="J746" s="9" t="str">
        <f aca="false">IF(H746=0,"—",IF(H746=1,"ὁμώνυμον",IF(H746=2,"διὰ πασῶν",IF(H746=3,"διὰ πέντε",IF(H746=4,"διὰ τεσσάρων","?")))))</f>
        <v>διὰ πέντε</v>
      </c>
      <c r="K746" s="10"/>
      <c r="L746" s="14"/>
      <c r="M746" s="13"/>
    </row>
    <row r="747" customFormat="false" ht="15.75" hidden="false" customHeight="true" outlineLevel="0" collapsed="false">
      <c r="A747" s="8" t="n">
        <f aca="false">A746+1</f>
        <v>745</v>
      </c>
      <c r="B747" s="9" t="n">
        <f aca="false">MOD(4*A747^2,10)</f>
        <v>0</v>
      </c>
      <c r="C747" s="9" t="n">
        <f aca="false">(26*B747-5*B747^2)/24</f>
        <v>0</v>
      </c>
      <c r="D747" s="9" t="n">
        <f aca="false">(A747^2+4*C747)/5</f>
        <v>111005</v>
      </c>
      <c r="E747" s="9" t="n">
        <f aca="false">MOD(D747,10)</f>
        <v>5</v>
      </c>
      <c r="F747" s="9" t="n">
        <f aca="false">2*D747</f>
        <v>222010</v>
      </c>
      <c r="G747" s="9" t="n">
        <f aca="false">MOD(F747,10)</f>
        <v>0</v>
      </c>
      <c r="H747" s="9" t="n">
        <f aca="false">G747/2</f>
        <v>0</v>
      </c>
      <c r="I747" s="9" t="str">
        <f aca="false">IF(H747=0,"—",IF(H747=1,"unison (1:1)",IF(H747=2,"octave (2:1)",IF(H747=3,"fifth (3:2)",IF(H747=4,"fourth (4:3)","?")))))</f>
        <v>—</v>
      </c>
      <c r="J747" s="9" t="str">
        <f aca="false">IF(H747=0,"—",IF(H747=1,"ὁμώνυμον",IF(H747=2,"διὰ πασῶν",IF(H747=3,"διὰ πέντε",IF(H747=4,"διὰ τεσσάρων","?")))))</f>
        <v>—</v>
      </c>
      <c r="K747" s="10"/>
      <c r="L747" s="14"/>
      <c r="M747" s="13"/>
    </row>
    <row r="748" customFormat="false" ht="15.75" hidden="false" customHeight="true" outlineLevel="0" collapsed="false">
      <c r="A748" s="8" t="n">
        <f aca="false">A747+1</f>
        <v>746</v>
      </c>
      <c r="B748" s="9" t="n">
        <f aca="false">MOD(4*A748^2,10)</f>
        <v>4</v>
      </c>
      <c r="C748" s="9" t="n">
        <f aca="false">(26*B748-5*B748^2)/24</f>
        <v>1</v>
      </c>
      <c r="D748" s="9" t="n">
        <f aca="false">(A748^2+4*C748)/5</f>
        <v>111304</v>
      </c>
      <c r="E748" s="9" t="n">
        <f aca="false">MOD(D748,10)</f>
        <v>4</v>
      </c>
      <c r="F748" s="9" t="n">
        <f aca="false">2*D748</f>
        <v>222608</v>
      </c>
      <c r="G748" s="9" t="n">
        <f aca="false">MOD(F748,10)</f>
        <v>8</v>
      </c>
      <c r="H748" s="9" t="n">
        <f aca="false">G748/2</f>
        <v>4</v>
      </c>
      <c r="I748" s="9" t="str">
        <f aca="false">IF(H748=0,"—",IF(H748=1,"unison (1:1)",IF(H748=2,"octave (2:1)",IF(H748=3,"fifth (3:2)",IF(H748=4,"fourth (4:3)","?")))))</f>
        <v>fourth (4:3)</v>
      </c>
      <c r="J748" s="9" t="str">
        <f aca="false">IF(H748=0,"—",IF(H748=1,"ὁμώνυμον",IF(H748=2,"διὰ πασῶν",IF(H748=3,"διὰ πέντε",IF(H748=4,"διὰ τεσσάρων","?")))))</f>
        <v>διὰ τεσσάρων</v>
      </c>
      <c r="K748" s="10"/>
      <c r="L748" s="14"/>
      <c r="M748" s="13"/>
    </row>
    <row r="749" customFormat="false" ht="15.75" hidden="false" customHeight="true" outlineLevel="0" collapsed="false">
      <c r="A749" s="8" t="n">
        <f aca="false">A748+1</f>
        <v>747</v>
      </c>
      <c r="B749" s="9" t="n">
        <f aca="false">MOD(4*A749^2,10)</f>
        <v>6</v>
      </c>
      <c r="C749" s="9" t="n">
        <f aca="false">(26*B749-5*B749^2)/24</f>
        <v>-1</v>
      </c>
      <c r="D749" s="9" t="n">
        <f aca="false">(A749^2+4*C749)/5</f>
        <v>111601</v>
      </c>
      <c r="E749" s="9" t="n">
        <f aca="false">MOD(D749,10)</f>
        <v>1</v>
      </c>
      <c r="F749" s="9" t="n">
        <f aca="false">2*D749</f>
        <v>223202</v>
      </c>
      <c r="G749" s="9" t="n">
        <f aca="false">MOD(F749,10)</f>
        <v>2</v>
      </c>
      <c r="H749" s="9" t="n">
        <f aca="false">G749/2</f>
        <v>1</v>
      </c>
      <c r="I749" s="9" t="str">
        <f aca="false">IF(H749=0,"—",IF(H749=1,"unison (1:1)",IF(H749=2,"octave (2:1)",IF(H749=3,"fifth (3:2)",IF(H749=4,"fourth (4:3)","?")))))</f>
        <v>unison (1:1)</v>
      </c>
      <c r="J749" s="9" t="str">
        <f aca="false">IF(H749=0,"—",IF(H749=1,"ὁμώνυμον",IF(H749=2,"διὰ πασῶν",IF(H749=3,"διὰ πέντε",IF(H749=4,"διὰ τεσσάρων","?")))))</f>
        <v>ὁμώνυμον</v>
      </c>
      <c r="K749" s="10"/>
      <c r="L749" s="14"/>
      <c r="M749" s="13"/>
    </row>
    <row r="750" customFormat="false" ht="15.75" hidden="false" customHeight="true" outlineLevel="0" collapsed="false">
      <c r="A750" s="8" t="n">
        <f aca="false">A749+1</f>
        <v>748</v>
      </c>
      <c r="B750" s="9" t="n">
        <f aca="false">MOD(4*A750^2,10)</f>
        <v>6</v>
      </c>
      <c r="C750" s="9" t="n">
        <f aca="false">(26*B750-5*B750^2)/24</f>
        <v>-1</v>
      </c>
      <c r="D750" s="9" t="n">
        <f aca="false">(A750^2+4*C750)/5</f>
        <v>111900</v>
      </c>
      <c r="E750" s="9" t="n">
        <f aca="false">MOD(D750,10)</f>
        <v>0</v>
      </c>
      <c r="F750" s="9" t="n">
        <f aca="false">2*D750</f>
        <v>223800</v>
      </c>
      <c r="G750" s="9" t="n">
        <f aca="false">MOD(F750,10)</f>
        <v>0</v>
      </c>
      <c r="H750" s="9" t="n">
        <f aca="false">G750/2</f>
        <v>0</v>
      </c>
      <c r="I750" s="9" t="str">
        <f aca="false">IF(H750=0,"—",IF(H750=1,"unison (1:1)",IF(H750=2,"octave (2:1)",IF(H750=3,"fifth (3:2)",IF(H750=4,"fourth (4:3)","?")))))</f>
        <v>—</v>
      </c>
      <c r="J750" s="9" t="str">
        <f aca="false">IF(H750=0,"—",IF(H750=1,"ὁμώνυμον",IF(H750=2,"διὰ πασῶν",IF(H750=3,"διὰ πέντε",IF(H750=4,"διὰ τεσσάρων","?")))))</f>
        <v>—</v>
      </c>
      <c r="K750" s="10"/>
      <c r="L750" s="14"/>
      <c r="M750" s="13"/>
    </row>
    <row r="751" customFormat="false" ht="15.75" hidden="false" customHeight="true" outlineLevel="0" collapsed="false">
      <c r="A751" s="8" t="n">
        <f aca="false">A750+1</f>
        <v>749</v>
      </c>
      <c r="B751" s="9" t="n">
        <f aca="false">MOD(4*A751^2,10)</f>
        <v>4</v>
      </c>
      <c r="C751" s="9" t="n">
        <f aca="false">(26*B751-5*B751^2)/24</f>
        <v>1</v>
      </c>
      <c r="D751" s="9" t="n">
        <f aca="false">(A751^2+4*C751)/5</f>
        <v>112201</v>
      </c>
      <c r="E751" s="9" t="n">
        <f aca="false">MOD(D751,10)</f>
        <v>1</v>
      </c>
      <c r="F751" s="9" t="n">
        <f aca="false">2*D751</f>
        <v>224402</v>
      </c>
      <c r="G751" s="9" t="n">
        <f aca="false">MOD(F751,10)</f>
        <v>2</v>
      </c>
      <c r="H751" s="9" t="n">
        <f aca="false">G751/2</f>
        <v>1</v>
      </c>
      <c r="I751" s="9" t="str">
        <f aca="false">IF(H751=0,"—",IF(H751=1,"unison (1:1)",IF(H751=2,"octave (2:1)",IF(H751=3,"fifth (3:2)",IF(H751=4,"fourth (4:3)","?")))))</f>
        <v>unison (1:1)</v>
      </c>
      <c r="J751" s="9" t="str">
        <f aca="false">IF(H751=0,"—",IF(H751=1,"ὁμώνυμον",IF(H751=2,"διὰ πασῶν",IF(H751=3,"διὰ πέντε",IF(H751=4,"διὰ τεσσάρων","?")))))</f>
        <v>ὁμώνυμον</v>
      </c>
      <c r="K751" s="10"/>
      <c r="L751" s="14"/>
      <c r="M751" s="13"/>
    </row>
    <row r="752" customFormat="false" ht="15.75" hidden="false" customHeight="true" outlineLevel="0" collapsed="false">
      <c r="A752" s="8" t="n">
        <f aca="false">A751+1</f>
        <v>750</v>
      </c>
      <c r="B752" s="9" t="n">
        <f aca="false">MOD(4*A752^2,10)</f>
        <v>0</v>
      </c>
      <c r="C752" s="9" t="n">
        <f aca="false">(26*B752-5*B752^2)/24</f>
        <v>0</v>
      </c>
      <c r="D752" s="9" t="n">
        <f aca="false">(A752^2+4*C752)/5</f>
        <v>112500</v>
      </c>
      <c r="E752" s="9" t="n">
        <f aca="false">MOD(D752,10)</f>
        <v>0</v>
      </c>
      <c r="F752" s="9" t="n">
        <f aca="false">2*D752</f>
        <v>225000</v>
      </c>
      <c r="G752" s="9" t="n">
        <f aca="false">MOD(F752,10)</f>
        <v>0</v>
      </c>
      <c r="H752" s="9" t="n">
        <f aca="false">G752/2</f>
        <v>0</v>
      </c>
      <c r="I752" s="9" t="str">
        <f aca="false">IF(H752=0,"—",IF(H752=1,"unison (1:1)",IF(H752=2,"octave (2:1)",IF(H752=3,"fifth (3:2)",IF(H752=4,"fourth (4:3)","?")))))</f>
        <v>—</v>
      </c>
      <c r="J752" s="9" t="str">
        <f aca="false">IF(H752=0,"—",IF(H752=1,"ὁμώνυμον",IF(H752=2,"διὰ πασῶν",IF(H752=3,"διὰ πέντε",IF(H752=4,"διὰ τεσσάρων","?")))))</f>
        <v>—</v>
      </c>
      <c r="K752" s="10"/>
      <c r="L752" s="14"/>
      <c r="M752" s="13"/>
    </row>
    <row r="753" customFormat="false" ht="15.75" hidden="false" customHeight="true" outlineLevel="0" collapsed="false">
      <c r="A753" s="8" t="n">
        <f aca="false">A752+1</f>
        <v>751</v>
      </c>
      <c r="B753" s="9" t="n">
        <f aca="false">MOD(4*A753^2,10)</f>
        <v>4</v>
      </c>
      <c r="C753" s="9" t="n">
        <f aca="false">(26*B753-5*B753^2)/24</f>
        <v>1</v>
      </c>
      <c r="D753" s="9" t="n">
        <f aca="false">(A753^2+4*C753)/5</f>
        <v>112801</v>
      </c>
      <c r="E753" s="9" t="n">
        <f aca="false">MOD(D753,10)</f>
        <v>1</v>
      </c>
      <c r="F753" s="9" t="n">
        <f aca="false">2*D753</f>
        <v>225602</v>
      </c>
      <c r="G753" s="9" t="n">
        <f aca="false">MOD(F753,10)</f>
        <v>2</v>
      </c>
      <c r="H753" s="9" t="n">
        <f aca="false">G753/2</f>
        <v>1</v>
      </c>
      <c r="I753" s="9" t="str">
        <f aca="false">IF(H753=0,"—",IF(H753=1,"unison (1:1)",IF(H753=2,"octave (2:1)",IF(H753=3,"fifth (3:2)",IF(H753=4,"fourth (4:3)","?")))))</f>
        <v>unison (1:1)</v>
      </c>
      <c r="J753" s="9" t="str">
        <f aca="false">IF(H753=0,"—",IF(H753=1,"ὁμώνυμον",IF(H753=2,"διὰ πασῶν",IF(H753=3,"διὰ πέντε",IF(H753=4,"διὰ τεσσάρων","?")))))</f>
        <v>ὁμώνυμον</v>
      </c>
      <c r="K753" s="10"/>
      <c r="L753" s="14"/>
      <c r="M753" s="13"/>
    </row>
    <row r="754" customFormat="false" ht="15.75" hidden="false" customHeight="true" outlineLevel="0" collapsed="false">
      <c r="A754" s="8" t="n">
        <f aca="false">A753+1</f>
        <v>752</v>
      </c>
      <c r="B754" s="9" t="n">
        <f aca="false">MOD(4*A754^2,10)</f>
        <v>6</v>
      </c>
      <c r="C754" s="9" t="n">
        <f aca="false">(26*B754-5*B754^2)/24</f>
        <v>-1</v>
      </c>
      <c r="D754" s="9" t="n">
        <f aca="false">(A754^2+4*C754)/5</f>
        <v>113100</v>
      </c>
      <c r="E754" s="9" t="n">
        <f aca="false">MOD(D754,10)</f>
        <v>0</v>
      </c>
      <c r="F754" s="9" t="n">
        <f aca="false">2*D754</f>
        <v>226200</v>
      </c>
      <c r="G754" s="9" t="n">
        <f aca="false">MOD(F754,10)</f>
        <v>0</v>
      </c>
      <c r="H754" s="9" t="n">
        <f aca="false">G754/2</f>
        <v>0</v>
      </c>
      <c r="I754" s="9" t="str">
        <f aca="false">IF(H754=0,"—",IF(H754=1,"unison (1:1)",IF(H754=2,"octave (2:1)",IF(H754=3,"fifth (3:2)",IF(H754=4,"fourth (4:3)","?")))))</f>
        <v>—</v>
      </c>
      <c r="J754" s="9" t="str">
        <f aca="false">IF(H754=0,"—",IF(H754=1,"ὁμώνυμον",IF(H754=2,"διὰ πασῶν",IF(H754=3,"διὰ πέντε",IF(H754=4,"διὰ τεσσάρων","?")))))</f>
        <v>—</v>
      </c>
      <c r="K754" s="10"/>
      <c r="L754" s="14"/>
      <c r="M754" s="13"/>
    </row>
    <row r="755" customFormat="false" ht="15.75" hidden="false" customHeight="true" outlineLevel="0" collapsed="false">
      <c r="A755" s="8" t="n">
        <f aca="false">A754+1</f>
        <v>753</v>
      </c>
      <c r="B755" s="9" t="n">
        <f aca="false">MOD(4*A755^2,10)</f>
        <v>6</v>
      </c>
      <c r="C755" s="9" t="n">
        <f aca="false">(26*B755-5*B755^2)/24</f>
        <v>-1</v>
      </c>
      <c r="D755" s="9" t="n">
        <f aca="false">(A755^2+4*C755)/5</f>
        <v>113401</v>
      </c>
      <c r="E755" s="9" t="n">
        <f aca="false">MOD(D755,10)</f>
        <v>1</v>
      </c>
      <c r="F755" s="9" t="n">
        <f aca="false">2*D755</f>
        <v>226802</v>
      </c>
      <c r="G755" s="9" t="n">
        <f aca="false">MOD(F755,10)</f>
        <v>2</v>
      </c>
      <c r="H755" s="9" t="n">
        <f aca="false">G755/2</f>
        <v>1</v>
      </c>
      <c r="I755" s="9" t="str">
        <f aca="false">IF(H755=0,"—",IF(H755=1,"unison (1:1)",IF(H755=2,"octave (2:1)",IF(H755=3,"fifth (3:2)",IF(H755=4,"fourth (4:3)","?")))))</f>
        <v>unison (1:1)</v>
      </c>
      <c r="J755" s="9" t="str">
        <f aca="false">IF(H755=0,"—",IF(H755=1,"ὁμώνυμον",IF(H755=2,"διὰ πασῶν",IF(H755=3,"διὰ πέντε",IF(H755=4,"διὰ τεσσάρων","?")))))</f>
        <v>ὁμώνυμον</v>
      </c>
      <c r="K755" s="10"/>
      <c r="L755" s="14"/>
      <c r="M755" s="13"/>
    </row>
    <row r="756" customFormat="false" ht="15.75" hidden="false" customHeight="true" outlineLevel="0" collapsed="false">
      <c r="A756" s="8" t="n">
        <f aca="false">A755+1</f>
        <v>754</v>
      </c>
      <c r="B756" s="9" t="n">
        <f aca="false">MOD(4*A756^2,10)</f>
        <v>4</v>
      </c>
      <c r="C756" s="9" t="n">
        <f aca="false">(26*B756-5*B756^2)/24</f>
        <v>1</v>
      </c>
      <c r="D756" s="9" t="n">
        <f aca="false">(A756^2+4*C756)/5</f>
        <v>113704</v>
      </c>
      <c r="E756" s="9" t="n">
        <f aca="false">MOD(D756,10)</f>
        <v>4</v>
      </c>
      <c r="F756" s="9" t="n">
        <f aca="false">2*D756</f>
        <v>227408</v>
      </c>
      <c r="G756" s="9" t="n">
        <f aca="false">MOD(F756,10)</f>
        <v>8</v>
      </c>
      <c r="H756" s="9" t="n">
        <f aca="false">G756/2</f>
        <v>4</v>
      </c>
      <c r="I756" s="9" t="str">
        <f aca="false">IF(H756=0,"—",IF(H756=1,"unison (1:1)",IF(H756=2,"octave (2:1)",IF(H756=3,"fifth (3:2)",IF(H756=4,"fourth (4:3)","?")))))</f>
        <v>fourth (4:3)</v>
      </c>
      <c r="J756" s="9" t="str">
        <f aca="false">IF(H756=0,"—",IF(H756=1,"ὁμώνυμον",IF(H756=2,"διὰ πασῶν",IF(H756=3,"διὰ πέντε",IF(H756=4,"διὰ τεσσάρων","?")))))</f>
        <v>διὰ τεσσάρων</v>
      </c>
      <c r="K756" s="10"/>
      <c r="L756" s="14"/>
      <c r="M756" s="13"/>
    </row>
    <row r="757" customFormat="false" ht="15.75" hidden="false" customHeight="true" outlineLevel="0" collapsed="false">
      <c r="A757" s="8" t="n">
        <f aca="false">A756+1</f>
        <v>755</v>
      </c>
      <c r="B757" s="9" t="n">
        <f aca="false">MOD(4*A757^2,10)</f>
        <v>0</v>
      </c>
      <c r="C757" s="9" t="n">
        <f aca="false">(26*B757-5*B757^2)/24</f>
        <v>0</v>
      </c>
      <c r="D757" s="9" t="n">
        <f aca="false">(A757^2+4*C757)/5</f>
        <v>114005</v>
      </c>
      <c r="E757" s="9" t="n">
        <f aca="false">MOD(D757,10)</f>
        <v>5</v>
      </c>
      <c r="F757" s="9" t="n">
        <f aca="false">2*D757</f>
        <v>228010</v>
      </c>
      <c r="G757" s="9" t="n">
        <f aca="false">MOD(F757,10)</f>
        <v>0</v>
      </c>
      <c r="H757" s="9" t="n">
        <f aca="false">G757/2</f>
        <v>0</v>
      </c>
      <c r="I757" s="9" t="str">
        <f aca="false">IF(H757=0,"—",IF(H757=1,"unison (1:1)",IF(H757=2,"octave (2:1)",IF(H757=3,"fifth (3:2)",IF(H757=4,"fourth (4:3)","?")))))</f>
        <v>—</v>
      </c>
      <c r="J757" s="9" t="str">
        <f aca="false">IF(H757=0,"—",IF(H757=1,"ὁμώνυμον",IF(H757=2,"διὰ πασῶν",IF(H757=3,"διὰ πέντε",IF(H757=4,"διὰ τεσσάρων","?")))))</f>
        <v>—</v>
      </c>
      <c r="K757" s="10"/>
      <c r="L757" s="14"/>
      <c r="M757" s="13"/>
    </row>
    <row r="758" customFormat="false" ht="15.75" hidden="false" customHeight="true" outlineLevel="0" collapsed="false">
      <c r="A758" s="8" t="n">
        <f aca="false">A757+1</f>
        <v>756</v>
      </c>
      <c r="B758" s="9" t="n">
        <f aca="false">MOD(4*A758^2,10)</f>
        <v>4</v>
      </c>
      <c r="C758" s="9" t="n">
        <f aca="false">(26*B758-5*B758^2)/24</f>
        <v>1</v>
      </c>
      <c r="D758" s="9" t="n">
        <f aca="false">(A758^2+4*C758)/5</f>
        <v>114308</v>
      </c>
      <c r="E758" s="9" t="n">
        <f aca="false">MOD(D758,10)</f>
        <v>8</v>
      </c>
      <c r="F758" s="9" t="n">
        <f aca="false">2*D758</f>
        <v>228616</v>
      </c>
      <c r="G758" s="9" t="n">
        <f aca="false">MOD(F758,10)</f>
        <v>6</v>
      </c>
      <c r="H758" s="9" t="n">
        <f aca="false">G758/2</f>
        <v>3</v>
      </c>
      <c r="I758" s="9" t="str">
        <f aca="false">IF(H758=0,"—",IF(H758=1,"unison (1:1)",IF(H758=2,"octave (2:1)",IF(H758=3,"fifth (3:2)",IF(H758=4,"fourth (4:3)","?")))))</f>
        <v>fifth (3:2)</v>
      </c>
      <c r="J758" s="9" t="str">
        <f aca="false">IF(H758=0,"—",IF(H758=1,"ὁμώνυμον",IF(H758=2,"διὰ πασῶν",IF(H758=3,"διὰ πέντε",IF(H758=4,"διὰ τεσσάρων","?")))))</f>
        <v>διὰ πέντε</v>
      </c>
      <c r="K758" s="10"/>
      <c r="L758" s="14"/>
      <c r="M758" s="13"/>
    </row>
    <row r="759" customFormat="false" ht="15.75" hidden="false" customHeight="true" outlineLevel="0" collapsed="false">
      <c r="A759" s="8" t="n">
        <f aca="false">A758+1</f>
        <v>757</v>
      </c>
      <c r="B759" s="9" t="n">
        <f aca="false">MOD(4*A759^2,10)</f>
        <v>6</v>
      </c>
      <c r="C759" s="9" t="n">
        <f aca="false">(26*B759-5*B759^2)/24</f>
        <v>-1</v>
      </c>
      <c r="D759" s="9" t="n">
        <f aca="false">(A759^2+4*C759)/5</f>
        <v>114609</v>
      </c>
      <c r="E759" s="9" t="n">
        <f aca="false">MOD(D759,10)</f>
        <v>9</v>
      </c>
      <c r="F759" s="9" t="n">
        <f aca="false">2*D759</f>
        <v>229218</v>
      </c>
      <c r="G759" s="9" t="n">
        <f aca="false">MOD(F759,10)</f>
        <v>8</v>
      </c>
      <c r="H759" s="9" t="n">
        <f aca="false">G759/2</f>
        <v>4</v>
      </c>
      <c r="I759" s="9" t="str">
        <f aca="false">IF(H759=0,"—",IF(H759=1,"unison (1:1)",IF(H759=2,"octave (2:1)",IF(H759=3,"fifth (3:2)",IF(H759=4,"fourth (4:3)","?")))))</f>
        <v>fourth (4:3)</v>
      </c>
      <c r="J759" s="9" t="str">
        <f aca="false">IF(H759=0,"—",IF(H759=1,"ὁμώνυμον",IF(H759=2,"διὰ πασῶν",IF(H759=3,"διὰ πέντε",IF(H759=4,"διὰ τεσσάρων","?")))))</f>
        <v>διὰ τεσσάρων</v>
      </c>
      <c r="K759" s="10"/>
      <c r="L759" s="14"/>
      <c r="M759" s="13"/>
    </row>
    <row r="760" customFormat="false" ht="15.75" hidden="false" customHeight="true" outlineLevel="0" collapsed="false">
      <c r="A760" s="8" t="n">
        <f aca="false">A759+1</f>
        <v>758</v>
      </c>
      <c r="B760" s="9" t="n">
        <f aca="false">MOD(4*A760^2,10)</f>
        <v>6</v>
      </c>
      <c r="C760" s="9" t="n">
        <f aca="false">(26*B760-5*B760^2)/24</f>
        <v>-1</v>
      </c>
      <c r="D760" s="9" t="n">
        <f aca="false">(A760^2+4*C760)/5</f>
        <v>114912</v>
      </c>
      <c r="E760" s="9" t="n">
        <f aca="false">MOD(D760,10)</f>
        <v>2</v>
      </c>
      <c r="F760" s="9" t="n">
        <f aca="false">2*D760</f>
        <v>229824</v>
      </c>
      <c r="G760" s="9" t="n">
        <f aca="false">MOD(F760,10)</f>
        <v>4</v>
      </c>
      <c r="H760" s="9" t="n">
        <f aca="false">G760/2</f>
        <v>2</v>
      </c>
      <c r="I760" s="9" t="str">
        <f aca="false">IF(H760=0,"—",IF(H760=1,"unison (1:1)",IF(H760=2,"octave (2:1)",IF(H760=3,"fifth (3:2)",IF(H760=4,"fourth (4:3)","?")))))</f>
        <v>octave (2:1)</v>
      </c>
      <c r="J760" s="9" t="str">
        <f aca="false">IF(H760=0,"—",IF(H760=1,"ὁμώνυμον",IF(H760=2,"διὰ πασῶν",IF(H760=3,"διὰ πέντε",IF(H760=4,"διὰ τεσσάρων","?")))))</f>
        <v>διὰ πασῶν</v>
      </c>
      <c r="K760" s="10"/>
      <c r="L760" s="14"/>
      <c r="M760" s="13"/>
    </row>
    <row r="761" customFormat="false" ht="15.75" hidden="false" customHeight="true" outlineLevel="0" collapsed="false">
      <c r="A761" s="8" t="n">
        <f aca="false">A760+1</f>
        <v>759</v>
      </c>
      <c r="B761" s="9" t="n">
        <f aca="false">MOD(4*A761^2,10)</f>
        <v>4</v>
      </c>
      <c r="C761" s="9" t="n">
        <f aca="false">(26*B761-5*B761^2)/24</f>
        <v>1</v>
      </c>
      <c r="D761" s="9" t="n">
        <f aca="false">(A761^2+4*C761)/5</f>
        <v>115217</v>
      </c>
      <c r="E761" s="9" t="n">
        <f aca="false">MOD(D761,10)</f>
        <v>7</v>
      </c>
      <c r="F761" s="9" t="n">
        <f aca="false">2*D761</f>
        <v>230434</v>
      </c>
      <c r="G761" s="9" t="n">
        <f aca="false">MOD(F761,10)</f>
        <v>4</v>
      </c>
      <c r="H761" s="9" t="n">
        <f aca="false">G761/2</f>
        <v>2</v>
      </c>
      <c r="I761" s="9" t="str">
        <f aca="false">IF(H761=0,"—",IF(H761=1,"unison (1:1)",IF(H761=2,"octave (2:1)",IF(H761=3,"fifth (3:2)",IF(H761=4,"fourth (4:3)","?")))))</f>
        <v>octave (2:1)</v>
      </c>
      <c r="J761" s="9" t="str">
        <f aca="false">IF(H761=0,"—",IF(H761=1,"ὁμώνυμον",IF(H761=2,"διὰ πασῶν",IF(H761=3,"διὰ πέντε",IF(H761=4,"διὰ τεσσάρων","?")))))</f>
        <v>διὰ πασῶν</v>
      </c>
      <c r="K761" s="10"/>
      <c r="L761" s="14"/>
      <c r="M761" s="13"/>
    </row>
    <row r="762" customFormat="false" ht="15.75" hidden="false" customHeight="true" outlineLevel="0" collapsed="false">
      <c r="A762" s="8" t="n">
        <f aca="false">A761+1</f>
        <v>760</v>
      </c>
      <c r="B762" s="9" t="n">
        <f aca="false">MOD(4*A762^2,10)</f>
        <v>0</v>
      </c>
      <c r="C762" s="9" t="n">
        <f aca="false">(26*B762-5*B762^2)/24</f>
        <v>0</v>
      </c>
      <c r="D762" s="9" t="n">
        <f aca="false">(A762^2+4*C762)/5</f>
        <v>115520</v>
      </c>
      <c r="E762" s="9" t="n">
        <f aca="false">MOD(D762,10)</f>
        <v>0</v>
      </c>
      <c r="F762" s="9" t="n">
        <f aca="false">2*D762</f>
        <v>231040</v>
      </c>
      <c r="G762" s="9" t="n">
        <f aca="false">MOD(F762,10)</f>
        <v>0</v>
      </c>
      <c r="H762" s="9" t="n">
        <f aca="false">G762/2</f>
        <v>0</v>
      </c>
      <c r="I762" s="9" t="str">
        <f aca="false">IF(H762=0,"—",IF(H762=1,"unison (1:1)",IF(H762=2,"octave (2:1)",IF(H762=3,"fifth (3:2)",IF(H762=4,"fourth (4:3)","?")))))</f>
        <v>—</v>
      </c>
      <c r="J762" s="9" t="str">
        <f aca="false">IF(H762=0,"—",IF(H762=1,"ὁμώνυμον",IF(H762=2,"διὰ πασῶν",IF(H762=3,"διὰ πέντε",IF(H762=4,"διὰ τεσσάρων","?")))))</f>
        <v>—</v>
      </c>
      <c r="K762" s="10"/>
      <c r="L762" s="14"/>
      <c r="M762" s="13"/>
    </row>
    <row r="763" customFormat="false" ht="15.75" hidden="false" customHeight="true" outlineLevel="0" collapsed="false">
      <c r="A763" s="8" t="n">
        <f aca="false">A762+1</f>
        <v>761</v>
      </c>
      <c r="B763" s="9" t="n">
        <f aca="false">MOD(4*A763^2,10)</f>
        <v>4</v>
      </c>
      <c r="C763" s="9" t="n">
        <f aca="false">(26*B763-5*B763^2)/24</f>
        <v>1</v>
      </c>
      <c r="D763" s="9" t="n">
        <f aca="false">(A763^2+4*C763)/5</f>
        <v>115825</v>
      </c>
      <c r="E763" s="9" t="n">
        <f aca="false">MOD(D763,10)</f>
        <v>5</v>
      </c>
      <c r="F763" s="9" t="n">
        <f aca="false">2*D763</f>
        <v>231650</v>
      </c>
      <c r="G763" s="9" t="n">
        <f aca="false">MOD(F763,10)</f>
        <v>0</v>
      </c>
      <c r="H763" s="9" t="n">
        <f aca="false">G763/2</f>
        <v>0</v>
      </c>
      <c r="I763" s="9" t="str">
        <f aca="false">IF(H763=0,"—",IF(H763=1,"unison (1:1)",IF(H763=2,"octave (2:1)",IF(H763=3,"fifth (3:2)",IF(H763=4,"fourth (4:3)","?")))))</f>
        <v>—</v>
      </c>
      <c r="J763" s="9" t="str">
        <f aca="false">IF(H763=0,"—",IF(H763=1,"ὁμώνυμον",IF(H763=2,"διὰ πασῶν",IF(H763=3,"διὰ πέντε",IF(H763=4,"διὰ τεσσάρων","?")))))</f>
        <v>—</v>
      </c>
      <c r="K763" s="10"/>
      <c r="L763" s="14"/>
      <c r="M763" s="13"/>
    </row>
    <row r="764" customFormat="false" ht="15.75" hidden="false" customHeight="true" outlineLevel="0" collapsed="false">
      <c r="A764" s="8" t="n">
        <f aca="false">A763+1</f>
        <v>762</v>
      </c>
      <c r="B764" s="9" t="n">
        <f aca="false">MOD(4*A764^2,10)</f>
        <v>6</v>
      </c>
      <c r="C764" s="9" t="n">
        <f aca="false">(26*B764-5*B764^2)/24</f>
        <v>-1</v>
      </c>
      <c r="D764" s="9" t="n">
        <f aca="false">(A764^2+4*C764)/5</f>
        <v>116128</v>
      </c>
      <c r="E764" s="9" t="n">
        <f aca="false">MOD(D764,10)</f>
        <v>8</v>
      </c>
      <c r="F764" s="9" t="n">
        <f aca="false">2*D764</f>
        <v>232256</v>
      </c>
      <c r="G764" s="9" t="n">
        <f aca="false">MOD(F764,10)</f>
        <v>6</v>
      </c>
      <c r="H764" s="9" t="n">
        <f aca="false">G764/2</f>
        <v>3</v>
      </c>
      <c r="I764" s="9" t="str">
        <f aca="false">IF(H764=0,"—",IF(H764=1,"unison (1:1)",IF(H764=2,"octave (2:1)",IF(H764=3,"fifth (3:2)",IF(H764=4,"fourth (4:3)","?")))))</f>
        <v>fifth (3:2)</v>
      </c>
      <c r="J764" s="9" t="str">
        <f aca="false">IF(H764=0,"—",IF(H764=1,"ὁμώνυμον",IF(H764=2,"διὰ πασῶν",IF(H764=3,"διὰ πέντε",IF(H764=4,"διὰ τεσσάρων","?")))))</f>
        <v>διὰ πέντε</v>
      </c>
      <c r="K764" s="10"/>
      <c r="L764" s="14"/>
      <c r="M764" s="13"/>
    </row>
    <row r="765" customFormat="false" ht="15.75" hidden="false" customHeight="true" outlineLevel="0" collapsed="false">
      <c r="A765" s="8" t="n">
        <f aca="false">A764+1</f>
        <v>763</v>
      </c>
      <c r="B765" s="9" t="n">
        <f aca="false">MOD(4*A765^2,10)</f>
        <v>6</v>
      </c>
      <c r="C765" s="9" t="n">
        <f aca="false">(26*B765-5*B765^2)/24</f>
        <v>-1</v>
      </c>
      <c r="D765" s="9" t="n">
        <f aca="false">(A765^2+4*C765)/5</f>
        <v>116433</v>
      </c>
      <c r="E765" s="9" t="n">
        <f aca="false">MOD(D765,10)</f>
        <v>3</v>
      </c>
      <c r="F765" s="9" t="n">
        <f aca="false">2*D765</f>
        <v>232866</v>
      </c>
      <c r="G765" s="9" t="n">
        <f aca="false">MOD(F765,10)</f>
        <v>6</v>
      </c>
      <c r="H765" s="9" t="n">
        <f aca="false">G765/2</f>
        <v>3</v>
      </c>
      <c r="I765" s="9" t="str">
        <f aca="false">IF(H765=0,"—",IF(H765=1,"unison (1:1)",IF(H765=2,"octave (2:1)",IF(H765=3,"fifth (3:2)",IF(H765=4,"fourth (4:3)","?")))))</f>
        <v>fifth (3:2)</v>
      </c>
      <c r="J765" s="9" t="str">
        <f aca="false">IF(H765=0,"—",IF(H765=1,"ὁμώνυμον",IF(H765=2,"διὰ πασῶν",IF(H765=3,"διὰ πέντε",IF(H765=4,"διὰ τεσσάρων","?")))))</f>
        <v>διὰ πέντε</v>
      </c>
      <c r="K765" s="10"/>
      <c r="L765" s="14"/>
      <c r="M765" s="13"/>
    </row>
    <row r="766" customFormat="false" ht="15.75" hidden="false" customHeight="true" outlineLevel="0" collapsed="false">
      <c r="A766" s="8" t="n">
        <f aca="false">A765+1</f>
        <v>764</v>
      </c>
      <c r="B766" s="9" t="n">
        <f aca="false">MOD(4*A766^2,10)</f>
        <v>4</v>
      </c>
      <c r="C766" s="9" t="n">
        <f aca="false">(26*B766-5*B766^2)/24</f>
        <v>1</v>
      </c>
      <c r="D766" s="9" t="n">
        <f aca="false">(A766^2+4*C766)/5</f>
        <v>116740</v>
      </c>
      <c r="E766" s="9" t="n">
        <f aca="false">MOD(D766,10)</f>
        <v>0</v>
      </c>
      <c r="F766" s="9" t="n">
        <f aca="false">2*D766</f>
        <v>233480</v>
      </c>
      <c r="G766" s="9" t="n">
        <f aca="false">MOD(F766,10)</f>
        <v>0</v>
      </c>
      <c r="H766" s="9" t="n">
        <f aca="false">G766/2</f>
        <v>0</v>
      </c>
      <c r="I766" s="9" t="str">
        <f aca="false">IF(H766=0,"—",IF(H766=1,"unison (1:1)",IF(H766=2,"octave (2:1)",IF(H766=3,"fifth (3:2)",IF(H766=4,"fourth (4:3)","?")))))</f>
        <v>—</v>
      </c>
      <c r="J766" s="9" t="str">
        <f aca="false">IF(H766=0,"—",IF(H766=1,"ὁμώνυμον",IF(H766=2,"διὰ πασῶν",IF(H766=3,"διὰ πέντε",IF(H766=4,"διὰ τεσσάρων","?")))))</f>
        <v>—</v>
      </c>
      <c r="K766" s="10"/>
      <c r="L766" s="14"/>
      <c r="M766" s="13"/>
    </row>
    <row r="767" customFormat="false" ht="15.75" hidden="false" customHeight="true" outlineLevel="0" collapsed="false">
      <c r="A767" s="8" t="n">
        <f aca="false">A766+1</f>
        <v>765</v>
      </c>
      <c r="B767" s="9" t="n">
        <f aca="false">MOD(4*A767^2,10)</f>
        <v>0</v>
      </c>
      <c r="C767" s="9" t="n">
        <f aca="false">(26*B767-5*B767^2)/24</f>
        <v>0</v>
      </c>
      <c r="D767" s="9" t="n">
        <f aca="false">(A767^2+4*C767)/5</f>
        <v>117045</v>
      </c>
      <c r="E767" s="9" t="n">
        <f aca="false">MOD(D767,10)</f>
        <v>5</v>
      </c>
      <c r="F767" s="9" t="n">
        <f aca="false">2*D767</f>
        <v>234090</v>
      </c>
      <c r="G767" s="9" t="n">
        <f aca="false">MOD(F767,10)</f>
        <v>0</v>
      </c>
      <c r="H767" s="9" t="n">
        <f aca="false">G767/2</f>
        <v>0</v>
      </c>
      <c r="I767" s="9" t="str">
        <f aca="false">IF(H767=0,"—",IF(H767=1,"unison (1:1)",IF(H767=2,"octave (2:1)",IF(H767=3,"fifth (3:2)",IF(H767=4,"fourth (4:3)","?")))))</f>
        <v>—</v>
      </c>
      <c r="J767" s="9" t="str">
        <f aca="false">IF(H767=0,"—",IF(H767=1,"ὁμώνυμον",IF(H767=2,"διὰ πασῶν",IF(H767=3,"διὰ πέντε",IF(H767=4,"διὰ τεσσάρων","?")))))</f>
        <v>—</v>
      </c>
      <c r="K767" s="10"/>
      <c r="L767" s="14"/>
      <c r="M767" s="13"/>
    </row>
    <row r="768" customFormat="false" ht="15.75" hidden="false" customHeight="true" outlineLevel="0" collapsed="false">
      <c r="A768" s="8" t="n">
        <f aca="false">A767+1</f>
        <v>766</v>
      </c>
      <c r="B768" s="9" t="n">
        <f aca="false">MOD(4*A768^2,10)</f>
        <v>4</v>
      </c>
      <c r="C768" s="9" t="n">
        <f aca="false">(26*B768-5*B768^2)/24</f>
        <v>1</v>
      </c>
      <c r="D768" s="9" t="n">
        <f aca="false">(A768^2+4*C768)/5</f>
        <v>117352</v>
      </c>
      <c r="E768" s="9" t="n">
        <f aca="false">MOD(D768,10)</f>
        <v>2</v>
      </c>
      <c r="F768" s="9" t="n">
        <f aca="false">2*D768</f>
        <v>234704</v>
      </c>
      <c r="G768" s="9" t="n">
        <f aca="false">MOD(F768,10)</f>
        <v>4</v>
      </c>
      <c r="H768" s="9" t="n">
        <f aca="false">G768/2</f>
        <v>2</v>
      </c>
      <c r="I768" s="9" t="str">
        <f aca="false">IF(H768=0,"—",IF(H768=1,"unison (1:1)",IF(H768=2,"octave (2:1)",IF(H768=3,"fifth (3:2)",IF(H768=4,"fourth (4:3)","?")))))</f>
        <v>octave (2:1)</v>
      </c>
      <c r="J768" s="9" t="str">
        <f aca="false">IF(H768=0,"—",IF(H768=1,"ὁμώνυμον",IF(H768=2,"διὰ πασῶν",IF(H768=3,"διὰ πέντε",IF(H768=4,"διὰ τεσσάρων","?")))))</f>
        <v>διὰ πασῶν</v>
      </c>
      <c r="K768" s="10"/>
      <c r="L768" s="14"/>
      <c r="M768" s="13"/>
    </row>
    <row r="769" customFormat="false" ht="15.75" hidden="false" customHeight="true" outlineLevel="0" collapsed="false">
      <c r="A769" s="8" t="n">
        <f aca="false">A768+1</f>
        <v>767</v>
      </c>
      <c r="B769" s="9" t="n">
        <f aca="false">MOD(4*A769^2,10)</f>
        <v>6</v>
      </c>
      <c r="C769" s="9" t="n">
        <f aca="false">(26*B769-5*B769^2)/24</f>
        <v>-1</v>
      </c>
      <c r="D769" s="9" t="n">
        <f aca="false">(A769^2+4*C769)/5</f>
        <v>117657</v>
      </c>
      <c r="E769" s="9" t="n">
        <f aca="false">MOD(D769,10)</f>
        <v>7</v>
      </c>
      <c r="F769" s="9" t="n">
        <f aca="false">2*D769</f>
        <v>235314</v>
      </c>
      <c r="G769" s="9" t="n">
        <f aca="false">MOD(F769,10)</f>
        <v>4</v>
      </c>
      <c r="H769" s="9" t="n">
        <f aca="false">G769/2</f>
        <v>2</v>
      </c>
      <c r="I769" s="9" t="str">
        <f aca="false">IF(H769=0,"—",IF(H769=1,"unison (1:1)",IF(H769=2,"octave (2:1)",IF(H769=3,"fifth (3:2)",IF(H769=4,"fourth (4:3)","?")))))</f>
        <v>octave (2:1)</v>
      </c>
      <c r="J769" s="9" t="str">
        <f aca="false">IF(H769=0,"—",IF(H769=1,"ὁμώνυμον",IF(H769=2,"διὰ πασῶν",IF(H769=3,"διὰ πέντε",IF(H769=4,"διὰ τεσσάρων","?")))))</f>
        <v>διὰ πασῶν</v>
      </c>
      <c r="K769" s="10"/>
      <c r="L769" s="14"/>
      <c r="M769" s="13"/>
    </row>
    <row r="770" customFormat="false" ht="15.75" hidden="false" customHeight="true" outlineLevel="0" collapsed="false">
      <c r="A770" s="8" t="n">
        <f aca="false">A769+1</f>
        <v>768</v>
      </c>
      <c r="B770" s="9" t="n">
        <f aca="false">MOD(4*A770^2,10)</f>
        <v>6</v>
      </c>
      <c r="C770" s="9" t="n">
        <f aca="false">(26*B770-5*B770^2)/24</f>
        <v>-1</v>
      </c>
      <c r="D770" s="9" t="n">
        <f aca="false">(A770^2+4*C770)/5</f>
        <v>117964</v>
      </c>
      <c r="E770" s="9" t="n">
        <f aca="false">MOD(D770,10)</f>
        <v>4</v>
      </c>
      <c r="F770" s="9" t="n">
        <f aca="false">2*D770</f>
        <v>235928</v>
      </c>
      <c r="G770" s="9" t="n">
        <f aca="false">MOD(F770,10)</f>
        <v>8</v>
      </c>
      <c r="H770" s="9" t="n">
        <f aca="false">G770/2</f>
        <v>4</v>
      </c>
      <c r="I770" s="9" t="str">
        <f aca="false">IF(H770=0,"—",IF(H770=1,"unison (1:1)",IF(H770=2,"octave (2:1)",IF(H770=3,"fifth (3:2)",IF(H770=4,"fourth (4:3)","?")))))</f>
        <v>fourth (4:3)</v>
      </c>
      <c r="J770" s="9" t="str">
        <f aca="false">IF(H770=0,"—",IF(H770=1,"ὁμώνυμον",IF(H770=2,"διὰ πασῶν",IF(H770=3,"διὰ πέντε",IF(H770=4,"διὰ τεσσάρων","?")))))</f>
        <v>διὰ τεσσάρων</v>
      </c>
      <c r="K770" s="10"/>
      <c r="L770" s="14"/>
      <c r="M770" s="13"/>
    </row>
    <row r="771" customFormat="false" ht="15.75" hidden="false" customHeight="true" outlineLevel="0" collapsed="false">
      <c r="A771" s="8" t="n">
        <f aca="false">A770+1</f>
        <v>769</v>
      </c>
      <c r="B771" s="9" t="n">
        <f aca="false">MOD(4*A771^2,10)</f>
        <v>4</v>
      </c>
      <c r="C771" s="9" t="n">
        <f aca="false">(26*B771-5*B771^2)/24</f>
        <v>1</v>
      </c>
      <c r="D771" s="9" t="n">
        <f aca="false">(A771^2+4*C771)/5</f>
        <v>118273</v>
      </c>
      <c r="E771" s="9" t="n">
        <f aca="false">MOD(D771,10)</f>
        <v>3</v>
      </c>
      <c r="F771" s="9" t="n">
        <f aca="false">2*D771</f>
        <v>236546</v>
      </c>
      <c r="G771" s="9" t="n">
        <f aca="false">MOD(F771,10)</f>
        <v>6</v>
      </c>
      <c r="H771" s="9" t="n">
        <f aca="false">G771/2</f>
        <v>3</v>
      </c>
      <c r="I771" s="9" t="str">
        <f aca="false">IF(H771=0,"—",IF(H771=1,"unison (1:1)",IF(H771=2,"octave (2:1)",IF(H771=3,"fifth (3:2)",IF(H771=4,"fourth (4:3)","?")))))</f>
        <v>fifth (3:2)</v>
      </c>
      <c r="J771" s="9" t="str">
        <f aca="false">IF(H771=0,"—",IF(H771=1,"ὁμώνυμον",IF(H771=2,"διὰ πασῶν",IF(H771=3,"διὰ πέντε",IF(H771=4,"διὰ τεσσάρων","?")))))</f>
        <v>διὰ πέντε</v>
      </c>
      <c r="K771" s="10"/>
      <c r="L771" s="14"/>
      <c r="M771" s="13"/>
    </row>
    <row r="772" customFormat="false" ht="15.75" hidden="false" customHeight="true" outlineLevel="0" collapsed="false">
      <c r="A772" s="8" t="n">
        <f aca="false">A771+1</f>
        <v>770</v>
      </c>
      <c r="B772" s="9" t="n">
        <f aca="false">MOD(4*A772^2,10)</f>
        <v>0</v>
      </c>
      <c r="C772" s="9" t="n">
        <f aca="false">(26*B772-5*B772^2)/24</f>
        <v>0</v>
      </c>
      <c r="D772" s="9" t="n">
        <f aca="false">(A772^2+4*C772)/5</f>
        <v>118580</v>
      </c>
      <c r="E772" s="9" t="n">
        <f aca="false">MOD(D772,10)</f>
        <v>0</v>
      </c>
      <c r="F772" s="9" t="n">
        <f aca="false">2*D772</f>
        <v>237160</v>
      </c>
      <c r="G772" s="9" t="n">
        <f aca="false">MOD(F772,10)</f>
        <v>0</v>
      </c>
      <c r="H772" s="9" t="n">
        <f aca="false">G772/2</f>
        <v>0</v>
      </c>
      <c r="I772" s="9" t="str">
        <f aca="false">IF(H772=0,"—",IF(H772=1,"unison (1:1)",IF(H772=2,"octave (2:1)",IF(H772=3,"fifth (3:2)",IF(H772=4,"fourth (4:3)","?")))))</f>
        <v>—</v>
      </c>
      <c r="J772" s="9" t="str">
        <f aca="false">IF(H772=0,"—",IF(H772=1,"ὁμώνυμον",IF(H772=2,"διὰ πασῶν",IF(H772=3,"διὰ πέντε",IF(H772=4,"διὰ τεσσάρων","?")))))</f>
        <v>—</v>
      </c>
      <c r="K772" s="10"/>
      <c r="L772" s="14"/>
      <c r="M772" s="13"/>
    </row>
    <row r="773" customFormat="false" ht="15.75" hidden="false" customHeight="true" outlineLevel="0" collapsed="false">
      <c r="A773" s="8" t="n">
        <f aca="false">A772+1</f>
        <v>771</v>
      </c>
      <c r="B773" s="9" t="n">
        <f aca="false">MOD(4*A773^2,10)</f>
        <v>4</v>
      </c>
      <c r="C773" s="9" t="n">
        <f aca="false">(26*B773-5*B773^2)/24</f>
        <v>1</v>
      </c>
      <c r="D773" s="9" t="n">
        <f aca="false">(A773^2+4*C773)/5</f>
        <v>118889</v>
      </c>
      <c r="E773" s="9" t="n">
        <f aca="false">MOD(D773,10)</f>
        <v>9</v>
      </c>
      <c r="F773" s="9" t="n">
        <f aca="false">2*D773</f>
        <v>237778</v>
      </c>
      <c r="G773" s="9" t="n">
        <f aca="false">MOD(F773,10)</f>
        <v>8</v>
      </c>
      <c r="H773" s="9" t="n">
        <f aca="false">G773/2</f>
        <v>4</v>
      </c>
      <c r="I773" s="9" t="str">
        <f aca="false">IF(H773=0,"—",IF(H773=1,"unison (1:1)",IF(H773=2,"octave (2:1)",IF(H773=3,"fifth (3:2)",IF(H773=4,"fourth (4:3)","?")))))</f>
        <v>fourth (4:3)</v>
      </c>
      <c r="J773" s="9" t="str">
        <f aca="false">IF(H773=0,"—",IF(H773=1,"ὁμώνυμον",IF(H773=2,"διὰ πασῶν",IF(H773=3,"διὰ πέντε",IF(H773=4,"διὰ τεσσάρων","?")))))</f>
        <v>διὰ τεσσάρων</v>
      </c>
      <c r="K773" s="10"/>
      <c r="L773" s="14"/>
      <c r="M773" s="13"/>
    </row>
    <row r="774" customFormat="false" ht="15.75" hidden="false" customHeight="true" outlineLevel="0" collapsed="false">
      <c r="A774" s="8" t="n">
        <f aca="false">A773+1</f>
        <v>772</v>
      </c>
      <c r="B774" s="9" t="n">
        <f aca="false">MOD(4*A774^2,10)</f>
        <v>6</v>
      </c>
      <c r="C774" s="9" t="n">
        <f aca="false">(26*B774-5*B774^2)/24</f>
        <v>-1</v>
      </c>
      <c r="D774" s="9" t="n">
        <f aca="false">(A774^2+4*C774)/5</f>
        <v>119196</v>
      </c>
      <c r="E774" s="9" t="n">
        <f aca="false">MOD(D774,10)</f>
        <v>6</v>
      </c>
      <c r="F774" s="9" t="n">
        <f aca="false">2*D774</f>
        <v>238392</v>
      </c>
      <c r="G774" s="9" t="n">
        <f aca="false">MOD(F774,10)</f>
        <v>2</v>
      </c>
      <c r="H774" s="9" t="n">
        <f aca="false">G774/2</f>
        <v>1</v>
      </c>
      <c r="I774" s="9" t="str">
        <f aca="false">IF(H774=0,"—",IF(H774=1,"unison (1:1)",IF(H774=2,"octave (2:1)",IF(H774=3,"fifth (3:2)",IF(H774=4,"fourth (4:3)","?")))))</f>
        <v>unison (1:1)</v>
      </c>
      <c r="J774" s="9" t="str">
        <f aca="false">IF(H774=0,"—",IF(H774=1,"ὁμώνυμον",IF(H774=2,"διὰ πασῶν",IF(H774=3,"διὰ πέντε",IF(H774=4,"διὰ τεσσάρων","?")))))</f>
        <v>ὁμώνυμον</v>
      </c>
      <c r="K774" s="10"/>
      <c r="L774" s="14"/>
      <c r="M774" s="13"/>
    </row>
    <row r="775" customFormat="false" ht="15.75" hidden="false" customHeight="true" outlineLevel="0" collapsed="false">
      <c r="A775" s="8" t="n">
        <f aca="false">A774+1</f>
        <v>773</v>
      </c>
      <c r="B775" s="9" t="n">
        <f aca="false">MOD(4*A775^2,10)</f>
        <v>6</v>
      </c>
      <c r="C775" s="9" t="n">
        <f aca="false">(26*B775-5*B775^2)/24</f>
        <v>-1</v>
      </c>
      <c r="D775" s="9" t="n">
        <f aca="false">(A775^2+4*C775)/5</f>
        <v>119505</v>
      </c>
      <c r="E775" s="9" t="n">
        <f aca="false">MOD(D775,10)</f>
        <v>5</v>
      </c>
      <c r="F775" s="9" t="n">
        <f aca="false">2*D775</f>
        <v>239010</v>
      </c>
      <c r="G775" s="9" t="n">
        <f aca="false">MOD(F775,10)</f>
        <v>0</v>
      </c>
      <c r="H775" s="9" t="n">
        <f aca="false">G775/2</f>
        <v>0</v>
      </c>
      <c r="I775" s="9" t="str">
        <f aca="false">IF(H775=0,"—",IF(H775=1,"unison (1:1)",IF(H775=2,"octave (2:1)",IF(H775=3,"fifth (3:2)",IF(H775=4,"fourth (4:3)","?")))))</f>
        <v>—</v>
      </c>
      <c r="J775" s="9" t="str">
        <f aca="false">IF(H775=0,"—",IF(H775=1,"ὁμώνυμον",IF(H775=2,"διὰ πασῶν",IF(H775=3,"διὰ πέντε",IF(H775=4,"διὰ τεσσάρων","?")))))</f>
        <v>—</v>
      </c>
      <c r="K775" s="10"/>
      <c r="L775" s="14"/>
      <c r="M775" s="13"/>
    </row>
    <row r="776" customFormat="false" ht="15.75" hidden="false" customHeight="true" outlineLevel="0" collapsed="false">
      <c r="A776" s="8" t="n">
        <f aca="false">A775+1</f>
        <v>774</v>
      </c>
      <c r="B776" s="9" t="n">
        <f aca="false">MOD(4*A776^2,10)</f>
        <v>4</v>
      </c>
      <c r="C776" s="9" t="n">
        <f aca="false">(26*B776-5*B776^2)/24</f>
        <v>1</v>
      </c>
      <c r="D776" s="9" t="n">
        <f aca="false">(A776^2+4*C776)/5</f>
        <v>119816</v>
      </c>
      <c r="E776" s="9" t="n">
        <f aca="false">MOD(D776,10)</f>
        <v>6</v>
      </c>
      <c r="F776" s="9" t="n">
        <f aca="false">2*D776</f>
        <v>239632</v>
      </c>
      <c r="G776" s="9" t="n">
        <f aca="false">MOD(F776,10)</f>
        <v>2</v>
      </c>
      <c r="H776" s="9" t="n">
        <f aca="false">G776/2</f>
        <v>1</v>
      </c>
      <c r="I776" s="9" t="str">
        <f aca="false">IF(H776=0,"—",IF(H776=1,"unison (1:1)",IF(H776=2,"octave (2:1)",IF(H776=3,"fifth (3:2)",IF(H776=4,"fourth (4:3)","?")))))</f>
        <v>unison (1:1)</v>
      </c>
      <c r="J776" s="9" t="str">
        <f aca="false">IF(H776=0,"—",IF(H776=1,"ὁμώνυμον",IF(H776=2,"διὰ πασῶν",IF(H776=3,"διὰ πέντε",IF(H776=4,"διὰ τεσσάρων","?")))))</f>
        <v>ὁμώνυμον</v>
      </c>
      <c r="K776" s="10"/>
      <c r="L776" s="14"/>
      <c r="M776" s="13"/>
    </row>
    <row r="777" customFormat="false" ht="15.75" hidden="false" customHeight="true" outlineLevel="0" collapsed="false">
      <c r="A777" s="8" t="n">
        <f aca="false">A776+1</f>
        <v>775</v>
      </c>
      <c r="B777" s="9" t="n">
        <f aca="false">MOD(4*A777^2,10)</f>
        <v>0</v>
      </c>
      <c r="C777" s="9" t="n">
        <f aca="false">(26*B777-5*B777^2)/24</f>
        <v>0</v>
      </c>
      <c r="D777" s="9" t="n">
        <f aca="false">(A777^2+4*C777)/5</f>
        <v>120125</v>
      </c>
      <c r="E777" s="9" t="n">
        <f aca="false">MOD(D777,10)</f>
        <v>5</v>
      </c>
      <c r="F777" s="9" t="n">
        <f aca="false">2*D777</f>
        <v>240250</v>
      </c>
      <c r="G777" s="9" t="n">
        <f aca="false">MOD(F777,10)</f>
        <v>0</v>
      </c>
      <c r="H777" s="9" t="n">
        <f aca="false">G777/2</f>
        <v>0</v>
      </c>
      <c r="I777" s="9" t="str">
        <f aca="false">IF(H777=0,"—",IF(H777=1,"unison (1:1)",IF(H777=2,"octave (2:1)",IF(H777=3,"fifth (3:2)",IF(H777=4,"fourth (4:3)","?")))))</f>
        <v>—</v>
      </c>
      <c r="J777" s="9" t="str">
        <f aca="false">IF(H777=0,"—",IF(H777=1,"ὁμώνυμον",IF(H777=2,"διὰ πασῶν",IF(H777=3,"διὰ πέντε",IF(H777=4,"διὰ τεσσάρων","?")))))</f>
        <v>—</v>
      </c>
      <c r="K777" s="10"/>
      <c r="L777" s="14"/>
      <c r="M777" s="13"/>
    </row>
    <row r="778" customFormat="false" ht="15.75" hidden="false" customHeight="true" outlineLevel="0" collapsed="false">
      <c r="A778" s="8" t="n">
        <f aca="false">A777+1</f>
        <v>776</v>
      </c>
      <c r="B778" s="9" t="n">
        <f aca="false">MOD(4*A778^2,10)</f>
        <v>4</v>
      </c>
      <c r="C778" s="9" t="n">
        <f aca="false">(26*B778-5*B778^2)/24</f>
        <v>1</v>
      </c>
      <c r="D778" s="9" t="n">
        <f aca="false">(A778^2+4*C778)/5</f>
        <v>120436</v>
      </c>
      <c r="E778" s="9" t="n">
        <f aca="false">MOD(D778,10)</f>
        <v>6</v>
      </c>
      <c r="F778" s="9" t="n">
        <f aca="false">2*D778</f>
        <v>240872</v>
      </c>
      <c r="G778" s="9" t="n">
        <f aca="false">MOD(F778,10)</f>
        <v>2</v>
      </c>
      <c r="H778" s="9" t="n">
        <f aca="false">G778/2</f>
        <v>1</v>
      </c>
      <c r="I778" s="9" t="str">
        <f aca="false">IF(H778=0,"—",IF(H778=1,"unison (1:1)",IF(H778=2,"octave (2:1)",IF(H778=3,"fifth (3:2)",IF(H778=4,"fourth (4:3)","?")))))</f>
        <v>unison (1:1)</v>
      </c>
      <c r="J778" s="9" t="str">
        <f aca="false">IF(H778=0,"—",IF(H778=1,"ὁμώνυμον",IF(H778=2,"διὰ πασῶν",IF(H778=3,"διὰ πέντε",IF(H778=4,"διὰ τεσσάρων","?")))))</f>
        <v>ὁμώνυμον</v>
      </c>
      <c r="K778" s="10"/>
      <c r="L778" s="14"/>
      <c r="M778" s="13"/>
    </row>
    <row r="779" customFormat="false" ht="15.75" hidden="false" customHeight="true" outlineLevel="0" collapsed="false">
      <c r="A779" s="8" t="n">
        <f aca="false">A778+1</f>
        <v>777</v>
      </c>
      <c r="B779" s="9" t="n">
        <f aca="false">MOD(4*A779^2,10)</f>
        <v>6</v>
      </c>
      <c r="C779" s="9" t="n">
        <f aca="false">(26*B779-5*B779^2)/24</f>
        <v>-1</v>
      </c>
      <c r="D779" s="9" t="n">
        <f aca="false">(A779^2+4*C779)/5</f>
        <v>120745</v>
      </c>
      <c r="E779" s="9" t="n">
        <f aca="false">MOD(D779,10)</f>
        <v>5</v>
      </c>
      <c r="F779" s="9" t="n">
        <f aca="false">2*D779</f>
        <v>241490</v>
      </c>
      <c r="G779" s="9" t="n">
        <f aca="false">MOD(F779,10)</f>
        <v>0</v>
      </c>
      <c r="H779" s="9" t="n">
        <f aca="false">G779/2</f>
        <v>0</v>
      </c>
      <c r="I779" s="9" t="str">
        <f aca="false">IF(H779=0,"—",IF(H779=1,"unison (1:1)",IF(H779=2,"octave (2:1)",IF(H779=3,"fifth (3:2)",IF(H779=4,"fourth (4:3)","?")))))</f>
        <v>—</v>
      </c>
      <c r="J779" s="9" t="str">
        <f aca="false">IF(H779=0,"—",IF(H779=1,"ὁμώνυμον",IF(H779=2,"διὰ πασῶν",IF(H779=3,"διὰ πέντε",IF(H779=4,"διὰ τεσσάρων","?")))))</f>
        <v>—</v>
      </c>
      <c r="K779" s="10"/>
      <c r="L779" s="14"/>
      <c r="M779" s="13"/>
    </row>
    <row r="780" customFormat="false" ht="15.75" hidden="false" customHeight="true" outlineLevel="0" collapsed="false">
      <c r="A780" s="8" t="n">
        <f aca="false">A779+1</f>
        <v>778</v>
      </c>
      <c r="B780" s="9" t="n">
        <f aca="false">MOD(4*A780^2,10)</f>
        <v>6</v>
      </c>
      <c r="C780" s="9" t="n">
        <f aca="false">(26*B780-5*B780^2)/24</f>
        <v>-1</v>
      </c>
      <c r="D780" s="9" t="n">
        <f aca="false">(A780^2+4*C780)/5</f>
        <v>121056</v>
      </c>
      <c r="E780" s="9" t="n">
        <f aca="false">MOD(D780,10)</f>
        <v>6</v>
      </c>
      <c r="F780" s="9" t="n">
        <f aca="false">2*D780</f>
        <v>242112</v>
      </c>
      <c r="G780" s="9" t="n">
        <f aca="false">MOD(F780,10)</f>
        <v>2</v>
      </c>
      <c r="H780" s="9" t="n">
        <f aca="false">G780/2</f>
        <v>1</v>
      </c>
      <c r="I780" s="9" t="str">
        <f aca="false">IF(H780=0,"—",IF(H780=1,"unison (1:1)",IF(H780=2,"octave (2:1)",IF(H780=3,"fifth (3:2)",IF(H780=4,"fourth (4:3)","?")))))</f>
        <v>unison (1:1)</v>
      </c>
      <c r="J780" s="9" t="str">
        <f aca="false">IF(H780=0,"—",IF(H780=1,"ὁμώνυμον",IF(H780=2,"διὰ πασῶν",IF(H780=3,"διὰ πέντε",IF(H780=4,"διὰ τεσσάρων","?")))))</f>
        <v>ὁμώνυμον</v>
      </c>
      <c r="K780" s="10"/>
      <c r="L780" s="14"/>
      <c r="M780" s="13"/>
    </row>
    <row r="781" customFormat="false" ht="15.75" hidden="false" customHeight="true" outlineLevel="0" collapsed="false">
      <c r="A781" s="8" t="n">
        <f aca="false">A780+1</f>
        <v>779</v>
      </c>
      <c r="B781" s="9" t="n">
        <f aca="false">MOD(4*A781^2,10)</f>
        <v>4</v>
      </c>
      <c r="C781" s="9" t="n">
        <f aca="false">(26*B781-5*B781^2)/24</f>
        <v>1</v>
      </c>
      <c r="D781" s="9" t="n">
        <f aca="false">(A781^2+4*C781)/5</f>
        <v>121369</v>
      </c>
      <c r="E781" s="9" t="n">
        <f aca="false">MOD(D781,10)</f>
        <v>9</v>
      </c>
      <c r="F781" s="9" t="n">
        <f aca="false">2*D781</f>
        <v>242738</v>
      </c>
      <c r="G781" s="9" t="n">
        <f aca="false">MOD(F781,10)</f>
        <v>8</v>
      </c>
      <c r="H781" s="9" t="n">
        <f aca="false">G781/2</f>
        <v>4</v>
      </c>
      <c r="I781" s="9" t="str">
        <f aca="false">IF(H781=0,"—",IF(H781=1,"unison (1:1)",IF(H781=2,"octave (2:1)",IF(H781=3,"fifth (3:2)",IF(H781=4,"fourth (4:3)","?")))))</f>
        <v>fourth (4:3)</v>
      </c>
      <c r="J781" s="9" t="str">
        <f aca="false">IF(H781=0,"—",IF(H781=1,"ὁμώνυμον",IF(H781=2,"διὰ πασῶν",IF(H781=3,"διὰ πέντε",IF(H781=4,"διὰ τεσσάρων","?")))))</f>
        <v>διὰ τεσσάρων</v>
      </c>
      <c r="K781" s="10"/>
      <c r="L781" s="14"/>
      <c r="M781" s="13"/>
    </row>
    <row r="782" customFormat="false" ht="15.75" hidden="false" customHeight="true" outlineLevel="0" collapsed="false">
      <c r="A782" s="8" t="n">
        <f aca="false">A781+1</f>
        <v>780</v>
      </c>
      <c r="B782" s="9" t="n">
        <f aca="false">MOD(4*A782^2,10)</f>
        <v>0</v>
      </c>
      <c r="C782" s="9" t="n">
        <f aca="false">(26*B782-5*B782^2)/24</f>
        <v>0</v>
      </c>
      <c r="D782" s="9" t="n">
        <f aca="false">(A782^2+4*C782)/5</f>
        <v>121680</v>
      </c>
      <c r="E782" s="9" t="n">
        <f aca="false">MOD(D782,10)</f>
        <v>0</v>
      </c>
      <c r="F782" s="9" t="n">
        <f aca="false">2*D782</f>
        <v>243360</v>
      </c>
      <c r="G782" s="9" t="n">
        <f aca="false">MOD(F782,10)</f>
        <v>0</v>
      </c>
      <c r="H782" s="9" t="n">
        <f aca="false">G782/2</f>
        <v>0</v>
      </c>
      <c r="I782" s="9" t="str">
        <f aca="false">IF(H782=0,"—",IF(H782=1,"unison (1:1)",IF(H782=2,"octave (2:1)",IF(H782=3,"fifth (3:2)",IF(H782=4,"fourth (4:3)","?")))))</f>
        <v>—</v>
      </c>
      <c r="J782" s="9" t="str">
        <f aca="false">IF(H782=0,"—",IF(H782=1,"ὁμώνυμον",IF(H782=2,"διὰ πασῶν",IF(H782=3,"διὰ πέντε",IF(H782=4,"διὰ τεσσάρων","?")))))</f>
        <v>—</v>
      </c>
      <c r="K782" s="10"/>
      <c r="L782" s="14"/>
      <c r="M782" s="13"/>
    </row>
    <row r="783" customFormat="false" ht="15.75" hidden="false" customHeight="true" outlineLevel="0" collapsed="false">
      <c r="A783" s="8" t="n">
        <f aca="false">A782+1</f>
        <v>781</v>
      </c>
      <c r="B783" s="9" t="n">
        <f aca="false">MOD(4*A783^2,10)</f>
        <v>4</v>
      </c>
      <c r="C783" s="9" t="n">
        <f aca="false">(26*B783-5*B783^2)/24</f>
        <v>1</v>
      </c>
      <c r="D783" s="9" t="n">
        <f aca="false">(A783^2+4*C783)/5</f>
        <v>121993</v>
      </c>
      <c r="E783" s="9" t="n">
        <f aca="false">MOD(D783,10)</f>
        <v>3</v>
      </c>
      <c r="F783" s="9" t="n">
        <f aca="false">2*D783</f>
        <v>243986</v>
      </c>
      <c r="G783" s="9" t="n">
        <f aca="false">MOD(F783,10)</f>
        <v>6</v>
      </c>
      <c r="H783" s="9" t="n">
        <f aca="false">G783/2</f>
        <v>3</v>
      </c>
      <c r="I783" s="9" t="str">
        <f aca="false">IF(H783=0,"—",IF(H783=1,"unison (1:1)",IF(H783=2,"octave (2:1)",IF(H783=3,"fifth (3:2)",IF(H783=4,"fourth (4:3)","?")))))</f>
        <v>fifth (3:2)</v>
      </c>
      <c r="J783" s="9" t="str">
        <f aca="false">IF(H783=0,"—",IF(H783=1,"ὁμώνυμον",IF(H783=2,"διὰ πασῶν",IF(H783=3,"διὰ πέντε",IF(H783=4,"διὰ τεσσάρων","?")))))</f>
        <v>διὰ πέντε</v>
      </c>
      <c r="K783" s="10"/>
      <c r="L783" s="14"/>
      <c r="M783" s="13"/>
    </row>
    <row r="784" customFormat="false" ht="15.75" hidden="false" customHeight="true" outlineLevel="0" collapsed="false">
      <c r="A784" s="8" t="n">
        <f aca="false">A783+1</f>
        <v>782</v>
      </c>
      <c r="B784" s="9" t="n">
        <f aca="false">MOD(4*A784^2,10)</f>
        <v>6</v>
      </c>
      <c r="C784" s="9" t="n">
        <f aca="false">(26*B784-5*B784^2)/24</f>
        <v>-1</v>
      </c>
      <c r="D784" s="9" t="n">
        <f aca="false">(A784^2+4*C784)/5</f>
        <v>122304</v>
      </c>
      <c r="E784" s="9" t="n">
        <f aca="false">MOD(D784,10)</f>
        <v>4</v>
      </c>
      <c r="F784" s="9" t="n">
        <f aca="false">2*D784</f>
        <v>244608</v>
      </c>
      <c r="G784" s="9" t="n">
        <f aca="false">MOD(F784,10)</f>
        <v>8</v>
      </c>
      <c r="H784" s="9" t="n">
        <f aca="false">G784/2</f>
        <v>4</v>
      </c>
      <c r="I784" s="9" t="str">
        <f aca="false">IF(H784=0,"—",IF(H784=1,"unison (1:1)",IF(H784=2,"octave (2:1)",IF(H784=3,"fifth (3:2)",IF(H784=4,"fourth (4:3)","?")))))</f>
        <v>fourth (4:3)</v>
      </c>
      <c r="J784" s="9" t="str">
        <f aca="false">IF(H784=0,"—",IF(H784=1,"ὁμώνυμον",IF(H784=2,"διὰ πασῶν",IF(H784=3,"διὰ πέντε",IF(H784=4,"διὰ τεσσάρων","?")))))</f>
        <v>διὰ τεσσάρων</v>
      </c>
      <c r="K784" s="10"/>
      <c r="L784" s="14"/>
      <c r="M784" s="13"/>
    </row>
    <row r="785" customFormat="false" ht="15.75" hidden="false" customHeight="true" outlineLevel="0" collapsed="false">
      <c r="A785" s="8" t="n">
        <f aca="false">A784+1</f>
        <v>783</v>
      </c>
      <c r="B785" s="9" t="n">
        <f aca="false">MOD(4*A785^2,10)</f>
        <v>6</v>
      </c>
      <c r="C785" s="9" t="n">
        <f aca="false">(26*B785-5*B785^2)/24</f>
        <v>-1</v>
      </c>
      <c r="D785" s="9" t="n">
        <f aca="false">(A785^2+4*C785)/5</f>
        <v>122617</v>
      </c>
      <c r="E785" s="9" t="n">
        <f aca="false">MOD(D785,10)</f>
        <v>7</v>
      </c>
      <c r="F785" s="9" t="n">
        <f aca="false">2*D785</f>
        <v>245234</v>
      </c>
      <c r="G785" s="9" t="n">
        <f aca="false">MOD(F785,10)</f>
        <v>4</v>
      </c>
      <c r="H785" s="9" t="n">
        <f aca="false">G785/2</f>
        <v>2</v>
      </c>
      <c r="I785" s="9" t="str">
        <f aca="false">IF(H785=0,"—",IF(H785=1,"unison (1:1)",IF(H785=2,"octave (2:1)",IF(H785=3,"fifth (3:2)",IF(H785=4,"fourth (4:3)","?")))))</f>
        <v>octave (2:1)</v>
      </c>
      <c r="J785" s="9" t="str">
        <f aca="false">IF(H785=0,"—",IF(H785=1,"ὁμώνυμον",IF(H785=2,"διὰ πασῶν",IF(H785=3,"διὰ πέντε",IF(H785=4,"διὰ τεσσάρων","?")))))</f>
        <v>διὰ πασῶν</v>
      </c>
      <c r="K785" s="10"/>
      <c r="L785" s="14"/>
      <c r="M785" s="13"/>
    </row>
    <row r="786" customFormat="false" ht="15.75" hidden="false" customHeight="true" outlineLevel="0" collapsed="false">
      <c r="A786" s="8" t="n">
        <f aca="false">A785+1</f>
        <v>784</v>
      </c>
      <c r="B786" s="9" t="n">
        <f aca="false">MOD(4*A786^2,10)</f>
        <v>4</v>
      </c>
      <c r="C786" s="9" t="n">
        <f aca="false">(26*B786-5*B786^2)/24</f>
        <v>1</v>
      </c>
      <c r="D786" s="9" t="n">
        <f aca="false">(A786^2+4*C786)/5</f>
        <v>122932</v>
      </c>
      <c r="E786" s="9" t="n">
        <f aca="false">MOD(D786,10)</f>
        <v>2</v>
      </c>
      <c r="F786" s="9" t="n">
        <f aca="false">2*D786</f>
        <v>245864</v>
      </c>
      <c r="G786" s="9" t="n">
        <f aca="false">MOD(F786,10)</f>
        <v>4</v>
      </c>
      <c r="H786" s="9" t="n">
        <f aca="false">G786/2</f>
        <v>2</v>
      </c>
      <c r="I786" s="9" t="str">
        <f aca="false">IF(H786=0,"—",IF(H786=1,"unison (1:1)",IF(H786=2,"octave (2:1)",IF(H786=3,"fifth (3:2)",IF(H786=4,"fourth (4:3)","?")))))</f>
        <v>octave (2:1)</v>
      </c>
      <c r="J786" s="9" t="str">
        <f aca="false">IF(H786=0,"—",IF(H786=1,"ὁμώνυμον",IF(H786=2,"διὰ πασῶν",IF(H786=3,"διὰ πέντε",IF(H786=4,"διὰ τεσσάρων","?")))))</f>
        <v>διὰ πασῶν</v>
      </c>
      <c r="K786" s="10"/>
      <c r="L786" s="14"/>
      <c r="M786" s="13"/>
    </row>
    <row r="787" customFormat="false" ht="15.75" hidden="false" customHeight="true" outlineLevel="0" collapsed="false">
      <c r="A787" s="8" t="n">
        <f aca="false">A786+1</f>
        <v>785</v>
      </c>
      <c r="B787" s="9" t="n">
        <f aca="false">MOD(4*A787^2,10)</f>
        <v>0</v>
      </c>
      <c r="C787" s="9" t="n">
        <f aca="false">(26*B787-5*B787^2)/24</f>
        <v>0</v>
      </c>
      <c r="D787" s="9" t="n">
        <f aca="false">(A787^2+4*C787)/5</f>
        <v>123245</v>
      </c>
      <c r="E787" s="9" t="n">
        <f aca="false">MOD(D787,10)</f>
        <v>5</v>
      </c>
      <c r="F787" s="9" t="n">
        <f aca="false">2*D787</f>
        <v>246490</v>
      </c>
      <c r="G787" s="9" t="n">
        <f aca="false">MOD(F787,10)</f>
        <v>0</v>
      </c>
      <c r="H787" s="9" t="n">
        <f aca="false">G787/2</f>
        <v>0</v>
      </c>
      <c r="I787" s="9" t="str">
        <f aca="false">IF(H787=0,"—",IF(H787=1,"unison (1:1)",IF(H787=2,"octave (2:1)",IF(H787=3,"fifth (3:2)",IF(H787=4,"fourth (4:3)","?")))))</f>
        <v>—</v>
      </c>
      <c r="J787" s="9" t="str">
        <f aca="false">IF(H787=0,"—",IF(H787=1,"ὁμώνυμον",IF(H787=2,"διὰ πασῶν",IF(H787=3,"διὰ πέντε",IF(H787=4,"διὰ τεσσάρων","?")))))</f>
        <v>—</v>
      </c>
      <c r="K787" s="10"/>
      <c r="L787" s="14"/>
      <c r="M787" s="13"/>
    </row>
    <row r="788" customFormat="false" ht="15.75" hidden="false" customHeight="true" outlineLevel="0" collapsed="false">
      <c r="A788" s="8" t="n">
        <f aca="false">A787+1</f>
        <v>786</v>
      </c>
      <c r="B788" s="9" t="n">
        <f aca="false">MOD(4*A788^2,10)</f>
        <v>4</v>
      </c>
      <c r="C788" s="9" t="n">
        <f aca="false">(26*B788-5*B788^2)/24</f>
        <v>1</v>
      </c>
      <c r="D788" s="9" t="n">
        <f aca="false">(A788^2+4*C788)/5</f>
        <v>123560</v>
      </c>
      <c r="E788" s="9" t="n">
        <f aca="false">MOD(D788,10)</f>
        <v>0</v>
      </c>
      <c r="F788" s="9" t="n">
        <f aca="false">2*D788</f>
        <v>247120</v>
      </c>
      <c r="G788" s="9" t="n">
        <f aca="false">MOD(F788,10)</f>
        <v>0</v>
      </c>
      <c r="H788" s="9" t="n">
        <f aca="false">G788/2</f>
        <v>0</v>
      </c>
      <c r="I788" s="9" t="str">
        <f aca="false">IF(H788=0,"—",IF(H788=1,"unison (1:1)",IF(H788=2,"octave (2:1)",IF(H788=3,"fifth (3:2)",IF(H788=4,"fourth (4:3)","?")))))</f>
        <v>—</v>
      </c>
      <c r="J788" s="9" t="str">
        <f aca="false">IF(H788=0,"—",IF(H788=1,"ὁμώνυμον",IF(H788=2,"διὰ πασῶν",IF(H788=3,"διὰ πέντε",IF(H788=4,"διὰ τεσσάρων","?")))))</f>
        <v>—</v>
      </c>
      <c r="K788" s="10"/>
      <c r="L788" s="14"/>
      <c r="M788" s="13"/>
    </row>
    <row r="789" customFormat="false" ht="15.75" hidden="false" customHeight="true" outlineLevel="0" collapsed="false">
      <c r="A789" s="8" t="n">
        <f aca="false">A788+1</f>
        <v>787</v>
      </c>
      <c r="B789" s="9" t="n">
        <f aca="false">MOD(4*A789^2,10)</f>
        <v>6</v>
      </c>
      <c r="C789" s="9" t="n">
        <f aca="false">(26*B789-5*B789^2)/24</f>
        <v>-1</v>
      </c>
      <c r="D789" s="9" t="n">
        <f aca="false">(A789^2+4*C789)/5</f>
        <v>123873</v>
      </c>
      <c r="E789" s="9" t="n">
        <f aca="false">MOD(D789,10)</f>
        <v>3</v>
      </c>
      <c r="F789" s="9" t="n">
        <f aca="false">2*D789</f>
        <v>247746</v>
      </c>
      <c r="G789" s="9" t="n">
        <f aca="false">MOD(F789,10)</f>
        <v>6</v>
      </c>
      <c r="H789" s="9" t="n">
        <f aca="false">G789/2</f>
        <v>3</v>
      </c>
      <c r="I789" s="9" t="str">
        <f aca="false">IF(H789=0,"—",IF(H789=1,"unison (1:1)",IF(H789=2,"octave (2:1)",IF(H789=3,"fifth (3:2)",IF(H789=4,"fourth (4:3)","?")))))</f>
        <v>fifth (3:2)</v>
      </c>
      <c r="J789" s="9" t="str">
        <f aca="false">IF(H789=0,"—",IF(H789=1,"ὁμώνυμον",IF(H789=2,"διὰ πασῶν",IF(H789=3,"διὰ πέντε",IF(H789=4,"διὰ τεσσάρων","?")))))</f>
        <v>διὰ πέντε</v>
      </c>
      <c r="K789" s="10"/>
      <c r="L789" s="14"/>
      <c r="M789" s="13"/>
    </row>
    <row r="790" customFormat="false" ht="15.75" hidden="false" customHeight="true" outlineLevel="0" collapsed="false">
      <c r="A790" s="8" t="n">
        <f aca="false">A789+1</f>
        <v>788</v>
      </c>
      <c r="B790" s="9" t="n">
        <f aca="false">MOD(4*A790^2,10)</f>
        <v>6</v>
      </c>
      <c r="C790" s="9" t="n">
        <f aca="false">(26*B790-5*B790^2)/24</f>
        <v>-1</v>
      </c>
      <c r="D790" s="9" t="n">
        <f aca="false">(A790^2+4*C790)/5</f>
        <v>124188</v>
      </c>
      <c r="E790" s="9" t="n">
        <f aca="false">MOD(D790,10)</f>
        <v>8</v>
      </c>
      <c r="F790" s="9" t="n">
        <f aca="false">2*D790</f>
        <v>248376</v>
      </c>
      <c r="G790" s="9" t="n">
        <f aca="false">MOD(F790,10)</f>
        <v>6</v>
      </c>
      <c r="H790" s="9" t="n">
        <f aca="false">G790/2</f>
        <v>3</v>
      </c>
      <c r="I790" s="9" t="str">
        <f aca="false">IF(H790=0,"—",IF(H790=1,"unison (1:1)",IF(H790=2,"octave (2:1)",IF(H790=3,"fifth (3:2)",IF(H790=4,"fourth (4:3)","?")))))</f>
        <v>fifth (3:2)</v>
      </c>
      <c r="J790" s="9" t="str">
        <f aca="false">IF(H790=0,"—",IF(H790=1,"ὁμώνυμον",IF(H790=2,"διὰ πασῶν",IF(H790=3,"διὰ πέντε",IF(H790=4,"διὰ τεσσάρων","?")))))</f>
        <v>διὰ πέντε</v>
      </c>
      <c r="K790" s="10"/>
      <c r="L790" s="14"/>
      <c r="M790" s="13"/>
    </row>
    <row r="791" customFormat="false" ht="15.75" hidden="false" customHeight="true" outlineLevel="0" collapsed="false">
      <c r="A791" s="8" t="n">
        <f aca="false">A790+1</f>
        <v>789</v>
      </c>
      <c r="B791" s="9" t="n">
        <f aca="false">MOD(4*A791^2,10)</f>
        <v>4</v>
      </c>
      <c r="C791" s="9" t="n">
        <f aca="false">(26*B791-5*B791^2)/24</f>
        <v>1</v>
      </c>
      <c r="D791" s="9" t="n">
        <f aca="false">(A791^2+4*C791)/5</f>
        <v>124505</v>
      </c>
      <c r="E791" s="9" t="n">
        <f aca="false">MOD(D791,10)</f>
        <v>5</v>
      </c>
      <c r="F791" s="9" t="n">
        <f aca="false">2*D791</f>
        <v>249010</v>
      </c>
      <c r="G791" s="9" t="n">
        <f aca="false">MOD(F791,10)</f>
        <v>0</v>
      </c>
      <c r="H791" s="9" t="n">
        <f aca="false">G791/2</f>
        <v>0</v>
      </c>
      <c r="I791" s="9" t="str">
        <f aca="false">IF(H791=0,"—",IF(H791=1,"unison (1:1)",IF(H791=2,"octave (2:1)",IF(H791=3,"fifth (3:2)",IF(H791=4,"fourth (4:3)","?")))))</f>
        <v>—</v>
      </c>
      <c r="J791" s="9" t="str">
        <f aca="false">IF(H791=0,"—",IF(H791=1,"ὁμώνυμον",IF(H791=2,"διὰ πασῶν",IF(H791=3,"διὰ πέντε",IF(H791=4,"διὰ τεσσάρων","?")))))</f>
        <v>—</v>
      </c>
      <c r="K791" s="10"/>
      <c r="L791" s="14"/>
      <c r="M791" s="13"/>
    </row>
    <row r="792" customFormat="false" ht="15.75" hidden="false" customHeight="true" outlineLevel="0" collapsed="false">
      <c r="A792" s="8" t="n">
        <f aca="false">A791+1</f>
        <v>790</v>
      </c>
      <c r="B792" s="9" t="n">
        <f aca="false">MOD(4*A792^2,10)</f>
        <v>0</v>
      </c>
      <c r="C792" s="9" t="n">
        <f aca="false">(26*B792-5*B792^2)/24</f>
        <v>0</v>
      </c>
      <c r="D792" s="9" t="n">
        <f aca="false">(A792^2+4*C792)/5</f>
        <v>124820</v>
      </c>
      <c r="E792" s="9" t="n">
        <f aca="false">MOD(D792,10)</f>
        <v>0</v>
      </c>
      <c r="F792" s="9" t="n">
        <f aca="false">2*D792</f>
        <v>249640</v>
      </c>
      <c r="G792" s="9" t="n">
        <f aca="false">MOD(F792,10)</f>
        <v>0</v>
      </c>
      <c r="H792" s="9" t="n">
        <f aca="false">G792/2</f>
        <v>0</v>
      </c>
      <c r="I792" s="9" t="str">
        <f aca="false">IF(H792=0,"—",IF(H792=1,"unison (1:1)",IF(H792=2,"octave (2:1)",IF(H792=3,"fifth (3:2)",IF(H792=4,"fourth (4:3)","?")))))</f>
        <v>—</v>
      </c>
      <c r="J792" s="9" t="str">
        <f aca="false">IF(H792=0,"—",IF(H792=1,"ὁμώνυμον",IF(H792=2,"διὰ πασῶν",IF(H792=3,"διὰ πέντε",IF(H792=4,"διὰ τεσσάρων","?")))))</f>
        <v>—</v>
      </c>
      <c r="K792" s="10"/>
      <c r="L792" s="14"/>
      <c r="M792" s="13"/>
    </row>
    <row r="793" customFormat="false" ht="15.75" hidden="false" customHeight="true" outlineLevel="0" collapsed="false">
      <c r="A793" s="8" t="n">
        <f aca="false">A792+1</f>
        <v>791</v>
      </c>
      <c r="B793" s="9" t="n">
        <f aca="false">MOD(4*A793^2,10)</f>
        <v>4</v>
      </c>
      <c r="C793" s="9" t="n">
        <f aca="false">(26*B793-5*B793^2)/24</f>
        <v>1</v>
      </c>
      <c r="D793" s="9" t="n">
        <f aca="false">(A793^2+4*C793)/5</f>
        <v>125137</v>
      </c>
      <c r="E793" s="9" t="n">
        <f aca="false">MOD(D793,10)</f>
        <v>7</v>
      </c>
      <c r="F793" s="9" t="n">
        <f aca="false">2*D793</f>
        <v>250274</v>
      </c>
      <c r="G793" s="9" t="n">
        <f aca="false">MOD(F793,10)</f>
        <v>4</v>
      </c>
      <c r="H793" s="9" t="n">
        <f aca="false">G793/2</f>
        <v>2</v>
      </c>
      <c r="I793" s="9" t="str">
        <f aca="false">IF(H793=0,"—",IF(H793=1,"unison (1:1)",IF(H793=2,"octave (2:1)",IF(H793=3,"fifth (3:2)",IF(H793=4,"fourth (4:3)","?")))))</f>
        <v>octave (2:1)</v>
      </c>
      <c r="J793" s="9" t="str">
        <f aca="false">IF(H793=0,"—",IF(H793=1,"ὁμώνυμον",IF(H793=2,"διὰ πασῶν",IF(H793=3,"διὰ πέντε",IF(H793=4,"διὰ τεσσάρων","?")))))</f>
        <v>διὰ πασῶν</v>
      </c>
      <c r="K793" s="10"/>
      <c r="L793" s="14"/>
      <c r="M793" s="13"/>
    </row>
    <row r="794" customFormat="false" ht="15.75" hidden="false" customHeight="true" outlineLevel="0" collapsed="false">
      <c r="A794" s="8" t="n">
        <f aca="false">A793+1</f>
        <v>792</v>
      </c>
      <c r="B794" s="9" t="n">
        <f aca="false">MOD(4*A794^2,10)</f>
        <v>6</v>
      </c>
      <c r="C794" s="9" t="n">
        <f aca="false">(26*B794-5*B794^2)/24</f>
        <v>-1</v>
      </c>
      <c r="D794" s="9" t="n">
        <f aca="false">(A794^2+4*C794)/5</f>
        <v>125452</v>
      </c>
      <c r="E794" s="9" t="n">
        <f aca="false">MOD(D794,10)</f>
        <v>2</v>
      </c>
      <c r="F794" s="9" t="n">
        <f aca="false">2*D794</f>
        <v>250904</v>
      </c>
      <c r="G794" s="9" t="n">
        <f aca="false">MOD(F794,10)</f>
        <v>4</v>
      </c>
      <c r="H794" s="9" t="n">
        <f aca="false">G794/2</f>
        <v>2</v>
      </c>
      <c r="I794" s="9" t="str">
        <f aca="false">IF(H794=0,"—",IF(H794=1,"unison (1:1)",IF(H794=2,"octave (2:1)",IF(H794=3,"fifth (3:2)",IF(H794=4,"fourth (4:3)","?")))))</f>
        <v>octave (2:1)</v>
      </c>
      <c r="J794" s="9" t="str">
        <f aca="false">IF(H794=0,"—",IF(H794=1,"ὁμώνυμον",IF(H794=2,"διὰ πασῶν",IF(H794=3,"διὰ πέντε",IF(H794=4,"διὰ τεσσάρων","?")))))</f>
        <v>διὰ πασῶν</v>
      </c>
      <c r="K794" s="10"/>
      <c r="L794" s="14"/>
      <c r="M794" s="13"/>
    </row>
    <row r="795" customFormat="false" ht="15.75" hidden="false" customHeight="true" outlineLevel="0" collapsed="false">
      <c r="A795" s="8" t="n">
        <f aca="false">A794+1</f>
        <v>793</v>
      </c>
      <c r="B795" s="9" t="n">
        <f aca="false">MOD(4*A795^2,10)</f>
        <v>6</v>
      </c>
      <c r="C795" s="9" t="n">
        <f aca="false">(26*B795-5*B795^2)/24</f>
        <v>-1</v>
      </c>
      <c r="D795" s="9" t="n">
        <f aca="false">(A795^2+4*C795)/5</f>
        <v>125769</v>
      </c>
      <c r="E795" s="9" t="n">
        <f aca="false">MOD(D795,10)</f>
        <v>9</v>
      </c>
      <c r="F795" s="9" t="n">
        <f aca="false">2*D795</f>
        <v>251538</v>
      </c>
      <c r="G795" s="9" t="n">
        <f aca="false">MOD(F795,10)</f>
        <v>8</v>
      </c>
      <c r="H795" s="9" t="n">
        <f aca="false">G795/2</f>
        <v>4</v>
      </c>
      <c r="I795" s="9" t="str">
        <f aca="false">IF(H795=0,"—",IF(H795=1,"unison (1:1)",IF(H795=2,"octave (2:1)",IF(H795=3,"fifth (3:2)",IF(H795=4,"fourth (4:3)","?")))))</f>
        <v>fourth (4:3)</v>
      </c>
      <c r="J795" s="9" t="str">
        <f aca="false">IF(H795=0,"—",IF(H795=1,"ὁμώνυμον",IF(H795=2,"διὰ πασῶν",IF(H795=3,"διὰ πέντε",IF(H795=4,"διὰ τεσσάρων","?")))))</f>
        <v>διὰ τεσσάρων</v>
      </c>
      <c r="K795" s="10"/>
      <c r="L795" s="14"/>
      <c r="M795" s="13"/>
    </row>
    <row r="796" customFormat="false" ht="15.75" hidden="false" customHeight="true" outlineLevel="0" collapsed="false">
      <c r="A796" s="8" t="n">
        <f aca="false">A795+1</f>
        <v>794</v>
      </c>
      <c r="B796" s="9" t="n">
        <f aca="false">MOD(4*A796^2,10)</f>
        <v>4</v>
      </c>
      <c r="C796" s="9" t="n">
        <f aca="false">(26*B796-5*B796^2)/24</f>
        <v>1</v>
      </c>
      <c r="D796" s="9" t="n">
        <f aca="false">(A796^2+4*C796)/5</f>
        <v>126088</v>
      </c>
      <c r="E796" s="9" t="n">
        <f aca="false">MOD(D796,10)</f>
        <v>8</v>
      </c>
      <c r="F796" s="9" t="n">
        <f aca="false">2*D796</f>
        <v>252176</v>
      </c>
      <c r="G796" s="9" t="n">
        <f aca="false">MOD(F796,10)</f>
        <v>6</v>
      </c>
      <c r="H796" s="9" t="n">
        <f aca="false">G796/2</f>
        <v>3</v>
      </c>
      <c r="I796" s="9" t="str">
        <f aca="false">IF(H796=0,"—",IF(H796=1,"unison (1:1)",IF(H796=2,"octave (2:1)",IF(H796=3,"fifth (3:2)",IF(H796=4,"fourth (4:3)","?")))))</f>
        <v>fifth (3:2)</v>
      </c>
      <c r="J796" s="9" t="str">
        <f aca="false">IF(H796=0,"—",IF(H796=1,"ὁμώνυμον",IF(H796=2,"διὰ πασῶν",IF(H796=3,"διὰ πέντε",IF(H796=4,"διὰ τεσσάρων","?")))))</f>
        <v>διὰ πέντε</v>
      </c>
      <c r="K796" s="10"/>
      <c r="L796" s="14"/>
      <c r="M796" s="13"/>
    </row>
    <row r="797" customFormat="false" ht="15.75" hidden="false" customHeight="true" outlineLevel="0" collapsed="false">
      <c r="A797" s="8" t="n">
        <f aca="false">A796+1</f>
        <v>795</v>
      </c>
      <c r="B797" s="9" t="n">
        <f aca="false">MOD(4*A797^2,10)</f>
        <v>0</v>
      </c>
      <c r="C797" s="9" t="n">
        <f aca="false">(26*B797-5*B797^2)/24</f>
        <v>0</v>
      </c>
      <c r="D797" s="9" t="n">
        <f aca="false">(A797^2+4*C797)/5</f>
        <v>126405</v>
      </c>
      <c r="E797" s="9" t="n">
        <f aca="false">MOD(D797,10)</f>
        <v>5</v>
      </c>
      <c r="F797" s="9" t="n">
        <f aca="false">2*D797</f>
        <v>252810</v>
      </c>
      <c r="G797" s="9" t="n">
        <f aca="false">MOD(F797,10)</f>
        <v>0</v>
      </c>
      <c r="H797" s="9" t="n">
        <f aca="false">G797/2</f>
        <v>0</v>
      </c>
      <c r="I797" s="9" t="str">
        <f aca="false">IF(H797=0,"—",IF(H797=1,"unison (1:1)",IF(H797=2,"octave (2:1)",IF(H797=3,"fifth (3:2)",IF(H797=4,"fourth (4:3)","?")))))</f>
        <v>—</v>
      </c>
      <c r="J797" s="9" t="str">
        <f aca="false">IF(H797=0,"—",IF(H797=1,"ὁμώνυμον",IF(H797=2,"διὰ πασῶν",IF(H797=3,"διὰ πέντε",IF(H797=4,"διὰ τεσσάρων","?")))))</f>
        <v>—</v>
      </c>
      <c r="K797" s="10"/>
      <c r="L797" s="14"/>
      <c r="M797" s="13"/>
    </row>
    <row r="798" customFormat="false" ht="15.75" hidden="false" customHeight="true" outlineLevel="0" collapsed="false">
      <c r="A798" s="8" t="n">
        <f aca="false">A797+1</f>
        <v>796</v>
      </c>
      <c r="B798" s="9" t="n">
        <f aca="false">MOD(4*A798^2,10)</f>
        <v>4</v>
      </c>
      <c r="C798" s="9" t="n">
        <f aca="false">(26*B798-5*B798^2)/24</f>
        <v>1</v>
      </c>
      <c r="D798" s="9" t="n">
        <f aca="false">(A798^2+4*C798)/5</f>
        <v>126724</v>
      </c>
      <c r="E798" s="9" t="n">
        <f aca="false">MOD(D798,10)</f>
        <v>4</v>
      </c>
      <c r="F798" s="9" t="n">
        <f aca="false">2*D798</f>
        <v>253448</v>
      </c>
      <c r="G798" s="9" t="n">
        <f aca="false">MOD(F798,10)</f>
        <v>8</v>
      </c>
      <c r="H798" s="9" t="n">
        <f aca="false">G798/2</f>
        <v>4</v>
      </c>
      <c r="I798" s="9" t="str">
        <f aca="false">IF(H798=0,"—",IF(H798=1,"unison (1:1)",IF(H798=2,"octave (2:1)",IF(H798=3,"fifth (3:2)",IF(H798=4,"fourth (4:3)","?")))))</f>
        <v>fourth (4:3)</v>
      </c>
      <c r="J798" s="9" t="str">
        <f aca="false">IF(H798=0,"—",IF(H798=1,"ὁμώνυμον",IF(H798=2,"διὰ πασῶν",IF(H798=3,"διὰ πέντε",IF(H798=4,"διὰ τεσσάρων","?")))))</f>
        <v>διὰ τεσσάρων</v>
      </c>
      <c r="K798" s="10"/>
      <c r="L798" s="14"/>
      <c r="M798" s="13"/>
    </row>
    <row r="799" customFormat="false" ht="15.75" hidden="false" customHeight="true" outlineLevel="0" collapsed="false">
      <c r="A799" s="8" t="n">
        <f aca="false">A798+1</f>
        <v>797</v>
      </c>
      <c r="B799" s="9" t="n">
        <f aca="false">MOD(4*A799^2,10)</f>
        <v>6</v>
      </c>
      <c r="C799" s="9" t="n">
        <f aca="false">(26*B799-5*B799^2)/24</f>
        <v>-1</v>
      </c>
      <c r="D799" s="9" t="n">
        <f aca="false">(A799^2+4*C799)/5</f>
        <v>127041</v>
      </c>
      <c r="E799" s="9" t="n">
        <f aca="false">MOD(D799,10)</f>
        <v>1</v>
      </c>
      <c r="F799" s="9" t="n">
        <f aca="false">2*D799</f>
        <v>254082</v>
      </c>
      <c r="G799" s="9" t="n">
        <f aca="false">MOD(F799,10)</f>
        <v>2</v>
      </c>
      <c r="H799" s="9" t="n">
        <f aca="false">G799/2</f>
        <v>1</v>
      </c>
      <c r="I799" s="9" t="str">
        <f aca="false">IF(H799=0,"—",IF(H799=1,"unison (1:1)",IF(H799=2,"octave (2:1)",IF(H799=3,"fifth (3:2)",IF(H799=4,"fourth (4:3)","?")))))</f>
        <v>unison (1:1)</v>
      </c>
      <c r="J799" s="9" t="str">
        <f aca="false">IF(H799=0,"—",IF(H799=1,"ὁμώνυμον",IF(H799=2,"διὰ πασῶν",IF(H799=3,"διὰ πέντε",IF(H799=4,"διὰ τεσσάρων","?")))))</f>
        <v>ὁμώνυμον</v>
      </c>
      <c r="K799" s="10"/>
      <c r="L799" s="14"/>
      <c r="M799" s="13"/>
    </row>
    <row r="800" customFormat="false" ht="15.75" hidden="false" customHeight="true" outlineLevel="0" collapsed="false">
      <c r="A800" s="8" t="n">
        <f aca="false">A799+1</f>
        <v>798</v>
      </c>
      <c r="B800" s="9" t="n">
        <f aca="false">MOD(4*A800^2,10)</f>
        <v>6</v>
      </c>
      <c r="C800" s="9" t="n">
        <f aca="false">(26*B800-5*B800^2)/24</f>
        <v>-1</v>
      </c>
      <c r="D800" s="9" t="n">
        <f aca="false">(A800^2+4*C800)/5</f>
        <v>127360</v>
      </c>
      <c r="E800" s="9" t="n">
        <f aca="false">MOD(D800,10)</f>
        <v>0</v>
      </c>
      <c r="F800" s="9" t="n">
        <f aca="false">2*D800</f>
        <v>254720</v>
      </c>
      <c r="G800" s="9" t="n">
        <f aca="false">MOD(F800,10)</f>
        <v>0</v>
      </c>
      <c r="H800" s="9" t="n">
        <f aca="false">G800/2</f>
        <v>0</v>
      </c>
      <c r="I800" s="9" t="str">
        <f aca="false">IF(H800=0,"—",IF(H800=1,"unison (1:1)",IF(H800=2,"octave (2:1)",IF(H800=3,"fifth (3:2)",IF(H800=4,"fourth (4:3)","?")))))</f>
        <v>—</v>
      </c>
      <c r="J800" s="9" t="str">
        <f aca="false">IF(H800=0,"—",IF(H800=1,"ὁμώνυμον",IF(H800=2,"διὰ πασῶν",IF(H800=3,"διὰ πέντε",IF(H800=4,"διὰ τεσσάρων","?")))))</f>
        <v>—</v>
      </c>
      <c r="K800" s="10"/>
      <c r="L800" s="14"/>
      <c r="M800" s="13"/>
    </row>
    <row r="801" customFormat="false" ht="15.75" hidden="false" customHeight="true" outlineLevel="0" collapsed="false">
      <c r="A801" s="8" t="n">
        <f aca="false">A800+1</f>
        <v>799</v>
      </c>
      <c r="B801" s="9" t="n">
        <f aca="false">MOD(4*A801^2,10)</f>
        <v>4</v>
      </c>
      <c r="C801" s="9" t="n">
        <f aca="false">(26*B801-5*B801^2)/24</f>
        <v>1</v>
      </c>
      <c r="D801" s="9" t="n">
        <f aca="false">(A801^2+4*C801)/5</f>
        <v>127681</v>
      </c>
      <c r="E801" s="9" t="n">
        <f aca="false">MOD(D801,10)</f>
        <v>1</v>
      </c>
      <c r="F801" s="9" t="n">
        <f aca="false">2*D801</f>
        <v>255362</v>
      </c>
      <c r="G801" s="9" t="n">
        <f aca="false">MOD(F801,10)</f>
        <v>2</v>
      </c>
      <c r="H801" s="9" t="n">
        <f aca="false">G801/2</f>
        <v>1</v>
      </c>
      <c r="I801" s="9" t="str">
        <f aca="false">IF(H801=0,"—",IF(H801=1,"unison (1:1)",IF(H801=2,"octave (2:1)",IF(H801=3,"fifth (3:2)",IF(H801=4,"fourth (4:3)","?")))))</f>
        <v>unison (1:1)</v>
      </c>
      <c r="J801" s="9" t="str">
        <f aca="false">IF(H801=0,"—",IF(H801=1,"ὁμώνυμον",IF(H801=2,"διὰ πασῶν",IF(H801=3,"διὰ πέντε",IF(H801=4,"διὰ τεσσάρων","?")))))</f>
        <v>ὁμώνυμον</v>
      </c>
      <c r="K801" s="10"/>
      <c r="L801" s="14"/>
      <c r="M801" s="13"/>
    </row>
    <row r="802" customFormat="false" ht="15.75" hidden="false" customHeight="true" outlineLevel="0" collapsed="false">
      <c r="A802" s="8" t="n">
        <f aca="false">A801+1</f>
        <v>800</v>
      </c>
      <c r="B802" s="9" t="n">
        <f aca="false">MOD(4*A802^2,10)</f>
        <v>0</v>
      </c>
      <c r="C802" s="9" t="n">
        <f aca="false">(26*B802-5*B802^2)/24</f>
        <v>0</v>
      </c>
      <c r="D802" s="9" t="n">
        <f aca="false">(A802^2+4*C802)/5</f>
        <v>128000</v>
      </c>
      <c r="E802" s="9" t="n">
        <f aca="false">MOD(D802,10)</f>
        <v>0</v>
      </c>
      <c r="F802" s="9" t="n">
        <f aca="false">2*D802</f>
        <v>256000</v>
      </c>
      <c r="G802" s="9" t="n">
        <f aca="false">MOD(F802,10)</f>
        <v>0</v>
      </c>
      <c r="H802" s="9" t="n">
        <f aca="false">G802/2</f>
        <v>0</v>
      </c>
      <c r="I802" s="9" t="str">
        <f aca="false">IF(H802=0,"—",IF(H802=1,"unison (1:1)",IF(H802=2,"octave (2:1)",IF(H802=3,"fifth (3:2)",IF(H802=4,"fourth (4:3)","?")))))</f>
        <v>—</v>
      </c>
      <c r="J802" s="9" t="str">
        <f aca="false">IF(H802=0,"—",IF(H802=1,"ὁμώνυμον",IF(H802=2,"διὰ πασῶν",IF(H802=3,"διὰ πέντε",IF(H802=4,"διὰ τεσσάρων","?")))))</f>
        <v>—</v>
      </c>
      <c r="K802" s="10"/>
      <c r="L802" s="14"/>
      <c r="M802" s="13"/>
    </row>
    <row r="803" customFormat="false" ht="15.75" hidden="false" customHeight="true" outlineLevel="0" collapsed="false">
      <c r="A803" s="8" t="n">
        <f aca="false">A802+1</f>
        <v>801</v>
      </c>
      <c r="B803" s="9" t="n">
        <f aca="false">MOD(4*A803^2,10)</f>
        <v>4</v>
      </c>
      <c r="C803" s="9" t="n">
        <f aca="false">(26*B803-5*B803^2)/24</f>
        <v>1</v>
      </c>
      <c r="D803" s="9" t="n">
        <f aca="false">(A803^2+4*C803)/5</f>
        <v>128321</v>
      </c>
      <c r="E803" s="9" t="n">
        <f aca="false">MOD(D803,10)</f>
        <v>1</v>
      </c>
      <c r="F803" s="9" t="n">
        <f aca="false">2*D803</f>
        <v>256642</v>
      </c>
      <c r="G803" s="9" t="n">
        <f aca="false">MOD(F803,10)</f>
        <v>2</v>
      </c>
      <c r="H803" s="9" t="n">
        <f aca="false">G803/2</f>
        <v>1</v>
      </c>
      <c r="I803" s="9" t="str">
        <f aca="false">IF(H803=0,"—",IF(H803=1,"unison (1:1)",IF(H803=2,"octave (2:1)",IF(H803=3,"fifth (3:2)",IF(H803=4,"fourth (4:3)","?")))))</f>
        <v>unison (1:1)</v>
      </c>
      <c r="J803" s="9" t="str">
        <f aca="false">IF(H803=0,"—",IF(H803=1,"ὁμώνυμον",IF(H803=2,"διὰ πασῶν",IF(H803=3,"διὰ πέντε",IF(H803=4,"διὰ τεσσάρων","?")))))</f>
        <v>ὁμώνυμον</v>
      </c>
      <c r="K803" s="10"/>
      <c r="L803" s="14"/>
      <c r="M803" s="13"/>
    </row>
    <row r="804" customFormat="false" ht="15.75" hidden="false" customHeight="true" outlineLevel="0" collapsed="false">
      <c r="A804" s="8" t="n">
        <f aca="false">A803+1</f>
        <v>802</v>
      </c>
      <c r="B804" s="9" t="n">
        <f aca="false">MOD(4*A804^2,10)</f>
        <v>6</v>
      </c>
      <c r="C804" s="9" t="n">
        <f aca="false">(26*B804-5*B804^2)/24</f>
        <v>-1</v>
      </c>
      <c r="D804" s="9" t="n">
        <f aca="false">(A804^2+4*C804)/5</f>
        <v>128640</v>
      </c>
      <c r="E804" s="9" t="n">
        <f aca="false">MOD(D804,10)</f>
        <v>0</v>
      </c>
      <c r="F804" s="9" t="n">
        <f aca="false">2*D804</f>
        <v>257280</v>
      </c>
      <c r="G804" s="9" t="n">
        <f aca="false">MOD(F804,10)</f>
        <v>0</v>
      </c>
      <c r="H804" s="9" t="n">
        <f aca="false">G804/2</f>
        <v>0</v>
      </c>
      <c r="I804" s="9" t="str">
        <f aca="false">IF(H804=0,"—",IF(H804=1,"unison (1:1)",IF(H804=2,"octave (2:1)",IF(H804=3,"fifth (3:2)",IF(H804=4,"fourth (4:3)","?")))))</f>
        <v>—</v>
      </c>
      <c r="J804" s="9" t="str">
        <f aca="false">IF(H804=0,"—",IF(H804=1,"ὁμώνυμον",IF(H804=2,"διὰ πασῶν",IF(H804=3,"διὰ πέντε",IF(H804=4,"διὰ τεσσάρων","?")))))</f>
        <v>—</v>
      </c>
      <c r="K804" s="10"/>
      <c r="L804" s="14"/>
      <c r="M804" s="13"/>
    </row>
    <row r="805" customFormat="false" ht="15.75" hidden="false" customHeight="true" outlineLevel="0" collapsed="false">
      <c r="A805" s="8" t="n">
        <f aca="false">A804+1</f>
        <v>803</v>
      </c>
      <c r="B805" s="9" t="n">
        <f aca="false">MOD(4*A805^2,10)</f>
        <v>6</v>
      </c>
      <c r="C805" s="9" t="n">
        <f aca="false">(26*B805-5*B805^2)/24</f>
        <v>-1</v>
      </c>
      <c r="D805" s="9" t="n">
        <f aca="false">(A805^2+4*C805)/5</f>
        <v>128961</v>
      </c>
      <c r="E805" s="9" t="n">
        <f aca="false">MOD(D805,10)</f>
        <v>1</v>
      </c>
      <c r="F805" s="9" t="n">
        <f aca="false">2*D805</f>
        <v>257922</v>
      </c>
      <c r="G805" s="9" t="n">
        <f aca="false">MOD(F805,10)</f>
        <v>2</v>
      </c>
      <c r="H805" s="9" t="n">
        <f aca="false">G805/2</f>
        <v>1</v>
      </c>
      <c r="I805" s="9" t="str">
        <f aca="false">IF(H805=0,"—",IF(H805=1,"unison (1:1)",IF(H805=2,"octave (2:1)",IF(H805=3,"fifth (3:2)",IF(H805=4,"fourth (4:3)","?")))))</f>
        <v>unison (1:1)</v>
      </c>
      <c r="J805" s="9" t="str">
        <f aca="false">IF(H805=0,"—",IF(H805=1,"ὁμώνυμον",IF(H805=2,"διὰ πασῶν",IF(H805=3,"διὰ πέντε",IF(H805=4,"διὰ τεσσάρων","?")))))</f>
        <v>ὁμώνυμον</v>
      </c>
      <c r="K805" s="10"/>
      <c r="L805" s="14"/>
      <c r="M805" s="13"/>
    </row>
    <row r="806" customFormat="false" ht="15.75" hidden="false" customHeight="true" outlineLevel="0" collapsed="false">
      <c r="A806" s="8" t="n">
        <f aca="false">A805+1</f>
        <v>804</v>
      </c>
      <c r="B806" s="9" t="n">
        <f aca="false">MOD(4*A806^2,10)</f>
        <v>4</v>
      </c>
      <c r="C806" s="9" t="n">
        <f aca="false">(26*B806-5*B806^2)/24</f>
        <v>1</v>
      </c>
      <c r="D806" s="9" t="n">
        <f aca="false">(A806^2+4*C806)/5</f>
        <v>129284</v>
      </c>
      <c r="E806" s="9" t="n">
        <f aca="false">MOD(D806,10)</f>
        <v>4</v>
      </c>
      <c r="F806" s="9" t="n">
        <f aca="false">2*D806</f>
        <v>258568</v>
      </c>
      <c r="G806" s="9" t="n">
        <f aca="false">MOD(F806,10)</f>
        <v>8</v>
      </c>
      <c r="H806" s="9" t="n">
        <f aca="false">G806/2</f>
        <v>4</v>
      </c>
      <c r="I806" s="9" t="str">
        <f aca="false">IF(H806=0,"—",IF(H806=1,"unison (1:1)",IF(H806=2,"octave (2:1)",IF(H806=3,"fifth (3:2)",IF(H806=4,"fourth (4:3)","?")))))</f>
        <v>fourth (4:3)</v>
      </c>
      <c r="J806" s="9" t="str">
        <f aca="false">IF(H806=0,"—",IF(H806=1,"ὁμώνυμον",IF(H806=2,"διὰ πασῶν",IF(H806=3,"διὰ πέντε",IF(H806=4,"διὰ τεσσάρων","?")))))</f>
        <v>διὰ τεσσάρων</v>
      </c>
      <c r="K806" s="10"/>
      <c r="L806" s="14"/>
      <c r="M806" s="13"/>
    </row>
    <row r="807" customFormat="false" ht="15.75" hidden="false" customHeight="true" outlineLevel="0" collapsed="false">
      <c r="A807" s="8" t="n">
        <f aca="false">A806+1</f>
        <v>805</v>
      </c>
      <c r="B807" s="9" t="n">
        <f aca="false">MOD(4*A807^2,10)</f>
        <v>0</v>
      </c>
      <c r="C807" s="9" t="n">
        <f aca="false">(26*B807-5*B807^2)/24</f>
        <v>0</v>
      </c>
      <c r="D807" s="9" t="n">
        <f aca="false">(A807^2+4*C807)/5</f>
        <v>129605</v>
      </c>
      <c r="E807" s="9" t="n">
        <f aca="false">MOD(D807,10)</f>
        <v>5</v>
      </c>
      <c r="F807" s="9" t="n">
        <f aca="false">2*D807</f>
        <v>259210</v>
      </c>
      <c r="G807" s="9" t="n">
        <f aca="false">MOD(F807,10)</f>
        <v>0</v>
      </c>
      <c r="H807" s="9" t="n">
        <f aca="false">G807/2</f>
        <v>0</v>
      </c>
      <c r="I807" s="9" t="str">
        <f aca="false">IF(H807=0,"—",IF(H807=1,"unison (1:1)",IF(H807=2,"octave (2:1)",IF(H807=3,"fifth (3:2)",IF(H807=4,"fourth (4:3)","?")))))</f>
        <v>—</v>
      </c>
      <c r="J807" s="9" t="str">
        <f aca="false">IF(H807=0,"—",IF(H807=1,"ὁμώνυμον",IF(H807=2,"διὰ πασῶν",IF(H807=3,"διὰ πέντε",IF(H807=4,"διὰ τεσσάρων","?")))))</f>
        <v>—</v>
      </c>
      <c r="K807" s="10"/>
      <c r="L807" s="14"/>
      <c r="M807" s="13"/>
    </row>
    <row r="808" customFormat="false" ht="15.75" hidden="false" customHeight="true" outlineLevel="0" collapsed="false">
      <c r="A808" s="8" t="n">
        <f aca="false">A807+1</f>
        <v>806</v>
      </c>
      <c r="B808" s="9" t="n">
        <f aca="false">MOD(4*A808^2,10)</f>
        <v>4</v>
      </c>
      <c r="C808" s="9" t="n">
        <f aca="false">(26*B808-5*B808^2)/24</f>
        <v>1</v>
      </c>
      <c r="D808" s="9" t="n">
        <f aca="false">(A808^2+4*C808)/5</f>
        <v>129928</v>
      </c>
      <c r="E808" s="9" t="n">
        <f aca="false">MOD(D808,10)</f>
        <v>8</v>
      </c>
      <c r="F808" s="9" t="n">
        <f aca="false">2*D808</f>
        <v>259856</v>
      </c>
      <c r="G808" s="9" t="n">
        <f aca="false">MOD(F808,10)</f>
        <v>6</v>
      </c>
      <c r="H808" s="9" t="n">
        <f aca="false">G808/2</f>
        <v>3</v>
      </c>
      <c r="I808" s="9" t="str">
        <f aca="false">IF(H808=0,"—",IF(H808=1,"unison (1:1)",IF(H808=2,"octave (2:1)",IF(H808=3,"fifth (3:2)",IF(H808=4,"fourth (4:3)","?")))))</f>
        <v>fifth (3:2)</v>
      </c>
      <c r="J808" s="9" t="str">
        <f aca="false">IF(H808=0,"—",IF(H808=1,"ὁμώνυμον",IF(H808=2,"διὰ πασῶν",IF(H808=3,"διὰ πέντε",IF(H808=4,"διὰ τεσσάρων","?")))))</f>
        <v>διὰ πέντε</v>
      </c>
      <c r="K808" s="10"/>
      <c r="L808" s="14"/>
      <c r="M808" s="13"/>
    </row>
    <row r="809" customFormat="false" ht="15.75" hidden="false" customHeight="true" outlineLevel="0" collapsed="false">
      <c r="A809" s="8" t="n">
        <f aca="false">A808+1</f>
        <v>807</v>
      </c>
      <c r="B809" s="9" t="n">
        <f aca="false">MOD(4*A809^2,10)</f>
        <v>6</v>
      </c>
      <c r="C809" s="9" t="n">
        <f aca="false">(26*B809-5*B809^2)/24</f>
        <v>-1</v>
      </c>
      <c r="D809" s="9" t="n">
        <f aca="false">(A809^2+4*C809)/5</f>
        <v>130249</v>
      </c>
      <c r="E809" s="9" t="n">
        <f aca="false">MOD(D809,10)</f>
        <v>9</v>
      </c>
      <c r="F809" s="9" t="n">
        <f aca="false">2*D809</f>
        <v>260498</v>
      </c>
      <c r="G809" s="9" t="n">
        <f aca="false">MOD(F809,10)</f>
        <v>8</v>
      </c>
      <c r="H809" s="9" t="n">
        <f aca="false">G809/2</f>
        <v>4</v>
      </c>
      <c r="I809" s="9" t="str">
        <f aca="false">IF(H809=0,"—",IF(H809=1,"unison (1:1)",IF(H809=2,"octave (2:1)",IF(H809=3,"fifth (3:2)",IF(H809=4,"fourth (4:3)","?")))))</f>
        <v>fourth (4:3)</v>
      </c>
      <c r="J809" s="9" t="str">
        <f aca="false">IF(H809=0,"—",IF(H809=1,"ὁμώνυμον",IF(H809=2,"διὰ πασῶν",IF(H809=3,"διὰ πέντε",IF(H809=4,"διὰ τεσσάρων","?")))))</f>
        <v>διὰ τεσσάρων</v>
      </c>
      <c r="K809" s="10"/>
      <c r="L809" s="14"/>
      <c r="M809" s="13"/>
    </row>
    <row r="810" customFormat="false" ht="15.75" hidden="false" customHeight="true" outlineLevel="0" collapsed="false">
      <c r="A810" s="8" t="n">
        <f aca="false">A809+1</f>
        <v>808</v>
      </c>
      <c r="B810" s="9" t="n">
        <f aca="false">MOD(4*A810^2,10)</f>
        <v>6</v>
      </c>
      <c r="C810" s="9" t="n">
        <f aca="false">(26*B810-5*B810^2)/24</f>
        <v>-1</v>
      </c>
      <c r="D810" s="9" t="n">
        <f aca="false">(A810^2+4*C810)/5</f>
        <v>130572</v>
      </c>
      <c r="E810" s="9" t="n">
        <f aca="false">MOD(D810,10)</f>
        <v>2</v>
      </c>
      <c r="F810" s="9" t="n">
        <f aca="false">2*D810</f>
        <v>261144</v>
      </c>
      <c r="G810" s="9" t="n">
        <f aca="false">MOD(F810,10)</f>
        <v>4</v>
      </c>
      <c r="H810" s="9" t="n">
        <f aca="false">G810/2</f>
        <v>2</v>
      </c>
      <c r="I810" s="9" t="str">
        <f aca="false">IF(H810=0,"—",IF(H810=1,"unison (1:1)",IF(H810=2,"octave (2:1)",IF(H810=3,"fifth (3:2)",IF(H810=4,"fourth (4:3)","?")))))</f>
        <v>octave (2:1)</v>
      </c>
      <c r="J810" s="9" t="str">
        <f aca="false">IF(H810=0,"—",IF(H810=1,"ὁμώνυμον",IF(H810=2,"διὰ πασῶν",IF(H810=3,"διὰ πέντε",IF(H810=4,"διὰ τεσσάρων","?")))))</f>
        <v>διὰ πασῶν</v>
      </c>
      <c r="K810" s="10"/>
      <c r="L810" s="14"/>
      <c r="M810" s="13"/>
    </row>
    <row r="811" customFormat="false" ht="15.75" hidden="false" customHeight="true" outlineLevel="0" collapsed="false">
      <c r="A811" s="8" t="n">
        <f aca="false">A810+1</f>
        <v>809</v>
      </c>
      <c r="B811" s="9" t="n">
        <f aca="false">MOD(4*A811^2,10)</f>
        <v>4</v>
      </c>
      <c r="C811" s="9" t="n">
        <f aca="false">(26*B811-5*B811^2)/24</f>
        <v>1</v>
      </c>
      <c r="D811" s="9" t="n">
        <f aca="false">(A811^2+4*C811)/5</f>
        <v>130897</v>
      </c>
      <c r="E811" s="9" t="n">
        <f aca="false">MOD(D811,10)</f>
        <v>7</v>
      </c>
      <c r="F811" s="9" t="n">
        <f aca="false">2*D811</f>
        <v>261794</v>
      </c>
      <c r="G811" s="9" t="n">
        <f aca="false">MOD(F811,10)</f>
        <v>4</v>
      </c>
      <c r="H811" s="9" t="n">
        <f aca="false">G811/2</f>
        <v>2</v>
      </c>
      <c r="I811" s="9" t="str">
        <f aca="false">IF(H811=0,"—",IF(H811=1,"unison (1:1)",IF(H811=2,"octave (2:1)",IF(H811=3,"fifth (3:2)",IF(H811=4,"fourth (4:3)","?")))))</f>
        <v>octave (2:1)</v>
      </c>
      <c r="J811" s="9" t="str">
        <f aca="false">IF(H811=0,"—",IF(H811=1,"ὁμώνυμον",IF(H811=2,"διὰ πασῶν",IF(H811=3,"διὰ πέντε",IF(H811=4,"διὰ τεσσάρων","?")))))</f>
        <v>διὰ πασῶν</v>
      </c>
      <c r="K811" s="10"/>
      <c r="L811" s="14"/>
      <c r="M811" s="13"/>
    </row>
    <row r="812" customFormat="false" ht="15.75" hidden="false" customHeight="true" outlineLevel="0" collapsed="false">
      <c r="A812" s="8" t="n">
        <f aca="false">A811+1</f>
        <v>810</v>
      </c>
      <c r="B812" s="9" t="n">
        <f aca="false">MOD(4*A812^2,10)</f>
        <v>0</v>
      </c>
      <c r="C812" s="9" t="n">
        <f aca="false">(26*B812-5*B812^2)/24</f>
        <v>0</v>
      </c>
      <c r="D812" s="9" t="n">
        <f aca="false">(A812^2+4*C812)/5</f>
        <v>131220</v>
      </c>
      <c r="E812" s="9" t="n">
        <f aca="false">MOD(D812,10)</f>
        <v>0</v>
      </c>
      <c r="F812" s="9" t="n">
        <f aca="false">2*D812</f>
        <v>262440</v>
      </c>
      <c r="G812" s="9" t="n">
        <f aca="false">MOD(F812,10)</f>
        <v>0</v>
      </c>
      <c r="H812" s="9" t="n">
        <f aca="false">G812/2</f>
        <v>0</v>
      </c>
      <c r="I812" s="9" t="str">
        <f aca="false">IF(H812=0,"—",IF(H812=1,"unison (1:1)",IF(H812=2,"octave (2:1)",IF(H812=3,"fifth (3:2)",IF(H812=4,"fourth (4:3)","?")))))</f>
        <v>—</v>
      </c>
      <c r="J812" s="9" t="str">
        <f aca="false">IF(H812=0,"—",IF(H812=1,"ὁμώνυμον",IF(H812=2,"διὰ πασῶν",IF(H812=3,"διὰ πέντε",IF(H812=4,"διὰ τεσσάρων","?")))))</f>
        <v>—</v>
      </c>
      <c r="K812" s="10"/>
      <c r="L812" s="14"/>
      <c r="M812" s="13"/>
    </row>
    <row r="813" customFormat="false" ht="15.75" hidden="false" customHeight="true" outlineLevel="0" collapsed="false">
      <c r="A813" s="8" t="n">
        <f aca="false">A812+1</f>
        <v>811</v>
      </c>
      <c r="B813" s="9" t="n">
        <f aca="false">MOD(4*A813^2,10)</f>
        <v>4</v>
      </c>
      <c r="C813" s="9" t="n">
        <f aca="false">(26*B813-5*B813^2)/24</f>
        <v>1</v>
      </c>
      <c r="D813" s="9" t="n">
        <f aca="false">(A813^2+4*C813)/5</f>
        <v>131545</v>
      </c>
      <c r="E813" s="9" t="n">
        <f aca="false">MOD(D813,10)</f>
        <v>5</v>
      </c>
      <c r="F813" s="9" t="n">
        <f aca="false">2*D813</f>
        <v>263090</v>
      </c>
      <c r="G813" s="9" t="n">
        <f aca="false">MOD(F813,10)</f>
        <v>0</v>
      </c>
      <c r="H813" s="9" t="n">
        <f aca="false">G813/2</f>
        <v>0</v>
      </c>
      <c r="I813" s="9" t="str">
        <f aca="false">IF(H813=0,"—",IF(H813=1,"unison (1:1)",IF(H813=2,"octave (2:1)",IF(H813=3,"fifth (3:2)",IF(H813=4,"fourth (4:3)","?")))))</f>
        <v>—</v>
      </c>
      <c r="J813" s="9" t="str">
        <f aca="false">IF(H813=0,"—",IF(H813=1,"ὁμώνυμον",IF(H813=2,"διὰ πασῶν",IF(H813=3,"διὰ πέντε",IF(H813=4,"διὰ τεσσάρων","?")))))</f>
        <v>—</v>
      </c>
      <c r="K813" s="10"/>
      <c r="L813" s="14"/>
      <c r="M813" s="13"/>
    </row>
    <row r="814" customFormat="false" ht="15.75" hidden="false" customHeight="true" outlineLevel="0" collapsed="false">
      <c r="A814" s="8" t="n">
        <f aca="false">A813+1</f>
        <v>812</v>
      </c>
      <c r="B814" s="9" t="n">
        <f aca="false">MOD(4*A814^2,10)</f>
        <v>6</v>
      </c>
      <c r="C814" s="9" t="n">
        <f aca="false">(26*B814-5*B814^2)/24</f>
        <v>-1</v>
      </c>
      <c r="D814" s="9" t="n">
        <f aca="false">(A814^2+4*C814)/5</f>
        <v>131868</v>
      </c>
      <c r="E814" s="9" t="n">
        <f aca="false">MOD(D814,10)</f>
        <v>8</v>
      </c>
      <c r="F814" s="9" t="n">
        <f aca="false">2*D814</f>
        <v>263736</v>
      </c>
      <c r="G814" s="9" t="n">
        <f aca="false">MOD(F814,10)</f>
        <v>6</v>
      </c>
      <c r="H814" s="9" t="n">
        <f aca="false">G814/2</f>
        <v>3</v>
      </c>
      <c r="I814" s="9" t="str">
        <f aca="false">IF(H814=0,"—",IF(H814=1,"unison (1:1)",IF(H814=2,"octave (2:1)",IF(H814=3,"fifth (3:2)",IF(H814=4,"fourth (4:3)","?")))))</f>
        <v>fifth (3:2)</v>
      </c>
      <c r="J814" s="9" t="str">
        <f aca="false">IF(H814=0,"—",IF(H814=1,"ὁμώνυμον",IF(H814=2,"διὰ πασῶν",IF(H814=3,"διὰ πέντε",IF(H814=4,"διὰ τεσσάρων","?")))))</f>
        <v>διὰ πέντε</v>
      </c>
      <c r="K814" s="10"/>
      <c r="L814" s="14"/>
      <c r="M814" s="13"/>
    </row>
    <row r="815" customFormat="false" ht="15.75" hidden="false" customHeight="true" outlineLevel="0" collapsed="false">
      <c r="A815" s="8" t="n">
        <f aca="false">A814+1</f>
        <v>813</v>
      </c>
      <c r="B815" s="9" t="n">
        <f aca="false">MOD(4*A815^2,10)</f>
        <v>6</v>
      </c>
      <c r="C815" s="9" t="n">
        <f aca="false">(26*B815-5*B815^2)/24</f>
        <v>-1</v>
      </c>
      <c r="D815" s="9" t="n">
        <f aca="false">(A815^2+4*C815)/5</f>
        <v>132193</v>
      </c>
      <c r="E815" s="9" t="n">
        <f aca="false">MOD(D815,10)</f>
        <v>3</v>
      </c>
      <c r="F815" s="9" t="n">
        <f aca="false">2*D815</f>
        <v>264386</v>
      </c>
      <c r="G815" s="9" t="n">
        <f aca="false">MOD(F815,10)</f>
        <v>6</v>
      </c>
      <c r="H815" s="9" t="n">
        <f aca="false">G815/2</f>
        <v>3</v>
      </c>
      <c r="I815" s="9" t="str">
        <f aca="false">IF(H815=0,"—",IF(H815=1,"unison (1:1)",IF(H815=2,"octave (2:1)",IF(H815=3,"fifth (3:2)",IF(H815=4,"fourth (4:3)","?")))))</f>
        <v>fifth (3:2)</v>
      </c>
      <c r="J815" s="9" t="str">
        <f aca="false">IF(H815=0,"—",IF(H815=1,"ὁμώνυμον",IF(H815=2,"διὰ πασῶν",IF(H815=3,"διὰ πέντε",IF(H815=4,"διὰ τεσσάρων","?")))))</f>
        <v>διὰ πέντε</v>
      </c>
      <c r="K815" s="10"/>
      <c r="L815" s="14"/>
      <c r="M815" s="13"/>
    </row>
    <row r="816" customFormat="false" ht="15.75" hidden="false" customHeight="true" outlineLevel="0" collapsed="false">
      <c r="A816" s="8" t="n">
        <f aca="false">A815+1</f>
        <v>814</v>
      </c>
      <c r="B816" s="9" t="n">
        <f aca="false">MOD(4*A816^2,10)</f>
        <v>4</v>
      </c>
      <c r="C816" s="9" t="n">
        <f aca="false">(26*B816-5*B816^2)/24</f>
        <v>1</v>
      </c>
      <c r="D816" s="9" t="n">
        <f aca="false">(A816^2+4*C816)/5</f>
        <v>132520</v>
      </c>
      <c r="E816" s="9" t="n">
        <f aca="false">MOD(D816,10)</f>
        <v>0</v>
      </c>
      <c r="F816" s="9" t="n">
        <f aca="false">2*D816</f>
        <v>265040</v>
      </c>
      <c r="G816" s="9" t="n">
        <f aca="false">MOD(F816,10)</f>
        <v>0</v>
      </c>
      <c r="H816" s="9" t="n">
        <f aca="false">G816/2</f>
        <v>0</v>
      </c>
      <c r="I816" s="9" t="str">
        <f aca="false">IF(H816=0,"—",IF(H816=1,"unison (1:1)",IF(H816=2,"octave (2:1)",IF(H816=3,"fifth (3:2)",IF(H816=4,"fourth (4:3)","?")))))</f>
        <v>—</v>
      </c>
      <c r="J816" s="9" t="str">
        <f aca="false">IF(H816=0,"—",IF(H816=1,"ὁμώνυμον",IF(H816=2,"διὰ πασῶν",IF(H816=3,"διὰ πέντε",IF(H816=4,"διὰ τεσσάρων","?")))))</f>
        <v>—</v>
      </c>
      <c r="K816" s="10"/>
      <c r="L816" s="14"/>
      <c r="M816" s="13"/>
    </row>
    <row r="817" customFormat="false" ht="15.75" hidden="false" customHeight="true" outlineLevel="0" collapsed="false">
      <c r="A817" s="8" t="n">
        <f aca="false">A816+1</f>
        <v>815</v>
      </c>
      <c r="B817" s="9" t="n">
        <f aca="false">MOD(4*A817^2,10)</f>
        <v>0</v>
      </c>
      <c r="C817" s="9" t="n">
        <f aca="false">(26*B817-5*B817^2)/24</f>
        <v>0</v>
      </c>
      <c r="D817" s="9" t="n">
        <f aca="false">(A817^2+4*C817)/5</f>
        <v>132845</v>
      </c>
      <c r="E817" s="9" t="n">
        <f aca="false">MOD(D817,10)</f>
        <v>5</v>
      </c>
      <c r="F817" s="9" t="n">
        <f aca="false">2*D817</f>
        <v>265690</v>
      </c>
      <c r="G817" s="9" t="n">
        <f aca="false">MOD(F817,10)</f>
        <v>0</v>
      </c>
      <c r="H817" s="9" t="n">
        <f aca="false">G817/2</f>
        <v>0</v>
      </c>
      <c r="I817" s="9" t="str">
        <f aca="false">IF(H817=0,"—",IF(H817=1,"unison (1:1)",IF(H817=2,"octave (2:1)",IF(H817=3,"fifth (3:2)",IF(H817=4,"fourth (4:3)","?")))))</f>
        <v>—</v>
      </c>
      <c r="J817" s="9" t="str">
        <f aca="false">IF(H817=0,"—",IF(H817=1,"ὁμώνυμον",IF(H817=2,"διὰ πασῶν",IF(H817=3,"διὰ πέντε",IF(H817=4,"διὰ τεσσάρων","?")))))</f>
        <v>—</v>
      </c>
      <c r="K817" s="10"/>
      <c r="L817" s="14"/>
      <c r="M817" s="13"/>
    </row>
    <row r="818" customFormat="false" ht="15.75" hidden="false" customHeight="true" outlineLevel="0" collapsed="false">
      <c r="A818" s="8" t="n">
        <f aca="false">A817+1</f>
        <v>816</v>
      </c>
      <c r="B818" s="9" t="n">
        <f aca="false">MOD(4*A818^2,10)</f>
        <v>4</v>
      </c>
      <c r="C818" s="9" t="n">
        <f aca="false">(26*B818-5*B818^2)/24</f>
        <v>1</v>
      </c>
      <c r="D818" s="9" t="n">
        <f aca="false">(A818^2+4*C818)/5</f>
        <v>133172</v>
      </c>
      <c r="E818" s="9" t="n">
        <f aca="false">MOD(D818,10)</f>
        <v>2</v>
      </c>
      <c r="F818" s="9" t="n">
        <f aca="false">2*D818</f>
        <v>266344</v>
      </c>
      <c r="G818" s="9" t="n">
        <f aca="false">MOD(F818,10)</f>
        <v>4</v>
      </c>
      <c r="H818" s="9" t="n">
        <f aca="false">G818/2</f>
        <v>2</v>
      </c>
      <c r="I818" s="9" t="str">
        <f aca="false">IF(H818=0,"—",IF(H818=1,"unison (1:1)",IF(H818=2,"octave (2:1)",IF(H818=3,"fifth (3:2)",IF(H818=4,"fourth (4:3)","?")))))</f>
        <v>octave (2:1)</v>
      </c>
      <c r="J818" s="9" t="str">
        <f aca="false">IF(H818=0,"—",IF(H818=1,"ὁμώνυμον",IF(H818=2,"διὰ πασῶν",IF(H818=3,"διὰ πέντε",IF(H818=4,"διὰ τεσσάρων","?")))))</f>
        <v>διὰ πασῶν</v>
      </c>
      <c r="K818" s="10"/>
      <c r="L818" s="14"/>
      <c r="M818" s="13"/>
    </row>
    <row r="819" customFormat="false" ht="15.75" hidden="false" customHeight="true" outlineLevel="0" collapsed="false">
      <c r="A819" s="8" t="n">
        <f aca="false">A818+1</f>
        <v>817</v>
      </c>
      <c r="B819" s="9" t="n">
        <f aca="false">MOD(4*A819^2,10)</f>
        <v>6</v>
      </c>
      <c r="C819" s="9" t="n">
        <f aca="false">(26*B819-5*B819^2)/24</f>
        <v>-1</v>
      </c>
      <c r="D819" s="9" t="n">
        <f aca="false">(A819^2+4*C819)/5</f>
        <v>133497</v>
      </c>
      <c r="E819" s="9" t="n">
        <f aca="false">MOD(D819,10)</f>
        <v>7</v>
      </c>
      <c r="F819" s="9" t="n">
        <f aca="false">2*D819</f>
        <v>266994</v>
      </c>
      <c r="G819" s="9" t="n">
        <f aca="false">MOD(F819,10)</f>
        <v>4</v>
      </c>
      <c r="H819" s="9" t="n">
        <f aca="false">G819/2</f>
        <v>2</v>
      </c>
      <c r="I819" s="9" t="str">
        <f aca="false">IF(H819=0,"—",IF(H819=1,"unison (1:1)",IF(H819=2,"octave (2:1)",IF(H819=3,"fifth (3:2)",IF(H819=4,"fourth (4:3)","?")))))</f>
        <v>octave (2:1)</v>
      </c>
      <c r="J819" s="9" t="str">
        <f aca="false">IF(H819=0,"—",IF(H819=1,"ὁμώνυμον",IF(H819=2,"διὰ πασῶν",IF(H819=3,"διὰ πέντε",IF(H819=4,"διὰ τεσσάρων","?")))))</f>
        <v>διὰ πασῶν</v>
      </c>
      <c r="K819" s="10"/>
      <c r="L819" s="14"/>
      <c r="M819" s="13"/>
    </row>
    <row r="820" customFormat="false" ht="15.75" hidden="false" customHeight="true" outlineLevel="0" collapsed="false">
      <c r="A820" s="8" t="n">
        <f aca="false">A819+1</f>
        <v>818</v>
      </c>
      <c r="B820" s="9" t="n">
        <f aca="false">MOD(4*A820^2,10)</f>
        <v>6</v>
      </c>
      <c r="C820" s="9" t="n">
        <f aca="false">(26*B820-5*B820^2)/24</f>
        <v>-1</v>
      </c>
      <c r="D820" s="9" t="n">
        <f aca="false">(A820^2+4*C820)/5</f>
        <v>133824</v>
      </c>
      <c r="E820" s="9" t="n">
        <f aca="false">MOD(D820,10)</f>
        <v>4</v>
      </c>
      <c r="F820" s="9" t="n">
        <f aca="false">2*D820</f>
        <v>267648</v>
      </c>
      <c r="G820" s="9" t="n">
        <f aca="false">MOD(F820,10)</f>
        <v>8</v>
      </c>
      <c r="H820" s="9" t="n">
        <f aca="false">G820/2</f>
        <v>4</v>
      </c>
      <c r="I820" s="9" t="str">
        <f aca="false">IF(H820=0,"—",IF(H820=1,"unison (1:1)",IF(H820=2,"octave (2:1)",IF(H820=3,"fifth (3:2)",IF(H820=4,"fourth (4:3)","?")))))</f>
        <v>fourth (4:3)</v>
      </c>
      <c r="J820" s="9" t="str">
        <f aca="false">IF(H820=0,"—",IF(H820=1,"ὁμώνυμον",IF(H820=2,"διὰ πασῶν",IF(H820=3,"διὰ πέντε",IF(H820=4,"διὰ τεσσάρων","?")))))</f>
        <v>διὰ τεσσάρων</v>
      </c>
      <c r="K820" s="10"/>
      <c r="L820" s="14"/>
      <c r="M820" s="13"/>
    </row>
    <row r="821" customFormat="false" ht="15.75" hidden="false" customHeight="true" outlineLevel="0" collapsed="false">
      <c r="A821" s="8" t="n">
        <f aca="false">A820+1</f>
        <v>819</v>
      </c>
      <c r="B821" s="9" t="n">
        <f aca="false">MOD(4*A821^2,10)</f>
        <v>4</v>
      </c>
      <c r="C821" s="9" t="n">
        <f aca="false">(26*B821-5*B821^2)/24</f>
        <v>1</v>
      </c>
      <c r="D821" s="9" t="n">
        <f aca="false">(A821^2+4*C821)/5</f>
        <v>134153</v>
      </c>
      <c r="E821" s="9" t="n">
        <f aca="false">MOD(D821,10)</f>
        <v>3</v>
      </c>
      <c r="F821" s="9" t="n">
        <f aca="false">2*D821</f>
        <v>268306</v>
      </c>
      <c r="G821" s="9" t="n">
        <f aca="false">MOD(F821,10)</f>
        <v>6</v>
      </c>
      <c r="H821" s="9" t="n">
        <f aca="false">G821/2</f>
        <v>3</v>
      </c>
      <c r="I821" s="9" t="str">
        <f aca="false">IF(H821=0,"—",IF(H821=1,"unison (1:1)",IF(H821=2,"octave (2:1)",IF(H821=3,"fifth (3:2)",IF(H821=4,"fourth (4:3)","?")))))</f>
        <v>fifth (3:2)</v>
      </c>
      <c r="J821" s="9" t="str">
        <f aca="false">IF(H821=0,"—",IF(H821=1,"ὁμώνυμον",IF(H821=2,"διὰ πασῶν",IF(H821=3,"διὰ πέντε",IF(H821=4,"διὰ τεσσάρων","?")))))</f>
        <v>διὰ πέντε</v>
      </c>
      <c r="K821" s="10"/>
      <c r="L821" s="14"/>
      <c r="M821" s="13"/>
    </row>
    <row r="822" customFormat="false" ht="15.75" hidden="false" customHeight="true" outlineLevel="0" collapsed="false">
      <c r="A822" s="8" t="n">
        <f aca="false">A821+1</f>
        <v>820</v>
      </c>
      <c r="B822" s="9" t="n">
        <f aca="false">MOD(4*A822^2,10)</f>
        <v>0</v>
      </c>
      <c r="C822" s="9" t="n">
        <f aca="false">(26*B822-5*B822^2)/24</f>
        <v>0</v>
      </c>
      <c r="D822" s="9" t="n">
        <f aca="false">(A822^2+4*C822)/5</f>
        <v>134480</v>
      </c>
      <c r="E822" s="9" t="n">
        <f aca="false">MOD(D822,10)</f>
        <v>0</v>
      </c>
      <c r="F822" s="9" t="n">
        <f aca="false">2*D822</f>
        <v>268960</v>
      </c>
      <c r="G822" s="9" t="n">
        <f aca="false">MOD(F822,10)</f>
        <v>0</v>
      </c>
      <c r="H822" s="9" t="n">
        <f aca="false">G822/2</f>
        <v>0</v>
      </c>
      <c r="I822" s="9" t="str">
        <f aca="false">IF(H822=0,"—",IF(H822=1,"unison (1:1)",IF(H822=2,"octave (2:1)",IF(H822=3,"fifth (3:2)",IF(H822=4,"fourth (4:3)","?")))))</f>
        <v>—</v>
      </c>
      <c r="J822" s="9" t="str">
        <f aca="false">IF(H822=0,"—",IF(H822=1,"ὁμώνυμον",IF(H822=2,"διὰ πασῶν",IF(H822=3,"διὰ πέντε",IF(H822=4,"διὰ τεσσάρων","?")))))</f>
        <v>—</v>
      </c>
      <c r="K822" s="10"/>
      <c r="L822" s="14"/>
      <c r="M822" s="13"/>
    </row>
    <row r="823" customFormat="false" ht="15.75" hidden="false" customHeight="true" outlineLevel="0" collapsed="false">
      <c r="A823" s="8" t="n">
        <f aca="false">A822+1</f>
        <v>821</v>
      </c>
      <c r="B823" s="9" t="n">
        <f aca="false">MOD(4*A823^2,10)</f>
        <v>4</v>
      </c>
      <c r="C823" s="9" t="n">
        <f aca="false">(26*B823-5*B823^2)/24</f>
        <v>1</v>
      </c>
      <c r="D823" s="9" t="n">
        <f aca="false">(A823^2+4*C823)/5</f>
        <v>134809</v>
      </c>
      <c r="E823" s="9" t="n">
        <f aca="false">MOD(D823,10)</f>
        <v>9</v>
      </c>
      <c r="F823" s="9" t="n">
        <f aca="false">2*D823</f>
        <v>269618</v>
      </c>
      <c r="G823" s="9" t="n">
        <f aca="false">MOD(F823,10)</f>
        <v>8</v>
      </c>
      <c r="H823" s="9" t="n">
        <f aca="false">G823/2</f>
        <v>4</v>
      </c>
      <c r="I823" s="9" t="str">
        <f aca="false">IF(H823=0,"—",IF(H823=1,"unison (1:1)",IF(H823=2,"octave (2:1)",IF(H823=3,"fifth (3:2)",IF(H823=4,"fourth (4:3)","?")))))</f>
        <v>fourth (4:3)</v>
      </c>
      <c r="J823" s="9" t="str">
        <f aca="false">IF(H823=0,"—",IF(H823=1,"ὁμώνυμον",IF(H823=2,"διὰ πασῶν",IF(H823=3,"διὰ πέντε",IF(H823=4,"διὰ τεσσάρων","?")))))</f>
        <v>διὰ τεσσάρων</v>
      </c>
      <c r="K823" s="10"/>
      <c r="L823" s="14"/>
      <c r="M823" s="13"/>
    </row>
    <row r="824" customFormat="false" ht="15.75" hidden="false" customHeight="true" outlineLevel="0" collapsed="false">
      <c r="A824" s="8" t="n">
        <f aca="false">A823+1</f>
        <v>822</v>
      </c>
      <c r="B824" s="9" t="n">
        <f aca="false">MOD(4*A824^2,10)</f>
        <v>6</v>
      </c>
      <c r="C824" s="9" t="n">
        <f aca="false">(26*B824-5*B824^2)/24</f>
        <v>-1</v>
      </c>
      <c r="D824" s="9" t="n">
        <f aca="false">(A824^2+4*C824)/5</f>
        <v>135136</v>
      </c>
      <c r="E824" s="9" t="n">
        <f aca="false">MOD(D824,10)</f>
        <v>6</v>
      </c>
      <c r="F824" s="9" t="n">
        <f aca="false">2*D824</f>
        <v>270272</v>
      </c>
      <c r="G824" s="9" t="n">
        <f aca="false">MOD(F824,10)</f>
        <v>2</v>
      </c>
      <c r="H824" s="9" t="n">
        <f aca="false">G824/2</f>
        <v>1</v>
      </c>
      <c r="I824" s="9" t="str">
        <f aca="false">IF(H824=0,"—",IF(H824=1,"unison (1:1)",IF(H824=2,"octave (2:1)",IF(H824=3,"fifth (3:2)",IF(H824=4,"fourth (4:3)","?")))))</f>
        <v>unison (1:1)</v>
      </c>
      <c r="J824" s="9" t="str">
        <f aca="false">IF(H824=0,"—",IF(H824=1,"ὁμώνυμον",IF(H824=2,"διὰ πασῶν",IF(H824=3,"διὰ πέντε",IF(H824=4,"διὰ τεσσάρων","?")))))</f>
        <v>ὁμώνυμον</v>
      </c>
      <c r="K824" s="10"/>
      <c r="L824" s="14"/>
      <c r="M824" s="13"/>
    </row>
    <row r="825" customFormat="false" ht="15.75" hidden="false" customHeight="true" outlineLevel="0" collapsed="false">
      <c r="A825" s="8" t="n">
        <f aca="false">A824+1</f>
        <v>823</v>
      </c>
      <c r="B825" s="9" t="n">
        <f aca="false">MOD(4*A825^2,10)</f>
        <v>6</v>
      </c>
      <c r="C825" s="9" t="n">
        <f aca="false">(26*B825-5*B825^2)/24</f>
        <v>-1</v>
      </c>
      <c r="D825" s="9" t="n">
        <f aca="false">(A825^2+4*C825)/5</f>
        <v>135465</v>
      </c>
      <c r="E825" s="9" t="n">
        <f aca="false">MOD(D825,10)</f>
        <v>5</v>
      </c>
      <c r="F825" s="9" t="n">
        <f aca="false">2*D825</f>
        <v>270930</v>
      </c>
      <c r="G825" s="9" t="n">
        <f aca="false">MOD(F825,10)</f>
        <v>0</v>
      </c>
      <c r="H825" s="9" t="n">
        <f aca="false">G825/2</f>
        <v>0</v>
      </c>
      <c r="I825" s="9" t="str">
        <f aca="false">IF(H825=0,"—",IF(H825=1,"unison (1:1)",IF(H825=2,"octave (2:1)",IF(H825=3,"fifth (3:2)",IF(H825=4,"fourth (4:3)","?")))))</f>
        <v>—</v>
      </c>
      <c r="J825" s="9" t="str">
        <f aca="false">IF(H825=0,"—",IF(H825=1,"ὁμώνυμον",IF(H825=2,"διὰ πασῶν",IF(H825=3,"διὰ πέντε",IF(H825=4,"διὰ τεσσάρων","?")))))</f>
        <v>—</v>
      </c>
      <c r="K825" s="10"/>
      <c r="L825" s="14"/>
      <c r="M825" s="13"/>
    </row>
    <row r="826" customFormat="false" ht="15.75" hidden="false" customHeight="true" outlineLevel="0" collapsed="false">
      <c r="A826" s="8" t="n">
        <f aca="false">A825+1</f>
        <v>824</v>
      </c>
      <c r="B826" s="9" t="n">
        <f aca="false">MOD(4*A826^2,10)</f>
        <v>4</v>
      </c>
      <c r="C826" s="9" t="n">
        <f aca="false">(26*B826-5*B826^2)/24</f>
        <v>1</v>
      </c>
      <c r="D826" s="9" t="n">
        <f aca="false">(A826^2+4*C826)/5</f>
        <v>135796</v>
      </c>
      <c r="E826" s="9" t="n">
        <f aca="false">MOD(D826,10)</f>
        <v>6</v>
      </c>
      <c r="F826" s="9" t="n">
        <f aca="false">2*D826</f>
        <v>271592</v>
      </c>
      <c r="G826" s="9" t="n">
        <f aca="false">MOD(F826,10)</f>
        <v>2</v>
      </c>
      <c r="H826" s="9" t="n">
        <f aca="false">G826/2</f>
        <v>1</v>
      </c>
      <c r="I826" s="9" t="str">
        <f aca="false">IF(H826=0,"—",IF(H826=1,"unison (1:1)",IF(H826=2,"octave (2:1)",IF(H826=3,"fifth (3:2)",IF(H826=4,"fourth (4:3)","?")))))</f>
        <v>unison (1:1)</v>
      </c>
      <c r="J826" s="9" t="str">
        <f aca="false">IF(H826=0,"—",IF(H826=1,"ὁμώνυμον",IF(H826=2,"διὰ πασῶν",IF(H826=3,"διὰ πέντε",IF(H826=4,"διὰ τεσσάρων","?")))))</f>
        <v>ὁμώνυμον</v>
      </c>
      <c r="K826" s="10"/>
      <c r="L826" s="14"/>
      <c r="M826" s="13"/>
    </row>
    <row r="827" customFormat="false" ht="15.75" hidden="false" customHeight="true" outlineLevel="0" collapsed="false">
      <c r="A827" s="8" t="n">
        <f aca="false">A826+1</f>
        <v>825</v>
      </c>
      <c r="B827" s="9" t="n">
        <f aca="false">MOD(4*A827^2,10)</f>
        <v>0</v>
      </c>
      <c r="C827" s="9" t="n">
        <f aca="false">(26*B827-5*B827^2)/24</f>
        <v>0</v>
      </c>
      <c r="D827" s="9" t="n">
        <f aca="false">(A827^2+4*C827)/5</f>
        <v>136125</v>
      </c>
      <c r="E827" s="9" t="n">
        <f aca="false">MOD(D827,10)</f>
        <v>5</v>
      </c>
      <c r="F827" s="9" t="n">
        <f aca="false">2*D827</f>
        <v>272250</v>
      </c>
      <c r="G827" s="9" t="n">
        <f aca="false">MOD(F827,10)</f>
        <v>0</v>
      </c>
      <c r="H827" s="9" t="n">
        <f aca="false">G827/2</f>
        <v>0</v>
      </c>
      <c r="I827" s="9" t="str">
        <f aca="false">IF(H827=0,"—",IF(H827=1,"unison (1:1)",IF(H827=2,"octave (2:1)",IF(H827=3,"fifth (3:2)",IF(H827=4,"fourth (4:3)","?")))))</f>
        <v>—</v>
      </c>
      <c r="J827" s="9" t="str">
        <f aca="false">IF(H827=0,"—",IF(H827=1,"ὁμώνυμον",IF(H827=2,"διὰ πασῶν",IF(H827=3,"διὰ πέντε",IF(H827=4,"διὰ τεσσάρων","?")))))</f>
        <v>—</v>
      </c>
      <c r="K827" s="10"/>
      <c r="L827" s="14"/>
      <c r="M827" s="13"/>
    </row>
    <row r="828" customFormat="false" ht="15.75" hidden="false" customHeight="true" outlineLevel="0" collapsed="false">
      <c r="A828" s="8" t="n">
        <f aca="false">A827+1</f>
        <v>826</v>
      </c>
      <c r="B828" s="9" t="n">
        <f aca="false">MOD(4*A828^2,10)</f>
        <v>4</v>
      </c>
      <c r="C828" s="9" t="n">
        <f aca="false">(26*B828-5*B828^2)/24</f>
        <v>1</v>
      </c>
      <c r="D828" s="9" t="n">
        <f aca="false">(A828^2+4*C828)/5</f>
        <v>136456</v>
      </c>
      <c r="E828" s="9" t="n">
        <f aca="false">MOD(D828,10)</f>
        <v>6</v>
      </c>
      <c r="F828" s="9" t="n">
        <f aca="false">2*D828</f>
        <v>272912</v>
      </c>
      <c r="G828" s="9" t="n">
        <f aca="false">MOD(F828,10)</f>
        <v>2</v>
      </c>
      <c r="H828" s="9" t="n">
        <f aca="false">G828/2</f>
        <v>1</v>
      </c>
      <c r="I828" s="9" t="str">
        <f aca="false">IF(H828=0,"—",IF(H828=1,"unison (1:1)",IF(H828=2,"octave (2:1)",IF(H828=3,"fifth (3:2)",IF(H828=4,"fourth (4:3)","?")))))</f>
        <v>unison (1:1)</v>
      </c>
      <c r="J828" s="9" t="str">
        <f aca="false">IF(H828=0,"—",IF(H828=1,"ὁμώνυμον",IF(H828=2,"διὰ πασῶν",IF(H828=3,"διὰ πέντε",IF(H828=4,"διὰ τεσσάρων","?")))))</f>
        <v>ὁμώνυμον</v>
      </c>
      <c r="K828" s="10"/>
      <c r="L828" s="14"/>
      <c r="M828" s="13"/>
    </row>
    <row r="829" customFormat="false" ht="15.75" hidden="false" customHeight="true" outlineLevel="0" collapsed="false">
      <c r="A829" s="8" t="n">
        <f aca="false">A828+1</f>
        <v>827</v>
      </c>
      <c r="B829" s="9" t="n">
        <f aca="false">MOD(4*A829^2,10)</f>
        <v>6</v>
      </c>
      <c r="C829" s="9" t="n">
        <f aca="false">(26*B829-5*B829^2)/24</f>
        <v>-1</v>
      </c>
      <c r="D829" s="9" t="n">
        <f aca="false">(A829^2+4*C829)/5</f>
        <v>136785</v>
      </c>
      <c r="E829" s="9" t="n">
        <f aca="false">MOD(D829,10)</f>
        <v>5</v>
      </c>
      <c r="F829" s="9" t="n">
        <f aca="false">2*D829</f>
        <v>273570</v>
      </c>
      <c r="G829" s="9" t="n">
        <f aca="false">MOD(F829,10)</f>
        <v>0</v>
      </c>
      <c r="H829" s="9" t="n">
        <f aca="false">G829/2</f>
        <v>0</v>
      </c>
      <c r="I829" s="9" t="str">
        <f aca="false">IF(H829=0,"—",IF(H829=1,"unison (1:1)",IF(H829=2,"octave (2:1)",IF(H829=3,"fifth (3:2)",IF(H829=4,"fourth (4:3)","?")))))</f>
        <v>—</v>
      </c>
      <c r="J829" s="9" t="str">
        <f aca="false">IF(H829=0,"—",IF(H829=1,"ὁμώνυμον",IF(H829=2,"διὰ πασῶν",IF(H829=3,"διὰ πέντε",IF(H829=4,"διὰ τεσσάρων","?")))))</f>
        <v>—</v>
      </c>
      <c r="K829" s="10"/>
      <c r="L829" s="14"/>
      <c r="M829" s="13"/>
    </row>
    <row r="830" customFormat="false" ht="15.75" hidden="false" customHeight="true" outlineLevel="0" collapsed="false">
      <c r="A830" s="8" t="n">
        <f aca="false">A829+1</f>
        <v>828</v>
      </c>
      <c r="B830" s="9" t="n">
        <f aca="false">MOD(4*A830^2,10)</f>
        <v>6</v>
      </c>
      <c r="C830" s="9" t="n">
        <f aca="false">(26*B830-5*B830^2)/24</f>
        <v>-1</v>
      </c>
      <c r="D830" s="9" t="n">
        <f aca="false">(A830^2+4*C830)/5</f>
        <v>137116</v>
      </c>
      <c r="E830" s="9" t="n">
        <f aca="false">MOD(D830,10)</f>
        <v>6</v>
      </c>
      <c r="F830" s="9" t="n">
        <f aca="false">2*D830</f>
        <v>274232</v>
      </c>
      <c r="G830" s="9" t="n">
        <f aca="false">MOD(F830,10)</f>
        <v>2</v>
      </c>
      <c r="H830" s="9" t="n">
        <f aca="false">G830/2</f>
        <v>1</v>
      </c>
      <c r="I830" s="9" t="str">
        <f aca="false">IF(H830=0,"—",IF(H830=1,"unison (1:1)",IF(H830=2,"octave (2:1)",IF(H830=3,"fifth (3:2)",IF(H830=4,"fourth (4:3)","?")))))</f>
        <v>unison (1:1)</v>
      </c>
      <c r="J830" s="9" t="str">
        <f aca="false">IF(H830=0,"—",IF(H830=1,"ὁμώνυμον",IF(H830=2,"διὰ πασῶν",IF(H830=3,"διὰ πέντε",IF(H830=4,"διὰ τεσσάρων","?")))))</f>
        <v>ὁμώνυμον</v>
      </c>
      <c r="K830" s="10"/>
      <c r="L830" s="14"/>
      <c r="M830" s="13"/>
    </row>
    <row r="831" customFormat="false" ht="15.75" hidden="false" customHeight="true" outlineLevel="0" collapsed="false">
      <c r="A831" s="8" t="n">
        <f aca="false">A830+1</f>
        <v>829</v>
      </c>
      <c r="B831" s="9" t="n">
        <f aca="false">MOD(4*A831^2,10)</f>
        <v>4</v>
      </c>
      <c r="C831" s="9" t="n">
        <f aca="false">(26*B831-5*B831^2)/24</f>
        <v>1</v>
      </c>
      <c r="D831" s="9" t="n">
        <f aca="false">(A831^2+4*C831)/5</f>
        <v>137449</v>
      </c>
      <c r="E831" s="9" t="n">
        <f aca="false">MOD(D831,10)</f>
        <v>9</v>
      </c>
      <c r="F831" s="9" t="n">
        <f aca="false">2*D831</f>
        <v>274898</v>
      </c>
      <c r="G831" s="9" t="n">
        <f aca="false">MOD(F831,10)</f>
        <v>8</v>
      </c>
      <c r="H831" s="9" t="n">
        <f aca="false">G831/2</f>
        <v>4</v>
      </c>
      <c r="I831" s="9" t="str">
        <f aca="false">IF(H831=0,"—",IF(H831=1,"unison (1:1)",IF(H831=2,"octave (2:1)",IF(H831=3,"fifth (3:2)",IF(H831=4,"fourth (4:3)","?")))))</f>
        <v>fourth (4:3)</v>
      </c>
      <c r="J831" s="9" t="str">
        <f aca="false">IF(H831=0,"—",IF(H831=1,"ὁμώνυμον",IF(H831=2,"διὰ πασῶν",IF(H831=3,"διὰ πέντε",IF(H831=4,"διὰ τεσσάρων","?")))))</f>
        <v>διὰ τεσσάρων</v>
      </c>
      <c r="K831" s="10"/>
      <c r="L831" s="14"/>
      <c r="M831" s="13"/>
    </row>
    <row r="832" customFormat="false" ht="15.75" hidden="false" customHeight="true" outlineLevel="0" collapsed="false">
      <c r="A832" s="8" t="n">
        <f aca="false">A831+1</f>
        <v>830</v>
      </c>
      <c r="B832" s="9" t="n">
        <f aca="false">MOD(4*A832^2,10)</f>
        <v>0</v>
      </c>
      <c r="C832" s="9" t="n">
        <f aca="false">(26*B832-5*B832^2)/24</f>
        <v>0</v>
      </c>
      <c r="D832" s="9" t="n">
        <f aca="false">(A832^2+4*C832)/5</f>
        <v>137780</v>
      </c>
      <c r="E832" s="9" t="n">
        <f aca="false">MOD(D832,10)</f>
        <v>0</v>
      </c>
      <c r="F832" s="9" t="n">
        <f aca="false">2*D832</f>
        <v>275560</v>
      </c>
      <c r="G832" s="9" t="n">
        <f aca="false">MOD(F832,10)</f>
        <v>0</v>
      </c>
      <c r="H832" s="9" t="n">
        <f aca="false">G832/2</f>
        <v>0</v>
      </c>
      <c r="I832" s="9" t="str">
        <f aca="false">IF(H832=0,"—",IF(H832=1,"unison (1:1)",IF(H832=2,"octave (2:1)",IF(H832=3,"fifth (3:2)",IF(H832=4,"fourth (4:3)","?")))))</f>
        <v>—</v>
      </c>
      <c r="J832" s="9" t="str">
        <f aca="false">IF(H832=0,"—",IF(H832=1,"ὁμώνυμον",IF(H832=2,"διὰ πασῶν",IF(H832=3,"διὰ πέντε",IF(H832=4,"διὰ τεσσάρων","?")))))</f>
        <v>—</v>
      </c>
      <c r="K832" s="10"/>
      <c r="L832" s="14"/>
      <c r="M832" s="13"/>
    </row>
    <row r="833" customFormat="false" ht="15.75" hidden="false" customHeight="true" outlineLevel="0" collapsed="false">
      <c r="A833" s="8" t="n">
        <f aca="false">A832+1</f>
        <v>831</v>
      </c>
      <c r="B833" s="9" t="n">
        <f aca="false">MOD(4*A833^2,10)</f>
        <v>4</v>
      </c>
      <c r="C833" s="9" t="n">
        <f aca="false">(26*B833-5*B833^2)/24</f>
        <v>1</v>
      </c>
      <c r="D833" s="9" t="n">
        <f aca="false">(A833^2+4*C833)/5</f>
        <v>138113</v>
      </c>
      <c r="E833" s="9" t="n">
        <f aca="false">MOD(D833,10)</f>
        <v>3</v>
      </c>
      <c r="F833" s="9" t="n">
        <f aca="false">2*D833</f>
        <v>276226</v>
      </c>
      <c r="G833" s="9" t="n">
        <f aca="false">MOD(F833,10)</f>
        <v>6</v>
      </c>
      <c r="H833" s="9" t="n">
        <f aca="false">G833/2</f>
        <v>3</v>
      </c>
      <c r="I833" s="9" t="str">
        <f aca="false">IF(H833=0,"—",IF(H833=1,"unison (1:1)",IF(H833=2,"octave (2:1)",IF(H833=3,"fifth (3:2)",IF(H833=4,"fourth (4:3)","?")))))</f>
        <v>fifth (3:2)</v>
      </c>
      <c r="J833" s="9" t="str">
        <f aca="false">IF(H833=0,"—",IF(H833=1,"ὁμώνυμον",IF(H833=2,"διὰ πασῶν",IF(H833=3,"διὰ πέντε",IF(H833=4,"διὰ τεσσάρων","?")))))</f>
        <v>διὰ πέντε</v>
      </c>
      <c r="K833" s="10"/>
      <c r="L833" s="14"/>
      <c r="M833" s="13"/>
    </row>
    <row r="834" customFormat="false" ht="15.75" hidden="false" customHeight="true" outlineLevel="0" collapsed="false">
      <c r="A834" s="8" t="n">
        <f aca="false">A833+1</f>
        <v>832</v>
      </c>
      <c r="B834" s="9" t="n">
        <f aca="false">MOD(4*A834^2,10)</f>
        <v>6</v>
      </c>
      <c r="C834" s="9" t="n">
        <f aca="false">(26*B834-5*B834^2)/24</f>
        <v>-1</v>
      </c>
      <c r="D834" s="9" t="n">
        <f aca="false">(A834^2+4*C834)/5</f>
        <v>138444</v>
      </c>
      <c r="E834" s="9" t="n">
        <f aca="false">MOD(D834,10)</f>
        <v>4</v>
      </c>
      <c r="F834" s="9" t="n">
        <f aca="false">2*D834</f>
        <v>276888</v>
      </c>
      <c r="G834" s="9" t="n">
        <f aca="false">MOD(F834,10)</f>
        <v>8</v>
      </c>
      <c r="H834" s="9" t="n">
        <f aca="false">G834/2</f>
        <v>4</v>
      </c>
      <c r="I834" s="9" t="str">
        <f aca="false">IF(H834=0,"—",IF(H834=1,"unison (1:1)",IF(H834=2,"octave (2:1)",IF(H834=3,"fifth (3:2)",IF(H834=4,"fourth (4:3)","?")))))</f>
        <v>fourth (4:3)</v>
      </c>
      <c r="J834" s="9" t="str">
        <f aca="false">IF(H834=0,"—",IF(H834=1,"ὁμώνυμον",IF(H834=2,"διὰ πασῶν",IF(H834=3,"διὰ πέντε",IF(H834=4,"διὰ τεσσάρων","?")))))</f>
        <v>διὰ τεσσάρων</v>
      </c>
      <c r="K834" s="10"/>
      <c r="L834" s="14"/>
      <c r="M834" s="13"/>
    </row>
    <row r="835" customFormat="false" ht="15.75" hidden="false" customHeight="true" outlineLevel="0" collapsed="false">
      <c r="A835" s="8" t="n">
        <f aca="false">A834+1</f>
        <v>833</v>
      </c>
      <c r="B835" s="9" t="n">
        <f aca="false">MOD(4*A835^2,10)</f>
        <v>6</v>
      </c>
      <c r="C835" s="9" t="n">
        <f aca="false">(26*B835-5*B835^2)/24</f>
        <v>-1</v>
      </c>
      <c r="D835" s="9" t="n">
        <f aca="false">(A835^2+4*C835)/5</f>
        <v>138777</v>
      </c>
      <c r="E835" s="9" t="n">
        <f aca="false">MOD(D835,10)</f>
        <v>7</v>
      </c>
      <c r="F835" s="9" t="n">
        <f aca="false">2*D835</f>
        <v>277554</v>
      </c>
      <c r="G835" s="9" t="n">
        <f aca="false">MOD(F835,10)</f>
        <v>4</v>
      </c>
      <c r="H835" s="9" t="n">
        <f aca="false">G835/2</f>
        <v>2</v>
      </c>
      <c r="I835" s="9" t="str">
        <f aca="false">IF(H835=0,"—",IF(H835=1,"unison (1:1)",IF(H835=2,"octave (2:1)",IF(H835=3,"fifth (3:2)",IF(H835=4,"fourth (4:3)","?")))))</f>
        <v>octave (2:1)</v>
      </c>
      <c r="J835" s="9" t="str">
        <f aca="false">IF(H835=0,"—",IF(H835=1,"ὁμώνυμον",IF(H835=2,"διὰ πασῶν",IF(H835=3,"διὰ πέντε",IF(H835=4,"διὰ τεσσάρων","?")))))</f>
        <v>διὰ πασῶν</v>
      </c>
      <c r="K835" s="10"/>
      <c r="L835" s="14"/>
      <c r="M835" s="13"/>
    </row>
    <row r="836" customFormat="false" ht="15.75" hidden="false" customHeight="true" outlineLevel="0" collapsed="false">
      <c r="A836" s="8" t="n">
        <f aca="false">A835+1</f>
        <v>834</v>
      </c>
      <c r="B836" s="9" t="n">
        <f aca="false">MOD(4*A836^2,10)</f>
        <v>4</v>
      </c>
      <c r="C836" s="9" t="n">
        <f aca="false">(26*B836-5*B836^2)/24</f>
        <v>1</v>
      </c>
      <c r="D836" s="9" t="n">
        <f aca="false">(A836^2+4*C836)/5</f>
        <v>139112</v>
      </c>
      <c r="E836" s="9" t="n">
        <f aca="false">MOD(D836,10)</f>
        <v>2</v>
      </c>
      <c r="F836" s="9" t="n">
        <f aca="false">2*D836</f>
        <v>278224</v>
      </c>
      <c r="G836" s="9" t="n">
        <f aca="false">MOD(F836,10)</f>
        <v>4</v>
      </c>
      <c r="H836" s="9" t="n">
        <f aca="false">G836/2</f>
        <v>2</v>
      </c>
      <c r="I836" s="9" t="str">
        <f aca="false">IF(H836=0,"—",IF(H836=1,"unison (1:1)",IF(H836=2,"octave (2:1)",IF(H836=3,"fifth (3:2)",IF(H836=4,"fourth (4:3)","?")))))</f>
        <v>octave (2:1)</v>
      </c>
      <c r="J836" s="9" t="str">
        <f aca="false">IF(H836=0,"—",IF(H836=1,"ὁμώνυμον",IF(H836=2,"διὰ πασῶν",IF(H836=3,"διὰ πέντε",IF(H836=4,"διὰ τεσσάρων","?")))))</f>
        <v>διὰ πασῶν</v>
      </c>
      <c r="K836" s="10"/>
      <c r="L836" s="14"/>
      <c r="M836" s="13"/>
    </row>
    <row r="837" customFormat="false" ht="15.75" hidden="false" customHeight="true" outlineLevel="0" collapsed="false">
      <c r="A837" s="8" t="n">
        <f aca="false">A836+1</f>
        <v>835</v>
      </c>
      <c r="B837" s="9" t="n">
        <f aca="false">MOD(4*A837^2,10)</f>
        <v>0</v>
      </c>
      <c r="C837" s="9" t="n">
        <f aca="false">(26*B837-5*B837^2)/24</f>
        <v>0</v>
      </c>
      <c r="D837" s="9" t="n">
        <f aca="false">(A837^2+4*C837)/5</f>
        <v>139445</v>
      </c>
      <c r="E837" s="9" t="n">
        <f aca="false">MOD(D837,10)</f>
        <v>5</v>
      </c>
      <c r="F837" s="9" t="n">
        <f aca="false">2*D837</f>
        <v>278890</v>
      </c>
      <c r="G837" s="9" t="n">
        <f aca="false">MOD(F837,10)</f>
        <v>0</v>
      </c>
      <c r="H837" s="9" t="n">
        <f aca="false">G837/2</f>
        <v>0</v>
      </c>
      <c r="I837" s="9" t="str">
        <f aca="false">IF(H837=0,"—",IF(H837=1,"unison (1:1)",IF(H837=2,"octave (2:1)",IF(H837=3,"fifth (3:2)",IF(H837=4,"fourth (4:3)","?")))))</f>
        <v>—</v>
      </c>
      <c r="J837" s="9" t="str">
        <f aca="false">IF(H837=0,"—",IF(H837=1,"ὁμώνυμον",IF(H837=2,"διὰ πασῶν",IF(H837=3,"διὰ πέντε",IF(H837=4,"διὰ τεσσάρων","?")))))</f>
        <v>—</v>
      </c>
      <c r="K837" s="10"/>
      <c r="L837" s="14"/>
      <c r="M837" s="13"/>
    </row>
    <row r="838" customFormat="false" ht="15.75" hidden="false" customHeight="true" outlineLevel="0" collapsed="false">
      <c r="A838" s="8" t="n">
        <f aca="false">A837+1</f>
        <v>836</v>
      </c>
      <c r="B838" s="9" t="n">
        <f aca="false">MOD(4*A838^2,10)</f>
        <v>4</v>
      </c>
      <c r="C838" s="9" t="n">
        <f aca="false">(26*B838-5*B838^2)/24</f>
        <v>1</v>
      </c>
      <c r="D838" s="9" t="n">
        <f aca="false">(A838^2+4*C838)/5</f>
        <v>139780</v>
      </c>
      <c r="E838" s="9" t="n">
        <f aca="false">MOD(D838,10)</f>
        <v>0</v>
      </c>
      <c r="F838" s="9" t="n">
        <f aca="false">2*D838</f>
        <v>279560</v>
      </c>
      <c r="G838" s="9" t="n">
        <f aca="false">MOD(F838,10)</f>
        <v>0</v>
      </c>
      <c r="H838" s="9" t="n">
        <f aca="false">G838/2</f>
        <v>0</v>
      </c>
      <c r="I838" s="9" t="str">
        <f aca="false">IF(H838=0,"—",IF(H838=1,"unison (1:1)",IF(H838=2,"octave (2:1)",IF(H838=3,"fifth (3:2)",IF(H838=4,"fourth (4:3)","?")))))</f>
        <v>—</v>
      </c>
      <c r="J838" s="9" t="str">
        <f aca="false">IF(H838=0,"—",IF(H838=1,"ὁμώνυμον",IF(H838=2,"διὰ πασῶν",IF(H838=3,"διὰ πέντε",IF(H838=4,"διὰ τεσσάρων","?")))))</f>
        <v>—</v>
      </c>
      <c r="K838" s="10"/>
      <c r="L838" s="14"/>
      <c r="M838" s="13"/>
    </row>
    <row r="839" customFormat="false" ht="15.75" hidden="false" customHeight="true" outlineLevel="0" collapsed="false">
      <c r="A839" s="8" t="n">
        <f aca="false">A838+1</f>
        <v>837</v>
      </c>
      <c r="B839" s="9" t="n">
        <f aca="false">MOD(4*A839^2,10)</f>
        <v>6</v>
      </c>
      <c r="C839" s="9" t="n">
        <f aca="false">(26*B839-5*B839^2)/24</f>
        <v>-1</v>
      </c>
      <c r="D839" s="9" t="n">
        <f aca="false">(A839^2+4*C839)/5</f>
        <v>140113</v>
      </c>
      <c r="E839" s="9" t="n">
        <f aca="false">MOD(D839,10)</f>
        <v>3</v>
      </c>
      <c r="F839" s="9" t="n">
        <f aca="false">2*D839</f>
        <v>280226</v>
      </c>
      <c r="G839" s="9" t="n">
        <f aca="false">MOD(F839,10)</f>
        <v>6</v>
      </c>
      <c r="H839" s="9" t="n">
        <f aca="false">G839/2</f>
        <v>3</v>
      </c>
      <c r="I839" s="9" t="str">
        <f aca="false">IF(H839=0,"—",IF(H839=1,"unison (1:1)",IF(H839=2,"octave (2:1)",IF(H839=3,"fifth (3:2)",IF(H839=4,"fourth (4:3)","?")))))</f>
        <v>fifth (3:2)</v>
      </c>
      <c r="J839" s="9" t="str">
        <f aca="false">IF(H839=0,"—",IF(H839=1,"ὁμώνυμον",IF(H839=2,"διὰ πασῶν",IF(H839=3,"διὰ πέντε",IF(H839=4,"διὰ τεσσάρων","?")))))</f>
        <v>διὰ πέντε</v>
      </c>
      <c r="K839" s="10"/>
      <c r="L839" s="14"/>
      <c r="M839" s="13"/>
    </row>
    <row r="840" customFormat="false" ht="15.75" hidden="false" customHeight="true" outlineLevel="0" collapsed="false">
      <c r="A840" s="8" t="n">
        <f aca="false">A839+1</f>
        <v>838</v>
      </c>
      <c r="B840" s="9" t="n">
        <f aca="false">MOD(4*A840^2,10)</f>
        <v>6</v>
      </c>
      <c r="C840" s="9" t="n">
        <f aca="false">(26*B840-5*B840^2)/24</f>
        <v>-1</v>
      </c>
      <c r="D840" s="9" t="n">
        <f aca="false">(A840^2+4*C840)/5</f>
        <v>140448</v>
      </c>
      <c r="E840" s="9" t="n">
        <f aca="false">MOD(D840,10)</f>
        <v>8</v>
      </c>
      <c r="F840" s="9" t="n">
        <f aca="false">2*D840</f>
        <v>280896</v>
      </c>
      <c r="G840" s="9" t="n">
        <f aca="false">MOD(F840,10)</f>
        <v>6</v>
      </c>
      <c r="H840" s="9" t="n">
        <f aca="false">G840/2</f>
        <v>3</v>
      </c>
      <c r="I840" s="9" t="str">
        <f aca="false">IF(H840=0,"—",IF(H840=1,"unison (1:1)",IF(H840=2,"octave (2:1)",IF(H840=3,"fifth (3:2)",IF(H840=4,"fourth (4:3)","?")))))</f>
        <v>fifth (3:2)</v>
      </c>
      <c r="J840" s="9" t="str">
        <f aca="false">IF(H840=0,"—",IF(H840=1,"ὁμώνυμον",IF(H840=2,"διὰ πασῶν",IF(H840=3,"διὰ πέντε",IF(H840=4,"διὰ τεσσάρων","?")))))</f>
        <v>διὰ πέντε</v>
      </c>
      <c r="K840" s="10"/>
      <c r="L840" s="14"/>
      <c r="M840" s="13"/>
    </row>
    <row r="841" customFormat="false" ht="15.75" hidden="false" customHeight="true" outlineLevel="0" collapsed="false">
      <c r="A841" s="8" t="n">
        <f aca="false">A840+1</f>
        <v>839</v>
      </c>
      <c r="B841" s="9" t="n">
        <f aca="false">MOD(4*A841^2,10)</f>
        <v>4</v>
      </c>
      <c r="C841" s="9" t="n">
        <f aca="false">(26*B841-5*B841^2)/24</f>
        <v>1</v>
      </c>
      <c r="D841" s="9" t="n">
        <f aca="false">(A841^2+4*C841)/5</f>
        <v>140785</v>
      </c>
      <c r="E841" s="9" t="n">
        <f aca="false">MOD(D841,10)</f>
        <v>5</v>
      </c>
      <c r="F841" s="9" t="n">
        <f aca="false">2*D841</f>
        <v>281570</v>
      </c>
      <c r="G841" s="9" t="n">
        <f aca="false">MOD(F841,10)</f>
        <v>0</v>
      </c>
      <c r="H841" s="9" t="n">
        <f aca="false">G841/2</f>
        <v>0</v>
      </c>
      <c r="I841" s="9" t="str">
        <f aca="false">IF(H841=0,"—",IF(H841=1,"unison (1:1)",IF(H841=2,"octave (2:1)",IF(H841=3,"fifth (3:2)",IF(H841=4,"fourth (4:3)","?")))))</f>
        <v>—</v>
      </c>
      <c r="J841" s="9" t="str">
        <f aca="false">IF(H841=0,"—",IF(H841=1,"ὁμώνυμον",IF(H841=2,"διὰ πασῶν",IF(H841=3,"διὰ πέντε",IF(H841=4,"διὰ τεσσάρων","?")))))</f>
        <v>—</v>
      </c>
      <c r="K841" s="10"/>
      <c r="L841" s="14"/>
      <c r="M841" s="13"/>
    </row>
    <row r="842" customFormat="false" ht="15.75" hidden="false" customHeight="true" outlineLevel="0" collapsed="false">
      <c r="A842" s="8" t="n">
        <f aca="false">A841+1</f>
        <v>840</v>
      </c>
      <c r="B842" s="9" t="n">
        <f aca="false">MOD(4*A842^2,10)</f>
        <v>0</v>
      </c>
      <c r="C842" s="9" t="n">
        <f aca="false">(26*B842-5*B842^2)/24</f>
        <v>0</v>
      </c>
      <c r="D842" s="9" t="n">
        <f aca="false">(A842^2+4*C842)/5</f>
        <v>141120</v>
      </c>
      <c r="E842" s="9" t="n">
        <f aca="false">MOD(D842,10)</f>
        <v>0</v>
      </c>
      <c r="F842" s="9" t="n">
        <f aca="false">2*D842</f>
        <v>282240</v>
      </c>
      <c r="G842" s="9" t="n">
        <f aca="false">MOD(F842,10)</f>
        <v>0</v>
      </c>
      <c r="H842" s="9" t="n">
        <f aca="false">G842/2</f>
        <v>0</v>
      </c>
      <c r="I842" s="9" t="str">
        <f aca="false">IF(H842=0,"—",IF(H842=1,"unison (1:1)",IF(H842=2,"octave (2:1)",IF(H842=3,"fifth (3:2)",IF(H842=4,"fourth (4:3)","?")))))</f>
        <v>—</v>
      </c>
      <c r="J842" s="9" t="str">
        <f aca="false">IF(H842=0,"—",IF(H842=1,"ὁμώνυμον",IF(H842=2,"διὰ πασῶν",IF(H842=3,"διὰ πέντε",IF(H842=4,"διὰ τεσσάρων","?")))))</f>
        <v>—</v>
      </c>
      <c r="K842" s="10"/>
      <c r="L842" s="14"/>
      <c r="M842" s="13"/>
    </row>
    <row r="843" customFormat="false" ht="15.75" hidden="false" customHeight="true" outlineLevel="0" collapsed="false">
      <c r="A843" s="8" t="n">
        <f aca="false">A842+1</f>
        <v>841</v>
      </c>
      <c r="B843" s="9" t="n">
        <f aca="false">MOD(4*A843^2,10)</f>
        <v>4</v>
      </c>
      <c r="C843" s="9" t="n">
        <f aca="false">(26*B843-5*B843^2)/24</f>
        <v>1</v>
      </c>
      <c r="D843" s="9" t="n">
        <f aca="false">(A843^2+4*C843)/5</f>
        <v>141457</v>
      </c>
      <c r="E843" s="9" t="n">
        <f aca="false">MOD(D843,10)</f>
        <v>7</v>
      </c>
      <c r="F843" s="9" t="n">
        <f aca="false">2*D843</f>
        <v>282914</v>
      </c>
      <c r="G843" s="9" t="n">
        <f aca="false">MOD(F843,10)</f>
        <v>4</v>
      </c>
      <c r="H843" s="9" t="n">
        <f aca="false">G843/2</f>
        <v>2</v>
      </c>
      <c r="I843" s="9" t="str">
        <f aca="false">IF(H843=0,"—",IF(H843=1,"unison (1:1)",IF(H843=2,"octave (2:1)",IF(H843=3,"fifth (3:2)",IF(H843=4,"fourth (4:3)","?")))))</f>
        <v>octave (2:1)</v>
      </c>
      <c r="J843" s="9" t="str">
        <f aca="false">IF(H843=0,"—",IF(H843=1,"ὁμώνυμον",IF(H843=2,"διὰ πασῶν",IF(H843=3,"διὰ πέντε",IF(H843=4,"διὰ τεσσάρων","?")))))</f>
        <v>διὰ πασῶν</v>
      </c>
      <c r="K843" s="10"/>
      <c r="L843" s="14"/>
      <c r="M843" s="13"/>
    </row>
    <row r="844" customFormat="false" ht="15.75" hidden="false" customHeight="true" outlineLevel="0" collapsed="false">
      <c r="A844" s="8" t="n">
        <f aca="false">A843+1</f>
        <v>842</v>
      </c>
      <c r="B844" s="9" t="n">
        <f aca="false">MOD(4*A844^2,10)</f>
        <v>6</v>
      </c>
      <c r="C844" s="9" t="n">
        <f aca="false">(26*B844-5*B844^2)/24</f>
        <v>-1</v>
      </c>
      <c r="D844" s="9" t="n">
        <f aca="false">(A844^2+4*C844)/5</f>
        <v>141792</v>
      </c>
      <c r="E844" s="9" t="n">
        <f aca="false">MOD(D844,10)</f>
        <v>2</v>
      </c>
      <c r="F844" s="9" t="n">
        <f aca="false">2*D844</f>
        <v>283584</v>
      </c>
      <c r="G844" s="9" t="n">
        <f aca="false">MOD(F844,10)</f>
        <v>4</v>
      </c>
      <c r="H844" s="9" t="n">
        <f aca="false">G844/2</f>
        <v>2</v>
      </c>
      <c r="I844" s="9" t="str">
        <f aca="false">IF(H844=0,"—",IF(H844=1,"unison (1:1)",IF(H844=2,"octave (2:1)",IF(H844=3,"fifth (3:2)",IF(H844=4,"fourth (4:3)","?")))))</f>
        <v>octave (2:1)</v>
      </c>
      <c r="J844" s="9" t="str">
        <f aca="false">IF(H844=0,"—",IF(H844=1,"ὁμώνυμον",IF(H844=2,"διὰ πασῶν",IF(H844=3,"διὰ πέντε",IF(H844=4,"διὰ τεσσάρων","?")))))</f>
        <v>διὰ πασῶν</v>
      </c>
      <c r="K844" s="10"/>
      <c r="L844" s="14"/>
      <c r="M844" s="13"/>
    </row>
    <row r="845" customFormat="false" ht="15.75" hidden="false" customHeight="true" outlineLevel="0" collapsed="false">
      <c r="A845" s="8" t="n">
        <f aca="false">A844+1</f>
        <v>843</v>
      </c>
      <c r="B845" s="9" t="n">
        <f aca="false">MOD(4*A845^2,10)</f>
        <v>6</v>
      </c>
      <c r="C845" s="9" t="n">
        <f aca="false">(26*B845-5*B845^2)/24</f>
        <v>-1</v>
      </c>
      <c r="D845" s="9" t="n">
        <f aca="false">(A845^2+4*C845)/5</f>
        <v>142129</v>
      </c>
      <c r="E845" s="9" t="n">
        <f aca="false">MOD(D845,10)</f>
        <v>9</v>
      </c>
      <c r="F845" s="9" t="n">
        <f aca="false">2*D845</f>
        <v>284258</v>
      </c>
      <c r="G845" s="9" t="n">
        <f aca="false">MOD(F845,10)</f>
        <v>8</v>
      </c>
      <c r="H845" s="9" t="n">
        <f aca="false">G845/2</f>
        <v>4</v>
      </c>
      <c r="I845" s="9" t="str">
        <f aca="false">IF(H845=0,"—",IF(H845=1,"unison (1:1)",IF(H845=2,"octave (2:1)",IF(H845=3,"fifth (3:2)",IF(H845=4,"fourth (4:3)","?")))))</f>
        <v>fourth (4:3)</v>
      </c>
      <c r="J845" s="9" t="str">
        <f aca="false">IF(H845=0,"—",IF(H845=1,"ὁμώνυμον",IF(H845=2,"διὰ πασῶν",IF(H845=3,"διὰ πέντε",IF(H845=4,"διὰ τεσσάρων","?")))))</f>
        <v>διὰ τεσσάρων</v>
      </c>
      <c r="K845" s="10"/>
      <c r="L845" s="14"/>
      <c r="M845" s="13"/>
    </row>
    <row r="846" customFormat="false" ht="15.75" hidden="false" customHeight="true" outlineLevel="0" collapsed="false">
      <c r="A846" s="8" t="n">
        <f aca="false">A845+1</f>
        <v>844</v>
      </c>
      <c r="B846" s="9" t="n">
        <f aca="false">MOD(4*A846^2,10)</f>
        <v>4</v>
      </c>
      <c r="C846" s="9" t="n">
        <f aca="false">(26*B846-5*B846^2)/24</f>
        <v>1</v>
      </c>
      <c r="D846" s="9" t="n">
        <f aca="false">(A846^2+4*C846)/5</f>
        <v>142468</v>
      </c>
      <c r="E846" s="9" t="n">
        <f aca="false">MOD(D846,10)</f>
        <v>8</v>
      </c>
      <c r="F846" s="9" t="n">
        <f aca="false">2*D846</f>
        <v>284936</v>
      </c>
      <c r="G846" s="9" t="n">
        <f aca="false">MOD(F846,10)</f>
        <v>6</v>
      </c>
      <c r="H846" s="9" t="n">
        <f aca="false">G846/2</f>
        <v>3</v>
      </c>
      <c r="I846" s="9" t="str">
        <f aca="false">IF(H846=0,"—",IF(H846=1,"unison (1:1)",IF(H846=2,"octave (2:1)",IF(H846=3,"fifth (3:2)",IF(H846=4,"fourth (4:3)","?")))))</f>
        <v>fifth (3:2)</v>
      </c>
      <c r="J846" s="9" t="str">
        <f aca="false">IF(H846=0,"—",IF(H846=1,"ὁμώνυμον",IF(H846=2,"διὰ πασῶν",IF(H846=3,"διὰ πέντε",IF(H846=4,"διὰ τεσσάρων","?")))))</f>
        <v>διὰ πέντε</v>
      </c>
      <c r="K846" s="10"/>
      <c r="L846" s="14"/>
      <c r="M846" s="13"/>
    </row>
    <row r="847" customFormat="false" ht="15.75" hidden="false" customHeight="true" outlineLevel="0" collapsed="false">
      <c r="A847" s="8" t="n">
        <f aca="false">A846+1</f>
        <v>845</v>
      </c>
      <c r="B847" s="9" t="n">
        <f aca="false">MOD(4*A847^2,10)</f>
        <v>0</v>
      </c>
      <c r="C847" s="9" t="n">
        <f aca="false">(26*B847-5*B847^2)/24</f>
        <v>0</v>
      </c>
      <c r="D847" s="9" t="n">
        <f aca="false">(A847^2+4*C847)/5</f>
        <v>142805</v>
      </c>
      <c r="E847" s="9" t="n">
        <f aca="false">MOD(D847,10)</f>
        <v>5</v>
      </c>
      <c r="F847" s="9" t="n">
        <f aca="false">2*D847</f>
        <v>285610</v>
      </c>
      <c r="G847" s="9" t="n">
        <f aca="false">MOD(F847,10)</f>
        <v>0</v>
      </c>
      <c r="H847" s="9" t="n">
        <f aca="false">G847/2</f>
        <v>0</v>
      </c>
      <c r="I847" s="9" t="str">
        <f aca="false">IF(H847=0,"—",IF(H847=1,"unison (1:1)",IF(H847=2,"octave (2:1)",IF(H847=3,"fifth (3:2)",IF(H847=4,"fourth (4:3)","?")))))</f>
        <v>—</v>
      </c>
      <c r="J847" s="9" t="str">
        <f aca="false">IF(H847=0,"—",IF(H847=1,"ὁμώνυμον",IF(H847=2,"διὰ πασῶν",IF(H847=3,"διὰ πέντε",IF(H847=4,"διὰ τεσσάρων","?")))))</f>
        <v>—</v>
      </c>
      <c r="K847" s="10"/>
      <c r="L847" s="14"/>
      <c r="M847" s="13"/>
    </row>
    <row r="848" customFormat="false" ht="15.75" hidden="false" customHeight="true" outlineLevel="0" collapsed="false">
      <c r="A848" s="8" t="n">
        <f aca="false">A847+1</f>
        <v>846</v>
      </c>
      <c r="B848" s="9" t="n">
        <f aca="false">MOD(4*A848^2,10)</f>
        <v>4</v>
      </c>
      <c r="C848" s="9" t="n">
        <f aca="false">(26*B848-5*B848^2)/24</f>
        <v>1</v>
      </c>
      <c r="D848" s="9" t="n">
        <f aca="false">(A848^2+4*C848)/5</f>
        <v>143144</v>
      </c>
      <c r="E848" s="9" t="n">
        <f aca="false">MOD(D848,10)</f>
        <v>4</v>
      </c>
      <c r="F848" s="9" t="n">
        <f aca="false">2*D848</f>
        <v>286288</v>
      </c>
      <c r="G848" s="9" t="n">
        <f aca="false">MOD(F848,10)</f>
        <v>8</v>
      </c>
      <c r="H848" s="9" t="n">
        <f aca="false">G848/2</f>
        <v>4</v>
      </c>
      <c r="I848" s="9" t="str">
        <f aca="false">IF(H848=0,"—",IF(H848=1,"unison (1:1)",IF(H848=2,"octave (2:1)",IF(H848=3,"fifth (3:2)",IF(H848=4,"fourth (4:3)","?")))))</f>
        <v>fourth (4:3)</v>
      </c>
      <c r="J848" s="9" t="str">
        <f aca="false">IF(H848=0,"—",IF(H848=1,"ὁμώνυμον",IF(H848=2,"διὰ πασῶν",IF(H848=3,"διὰ πέντε",IF(H848=4,"διὰ τεσσάρων","?")))))</f>
        <v>διὰ τεσσάρων</v>
      </c>
      <c r="K848" s="10"/>
      <c r="L848" s="14"/>
      <c r="M848" s="13"/>
    </row>
    <row r="849" customFormat="false" ht="15.75" hidden="false" customHeight="true" outlineLevel="0" collapsed="false">
      <c r="A849" s="8" t="n">
        <f aca="false">A848+1</f>
        <v>847</v>
      </c>
      <c r="B849" s="9" t="n">
        <f aca="false">MOD(4*A849^2,10)</f>
        <v>6</v>
      </c>
      <c r="C849" s="9" t="n">
        <f aca="false">(26*B849-5*B849^2)/24</f>
        <v>-1</v>
      </c>
      <c r="D849" s="9" t="n">
        <f aca="false">(A849^2+4*C849)/5</f>
        <v>143481</v>
      </c>
      <c r="E849" s="9" t="n">
        <f aca="false">MOD(D849,10)</f>
        <v>1</v>
      </c>
      <c r="F849" s="9" t="n">
        <f aca="false">2*D849</f>
        <v>286962</v>
      </c>
      <c r="G849" s="9" t="n">
        <f aca="false">MOD(F849,10)</f>
        <v>2</v>
      </c>
      <c r="H849" s="9" t="n">
        <f aca="false">G849/2</f>
        <v>1</v>
      </c>
      <c r="I849" s="9" t="str">
        <f aca="false">IF(H849=0,"—",IF(H849=1,"unison (1:1)",IF(H849=2,"octave (2:1)",IF(H849=3,"fifth (3:2)",IF(H849=4,"fourth (4:3)","?")))))</f>
        <v>unison (1:1)</v>
      </c>
      <c r="J849" s="9" t="str">
        <f aca="false">IF(H849=0,"—",IF(H849=1,"ὁμώνυμον",IF(H849=2,"διὰ πασῶν",IF(H849=3,"διὰ πέντε",IF(H849=4,"διὰ τεσσάρων","?")))))</f>
        <v>ὁμώνυμον</v>
      </c>
      <c r="K849" s="10"/>
      <c r="L849" s="14"/>
      <c r="M849" s="13"/>
    </row>
    <row r="850" customFormat="false" ht="15.75" hidden="false" customHeight="true" outlineLevel="0" collapsed="false">
      <c r="A850" s="8" t="n">
        <f aca="false">A849+1</f>
        <v>848</v>
      </c>
      <c r="B850" s="9" t="n">
        <f aca="false">MOD(4*A850^2,10)</f>
        <v>6</v>
      </c>
      <c r="C850" s="9" t="n">
        <f aca="false">(26*B850-5*B850^2)/24</f>
        <v>-1</v>
      </c>
      <c r="D850" s="9" t="n">
        <f aca="false">(A850^2+4*C850)/5</f>
        <v>143820</v>
      </c>
      <c r="E850" s="9" t="n">
        <f aca="false">MOD(D850,10)</f>
        <v>0</v>
      </c>
      <c r="F850" s="9" t="n">
        <f aca="false">2*D850</f>
        <v>287640</v>
      </c>
      <c r="G850" s="9" t="n">
        <f aca="false">MOD(F850,10)</f>
        <v>0</v>
      </c>
      <c r="H850" s="9" t="n">
        <f aca="false">G850/2</f>
        <v>0</v>
      </c>
      <c r="I850" s="9" t="str">
        <f aca="false">IF(H850=0,"—",IF(H850=1,"unison (1:1)",IF(H850=2,"octave (2:1)",IF(H850=3,"fifth (3:2)",IF(H850=4,"fourth (4:3)","?")))))</f>
        <v>—</v>
      </c>
      <c r="J850" s="9" t="str">
        <f aca="false">IF(H850=0,"—",IF(H850=1,"ὁμώνυμον",IF(H850=2,"διὰ πασῶν",IF(H850=3,"διὰ πέντε",IF(H850=4,"διὰ τεσσάρων","?")))))</f>
        <v>—</v>
      </c>
      <c r="K850" s="10"/>
      <c r="L850" s="14"/>
      <c r="M850" s="13"/>
    </row>
    <row r="851" customFormat="false" ht="15.75" hidden="false" customHeight="true" outlineLevel="0" collapsed="false">
      <c r="A851" s="8" t="n">
        <f aca="false">A850+1</f>
        <v>849</v>
      </c>
      <c r="B851" s="9" t="n">
        <f aca="false">MOD(4*A851^2,10)</f>
        <v>4</v>
      </c>
      <c r="C851" s="9" t="n">
        <f aca="false">(26*B851-5*B851^2)/24</f>
        <v>1</v>
      </c>
      <c r="D851" s="9" t="n">
        <f aca="false">(A851^2+4*C851)/5</f>
        <v>144161</v>
      </c>
      <c r="E851" s="9" t="n">
        <f aca="false">MOD(D851,10)</f>
        <v>1</v>
      </c>
      <c r="F851" s="9" t="n">
        <f aca="false">2*D851</f>
        <v>288322</v>
      </c>
      <c r="G851" s="9" t="n">
        <f aca="false">MOD(F851,10)</f>
        <v>2</v>
      </c>
      <c r="H851" s="9" t="n">
        <f aca="false">G851/2</f>
        <v>1</v>
      </c>
      <c r="I851" s="9" t="str">
        <f aca="false">IF(H851=0,"—",IF(H851=1,"unison (1:1)",IF(H851=2,"octave (2:1)",IF(H851=3,"fifth (3:2)",IF(H851=4,"fourth (4:3)","?")))))</f>
        <v>unison (1:1)</v>
      </c>
      <c r="J851" s="9" t="str">
        <f aca="false">IF(H851=0,"—",IF(H851=1,"ὁμώνυμον",IF(H851=2,"διὰ πασῶν",IF(H851=3,"διὰ πέντε",IF(H851=4,"διὰ τεσσάρων","?")))))</f>
        <v>ὁμώνυμον</v>
      </c>
      <c r="K851" s="10"/>
      <c r="L851" s="14"/>
      <c r="M851" s="13"/>
    </row>
    <row r="852" customFormat="false" ht="15.75" hidden="false" customHeight="true" outlineLevel="0" collapsed="false">
      <c r="A852" s="8" t="n">
        <f aca="false">A851+1</f>
        <v>850</v>
      </c>
      <c r="B852" s="9" t="n">
        <f aca="false">MOD(4*A852^2,10)</f>
        <v>0</v>
      </c>
      <c r="C852" s="9" t="n">
        <f aca="false">(26*B852-5*B852^2)/24</f>
        <v>0</v>
      </c>
      <c r="D852" s="9" t="n">
        <f aca="false">(A852^2+4*C852)/5</f>
        <v>144500</v>
      </c>
      <c r="E852" s="9" t="n">
        <f aca="false">MOD(D852,10)</f>
        <v>0</v>
      </c>
      <c r="F852" s="9" t="n">
        <f aca="false">2*D852</f>
        <v>289000</v>
      </c>
      <c r="G852" s="9" t="n">
        <f aca="false">MOD(F852,10)</f>
        <v>0</v>
      </c>
      <c r="H852" s="9" t="n">
        <f aca="false">G852/2</f>
        <v>0</v>
      </c>
      <c r="I852" s="9" t="str">
        <f aca="false">IF(H852=0,"—",IF(H852=1,"unison (1:1)",IF(H852=2,"octave (2:1)",IF(H852=3,"fifth (3:2)",IF(H852=4,"fourth (4:3)","?")))))</f>
        <v>—</v>
      </c>
      <c r="J852" s="9" t="str">
        <f aca="false">IF(H852=0,"—",IF(H852=1,"ὁμώνυμον",IF(H852=2,"διὰ πασῶν",IF(H852=3,"διὰ πέντε",IF(H852=4,"διὰ τεσσάρων","?")))))</f>
        <v>—</v>
      </c>
      <c r="K852" s="10"/>
      <c r="L852" s="14"/>
      <c r="M852" s="13"/>
    </row>
    <row r="853" customFormat="false" ht="15.75" hidden="false" customHeight="true" outlineLevel="0" collapsed="false">
      <c r="A853" s="8" t="n">
        <f aca="false">A852+1</f>
        <v>851</v>
      </c>
      <c r="B853" s="9" t="n">
        <f aca="false">MOD(4*A853^2,10)</f>
        <v>4</v>
      </c>
      <c r="C853" s="9" t="n">
        <f aca="false">(26*B853-5*B853^2)/24</f>
        <v>1</v>
      </c>
      <c r="D853" s="9" t="n">
        <f aca="false">(A853^2+4*C853)/5</f>
        <v>144841</v>
      </c>
      <c r="E853" s="9" t="n">
        <f aca="false">MOD(D853,10)</f>
        <v>1</v>
      </c>
      <c r="F853" s="9" t="n">
        <f aca="false">2*D853</f>
        <v>289682</v>
      </c>
      <c r="G853" s="9" t="n">
        <f aca="false">MOD(F853,10)</f>
        <v>2</v>
      </c>
      <c r="H853" s="9" t="n">
        <f aca="false">G853/2</f>
        <v>1</v>
      </c>
      <c r="I853" s="9" t="str">
        <f aca="false">IF(H853=0,"—",IF(H853=1,"unison (1:1)",IF(H853=2,"octave (2:1)",IF(H853=3,"fifth (3:2)",IF(H853=4,"fourth (4:3)","?")))))</f>
        <v>unison (1:1)</v>
      </c>
      <c r="J853" s="9" t="str">
        <f aca="false">IF(H853=0,"—",IF(H853=1,"ὁμώνυμον",IF(H853=2,"διὰ πασῶν",IF(H853=3,"διὰ πέντε",IF(H853=4,"διὰ τεσσάρων","?")))))</f>
        <v>ὁμώνυμον</v>
      </c>
      <c r="K853" s="10"/>
      <c r="L853" s="14"/>
      <c r="M853" s="13"/>
    </row>
    <row r="854" customFormat="false" ht="15.75" hidden="false" customHeight="true" outlineLevel="0" collapsed="false">
      <c r="A854" s="8" t="n">
        <f aca="false">A853+1</f>
        <v>852</v>
      </c>
      <c r="B854" s="9" t="n">
        <f aca="false">MOD(4*A854^2,10)</f>
        <v>6</v>
      </c>
      <c r="C854" s="9" t="n">
        <f aca="false">(26*B854-5*B854^2)/24</f>
        <v>-1</v>
      </c>
      <c r="D854" s="9" t="n">
        <f aca="false">(A854^2+4*C854)/5</f>
        <v>145180</v>
      </c>
      <c r="E854" s="9" t="n">
        <f aca="false">MOD(D854,10)</f>
        <v>0</v>
      </c>
      <c r="F854" s="9" t="n">
        <f aca="false">2*D854</f>
        <v>290360</v>
      </c>
      <c r="G854" s="9" t="n">
        <f aca="false">MOD(F854,10)</f>
        <v>0</v>
      </c>
      <c r="H854" s="9" t="n">
        <f aca="false">G854/2</f>
        <v>0</v>
      </c>
      <c r="I854" s="9" t="str">
        <f aca="false">IF(H854=0,"—",IF(H854=1,"unison (1:1)",IF(H854=2,"octave (2:1)",IF(H854=3,"fifth (3:2)",IF(H854=4,"fourth (4:3)","?")))))</f>
        <v>—</v>
      </c>
      <c r="J854" s="9" t="str">
        <f aca="false">IF(H854=0,"—",IF(H854=1,"ὁμώνυμον",IF(H854=2,"διὰ πασῶν",IF(H854=3,"διὰ πέντε",IF(H854=4,"διὰ τεσσάρων","?")))))</f>
        <v>—</v>
      </c>
      <c r="K854" s="10"/>
      <c r="L854" s="14"/>
      <c r="M854" s="13"/>
    </row>
    <row r="855" customFormat="false" ht="15.75" hidden="false" customHeight="true" outlineLevel="0" collapsed="false">
      <c r="A855" s="8" t="n">
        <f aca="false">A854+1</f>
        <v>853</v>
      </c>
      <c r="B855" s="9" t="n">
        <f aca="false">MOD(4*A855^2,10)</f>
        <v>6</v>
      </c>
      <c r="C855" s="9" t="n">
        <f aca="false">(26*B855-5*B855^2)/24</f>
        <v>-1</v>
      </c>
      <c r="D855" s="9" t="n">
        <f aca="false">(A855^2+4*C855)/5</f>
        <v>145521</v>
      </c>
      <c r="E855" s="9" t="n">
        <f aca="false">MOD(D855,10)</f>
        <v>1</v>
      </c>
      <c r="F855" s="9" t="n">
        <f aca="false">2*D855</f>
        <v>291042</v>
      </c>
      <c r="G855" s="9" t="n">
        <f aca="false">MOD(F855,10)</f>
        <v>2</v>
      </c>
      <c r="H855" s="9" t="n">
        <f aca="false">G855/2</f>
        <v>1</v>
      </c>
      <c r="I855" s="9" t="str">
        <f aca="false">IF(H855=0,"—",IF(H855=1,"unison (1:1)",IF(H855=2,"octave (2:1)",IF(H855=3,"fifth (3:2)",IF(H855=4,"fourth (4:3)","?")))))</f>
        <v>unison (1:1)</v>
      </c>
      <c r="J855" s="9" t="str">
        <f aca="false">IF(H855=0,"—",IF(H855=1,"ὁμώνυμον",IF(H855=2,"διὰ πασῶν",IF(H855=3,"διὰ πέντε",IF(H855=4,"διὰ τεσσάρων","?")))))</f>
        <v>ὁμώνυμον</v>
      </c>
      <c r="K855" s="10"/>
      <c r="L855" s="14"/>
      <c r="M855" s="13"/>
    </row>
    <row r="856" customFormat="false" ht="15.75" hidden="false" customHeight="true" outlineLevel="0" collapsed="false">
      <c r="A856" s="8" t="n">
        <f aca="false">A855+1</f>
        <v>854</v>
      </c>
      <c r="B856" s="9" t="n">
        <f aca="false">MOD(4*A856^2,10)</f>
        <v>4</v>
      </c>
      <c r="C856" s="9" t="n">
        <f aca="false">(26*B856-5*B856^2)/24</f>
        <v>1</v>
      </c>
      <c r="D856" s="9" t="n">
        <f aca="false">(A856^2+4*C856)/5</f>
        <v>145864</v>
      </c>
      <c r="E856" s="9" t="n">
        <f aca="false">MOD(D856,10)</f>
        <v>4</v>
      </c>
      <c r="F856" s="9" t="n">
        <f aca="false">2*D856</f>
        <v>291728</v>
      </c>
      <c r="G856" s="9" t="n">
        <f aca="false">MOD(F856,10)</f>
        <v>8</v>
      </c>
      <c r="H856" s="9" t="n">
        <f aca="false">G856/2</f>
        <v>4</v>
      </c>
      <c r="I856" s="9" t="str">
        <f aca="false">IF(H856=0,"—",IF(H856=1,"unison (1:1)",IF(H856=2,"octave (2:1)",IF(H856=3,"fifth (3:2)",IF(H856=4,"fourth (4:3)","?")))))</f>
        <v>fourth (4:3)</v>
      </c>
      <c r="J856" s="9" t="str">
        <f aca="false">IF(H856=0,"—",IF(H856=1,"ὁμώνυμον",IF(H856=2,"διὰ πασῶν",IF(H856=3,"διὰ πέντε",IF(H856=4,"διὰ τεσσάρων","?")))))</f>
        <v>διὰ τεσσάρων</v>
      </c>
      <c r="K856" s="10"/>
      <c r="L856" s="14"/>
      <c r="M856" s="13"/>
    </row>
    <row r="857" customFormat="false" ht="15.75" hidden="false" customHeight="true" outlineLevel="0" collapsed="false">
      <c r="A857" s="8" t="n">
        <f aca="false">A856+1</f>
        <v>855</v>
      </c>
      <c r="B857" s="9" t="n">
        <f aca="false">MOD(4*A857^2,10)</f>
        <v>0</v>
      </c>
      <c r="C857" s="9" t="n">
        <f aca="false">(26*B857-5*B857^2)/24</f>
        <v>0</v>
      </c>
      <c r="D857" s="9" t="n">
        <f aca="false">(A857^2+4*C857)/5</f>
        <v>146205</v>
      </c>
      <c r="E857" s="9" t="n">
        <f aca="false">MOD(D857,10)</f>
        <v>5</v>
      </c>
      <c r="F857" s="9" t="n">
        <f aca="false">2*D857</f>
        <v>292410</v>
      </c>
      <c r="G857" s="9" t="n">
        <f aca="false">MOD(F857,10)</f>
        <v>0</v>
      </c>
      <c r="H857" s="9" t="n">
        <f aca="false">G857/2</f>
        <v>0</v>
      </c>
      <c r="I857" s="9" t="str">
        <f aca="false">IF(H857=0,"—",IF(H857=1,"unison (1:1)",IF(H857=2,"octave (2:1)",IF(H857=3,"fifth (3:2)",IF(H857=4,"fourth (4:3)","?")))))</f>
        <v>—</v>
      </c>
      <c r="J857" s="9" t="str">
        <f aca="false">IF(H857=0,"—",IF(H857=1,"ὁμώνυμον",IF(H857=2,"διὰ πασῶν",IF(H857=3,"διὰ πέντε",IF(H857=4,"διὰ τεσσάρων","?")))))</f>
        <v>—</v>
      </c>
      <c r="K857" s="10"/>
      <c r="L857" s="14"/>
      <c r="M857" s="13"/>
    </row>
    <row r="858" customFormat="false" ht="15.75" hidden="false" customHeight="true" outlineLevel="0" collapsed="false">
      <c r="A858" s="8" t="n">
        <f aca="false">A857+1</f>
        <v>856</v>
      </c>
      <c r="B858" s="9" t="n">
        <f aca="false">MOD(4*A858^2,10)</f>
        <v>4</v>
      </c>
      <c r="C858" s="9" t="n">
        <f aca="false">(26*B858-5*B858^2)/24</f>
        <v>1</v>
      </c>
      <c r="D858" s="9" t="n">
        <f aca="false">(A858^2+4*C858)/5</f>
        <v>146548</v>
      </c>
      <c r="E858" s="9" t="n">
        <f aca="false">MOD(D858,10)</f>
        <v>8</v>
      </c>
      <c r="F858" s="9" t="n">
        <f aca="false">2*D858</f>
        <v>293096</v>
      </c>
      <c r="G858" s="9" t="n">
        <f aca="false">MOD(F858,10)</f>
        <v>6</v>
      </c>
      <c r="H858" s="9" t="n">
        <f aca="false">G858/2</f>
        <v>3</v>
      </c>
      <c r="I858" s="9" t="str">
        <f aca="false">IF(H858=0,"—",IF(H858=1,"unison (1:1)",IF(H858=2,"octave (2:1)",IF(H858=3,"fifth (3:2)",IF(H858=4,"fourth (4:3)","?")))))</f>
        <v>fifth (3:2)</v>
      </c>
      <c r="J858" s="9" t="str">
        <f aca="false">IF(H858=0,"—",IF(H858=1,"ὁμώνυμον",IF(H858=2,"διὰ πασῶν",IF(H858=3,"διὰ πέντε",IF(H858=4,"διὰ τεσσάρων","?")))))</f>
        <v>διὰ πέντε</v>
      </c>
      <c r="K858" s="10"/>
      <c r="L858" s="14"/>
      <c r="M858" s="13"/>
    </row>
    <row r="859" customFormat="false" ht="15.75" hidden="false" customHeight="true" outlineLevel="0" collapsed="false">
      <c r="A859" s="8" t="n">
        <f aca="false">A858+1</f>
        <v>857</v>
      </c>
      <c r="B859" s="9" t="n">
        <f aca="false">MOD(4*A859^2,10)</f>
        <v>6</v>
      </c>
      <c r="C859" s="9" t="n">
        <f aca="false">(26*B859-5*B859^2)/24</f>
        <v>-1</v>
      </c>
      <c r="D859" s="9" t="n">
        <f aca="false">(A859^2+4*C859)/5</f>
        <v>146889</v>
      </c>
      <c r="E859" s="9" t="n">
        <f aca="false">MOD(D859,10)</f>
        <v>9</v>
      </c>
      <c r="F859" s="9" t="n">
        <f aca="false">2*D859</f>
        <v>293778</v>
      </c>
      <c r="G859" s="9" t="n">
        <f aca="false">MOD(F859,10)</f>
        <v>8</v>
      </c>
      <c r="H859" s="9" t="n">
        <f aca="false">G859/2</f>
        <v>4</v>
      </c>
      <c r="I859" s="9" t="str">
        <f aca="false">IF(H859=0,"—",IF(H859=1,"unison (1:1)",IF(H859=2,"octave (2:1)",IF(H859=3,"fifth (3:2)",IF(H859=4,"fourth (4:3)","?")))))</f>
        <v>fourth (4:3)</v>
      </c>
      <c r="J859" s="9" t="str">
        <f aca="false">IF(H859=0,"—",IF(H859=1,"ὁμώνυμον",IF(H859=2,"διὰ πασῶν",IF(H859=3,"διὰ πέντε",IF(H859=4,"διὰ τεσσάρων","?")))))</f>
        <v>διὰ τεσσάρων</v>
      </c>
      <c r="K859" s="10"/>
      <c r="L859" s="14"/>
      <c r="M859" s="13"/>
    </row>
    <row r="860" customFormat="false" ht="15.75" hidden="false" customHeight="true" outlineLevel="0" collapsed="false">
      <c r="A860" s="8" t="n">
        <f aca="false">A859+1</f>
        <v>858</v>
      </c>
      <c r="B860" s="9" t="n">
        <f aca="false">MOD(4*A860^2,10)</f>
        <v>6</v>
      </c>
      <c r="C860" s="9" t="n">
        <f aca="false">(26*B860-5*B860^2)/24</f>
        <v>-1</v>
      </c>
      <c r="D860" s="9" t="n">
        <f aca="false">(A860^2+4*C860)/5</f>
        <v>147232</v>
      </c>
      <c r="E860" s="9" t="n">
        <f aca="false">MOD(D860,10)</f>
        <v>2</v>
      </c>
      <c r="F860" s="9" t="n">
        <f aca="false">2*D860</f>
        <v>294464</v>
      </c>
      <c r="G860" s="9" t="n">
        <f aca="false">MOD(F860,10)</f>
        <v>4</v>
      </c>
      <c r="H860" s="9" t="n">
        <f aca="false">G860/2</f>
        <v>2</v>
      </c>
      <c r="I860" s="9" t="str">
        <f aca="false">IF(H860=0,"—",IF(H860=1,"unison (1:1)",IF(H860=2,"octave (2:1)",IF(H860=3,"fifth (3:2)",IF(H860=4,"fourth (4:3)","?")))))</f>
        <v>octave (2:1)</v>
      </c>
      <c r="J860" s="9" t="str">
        <f aca="false">IF(H860=0,"—",IF(H860=1,"ὁμώνυμον",IF(H860=2,"διὰ πασῶν",IF(H860=3,"διὰ πέντε",IF(H860=4,"διὰ τεσσάρων","?")))))</f>
        <v>διὰ πασῶν</v>
      </c>
      <c r="K860" s="10"/>
      <c r="L860" s="14"/>
      <c r="M860" s="13"/>
    </row>
    <row r="861" customFormat="false" ht="15.75" hidden="false" customHeight="true" outlineLevel="0" collapsed="false">
      <c r="A861" s="8" t="n">
        <f aca="false">A860+1</f>
        <v>859</v>
      </c>
      <c r="B861" s="9" t="n">
        <f aca="false">MOD(4*A861^2,10)</f>
        <v>4</v>
      </c>
      <c r="C861" s="9" t="n">
        <f aca="false">(26*B861-5*B861^2)/24</f>
        <v>1</v>
      </c>
      <c r="D861" s="9" t="n">
        <f aca="false">(A861^2+4*C861)/5</f>
        <v>147577</v>
      </c>
      <c r="E861" s="9" t="n">
        <f aca="false">MOD(D861,10)</f>
        <v>7</v>
      </c>
      <c r="F861" s="9" t="n">
        <f aca="false">2*D861</f>
        <v>295154</v>
      </c>
      <c r="G861" s="9" t="n">
        <f aca="false">MOD(F861,10)</f>
        <v>4</v>
      </c>
      <c r="H861" s="9" t="n">
        <f aca="false">G861/2</f>
        <v>2</v>
      </c>
      <c r="I861" s="9" t="str">
        <f aca="false">IF(H861=0,"—",IF(H861=1,"unison (1:1)",IF(H861=2,"octave (2:1)",IF(H861=3,"fifth (3:2)",IF(H861=4,"fourth (4:3)","?")))))</f>
        <v>octave (2:1)</v>
      </c>
      <c r="J861" s="9" t="str">
        <f aca="false">IF(H861=0,"—",IF(H861=1,"ὁμώνυμον",IF(H861=2,"διὰ πασῶν",IF(H861=3,"διὰ πέντε",IF(H861=4,"διὰ τεσσάρων","?")))))</f>
        <v>διὰ πασῶν</v>
      </c>
      <c r="K861" s="10"/>
      <c r="L861" s="14"/>
      <c r="M861" s="13"/>
    </row>
    <row r="862" customFormat="false" ht="15.75" hidden="false" customHeight="true" outlineLevel="0" collapsed="false">
      <c r="A862" s="8" t="n">
        <f aca="false">A861+1</f>
        <v>860</v>
      </c>
      <c r="B862" s="9" t="n">
        <f aca="false">MOD(4*A862^2,10)</f>
        <v>0</v>
      </c>
      <c r="C862" s="9" t="n">
        <f aca="false">(26*B862-5*B862^2)/24</f>
        <v>0</v>
      </c>
      <c r="D862" s="9" t="n">
        <f aca="false">(A862^2+4*C862)/5</f>
        <v>147920</v>
      </c>
      <c r="E862" s="9" t="n">
        <f aca="false">MOD(D862,10)</f>
        <v>0</v>
      </c>
      <c r="F862" s="9" t="n">
        <f aca="false">2*D862</f>
        <v>295840</v>
      </c>
      <c r="G862" s="9" t="n">
        <f aca="false">MOD(F862,10)</f>
        <v>0</v>
      </c>
      <c r="H862" s="9" t="n">
        <f aca="false">G862/2</f>
        <v>0</v>
      </c>
      <c r="I862" s="9" t="str">
        <f aca="false">IF(H862=0,"—",IF(H862=1,"unison (1:1)",IF(H862=2,"octave (2:1)",IF(H862=3,"fifth (3:2)",IF(H862=4,"fourth (4:3)","?")))))</f>
        <v>—</v>
      </c>
      <c r="J862" s="9" t="str">
        <f aca="false">IF(H862=0,"—",IF(H862=1,"ὁμώνυμον",IF(H862=2,"διὰ πασῶν",IF(H862=3,"διὰ πέντε",IF(H862=4,"διὰ τεσσάρων","?")))))</f>
        <v>—</v>
      </c>
      <c r="K862" s="10"/>
      <c r="L862" s="14"/>
      <c r="M862" s="13"/>
    </row>
    <row r="863" customFormat="false" ht="15.75" hidden="false" customHeight="true" outlineLevel="0" collapsed="false">
      <c r="A863" s="8" t="n">
        <f aca="false">A862+1</f>
        <v>861</v>
      </c>
      <c r="B863" s="9" t="n">
        <f aca="false">MOD(4*A863^2,10)</f>
        <v>4</v>
      </c>
      <c r="C863" s="9" t="n">
        <f aca="false">(26*B863-5*B863^2)/24</f>
        <v>1</v>
      </c>
      <c r="D863" s="9" t="n">
        <f aca="false">(A863^2+4*C863)/5</f>
        <v>148265</v>
      </c>
      <c r="E863" s="9" t="n">
        <f aca="false">MOD(D863,10)</f>
        <v>5</v>
      </c>
      <c r="F863" s="9" t="n">
        <f aca="false">2*D863</f>
        <v>296530</v>
      </c>
      <c r="G863" s="9" t="n">
        <f aca="false">MOD(F863,10)</f>
        <v>0</v>
      </c>
      <c r="H863" s="9" t="n">
        <f aca="false">G863/2</f>
        <v>0</v>
      </c>
      <c r="I863" s="9" t="str">
        <f aca="false">IF(H863=0,"—",IF(H863=1,"unison (1:1)",IF(H863=2,"octave (2:1)",IF(H863=3,"fifth (3:2)",IF(H863=4,"fourth (4:3)","?")))))</f>
        <v>—</v>
      </c>
      <c r="J863" s="9" t="str">
        <f aca="false">IF(H863=0,"—",IF(H863=1,"ὁμώνυμον",IF(H863=2,"διὰ πασῶν",IF(H863=3,"διὰ πέντε",IF(H863=4,"διὰ τεσσάρων","?")))))</f>
        <v>—</v>
      </c>
      <c r="K863" s="10"/>
      <c r="L863" s="14"/>
      <c r="M863" s="13"/>
    </row>
    <row r="864" customFormat="false" ht="15.75" hidden="false" customHeight="true" outlineLevel="0" collapsed="false">
      <c r="A864" s="8" t="n">
        <f aca="false">A863+1</f>
        <v>862</v>
      </c>
      <c r="B864" s="9" t="n">
        <f aca="false">MOD(4*A864^2,10)</f>
        <v>6</v>
      </c>
      <c r="C864" s="9" t="n">
        <f aca="false">(26*B864-5*B864^2)/24</f>
        <v>-1</v>
      </c>
      <c r="D864" s="9" t="n">
        <f aca="false">(A864^2+4*C864)/5</f>
        <v>148608</v>
      </c>
      <c r="E864" s="9" t="n">
        <f aca="false">MOD(D864,10)</f>
        <v>8</v>
      </c>
      <c r="F864" s="9" t="n">
        <f aca="false">2*D864</f>
        <v>297216</v>
      </c>
      <c r="G864" s="9" t="n">
        <f aca="false">MOD(F864,10)</f>
        <v>6</v>
      </c>
      <c r="H864" s="9" t="n">
        <f aca="false">G864/2</f>
        <v>3</v>
      </c>
      <c r="I864" s="9" t="str">
        <f aca="false">IF(H864=0,"—",IF(H864=1,"unison (1:1)",IF(H864=2,"octave (2:1)",IF(H864=3,"fifth (3:2)",IF(H864=4,"fourth (4:3)","?")))))</f>
        <v>fifth (3:2)</v>
      </c>
      <c r="J864" s="9" t="str">
        <f aca="false">IF(H864=0,"—",IF(H864=1,"ὁμώνυμον",IF(H864=2,"διὰ πασῶν",IF(H864=3,"διὰ πέντε",IF(H864=4,"διὰ τεσσάρων","?")))))</f>
        <v>διὰ πέντε</v>
      </c>
      <c r="K864" s="10"/>
      <c r="L864" s="14"/>
      <c r="M864" s="13"/>
    </row>
    <row r="865" customFormat="false" ht="15.75" hidden="false" customHeight="true" outlineLevel="0" collapsed="false">
      <c r="A865" s="8" t="n">
        <f aca="false">A864+1</f>
        <v>863</v>
      </c>
      <c r="B865" s="9" t="n">
        <f aca="false">MOD(4*A865^2,10)</f>
        <v>6</v>
      </c>
      <c r="C865" s="9" t="n">
        <f aca="false">(26*B865-5*B865^2)/24</f>
        <v>-1</v>
      </c>
      <c r="D865" s="9" t="n">
        <f aca="false">(A865^2+4*C865)/5</f>
        <v>148953</v>
      </c>
      <c r="E865" s="9" t="n">
        <f aca="false">MOD(D865,10)</f>
        <v>3</v>
      </c>
      <c r="F865" s="9" t="n">
        <f aca="false">2*D865</f>
        <v>297906</v>
      </c>
      <c r="G865" s="9" t="n">
        <f aca="false">MOD(F865,10)</f>
        <v>6</v>
      </c>
      <c r="H865" s="9" t="n">
        <f aca="false">G865/2</f>
        <v>3</v>
      </c>
      <c r="I865" s="9" t="str">
        <f aca="false">IF(H865=0,"—",IF(H865=1,"unison (1:1)",IF(H865=2,"octave (2:1)",IF(H865=3,"fifth (3:2)",IF(H865=4,"fourth (4:3)","?")))))</f>
        <v>fifth (3:2)</v>
      </c>
      <c r="J865" s="9" t="str">
        <f aca="false">IF(H865=0,"—",IF(H865=1,"ὁμώνυμον",IF(H865=2,"διὰ πασῶν",IF(H865=3,"διὰ πέντε",IF(H865=4,"διὰ τεσσάρων","?")))))</f>
        <v>διὰ πέντε</v>
      </c>
      <c r="K865" s="10"/>
      <c r="L865" s="14"/>
      <c r="M865" s="13"/>
    </row>
    <row r="866" customFormat="false" ht="15.75" hidden="false" customHeight="true" outlineLevel="0" collapsed="false">
      <c r="A866" s="8" t="n">
        <f aca="false">A865+1</f>
        <v>864</v>
      </c>
      <c r="B866" s="9" t="n">
        <f aca="false">MOD(4*A866^2,10)</f>
        <v>4</v>
      </c>
      <c r="C866" s="9" t="n">
        <f aca="false">(26*B866-5*B866^2)/24</f>
        <v>1</v>
      </c>
      <c r="D866" s="9" t="n">
        <f aca="false">(A866^2+4*C866)/5</f>
        <v>149300</v>
      </c>
      <c r="E866" s="9" t="n">
        <f aca="false">MOD(D866,10)</f>
        <v>0</v>
      </c>
      <c r="F866" s="9" t="n">
        <f aca="false">2*D866</f>
        <v>298600</v>
      </c>
      <c r="G866" s="9" t="n">
        <f aca="false">MOD(F866,10)</f>
        <v>0</v>
      </c>
      <c r="H866" s="9" t="n">
        <f aca="false">G866/2</f>
        <v>0</v>
      </c>
      <c r="I866" s="9" t="str">
        <f aca="false">IF(H866=0,"—",IF(H866=1,"unison (1:1)",IF(H866=2,"octave (2:1)",IF(H866=3,"fifth (3:2)",IF(H866=4,"fourth (4:3)","?")))))</f>
        <v>—</v>
      </c>
      <c r="J866" s="9" t="str">
        <f aca="false">IF(H866=0,"—",IF(H866=1,"ὁμώνυμον",IF(H866=2,"διὰ πασῶν",IF(H866=3,"διὰ πέντε",IF(H866=4,"διὰ τεσσάρων","?")))))</f>
        <v>—</v>
      </c>
      <c r="K866" s="10"/>
      <c r="L866" s="14"/>
      <c r="M866" s="13"/>
    </row>
    <row r="867" customFormat="false" ht="15.75" hidden="false" customHeight="true" outlineLevel="0" collapsed="false">
      <c r="A867" s="8" t="n">
        <f aca="false">A866+1</f>
        <v>865</v>
      </c>
      <c r="B867" s="9" t="n">
        <f aca="false">MOD(4*A867^2,10)</f>
        <v>0</v>
      </c>
      <c r="C867" s="9" t="n">
        <f aca="false">(26*B867-5*B867^2)/24</f>
        <v>0</v>
      </c>
      <c r="D867" s="9" t="n">
        <f aca="false">(A867^2+4*C867)/5</f>
        <v>149645</v>
      </c>
      <c r="E867" s="9" t="n">
        <f aca="false">MOD(D867,10)</f>
        <v>5</v>
      </c>
      <c r="F867" s="9" t="n">
        <f aca="false">2*D867</f>
        <v>299290</v>
      </c>
      <c r="G867" s="9" t="n">
        <f aca="false">MOD(F867,10)</f>
        <v>0</v>
      </c>
      <c r="H867" s="9" t="n">
        <f aca="false">G867/2</f>
        <v>0</v>
      </c>
      <c r="I867" s="9" t="str">
        <f aca="false">IF(H867=0,"—",IF(H867=1,"unison (1:1)",IF(H867=2,"octave (2:1)",IF(H867=3,"fifth (3:2)",IF(H867=4,"fourth (4:3)","?")))))</f>
        <v>—</v>
      </c>
      <c r="J867" s="9" t="str">
        <f aca="false">IF(H867=0,"—",IF(H867=1,"ὁμώνυμον",IF(H867=2,"διὰ πασῶν",IF(H867=3,"διὰ πέντε",IF(H867=4,"διὰ τεσσάρων","?")))))</f>
        <v>—</v>
      </c>
      <c r="K867" s="10"/>
      <c r="L867" s="14"/>
      <c r="M867" s="13"/>
    </row>
    <row r="868" customFormat="false" ht="15.75" hidden="false" customHeight="true" outlineLevel="0" collapsed="false">
      <c r="A868" s="8" t="n">
        <f aca="false">A867+1</f>
        <v>866</v>
      </c>
      <c r="B868" s="9" t="n">
        <f aca="false">MOD(4*A868^2,10)</f>
        <v>4</v>
      </c>
      <c r="C868" s="9" t="n">
        <f aca="false">(26*B868-5*B868^2)/24</f>
        <v>1</v>
      </c>
      <c r="D868" s="9" t="n">
        <f aca="false">(A868^2+4*C868)/5</f>
        <v>149992</v>
      </c>
      <c r="E868" s="9" t="n">
        <f aca="false">MOD(D868,10)</f>
        <v>2</v>
      </c>
      <c r="F868" s="9" t="n">
        <f aca="false">2*D868</f>
        <v>299984</v>
      </c>
      <c r="G868" s="9" t="n">
        <f aca="false">MOD(F868,10)</f>
        <v>4</v>
      </c>
      <c r="H868" s="9" t="n">
        <f aca="false">G868/2</f>
        <v>2</v>
      </c>
      <c r="I868" s="9" t="str">
        <f aca="false">IF(H868=0,"—",IF(H868=1,"unison (1:1)",IF(H868=2,"octave (2:1)",IF(H868=3,"fifth (3:2)",IF(H868=4,"fourth (4:3)","?")))))</f>
        <v>octave (2:1)</v>
      </c>
      <c r="J868" s="9" t="str">
        <f aca="false">IF(H868=0,"—",IF(H868=1,"ὁμώνυμον",IF(H868=2,"διὰ πασῶν",IF(H868=3,"διὰ πέντε",IF(H868=4,"διὰ τεσσάρων","?")))))</f>
        <v>διὰ πασῶν</v>
      </c>
      <c r="K868" s="10"/>
      <c r="L868" s="14"/>
      <c r="M868" s="13"/>
    </row>
    <row r="869" customFormat="false" ht="15.75" hidden="false" customHeight="true" outlineLevel="0" collapsed="false">
      <c r="A869" s="8" t="n">
        <f aca="false">A868+1</f>
        <v>867</v>
      </c>
      <c r="B869" s="9" t="n">
        <f aca="false">MOD(4*A869^2,10)</f>
        <v>6</v>
      </c>
      <c r="C869" s="9" t="n">
        <f aca="false">(26*B869-5*B869^2)/24</f>
        <v>-1</v>
      </c>
      <c r="D869" s="9" t="n">
        <f aca="false">(A869^2+4*C869)/5</f>
        <v>150337</v>
      </c>
      <c r="E869" s="9" t="n">
        <f aca="false">MOD(D869,10)</f>
        <v>7</v>
      </c>
      <c r="F869" s="9" t="n">
        <f aca="false">2*D869</f>
        <v>300674</v>
      </c>
      <c r="G869" s="9" t="n">
        <f aca="false">MOD(F869,10)</f>
        <v>4</v>
      </c>
      <c r="H869" s="9" t="n">
        <f aca="false">G869/2</f>
        <v>2</v>
      </c>
      <c r="I869" s="9" t="str">
        <f aca="false">IF(H869=0,"—",IF(H869=1,"unison (1:1)",IF(H869=2,"octave (2:1)",IF(H869=3,"fifth (3:2)",IF(H869=4,"fourth (4:3)","?")))))</f>
        <v>octave (2:1)</v>
      </c>
      <c r="J869" s="9" t="str">
        <f aca="false">IF(H869=0,"—",IF(H869=1,"ὁμώνυμον",IF(H869=2,"διὰ πασῶν",IF(H869=3,"διὰ πέντε",IF(H869=4,"διὰ τεσσάρων","?")))))</f>
        <v>διὰ πασῶν</v>
      </c>
      <c r="K869" s="10"/>
      <c r="L869" s="14"/>
      <c r="M869" s="13"/>
    </row>
    <row r="870" customFormat="false" ht="15.75" hidden="false" customHeight="true" outlineLevel="0" collapsed="false">
      <c r="A870" s="8" t="n">
        <f aca="false">A869+1</f>
        <v>868</v>
      </c>
      <c r="B870" s="9" t="n">
        <f aca="false">MOD(4*A870^2,10)</f>
        <v>6</v>
      </c>
      <c r="C870" s="9" t="n">
        <f aca="false">(26*B870-5*B870^2)/24</f>
        <v>-1</v>
      </c>
      <c r="D870" s="9" t="n">
        <f aca="false">(A870^2+4*C870)/5</f>
        <v>150684</v>
      </c>
      <c r="E870" s="9" t="n">
        <f aca="false">MOD(D870,10)</f>
        <v>4</v>
      </c>
      <c r="F870" s="9" t="n">
        <f aca="false">2*D870</f>
        <v>301368</v>
      </c>
      <c r="G870" s="9" t="n">
        <f aca="false">MOD(F870,10)</f>
        <v>8</v>
      </c>
      <c r="H870" s="9" t="n">
        <f aca="false">G870/2</f>
        <v>4</v>
      </c>
      <c r="I870" s="9" t="str">
        <f aca="false">IF(H870=0,"—",IF(H870=1,"unison (1:1)",IF(H870=2,"octave (2:1)",IF(H870=3,"fifth (3:2)",IF(H870=4,"fourth (4:3)","?")))))</f>
        <v>fourth (4:3)</v>
      </c>
      <c r="J870" s="9" t="str">
        <f aca="false">IF(H870=0,"—",IF(H870=1,"ὁμώνυμον",IF(H870=2,"διὰ πασῶν",IF(H870=3,"διὰ πέντε",IF(H870=4,"διὰ τεσσάρων","?")))))</f>
        <v>διὰ τεσσάρων</v>
      </c>
      <c r="K870" s="10"/>
      <c r="L870" s="14"/>
      <c r="M870" s="13"/>
    </row>
    <row r="871" customFormat="false" ht="15.75" hidden="false" customHeight="true" outlineLevel="0" collapsed="false">
      <c r="A871" s="8" t="n">
        <f aca="false">A870+1</f>
        <v>869</v>
      </c>
      <c r="B871" s="9" t="n">
        <f aca="false">MOD(4*A871^2,10)</f>
        <v>4</v>
      </c>
      <c r="C871" s="9" t="n">
        <f aca="false">(26*B871-5*B871^2)/24</f>
        <v>1</v>
      </c>
      <c r="D871" s="9" t="n">
        <f aca="false">(A871^2+4*C871)/5</f>
        <v>151033</v>
      </c>
      <c r="E871" s="9" t="n">
        <f aca="false">MOD(D871,10)</f>
        <v>3</v>
      </c>
      <c r="F871" s="9" t="n">
        <f aca="false">2*D871</f>
        <v>302066</v>
      </c>
      <c r="G871" s="9" t="n">
        <f aca="false">MOD(F871,10)</f>
        <v>6</v>
      </c>
      <c r="H871" s="9" t="n">
        <f aca="false">G871/2</f>
        <v>3</v>
      </c>
      <c r="I871" s="9" t="str">
        <f aca="false">IF(H871=0,"—",IF(H871=1,"unison (1:1)",IF(H871=2,"octave (2:1)",IF(H871=3,"fifth (3:2)",IF(H871=4,"fourth (4:3)","?")))))</f>
        <v>fifth (3:2)</v>
      </c>
      <c r="J871" s="9" t="str">
        <f aca="false">IF(H871=0,"—",IF(H871=1,"ὁμώνυμον",IF(H871=2,"διὰ πασῶν",IF(H871=3,"διὰ πέντε",IF(H871=4,"διὰ τεσσάρων","?")))))</f>
        <v>διὰ πέντε</v>
      </c>
      <c r="K871" s="10"/>
      <c r="L871" s="14"/>
      <c r="M871" s="13"/>
    </row>
    <row r="872" customFormat="false" ht="15.75" hidden="false" customHeight="true" outlineLevel="0" collapsed="false">
      <c r="A872" s="8" t="n">
        <f aca="false">A871+1</f>
        <v>870</v>
      </c>
      <c r="B872" s="9" t="n">
        <f aca="false">MOD(4*A872^2,10)</f>
        <v>0</v>
      </c>
      <c r="C872" s="9" t="n">
        <f aca="false">(26*B872-5*B872^2)/24</f>
        <v>0</v>
      </c>
      <c r="D872" s="9" t="n">
        <f aca="false">(A872^2+4*C872)/5</f>
        <v>151380</v>
      </c>
      <c r="E872" s="9" t="n">
        <f aca="false">MOD(D872,10)</f>
        <v>0</v>
      </c>
      <c r="F872" s="9" t="n">
        <f aca="false">2*D872</f>
        <v>302760</v>
      </c>
      <c r="G872" s="9" t="n">
        <f aca="false">MOD(F872,10)</f>
        <v>0</v>
      </c>
      <c r="H872" s="9" t="n">
        <f aca="false">G872/2</f>
        <v>0</v>
      </c>
      <c r="I872" s="9" t="str">
        <f aca="false">IF(H872=0,"—",IF(H872=1,"unison (1:1)",IF(H872=2,"octave (2:1)",IF(H872=3,"fifth (3:2)",IF(H872=4,"fourth (4:3)","?")))))</f>
        <v>—</v>
      </c>
      <c r="J872" s="9" t="str">
        <f aca="false">IF(H872=0,"—",IF(H872=1,"ὁμώνυμον",IF(H872=2,"διὰ πασῶν",IF(H872=3,"διὰ πέντε",IF(H872=4,"διὰ τεσσάρων","?")))))</f>
        <v>—</v>
      </c>
      <c r="K872" s="10"/>
      <c r="L872" s="14"/>
      <c r="M872" s="13"/>
    </row>
    <row r="873" customFormat="false" ht="15.75" hidden="false" customHeight="true" outlineLevel="0" collapsed="false">
      <c r="A873" s="8" t="n">
        <f aca="false">A872+1</f>
        <v>871</v>
      </c>
      <c r="B873" s="9" t="n">
        <f aca="false">MOD(4*A873^2,10)</f>
        <v>4</v>
      </c>
      <c r="C873" s="9" t="n">
        <f aca="false">(26*B873-5*B873^2)/24</f>
        <v>1</v>
      </c>
      <c r="D873" s="9" t="n">
        <f aca="false">(A873^2+4*C873)/5</f>
        <v>151729</v>
      </c>
      <c r="E873" s="9" t="n">
        <f aca="false">MOD(D873,10)</f>
        <v>9</v>
      </c>
      <c r="F873" s="9" t="n">
        <f aca="false">2*D873</f>
        <v>303458</v>
      </c>
      <c r="G873" s="9" t="n">
        <f aca="false">MOD(F873,10)</f>
        <v>8</v>
      </c>
      <c r="H873" s="9" t="n">
        <f aca="false">G873/2</f>
        <v>4</v>
      </c>
      <c r="I873" s="9" t="str">
        <f aca="false">IF(H873=0,"—",IF(H873=1,"unison (1:1)",IF(H873=2,"octave (2:1)",IF(H873=3,"fifth (3:2)",IF(H873=4,"fourth (4:3)","?")))))</f>
        <v>fourth (4:3)</v>
      </c>
      <c r="J873" s="9" t="str">
        <f aca="false">IF(H873=0,"—",IF(H873=1,"ὁμώνυμον",IF(H873=2,"διὰ πασῶν",IF(H873=3,"διὰ πέντε",IF(H873=4,"διὰ τεσσάρων","?")))))</f>
        <v>διὰ τεσσάρων</v>
      </c>
      <c r="K873" s="10"/>
      <c r="L873" s="14"/>
      <c r="M873" s="13"/>
    </row>
    <row r="874" customFormat="false" ht="15.75" hidden="false" customHeight="true" outlineLevel="0" collapsed="false">
      <c r="A874" s="8" t="n">
        <f aca="false">A873+1</f>
        <v>872</v>
      </c>
      <c r="B874" s="9" t="n">
        <f aca="false">MOD(4*A874^2,10)</f>
        <v>6</v>
      </c>
      <c r="C874" s="9" t="n">
        <f aca="false">(26*B874-5*B874^2)/24</f>
        <v>-1</v>
      </c>
      <c r="D874" s="9" t="n">
        <f aca="false">(A874^2+4*C874)/5</f>
        <v>152076</v>
      </c>
      <c r="E874" s="9" t="n">
        <f aca="false">MOD(D874,10)</f>
        <v>6</v>
      </c>
      <c r="F874" s="9" t="n">
        <f aca="false">2*D874</f>
        <v>304152</v>
      </c>
      <c r="G874" s="9" t="n">
        <f aca="false">MOD(F874,10)</f>
        <v>2</v>
      </c>
      <c r="H874" s="9" t="n">
        <f aca="false">G874/2</f>
        <v>1</v>
      </c>
      <c r="I874" s="9" t="str">
        <f aca="false">IF(H874=0,"—",IF(H874=1,"unison (1:1)",IF(H874=2,"octave (2:1)",IF(H874=3,"fifth (3:2)",IF(H874=4,"fourth (4:3)","?")))))</f>
        <v>unison (1:1)</v>
      </c>
      <c r="J874" s="9" t="str">
        <f aca="false">IF(H874=0,"—",IF(H874=1,"ὁμώνυμον",IF(H874=2,"διὰ πασῶν",IF(H874=3,"διὰ πέντε",IF(H874=4,"διὰ τεσσάρων","?")))))</f>
        <v>ὁμώνυμον</v>
      </c>
      <c r="K874" s="10"/>
      <c r="L874" s="14"/>
      <c r="M874" s="13"/>
    </row>
    <row r="875" customFormat="false" ht="15.75" hidden="false" customHeight="true" outlineLevel="0" collapsed="false">
      <c r="A875" s="8" t="n">
        <f aca="false">A874+1</f>
        <v>873</v>
      </c>
      <c r="B875" s="9" t="n">
        <f aca="false">MOD(4*A875^2,10)</f>
        <v>6</v>
      </c>
      <c r="C875" s="9" t="n">
        <f aca="false">(26*B875-5*B875^2)/24</f>
        <v>-1</v>
      </c>
      <c r="D875" s="9" t="n">
        <f aca="false">(A875^2+4*C875)/5</f>
        <v>152425</v>
      </c>
      <c r="E875" s="9" t="n">
        <f aca="false">MOD(D875,10)</f>
        <v>5</v>
      </c>
      <c r="F875" s="9" t="n">
        <f aca="false">2*D875</f>
        <v>304850</v>
      </c>
      <c r="G875" s="9" t="n">
        <f aca="false">MOD(F875,10)</f>
        <v>0</v>
      </c>
      <c r="H875" s="9" t="n">
        <f aca="false">G875/2</f>
        <v>0</v>
      </c>
      <c r="I875" s="9" t="str">
        <f aca="false">IF(H875=0,"—",IF(H875=1,"unison (1:1)",IF(H875=2,"octave (2:1)",IF(H875=3,"fifth (3:2)",IF(H875=4,"fourth (4:3)","?")))))</f>
        <v>—</v>
      </c>
      <c r="J875" s="9" t="str">
        <f aca="false">IF(H875=0,"—",IF(H875=1,"ὁμώνυμον",IF(H875=2,"διὰ πασῶν",IF(H875=3,"διὰ πέντε",IF(H875=4,"διὰ τεσσάρων","?")))))</f>
        <v>—</v>
      </c>
      <c r="K875" s="10"/>
      <c r="L875" s="14"/>
      <c r="M875" s="13"/>
    </row>
    <row r="876" customFormat="false" ht="15.75" hidden="false" customHeight="true" outlineLevel="0" collapsed="false">
      <c r="A876" s="8" t="n">
        <f aca="false">A875+1</f>
        <v>874</v>
      </c>
      <c r="B876" s="9" t="n">
        <f aca="false">MOD(4*A876^2,10)</f>
        <v>4</v>
      </c>
      <c r="C876" s="9" t="n">
        <f aca="false">(26*B876-5*B876^2)/24</f>
        <v>1</v>
      </c>
      <c r="D876" s="9" t="n">
        <f aca="false">(A876^2+4*C876)/5</f>
        <v>152776</v>
      </c>
      <c r="E876" s="9" t="n">
        <f aca="false">MOD(D876,10)</f>
        <v>6</v>
      </c>
      <c r="F876" s="9" t="n">
        <f aca="false">2*D876</f>
        <v>305552</v>
      </c>
      <c r="G876" s="9" t="n">
        <f aca="false">MOD(F876,10)</f>
        <v>2</v>
      </c>
      <c r="H876" s="9" t="n">
        <f aca="false">G876/2</f>
        <v>1</v>
      </c>
      <c r="I876" s="9" t="str">
        <f aca="false">IF(H876=0,"—",IF(H876=1,"unison (1:1)",IF(H876=2,"octave (2:1)",IF(H876=3,"fifth (3:2)",IF(H876=4,"fourth (4:3)","?")))))</f>
        <v>unison (1:1)</v>
      </c>
      <c r="J876" s="9" t="str">
        <f aca="false">IF(H876=0,"—",IF(H876=1,"ὁμώνυμον",IF(H876=2,"διὰ πασῶν",IF(H876=3,"διὰ πέντε",IF(H876=4,"διὰ τεσσάρων","?")))))</f>
        <v>ὁμώνυμον</v>
      </c>
      <c r="K876" s="10"/>
      <c r="L876" s="14"/>
      <c r="M876" s="13"/>
    </row>
    <row r="877" customFormat="false" ht="15.75" hidden="false" customHeight="true" outlineLevel="0" collapsed="false">
      <c r="A877" s="8" t="n">
        <f aca="false">A876+1</f>
        <v>875</v>
      </c>
      <c r="B877" s="9" t="n">
        <f aca="false">MOD(4*A877^2,10)</f>
        <v>0</v>
      </c>
      <c r="C877" s="9" t="n">
        <f aca="false">(26*B877-5*B877^2)/24</f>
        <v>0</v>
      </c>
      <c r="D877" s="9" t="n">
        <f aca="false">(A877^2+4*C877)/5</f>
        <v>153125</v>
      </c>
      <c r="E877" s="9" t="n">
        <f aca="false">MOD(D877,10)</f>
        <v>5</v>
      </c>
      <c r="F877" s="9" t="n">
        <f aca="false">2*D877</f>
        <v>306250</v>
      </c>
      <c r="G877" s="9" t="n">
        <f aca="false">MOD(F877,10)</f>
        <v>0</v>
      </c>
      <c r="H877" s="9" t="n">
        <f aca="false">G877/2</f>
        <v>0</v>
      </c>
      <c r="I877" s="9" t="str">
        <f aca="false">IF(H877=0,"—",IF(H877=1,"unison (1:1)",IF(H877=2,"octave (2:1)",IF(H877=3,"fifth (3:2)",IF(H877=4,"fourth (4:3)","?")))))</f>
        <v>—</v>
      </c>
      <c r="J877" s="9" t="str">
        <f aca="false">IF(H877=0,"—",IF(H877=1,"ὁμώνυμον",IF(H877=2,"διὰ πασῶν",IF(H877=3,"διὰ πέντε",IF(H877=4,"διὰ τεσσάρων","?")))))</f>
        <v>—</v>
      </c>
      <c r="K877" s="10"/>
      <c r="L877" s="14"/>
      <c r="M877" s="13"/>
    </row>
    <row r="878" customFormat="false" ht="15.75" hidden="false" customHeight="true" outlineLevel="0" collapsed="false">
      <c r="A878" s="8" t="n">
        <f aca="false">A877+1</f>
        <v>876</v>
      </c>
      <c r="B878" s="9" t="n">
        <f aca="false">MOD(4*A878^2,10)</f>
        <v>4</v>
      </c>
      <c r="C878" s="9" t="n">
        <f aca="false">(26*B878-5*B878^2)/24</f>
        <v>1</v>
      </c>
      <c r="D878" s="9" t="n">
        <f aca="false">(A878^2+4*C878)/5</f>
        <v>153476</v>
      </c>
      <c r="E878" s="9" t="n">
        <f aca="false">MOD(D878,10)</f>
        <v>6</v>
      </c>
      <c r="F878" s="9" t="n">
        <f aca="false">2*D878</f>
        <v>306952</v>
      </c>
      <c r="G878" s="9" t="n">
        <f aca="false">MOD(F878,10)</f>
        <v>2</v>
      </c>
      <c r="H878" s="9" t="n">
        <f aca="false">G878/2</f>
        <v>1</v>
      </c>
      <c r="I878" s="9" t="str">
        <f aca="false">IF(H878=0,"—",IF(H878=1,"unison (1:1)",IF(H878=2,"octave (2:1)",IF(H878=3,"fifth (3:2)",IF(H878=4,"fourth (4:3)","?")))))</f>
        <v>unison (1:1)</v>
      </c>
      <c r="J878" s="9" t="str">
        <f aca="false">IF(H878=0,"—",IF(H878=1,"ὁμώνυμον",IF(H878=2,"διὰ πασῶν",IF(H878=3,"διὰ πέντε",IF(H878=4,"διὰ τεσσάρων","?")))))</f>
        <v>ὁμώνυμον</v>
      </c>
      <c r="K878" s="10"/>
      <c r="L878" s="14"/>
      <c r="M878" s="13"/>
    </row>
    <row r="879" customFormat="false" ht="15.75" hidden="false" customHeight="true" outlineLevel="0" collapsed="false">
      <c r="A879" s="8" t="n">
        <f aca="false">A878+1</f>
        <v>877</v>
      </c>
      <c r="B879" s="9" t="n">
        <f aca="false">MOD(4*A879^2,10)</f>
        <v>6</v>
      </c>
      <c r="C879" s="9" t="n">
        <f aca="false">(26*B879-5*B879^2)/24</f>
        <v>-1</v>
      </c>
      <c r="D879" s="9" t="n">
        <f aca="false">(A879^2+4*C879)/5</f>
        <v>153825</v>
      </c>
      <c r="E879" s="9" t="n">
        <f aca="false">MOD(D879,10)</f>
        <v>5</v>
      </c>
      <c r="F879" s="9" t="n">
        <f aca="false">2*D879</f>
        <v>307650</v>
      </c>
      <c r="G879" s="9" t="n">
        <f aca="false">MOD(F879,10)</f>
        <v>0</v>
      </c>
      <c r="H879" s="9" t="n">
        <f aca="false">G879/2</f>
        <v>0</v>
      </c>
      <c r="I879" s="9" t="str">
        <f aca="false">IF(H879=0,"—",IF(H879=1,"unison (1:1)",IF(H879=2,"octave (2:1)",IF(H879=3,"fifth (3:2)",IF(H879=4,"fourth (4:3)","?")))))</f>
        <v>—</v>
      </c>
      <c r="J879" s="9" t="str">
        <f aca="false">IF(H879=0,"—",IF(H879=1,"ὁμώνυμον",IF(H879=2,"διὰ πασῶν",IF(H879=3,"διὰ πέντε",IF(H879=4,"διὰ τεσσάρων","?")))))</f>
        <v>—</v>
      </c>
      <c r="K879" s="10"/>
      <c r="L879" s="14"/>
      <c r="M879" s="13"/>
    </row>
    <row r="880" customFormat="false" ht="15.75" hidden="false" customHeight="true" outlineLevel="0" collapsed="false">
      <c r="A880" s="8" t="n">
        <f aca="false">A879+1</f>
        <v>878</v>
      </c>
      <c r="B880" s="9" t="n">
        <f aca="false">MOD(4*A880^2,10)</f>
        <v>6</v>
      </c>
      <c r="C880" s="9" t="n">
        <f aca="false">(26*B880-5*B880^2)/24</f>
        <v>-1</v>
      </c>
      <c r="D880" s="9" t="n">
        <f aca="false">(A880^2+4*C880)/5</f>
        <v>154176</v>
      </c>
      <c r="E880" s="9" t="n">
        <f aca="false">MOD(D880,10)</f>
        <v>6</v>
      </c>
      <c r="F880" s="9" t="n">
        <f aca="false">2*D880</f>
        <v>308352</v>
      </c>
      <c r="G880" s="9" t="n">
        <f aca="false">MOD(F880,10)</f>
        <v>2</v>
      </c>
      <c r="H880" s="9" t="n">
        <f aca="false">G880/2</f>
        <v>1</v>
      </c>
      <c r="I880" s="9" t="str">
        <f aca="false">IF(H880=0,"—",IF(H880=1,"unison (1:1)",IF(H880=2,"octave (2:1)",IF(H880=3,"fifth (3:2)",IF(H880=4,"fourth (4:3)","?")))))</f>
        <v>unison (1:1)</v>
      </c>
      <c r="J880" s="9" t="str">
        <f aca="false">IF(H880=0,"—",IF(H880=1,"ὁμώνυμον",IF(H880=2,"διὰ πασῶν",IF(H880=3,"διὰ πέντε",IF(H880=4,"διὰ τεσσάρων","?")))))</f>
        <v>ὁμώνυμον</v>
      </c>
      <c r="K880" s="10"/>
      <c r="L880" s="14"/>
      <c r="M880" s="13"/>
    </row>
    <row r="881" customFormat="false" ht="15.75" hidden="false" customHeight="true" outlineLevel="0" collapsed="false">
      <c r="A881" s="8" t="n">
        <f aca="false">A880+1</f>
        <v>879</v>
      </c>
      <c r="B881" s="9" t="n">
        <f aca="false">MOD(4*A881^2,10)</f>
        <v>4</v>
      </c>
      <c r="C881" s="9" t="n">
        <f aca="false">(26*B881-5*B881^2)/24</f>
        <v>1</v>
      </c>
      <c r="D881" s="9" t="n">
        <f aca="false">(A881^2+4*C881)/5</f>
        <v>154529</v>
      </c>
      <c r="E881" s="9" t="n">
        <f aca="false">MOD(D881,10)</f>
        <v>9</v>
      </c>
      <c r="F881" s="9" t="n">
        <f aca="false">2*D881</f>
        <v>309058</v>
      </c>
      <c r="G881" s="9" t="n">
        <f aca="false">MOD(F881,10)</f>
        <v>8</v>
      </c>
      <c r="H881" s="9" t="n">
        <f aca="false">G881/2</f>
        <v>4</v>
      </c>
      <c r="I881" s="9" t="str">
        <f aca="false">IF(H881=0,"—",IF(H881=1,"unison (1:1)",IF(H881=2,"octave (2:1)",IF(H881=3,"fifth (3:2)",IF(H881=4,"fourth (4:3)","?")))))</f>
        <v>fourth (4:3)</v>
      </c>
      <c r="J881" s="9" t="str">
        <f aca="false">IF(H881=0,"—",IF(H881=1,"ὁμώνυμον",IF(H881=2,"διὰ πασῶν",IF(H881=3,"διὰ πέντε",IF(H881=4,"διὰ τεσσάρων","?")))))</f>
        <v>διὰ τεσσάρων</v>
      </c>
      <c r="K881" s="10"/>
      <c r="L881" s="14"/>
      <c r="M881" s="13"/>
    </row>
    <row r="882" customFormat="false" ht="15.75" hidden="false" customHeight="true" outlineLevel="0" collapsed="false">
      <c r="A882" s="8" t="n">
        <f aca="false">A881+1</f>
        <v>880</v>
      </c>
      <c r="B882" s="9" t="n">
        <f aca="false">MOD(4*A882^2,10)</f>
        <v>0</v>
      </c>
      <c r="C882" s="9" t="n">
        <f aca="false">(26*B882-5*B882^2)/24</f>
        <v>0</v>
      </c>
      <c r="D882" s="9" t="n">
        <f aca="false">(A882^2+4*C882)/5</f>
        <v>154880</v>
      </c>
      <c r="E882" s="9" t="n">
        <f aca="false">MOD(D882,10)</f>
        <v>0</v>
      </c>
      <c r="F882" s="9" t="n">
        <f aca="false">2*D882</f>
        <v>309760</v>
      </c>
      <c r="G882" s="9" t="n">
        <f aca="false">MOD(F882,10)</f>
        <v>0</v>
      </c>
      <c r="H882" s="9" t="n">
        <f aca="false">G882/2</f>
        <v>0</v>
      </c>
      <c r="I882" s="9" t="str">
        <f aca="false">IF(H882=0,"—",IF(H882=1,"unison (1:1)",IF(H882=2,"octave (2:1)",IF(H882=3,"fifth (3:2)",IF(H882=4,"fourth (4:3)","?")))))</f>
        <v>—</v>
      </c>
      <c r="J882" s="9" t="str">
        <f aca="false">IF(H882=0,"—",IF(H882=1,"ὁμώνυμον",IF(H882=2,"διὰ πασῶν",IF(H882=3,"διὰ πέντε",IF(H882=4,"διὰ τεσσάρων","?")))))</f>
        <v>—</v>
      </c>
      <c r="K882" s="10"/>
      <c r="L882" s="14"/>
      <c r="M882" s="13"/>
    </row>
    <row r="883" customFormat="false" ht="15.75" hidden="false" customHeight="true" outlineLevel="0" collapsed="false">
      <c r="A883" s="8" t="n">
        <f aca="false">A882+1</f>
        <v>881</v>
      </c>
      <c r="B883" s="9" t="n">
        <f aca="false">MOD(4*A883^2,10)</f>
        <v>4</v>
      </c>
      <c r="C883" s="9" t="n">
        <f aca="false">(26*B883-5*B883^2)/24</f>
        <v>1</v>
      </c>
      <c r="D883" s="9" t="n">
        <f aca="false">(A883^2+4*C883)/5</f>
        <v>155233</v>
      </c>
      <c r="E883" s="9" t="n">
        <f aca="false">MOD(D883,10)</f>
        <v>3</v>
      </c>
      <c r="F883" s="9" t="n">
        <f aca="false">2*D883</f>
        <v>310466</v>
      </c>
      <c r="G883" s="9" t="n">
        <f aca="false">MOD(F883,10)</f>
        <v>6</v>
      </c>
      <c r="H883" s="9" t="n">
        <f aca="false">G883/2</f>
        <v>3</v>
      </c>
      <c r="I883" s="9" t="str">
        <f aca="false">IF(H883=0,"—",IF(H883=1,"unison (1:1)",IF(H883=2,"octave (2:1)",IF(H883=3,"fifth (3:2)",IF(H883=4,"fourth (4:3)","?")))))</f>
        <v>fifth (3:2)</v>
      </c>
      <c r="J883" s="9" t="str">
        <f aca="false">IF(H883=0,"—",IF(H883=1,"ὁμώνυμον",IF(H883=2,"διὰ πασῶν",IF(H883=3,"διὰ πέντε",IF(H883=4,"διὰ τεσσάρων","?")))))</f>
        <v>διὰ πέντε</v>
      </c>
      <c r="K883" s="10"/>
      <c r="L883" s="14"/>
      <c r="M883" s="13"/>
    </row>
    <row r="884" customFormat="false" ht="15.75" hidden="false" customHeight="true" outlineLevel="0" collapsed="false">
      <c r="A884" s="8" t="n">
        <f aca="false">A883+1</f>
        <v>882</v>
      </c>
      <c r="B884" s="9" t="n">
        <f aca="false">MOD(4*A884^2,10)</f>
        <v>6</v>
      </c>
      <c r="C884" s="9" t="n">
        <f aca="false">(26*B884-5*B884^2)/24</f>
        <v>-1</v>
      </c>
      <c r="D884" s="9" t="n">
        <f aca="false">(A884^2+4*C884)/5</f>
        <v>155584</v>
      </c>
      <c r="E884" s="9" t="n">
        <f aca="false">MOD(D884,10)</f>
        <v>4</v>
      </c>
      <c r="F884" s="9" t="n">
        <f aca="false">2*D884</f>
        <v>311168</v>
      </c>
      <c r="G884" s="9" t="n">
        <f aca="false">MOD(F884,10)</f>
        <v>8</v>
      </c>
      <c r="H884" s="9" t="n">
        <f aca="false">G884/2</f>
        <v>4</v>
      </c>
      <c r="I884" s="9" t="str">
        <f aca="false">IF(H884=0,"—",IF(H884=1,"unison (1:1)",IF(H884=2,"octave (2:1)",IF(H884=3,"fifth (3:2)",IF(H884=4,"fourth (4:3)","?")))))</f>
        <v>fourth (4:3)</v>
      </c>
      <c r="J884" s="9" t="str">
        <f aca="false">IF(H884=0,"—",IF(H884=1,"ὁμώνυμον",IF(H884=2,"διὰ πασῶν",IF(H884=3,"διὰ πέντε",IF(H884=4,"διὰ τεσσάρων","?")))))</f>
        <v>διὰ τεσσάρων</v>
      </c>
      <c r="K884" s="10"/>
      <c r="L884" s="14"/>
      <c r="M884" s="13"/>
    </row>
    <row r="885" customFormat="false" ht="15.75" hidden="false" customHeight="true" outlineLevel="0" collapsed="false">
      <c r="A885" s="8" t="n">
        <f aca="false">A884+1</f>
        <v>883</v>
      </c>
      <c r="B885" s="9" t="n">
        <f aca="false">MOD(4*A885^2,10)</f>
        <v>6</v>
      </c>
      <c r="C885" s="9" t="n">
        <f aca="false">(26*B885-5*B885^2)/24</f>
        <v>-1</v>
      </c>
      <c r="D885" s="9" t="n">
        <f aca="false">(A885^2+4*C885)/5</f>
        <v>155937</v>
      </c>
      <c r="E885" s="9" t="n">
        <f aca="false">MOD(D885,10)</f>
        <v>7</v>
      </c>
      <c r="F885" s="9" t="n">
        <f aca="false">2*D885</f>
        <v>311874</v>
      </c>
      <c r="G885" s="9" t="n">
        <f aca="false">MOD(F885,10)</f>
        <v>4</v>
      </c>
      <c r="H885" s="9" t="n">
        <f aca="false">G885/2</f>
        <v>2</v>
      </c>
      <c r="I885" s="9" t="str">
        <f aca="false">IF(H885=0,"—",IF(H885=1,"unison (1:1)",IF(H885=2,"octave (2:1)",IF(H885=3,"fifth (3:2)",IF(H885=4,"fourth (4:3)","?")))))</f>
        <v>octave (2:1)</v>
      </c>
      <c r="J885" s="9" t="str">
        <f aca="false">IF(H885=0,"—",IF(H885=1,"ὁμώνυμον",IF(H885=2,"διὰ πασῶν",IF(H885=3,"διὰ πέντε",IF(H885=4,"διὰ τεσσάρων","?")))))</f>
        <v>διὰ πασῶν</v>
      </c>
      <c r="K885" s="10"/>
      <c r="L885" s="14"/>
      <c r="M885" s="13"/>
    </row>
    <row r="886" customFormat="false" ht="15.75" hidden="false" customHeight="true" outlineLevel="0" collapsed="false">
      <c r="A886" s="8" t="n">
        <f aca="false">A885+1</f>
        <v>884</v>
      </c>
      <c r="B886" s="9" t="n">
        <f aca="false">MOD(4*A886^2,10)</f>
        <v>4</v>
      </c>
      <c r="C886" s="9" t="n">
        <f aca="false">(26*B886-5*B886^2)/24</f>
        <v>1</v>
      </c>
      <c r="D886" s="9" t="n">
        <f aca="false">(A886^2+4*C886)/5</f>
        <v>156292</v>
      </c>
      <c r="E886" s="9" t="n">
        <f aca="false">MOD(D886,10)</f>
        <v>2</v>
      </c>
      <c r="F886" s="9" t="n">
        <f aca="false">2*D886</f>
        <v>312584</v>
      </c>
      <c r="G886" s="9" t="n">
        <f aca="false">MOD(F886,10)</f>
        <v>4</v>
      </c>
      <c r="H886" s="9" t="n">
        <f aca="false">G886/2</f>
        <v>2</v>
      </c>
      <c r="I886" s="9" t="str">
        <f aca="false">IF(H886=0,"—",IF(H886=1,"unison (1:1)",IF(H886=2,"octave (2:1)",IF(H886=3,"fifth (3:2)",IF(H886=4,"fourth (4:3)","?")))))</f>
        <v>octave (2:1)</v>
      </c>
      <c r="J886" s="9" t="str">
        <f aca="false">IF(H886=0,"—",IF(H886=1,"ὁμώνυμον",IF(H886=2,"διὰ πασῶν",IF(H886=3,"διὰ πέντε",IF(H886=4,"διὰ τεσσάρων","?")))))</f>
        <v>διὰ πασῶν</v>
      </c>
      <c r="K886" s="10"/>
      <c r="L886" s="14"/>
      <c r="M886" s="13"/>
    </row>
    <row r="887" customFormat="false" ht="15.75" hidden="false" customHeight="true" outlineLevel="0" collapsed="false">
      <c r="A887" s="8" t="n">
        <f aca="false">A886+1</f>
        <v>885</v>
      </c>
      <c r="B887" s="9" t="n">
        <f aca="false">MOD(4*A887^2,10)</f>
        <v>0</v>
      </c>
      <c r="C887" s="9" t="n">
        <f aca="false">(26*B887-5*B887^2)/24</f>
        <v>0</v>
      </c>
      <c r="D887" s="9" t="n">
        <f aca="false">(A887^2+4*C887)/5</f>
        <v>156645</v>
      </c>
      <c r="E887" s="9" t="n">
        <f aca="false">MOD(D887,10)</f>
        <v>5</v>
      </c>
      <c r="F887" s="9" t="n">
        <f aca="false">2*D887</f>
        <v>313290</v>
      </c>
      <c r="G887" s="9" t="n">
        <f aca="false">MOD(F887,10)</f>
        <v>0</v>
      </c>
      <c r="H887" s="9" t="n">
        <f aca="false">G887/2</f>
        <v>0</v>
      </c>
      <c r="I887" s="9" t="str">
        <f aca="false">IF(H887=0,"—",IF(H887=1,"unison (1:1)",IF(H887=2,"octave (2:1)",IF(H887=3,"fifth (3:2)",IF(H887=4,"fourth (4:3)","?")))))</f>
        <v>—</v>
      </c>
      <c r="J887" s="9" t="str">
        <f aca="false">IF(H887=0,"—",IF(H887=1,"ὁμώνυμον",IF(H887=2,"διὰ πασῶν",IF(H887=3,"διὰ πέντε",IF(H887=4,"διὰ τεσσάρων","?")))))</f>
        <v>—</v>
      </c>
      <c r="K887" s="10"/>
      <c r="L887" s="14"/>
      <c r="M887" s="13"/>
    </row>
    <row r="888" customFormat="false" ht="15.75" hidden="false" customHeight="true" outlineLevel="0" collapsed="false">
      <c r="A888" s="8" t="n">
        <f aca="false">A887+1</f>
        <v>886</v>
      </c>
      <c r="B888" s="9" t="n">
        <f aca="false">MOD(4*A888^2,10)</f>
        <v>4</v>
      </c>
      <c r="C888" s="9" t="n">
        <f aca="false">(26*B888-5*B888^2)/24</f>
        <v>1</v>
      </c>
      <c r="D888" s="9" t="n">
        <f aca="false">(A888^2+4*C888)/5</f>
        <v>157000</v>
      </c>
      <c r="E888" s="9" t="n">
        <f aca="false">MOD(D888,10)</f>
        <v>0</v>
      </c>
      <c r="F888" s="9" t="n">
        <f aca="false">2*D888</f>
        <v>314000</v>
      </c>
      <c r="G888" s="9" t="n">
        <f aca="false">MOD(F888,10)</f>
        <v>0</v>
      </c>
      <c r="H888" s="9" t="n">
        <f aca="false">G888/2</f>
        <v>0</v>
      </c>
      <c r="I888" s="9" t="str">
        <f aca="false">IF(H888=0,"—",IF(H888=1,"unison (1:1)",IF(H888=2,"octave (2:1)",IF(H888=3,"fifth (3:2)",IF(H888=4,"fourth (4:3)","?")))))</f>
        <v>—</v>
      </c>
      <c r="J888" s="9" t="str">
        <f aca="false">IF(H888=0,"—",IF(H888=1,"ὁμώνυμον",IF(H888=2,"διὰ πασῶν",IF(H888=3,"διὰ πέντε",IF(H888=4,"διὰ τεσσάρων","?")))))</f>
        <v>—</v>
      </c>
      <c r="K888" s="10"/>
      <c r="L888" s="14"/>
      <c r="M888" s="13"/>
    </row>
    <row r="889" customFormat="false" ht="15.75" hidden="false" customHeight="true" outlineLevel="0" collapsed="false">
      <c r="A889" s="8" t="n">
        <f aca="false">A888+1</f>
        <v>887</v>
      </c>
      <c r="B889" s="9" t="n">
        <f aca="false">MOD(4*A889^2,10)</f>
        <v>6</v>
      </c>
      <c r="C889" s="9" t="n">
        <f aca="false">(26*B889-5*B889^2)/24</f>
        <v>-1</v>
      </c>
      <c r="D889" s="9" t="n">
        <f aca="false">(A889^2+4*C889)/5</f>
        <v>157353</v>
      </c>
      <c r="E889" s="9" t="n">
        <f aca="false">MOD(D889,10)</f>
        <v>3</v>
      </c>
      <c r="F889" s="9" t="n">
        <f aca="false">2*D889</f>
        <v>314706</v>
      </c>
      <c r="G889" s="9" t="n">
        <f aca="false">MOD(F889,10)</f>
        <v>6</v>
      </c>
      <c r="H889" s="9" t="n">
        <f aca="false">G889/2</f>
        <v>3</v>
      </c>
      <c r="I889" s="9" t="str">
        <f aca="false">IF(H889=0,"—",IF(H889=1,"unison (1:1)",IF(H889=2,"octave (2:1)",IF(H889=3,"fifth (3:2)",IF(H889=4,"fourth (4:3)","?")))))</f>
        <v>fifth (3:2)</v>
      </c>
      <c r="J889" s="9" t="str">
        <f aca="false">IF(H889=0,"—",IF(H889=1,"ὁμώνυμον",IF(H889=2,"διὰ πασῶν",IF(H889=3,"διὰ πέντε",IF(H889=4,"διὰ τεσσάρων","?")))))</f>
        <v>διὰ πέντε</v>
      </c>
      <c r="K889" s="10"/>
      <c r="L889" s="14"/>
      <c r="M889" s="13"/>
    </row>
    <row r="890" customFormat="false" ht="15.75" hidden="false" customHeight="true" outlineLevel="0" collapsed="false">
      <c r="A890" s="8" t="n">
        <f aca="false">A889+1</f>
        <v>888</v>
      </c>
      <c r="B890" s="9" t="n">
        <f aca="false">MOD(4*A890^2,10)</f>
        <v>6</v>
      </c>
      <c r="C890" s="9" t="n">
        <f aca="false">(26*B890-5*B890^2)/24</f>
        <v>-1</v>
      </c>
      <c r="D890" s="9" t="n">
        <f aca="false">(A890^2+4*C890)/5</f>
        <v>157708</v>
      </c>
      <c r="E890" s="9" t="n">
        <f aca="false">MOD(D890,10)</f>
        <v>8</v>
      </c>
      <c r="F890" s="9" t="n">
        <f aca="false">2*D890</f>
        <v>315416</v>
      </c>
      <c r="G890" s="9" t="n">
        <f aca="false">MOD(F890,10)</f>
        <v>6</v>
      </c>
      <c r="H890" s="9" t="n">
        <f aca="false">G890/2</f>
        <v>3</v>
      </c>
      <c r="I890" s="9" t="str">
        <f aca="false">IF(H890=0,"—",IF(H890=1,"unison (1:1)",IF(H890=2,"octave (2:1)",IF(H890=3,"fifth (3:2)",IF(H890=4,"fourth (4:3)","?")))))</f>
        <v>fifth (3:2)</v>
      </c>
      <c r="J890" s="9" t="str">
        <f aca="false">IF(H890=0,"—",IF(H890=1,"ὁμώνυμον",IF(H890=2,"διὰ πασῶν",IF(H890=3,"διὰ πέντε",IF(H890=4,"διὰ τεσσάρων","?")))))</f>
        <v>διὰ πέντε</v>
      </c>
      <c r="K890" s="10"/>
      <c r="L890" s="14"/>
      <c r="M890" s="13"/>
    </row>
    <row r="891" customFormat="false" ht="15.75" hidden="false" customHeight="true" outlineLevel="0" collapsed="false">
      <c r="A891" s="8" t="n">
        <f aca="false">A890+1</f>
        <v>889</v>
      </c>
      <c r="B891" s="9" t="n">
        <f aca="false">MOD(4*A891^2,10)</f>
        <v>4</v>
      </c>
      <c r="C891" s="9" t="n">
        <f aca="false">(26*B891-5*B891^2)/24</f>
        <v>1</v>
      </c>
      <c r="D891" s="9" t="n">
        <f aca="false">(A891^2+4*C891)/5</f>
        <v>158065</v>
      </c>
      <c r="E891" s="9" t="n">
        <f aca="false">MOD(D891,10)</f>
        <v>5</v>
      </c>
      <c r="F891" s="9" t="n">
        <f aca="false">2*D891</f>
        <v>316130</v>
      </c>
      <c r="G891" s="9" t="n">
        <f aca="false">MOD(F891,10)</f>
        <v>0</v>
      </c>
      <c r="H891" s="9" t="n">
        <f aca="false">G891/2</f>
        <v>0</v>
      </c>
      <c r="I891" s="9" t="str">
        <f aca="false">IF(H891=0,"—",IF(H891=1,"unison (1:1)",IF(H891=2,"octave (2:1)",IF(H891=3,"fifth (3:2)",IF(H891=4,"fourth (4:3)","?")))))</f>
        <v>—</v>
      </c>
      <c r="J891" s="9" t="str">
        <f aca="false">IF(H891=0,"—",IF(H891=1,"ὁμώνυμον",IF(H891=2,"διὰ πασῶν",IF(H891=3,"διὰ πέντε",IF(H891=4,"διὰ τεσσάρων","?")))))</f>
        <v>—</v>
      </c>
      <c r="K891" s="10"/>
      <c r="L891" s="14"/>
      <c r="M891" s="13"/>
    </row>
    <row r="892" customFormat="false" ht="15.75" hidden="false" customHeight="true" outlineLevel="0" collapsed="false">
      <c r="A892" s="8" t="n">
        <f aca="false">A891+1</f>
        <v>890</v>
      </c>
      <c r="B892" s="9" t="n">
        <f aca="false">MOD(4*A892^2,10)</f>
        <v>0</v>
      </c>
      <c r="C892" s="9" t="n">
        <f aca="false">(26*B892-5*B892^2)/24</f>
        <v>0</v>
      </c>
      <c r="D892" s="9" t="n">
        <f aca="false">(A892^2+4*C892)/5</f>
        <v>158420</v>
      </c>
      <c r="E892" s="9" t="n">
        <f aca="false">MOD(D892,10)</f>
        <v>0</v>
      </c>
      <c r="F892" s="9" t="n">
        <f aca="false">2*D892</f>
        <v>316840</v>
      </c>
      <c r="G892" s="9" t="n">
        <f aca="false">MOD(F892,10)</f>
        <v>0</v>
      </c>
      <c r="H892" s="9" t="n">
        <f aca="false">G892/2</f>
        <v>0</v>
      </c>
      <c r="I892" s="9" t="str">
        <f aca="false">IF(H892=0,"—",IF(H892=1,"unison (1:1)",IF(H892=2,"octave (2:1)",IF(H892=3,"fifth (3:2)",IF(H892=4,"fourth (4:3)","?")))))</f>
        <v>—</v>
      </c>
      <c r="J892" s="9" t="str">
        <f aca="false">IF(H892=0,"—",IF(H892=1,"ὁμώνυμον",IF(H892=2,"διὰ πασῶν",IF(H892=3,"διὰ πέντε",IF(H892=4,"διὰ τεσσάρων","?")))))</f>
        <v>—</v>
      </c>
      <c r="K892" s="10"/>
      <c r="L892" s="14"/>
      <c r="M892" s="13"/>
    </row>
    <row r="893" customFormat="false" ht="15.75" hidden="false" customHeight="true" outlineLevel="0" collapsed="false">
      <c r="A893" s="8" t="n">
        <f aca="false">A892+1</f>
        <v>891</v>
      </c>
      <c r="B893" s="9" t="n">
        <f aca="false">MOD(4*A893^2,10)</f>
        <v>4</v>
      </c>
      <c r="C893" s="9" t="n">
        <f aca="false">(26*B893-5*B893^2)/24</f>
        <v>1</v>
      </c>
      <c r="D893" s="9" t="n">
        <f aca="false">(A893^2+4*C893)/5</f>
        <v>158777</v>
      </c>
      <c r="E893" s="9" t="n">
        <f aca="false">MOD(D893,10)</f>
        <v>7</v>
      </c>
      <c r="F893" s="9" t="n">
        <f aca="false">2*D893</f>
        <v>317554</v>
      </c>
      <c r="G893" s="9" t="n">
        <f aca="false">MOD(F893,10)</f>
        <v>4</v>
      </c>
      <c r="H893" s="9" t="n">
        <f aca="false">G893/2</f>
        <v>2</v>
      </c>
      <c r="I893" s="9" t="str">
        <f aca="false">IF(H893=0,"—",IF(H893=1,"unison (1:1)",IF(H893=2,"octave (2:1)",IF(H893=3,"fifth (3:2)",IF(H893=4,"fourth (4:3)","?")))))</f>
        <v>octave (2:1)</v>
      </c>
      <c r="J893" s="9" t="str">
        <f aca="false">IF(H893=0,"—",IF(H893=1,"ὁμώνυμον",IF(H893=2,"διὰ πασῶν",IF(H893=3,"διὰ πέντε",IF(H893=4,"διὰ τεσσάρων","?")))))</f>
        <v>διὰ πασῶν</v>
      </c>
      <c r="K893" s="10"/>
      <c r="L893" s="14"/>
      <c r="M893" s="13"/>
    </row>
    <row r="894" customFormat="false" ht="15.75" hidden="false" customHeight="true" outlineLevel="0" collapsed="false">
      <c r="A894" s="8" t="n">
        <f aca="false">A893+1</f>
        <v>892</v>
      </c>
      <c r="B894" s="9" t="n">
        <f aca="false">MOD(4*A894^2,10)</f>
        <v>6</v>
      </c>
      <c r="C894" s="9" t="n">
        <f aca="false">(26*B894-5*B894^2)/24</f>
        <v>-1</v>
      </c>
      <c r="D894" s="9" t="n">
        <f aca="false">(A894^2+4*C894)/5</f>
        <v>159132</v>
      </c>
      <c r="E894" s="9" t="n">
        <f aca="false">MOD(D894,10)</f>
        <v>2</v>
      </c>
      <c r="F894" s="9" t="n">
        <f aca="false">2*D894</f>
        <v>318264</v>
      </c>
      <c r="G894" s="9" t="n">
        <f aca="false">MOD(F894,10)</f>
        <v>4</v>
      </c>
      <c r="H894" s="9" t="n">
        <f aca="false">G894/2</f>
        <v>2</v>
      </c>
      <c r="I894" s="9" t="str">
        <f aca="false">IF(H894=0,"—",IF(H894=1,"unison (1:1)",IF(H894=2,"octave (2:1)",IF(H894=3,"fifth (3:2)",IF(H894=4,"fourth (4:3)","?")))))</f>
        <v>octave (2:1)</v>
      </c>
      <c r="J894" s="9" t="str">
        <f aca="false">IF(H894=0,"—",IF(H894=1,"ὁμώνυμον",IF(H894=2,"διὰ πασῶν",IF(H894=3,"διὰ πέντε",IF(H894=4,"διὰ τεσσάρων","?")))))</f>
        <v>διὰ πασῶν</v>
      </c>
      <c r="K894" s="10"/>
      <c r="L894" s="14"/>
      <c r="M894" s="13"/>
    </row>
    <row r="895" customFormat="false" ht="15.75" hidden="false" customHeight="true" outlineLevel="0" collapsed="false">
      <c r="A895" s="8" t="n">
        <f aca="false">A894+1</f>
        <v>893</v>
      </c>
      <c r="B895" s="9" t="n">
        <f aca="false">MOD(4*A895^2,10)</f>
        <v>6</v>
      </c>
      <c r="C895" s="9" t="n">
        <f aca="false">(26*B895-5*B895^2)/24</f>
        <v>-1</v>
      </c>
      <c r="D895" s="9" t="n">
        <f aca="false">(A895^2+4*C895)/5</f>
        <v>159489</v>
      </c>
      <c r="E895" s="9" t="n">
        <f aca="false">MOD(D895,10)</f>
        <v>9</v>
      </c>
      <c r="F895" s="9" t="n">
        <f aca="false">2*D895</f>
        <v>318978</v>
      </c>
      <c r="G895" s="9" t="n">
        <f aca="false">MOD(F895,10)</f>
        <v>8</v>
      </c>
      <c r="H895" s="9" t="n">
        <f aca="false">G895/2</f>
        <v>4</v>
      </c>
      <c r="I895" s="9" t="str">
        <f aca="false">IF(H895=0,"—",IF(H895=1,"unison (1:1)",IF(H895=2,"octave (2:1)",IF(H895=3,"fifth (3:2)",IF(H895=4,"fourth (4:3)","?")))))</f>
        <v>fourth (4:3)</v>
      </c>
      <c r="J895" s="9" t="str">
        <f aca="false">IF(H895=0,"—",IF(H895=1,"ὁμώνυμον",IF(H895=2,"διὰ πασῶν",IF(H895=3,"διὰ πέντε",IF(H895=4,"διὰ τεσσάρων","?")))))</f>
        <v>διὰ τεσσάρων</v>
      </c>
      <c r="K895" s="10"/>
      <c r="L895" s="14"/>
      <c r="M895" s="13"/>
    </row>
    <row r="896" customFormat="false" ht="15.75" hidden="false" customHeight="true" outlineLevel="0" collapsed="false">
      <c r="A896" s="8" t="n">
        <f aca="false">A895+1</f>
        <v>894</v>
      </c>
      <c r="B896" s="9" t="n">
        <f aca="false">MOD(4*A896^2,10)</f>
        <v>4</v>
      </c>
      <c r="C896" s="9" t="n">
        <f aca="false">(26*B896-5*B896^2)/24</f>
        <v>1</v>
      </c>
      <c r="D896" s="9" t="n">
        <f aca="false">(A896^2+4*C896)/5</f>
        <v>159848</v>
      </c>
      <c r="E896" s="9" t="n">
        <f aca="false">MOD(D896,10)</f>
        <v>8</v>
      </c>
      <c r="F896" s="9" t="n">
        <f aca="false">2*D896</f>
        <v>319696</v>
      </c>
      <c r="G896" s="9" t="n">
        <f aca="false">MOD(F896,10)</f>
        <v>6</v>
      </c>
      <c r="H896" s="9" t="n">
        <f aca="false">G896/2</f>
        <v>3</v>
      </c>
      <c r="I896" s="9" t="str">
        <f aca="false">IF(H896=0,"—",IF(H896=1,"unison (1:1)",IF(H896=2,"octave (2:1)",IF(H896=3,"fifth (3:2)",IF(H896=4,"fourth (4:3)","?")))))</f>
        <v>fifth (3:2)</v>
      </c>
      <c r="J896" s="9" t="str">
        <f aca="false">IF(H896=0,"—",IF(H896=1,"ὁμώνυμον",IF(H896=2,"διὰ πασῶν",IF(H896=3,"διὰ πέντε",IF(H896=4,"διὰ τεσσάρων","?")))))</f>
        <v>διὰ πέντε</v>
      </c>
      <c r="K896" s="10"/>
      <c r="L896" s="14"/>
      <c r="M896" s="13"/>
    </row>
    <row r="897" customFormat="false" ht="15.75" hidden="false" customHeight="true" outlineLevel="0" collapsed="false">
      <c r="A897" s="8" t="n">
        <f aca="false">A896+1</f>
        <v>895</v>
      </c>
      <c r="B897" s="9" t="n">
        <f aca="false">MOD(4*A897^2,10)</f>
        <v>0</v>
      </c>
      <c r="C897" s="9" t="n">
        <f aca="false">(26*B897-5*B897^2)/24</f>
        <v>0</v>
      </c>
      <c r="D897" s="9" t="n">
        <f aca="false">(A897^2+4*C897)/5</f>
        <v>160205</v>
      </c>
      <c r="E897" s="9" t="n">
        <f aca="false">MOD(D897,10)</f>
        <v>5</v>
      </c>
      <c r="F897" s="9" t="n">
        <f aca="false">2*D897</f>
        <v>320410</v>
      </c>
      <c r="G897" s="9" t="n">
        <f aca="false">MOD(F897,10)</f>
        <v>0</v>
      </c>
      <c r="H897" s="9" t="n">
        <f aca="false">G897/2</f>
        <v>0</v>
      </c>
      <c r="I897" s="9" t="str">
        <f aca="false">IF(H897=0,"—",IF(H897=1,"unison (1:1)",IF(H897=2,"octave (2:1)",IF(H897=3,"fifth (3:2)",IF(H897=4,"fourth (4:3)","?")))))</f>
        <v>—</v>
      </c>
      <c r="J897" s="9" t="str">
        <f aca="false">IF(H897=0,"—",IF(H897=1,"ὁμώνυμον",IF(H897=2,"διὰ πασῶν",IF(H897=3,"διὰ πέντε",IF(H897=4,"διὰ τεσσάρων","?")))))</f>
        <v>—</v>
      </c>
      <c r="K897" s="10"/>
      <c r="L897" s="14"/>
      <c r="M897" s="13"/>
    </row>
    <row r="898" customFormat="false" ht="15.75" hidden="false" customHeight="true" outlineLevel="0" collapsed="false">
      <c r="A898" s="8" t="n">
        <f aca="false">A897+1</f>
        <v>896</v>
      </c>
      <c r="B898" s="9" t="n">
        <f aca="false">MOD(4*A898^2,10)</f>
        <v>4</v>
      </c>
      <c r="C898" s="9" t="n">
        <f aca="false">(26*B898-5*B898^2)/24</f>
        <v>1</v>
      </c>
      <c r="D898" s="9" t="n">
        <f aca="false">(A898^2+4*C898)/5</f>
        <v>160564</v>
      </c>
      <c r="E898" s="9" t="n">
        <f aca="false">MOD(D898,10)</f>
        <v>4</v>
      </c>
      <c r="F898" s="9" t="n">
        <f aca="false">2*D898</f>
        <v>321128</v>
      </c>
      <c r="G898" s="9" t="n">
        <f aca="false">MOD(F898,10)</f>
        <v>8</v>
      </c>
      <c r="H898" s="9" t="n">
        <f aca="false">G898/2</f>
        <v>4</v>
      </c>
      <c r="I898" s="9" t="str">
        <f aca="false">IF(H898=0,"—",IF(H898=1,"unison (1:1)",IF(H898=2,"octave (2:1)",IF(H898=3,"fifth (3:2)",IF(H898=4,"fourth (4:3)","?")))))</f>
        <v>fourth (4:3)</v>
      </c>
      <c r="J898" s="9" t="str">
        <f aca="false">IF(H898=0,"—",IF(H898=1,"ὁμώνυμον",IF(H898=2,"διὰ πασῶν",IF(H898=3,"διὰ πέντε",IF(H898=4,"διὰ τεσσάρων","?")))))</f>
        <v>διὰ τεσσάρων</v>
      </c>
      <c r="K898" s="10"/>
      <c r="L898" s="14"/>
      <c r="M898" s="13"/>
    </row>
    <row r="899" customFormat="false" ht="15.75" hidden="false" customHeight="true" outlineLevel="0" collapsed="false">
      <c r="A899" s="8" t="n">
        <f aca="false">A898+1</f>
        <v>897</v>
      </c>
      <c r="B899" s="9" t="n">
        <f aca="false">MOD(4*A899^2,10)</f>
        <v>6</v>
      </c>
      <c r="C899" s="9" t="n">
        <f aca="false">(26*B899-5*B899^2)/24</f>
        <v>-1</v>
      </c>
      <c r="D899" s="9" t="n">
        <f aca="false">(A899^2+4*C899)/5</f>
        <v>160921</v>
      </c>
      <c r="E899" s="9" t="n">
        <f aca="false">MOD(D899,10)</f>
        <v>1</v>
      </c>
      <c r="F899" s="9" t="n">
        <f aca="false">2*D899</f>
        <v>321842</v>
      </c>
      <c r="G899" s="9" t="n">
        <f aca="false">MOD(F899,10)</f>
        <v>2</v>
      </c>
      <c r="H899" s="9" t="n">
        <f aca="false">G899/2</f>
        <v>1</v>
      </c>
      <c r="I899" s="9" t="str">
        <f aca="false">IF(H899=0,"—",IF(H899=1,"unison (1:1)",IF(H899=2,"octave (2:1)",IF(H899=3,"fifth (3:2)",IF(H899=4,"fourth (4:3)","?")))))</f>
        <v>unison (1:1)</v>
      </c>
      <c r="J899" s="9" t="str">
        <f aca="false">IF(H899=0,"—",IF(H899=1,"ὁμώνυμον",IF(H899=2,"διὰ πασῶν",IF(H899=3,"διὰ πέντε",IF(H899=4,"διὰ τεσσάρων","?")))))</f>
        <v>ὁμώνυμον</v>
      </c>
      <c r="K899" s="10"/>
      <c r="L899" s="14"/>
      <c r="M899" s="13"/>
    </row>
    <row r="900" customFormat="false" ht="15.75" hidden="false" customHeight="true" outlineLevel="0" collapsed="false">
      <c r="A900" s="8" t="n">
        <f aca="false">A899+1</f>
        <v>898</v>
      </c>
      <c r="B900" s="9" t="n">
        <f aca="false">MOD(4*A900^2,10)</f>
        <v>6</v>
      </c>
      <c r="C900" s="9" t="n">
        <f aca="false">(26*B900-5*B900^2)/24</f>
        <v>-1</v>
      </c>
      <c r="D900" s="9" t="n">
        <f aca="false">(A900^2+4*C900)/5</f>
        <v>161280</v>
      </c>
      <c r="E900" s="9" t="n">
        <f aca="false">MOD(D900,10)</f>
        <v>0</v>
      </c>
      <c r="F900" s="9" t="n">
        <f aca="false">2*D900</f>
        <v>322560</v>
      </c>
      <c r="G900" s="9" t="n">
        <f aca="false">MOD(F900,10)</f>
        <v>0</v>
      </c>
      <c r="H900" s="9" t="n">
        <f aca="false">G900/2</f>
        <v>0</v>
      </c>
      <c r="I900" s="9" t="str">
        <f aca="false">IF(H900=0,"—",IF(H900=1,"unison (1:1)",IF(H900=2,"octave (2:1)",IF(H900=3,"fifth (3:2)",IF(H900=4,"fourth (4:3)","?")))))</f>
        <v>—</v>
      </c>
      <c r="J900" s="9" t="str">
        <f aca="false">IF(H900=0,"—",IF(H900=1,"ὁμώνυμον",IF(H900=2,"διὰ πασῶν",IF(H900=3,"διὰ πέντε",IF(H900=4,"διὰ τεσσάρων","?")))))</f>
        <v>—</v>
      </c>
      <c r="K900" s="10"/>
      <c r="L900" s="14"/>
      <c r="M900" s="13"/>
    </row>
    <row r="901" customFormat="false" ht="15.75" hidden="false" customHeight="true" outlineLevel="0" collapsed="false">
      <c r="A901" s="8" t="n">
        <f aca="false">A900+1</f>
        <v>899</v>
      </c>
      <c r="B901" s="9" t="n">
        <f aca="false">MOD(4*A901^2,10)</f>
        <v>4</v>
      </c>
      <c r="C901" s="9" t="n">
        <f aca="false">(26*B901-5*B901^2)/24</f>
        <v>1</v>
      </c>
      <c r="D901" s="9" t="n">
        <f aca="false">(A901^2+4*C901)/5</f>
        <v>161641</v>
      </c>
      <c r="E901" s="9" t="n">
        <f aca="false">MOD(D901,10)</f>
        <v>1</v>
      </c>
      <c r="F901" s="9" t="n">
        <f aca="false">2*D901</f>
        <v>323282</v>
      </c>
      <c r="G901" s="9" t="n">
        <f aca="false">MOD(F901,10)</f>
        <v>2</v>
      </c>
      <c r="H901" s="9" t="n">
        <f aca="false">G901/2</f>
        <v>1</v>
      </c>
      <c r="I901" s="9" t="str">
        <f aca="false">IF(H901=0,"—",IF(H901=1,"unison (1:1)",IF(H901=2,"octave (2:1)",IF(H901=3,"fifth (3:2)",IF(H901=4,"fourth (4:3)","?")))))</f>
        <v>unison (1:1)</v>
      </c>
      <c r="J901" s="9" t="str">
        <f aca="false">IF(H901=0,"—",IF(H901=1,"ὁμώνυμον",IF(H901=2,"διὰ πασῶν",IF(H901=3,"διὰ πέντε",IF(H901=4,"διὰ τεσσάρων","?")))))</f>
        <v>ὁμώνυμον</v>
      </c>
      <c r="K901" s="10"/>
      <c r="L901" s="14"/>
      <c r="M901" s="13"/>
    </row>
    <row r="902" customFormat="false" ht="15.75" hidden="false" customHeight="true" outlineLevel="0" collapsed="false">
      <c r="A902" s="8" t="n">
        <f aca="false">A901+1</f>
        <v>900</v>
      </c>
      <c r="B902" s="9" t="n">
        <f aca="false">MOD(4*A902^2,10)</f>
        <v>0</v>
      </c>
      <c r="C902" s="9" t="n">
        <f aca="false">(26*B902-5*B902^2)/24</f>
        <v>0</v>
      </c>
      <c r="D902" s="9" t="n">
        <f aca="false">(A902^2+4*C902)/5</f>
        <v>162000</v>
      </c>
      <c r="E902" s="9" t="n">
        <f aca="false">MOD(D902,10)</f>
        <v>0</v>
      </c>
      <c r="F902" s="9" t="n">
        <f aca="false">2*D902</f>
        <v>324000</v>
      </c>
      <c r="G902" s="9" t="n">
        <f aca="false">MOD(F902,10)</f>
        <v>0</v>
      </c>
      <c r="H902" s="9" t="n">
        <f aca="false">G902/2</f>
        <v>0</v>
      </c>
      <c r="I902" s="9" t="str">
        <f aca="false">IF(H902=0,"—",IF(H902=1,"unison (1:1)",IF(H902=2,"octave (2:1)",IF(H902=3,"fifth (3:2)",IF(H902=4,"fourth (4:3)","?")))))</f>
        <v>—</v>
      </c>
      <c r="J902" s="9" t="str">
        <f aca="false">IF(H902=0,"—",IF(H902=1,"ὁμώνυμον",IF(H902=2,"διὰ πασῶν",IF(H902=3,"διὰ πέντε",IF(H902=4,"διὰ τεσσάρων","?")))))</f>
        <v>—</v>
      </c>
      <c r="K902" s="10"/>
      <c r="L902" s="14"/>
      <c r="M902" s="13"/>
    </row>
    <row r="903" customFormat="false" ht="15.75" hidden="false" customHeight="true" outlineLevel="0" collapsed="false">
      <c r="A903" s="8" t="n">
        <f aca="false">A902+1</f>
        <v>901</v>
      </c>
      <c r="B903" s="9" t="n">
        <f aca="false">MOD(4*A903^2,10)</f>
        <v>4</v>
      </c>
      <c r="C903" s="9" t="n">
        <f aca="false">(26*B903-5*B903^2)/24</f>
        <v>1</v>
      </c>
      <c r="D903" s="9" t="n">
        <f aca="false">(A903^2+4*C903)/5</f>
        <v>162361</v>
      </c>
      <c r="E903" s="9" t="n">
        <f aca="false">MOD(D903,10)</f>
        <v>1</v>
      </c>
      <c r="F903" s="9" t="n">
        <f aca="false">2*D903</f>
        <v>324722</v>
      </c>
      <c r="G903" s="9" t="n">
        <f aca="false">MOD(F903,10)</f>
        <v>2</v>
      </c>
      <c r="H903" s="9" t="n">
        <f aca="false">G903/2</f>
        <v>1</v>
      </c>
      <c r="I903" s="9" t="str">
        <f aca="false">IF(H903=0,"—",IF(H903=1,"unison (1:1)",IF(H903=2,"octave (2:1)",IF(H903=3,"fifth (3:2)",IF(H903=4,"fourth (4:3)","?")))))</f>
        <v>unison (1:1)</v>
      </c>
      <c r="J903" s="9" t="str">
        <f aca="false">IF(H903=0,"—",IF(H903=1,"ὁμώνυμον",IF(H903=2,"διὰ πασῶν",IF(H903=3,"διὰ πέντε",IF(H903=4,"διὰ τεσσάρων","?")))))</f>
        <v>ὁμώνυμον</v>
      </c>
      <c r="K903" s="10"/>
      <c r="L903" s="14"/>
      <c r="M903" s="13"/>
    </row>
    <row r="904" customFormat="false" ht="15.75" hidden="false" customHeight="true" outlineLevel="0" collapsed="false">
      <c r="A904" s="8" t="n">
        <f aca="false">A903+1</f>
        <v>902</v>
      </c>
      <c r="B904" s="9" t="n">
        <f aca="false">MOD(4*A904^2,10)</f>
        <v>6</v>
      </c>
      <c r="C904" s="9" t="n">
        <f aca="false">(26*B904-5*B904^2)/24</f>
        <v>-1</v>
      </c>
      <c r="D904" s="9" t="n">
        <f aca="false">(A904^2+4*C904)/5</f>
        <v>162720</v>
      </c>
      <c r="E904" s="9" t="n">
        <f aca="false">MOD(D904,10)</f>
        <v>0</v>
      </c>
      <c r="F904" s="9" t="n">
        <f aca="false">2*D904</f>
        <v>325440</v>
      </c>
      <c r="G904" s="9" t="n">
        <f aca="false">MOD(F904,10)</f>
        <v>0</v>
      </c>
      <c r="H904" s="9" t="n">
        <f aca="false">G904/2</f>
        <v>0</v>
      </c>
      <c r="I904" s="9" t="str">
        <f aca="false">IF(H904=0,"—",IF(H904=1,"unison (1:1)",IF(H904=2,"octave (2:1)",IF(H904=3,"fifth (3:2)",IF(H904=4,"fourth (4:3)","?")))))</f>
        <v>—</v>
      </c>
      <c r="J904" s="9" t="str">
        <f aca="false">IF(H904=0,"—",IF(H904=1,"ὁμώνυμον",IF(H904=2,"διὰ πασῶν",IF(H904=3,"διὰ πέντε",IF(H904=4,"διὰ τεσσάρων","?")))))</f>
        <v>—</v>
      </c>
      <c r="K904" s="10"/>
      <c r="L904" s="14"/>
      <c r="M904" s="13"/>
    </row>
    <row r="905" customFormat="false" ht="15.75" hidden="false" customHeight="true" outlineLevel="0" collapsed="false">
      <c r="A905" s="8" t="n">
        <f aca="false">A904+1</f>
        <v>903</v>
      </c>
      <c r="B905" s="9" t="n">
        <f aca="false">MOD(4*A905^2,10)</f>
        <v>6</v>
      </c>
      <c r="C905" s="9" t="n">
        <f aca="false">(26*B905-5*B905^2)/24</f>
        <v>-1</v>
      </c>
      <c r="D905" s="9" t="n">
        <f aca="false">(A905^2+4*C905)/5</f>
        <v>163081</v>
      </c>
      <c r="E905" s="9" t="n">
        <f aca="false">MOD(D905,10)</f>
        <v>1</v>
      </c>
      <c r="F905" s="9" t="n">
        <f aca="false">2*D905</f>
        <v>326162</v>
      </c>
      <c r="G905" s="9" t="n">
        <f aca="false">MOD(F905,10)</f>
        <v>2</v>
      </c>
      <c r="H905" s="9" t="n">
        <f aca="false">G905/2</f>
        <v>1</v>
      </c>
      <c r="I905" s="9" t="str">
        <f aca="false">IF(H905=0,"—",IF(H905=1,"unison (1:1)",IF(H905=2,"octave (2:1)",IF(H905=3,"fifth (3:2)",IF(H905=4,"fourth (4:3)","?")))))</f>
        <v>unison (1:1)</v>
      </c>
      <c r="J905" s="9" t="str">
        <f aca="false">IF(H905=0,"—",IF(H905=1,"ὁμώνυμον",IF(H905=2,"διὰ πασῶν",IF(H905=3,"διὰ πέντε",IF(H905=4,"διὰ τεσσάρων","?")))))</f>
        <v>ὁμώνυμον</v>
      </c>
      <c r="K905" s="10"/>
      <c r="L905" s="14"/>
      <c r="M905" s="13"/>
    </row>
    <row r="906" customFormat="false" ht="15.75" hidden="false" customHeight="true" outlineLevel="0" collapsed="false">
      <c r="A906" s="8" t="n">
        <f aca="false">A905+1</f>
        <v>904</v>
      </c>
      <c r="B906" s="9" t="n">
        <f aca="false">MOD(4*A906^2,10)</f>
        <v>4</v>
      </c>
      <c r="C906" s="9" t="n">
        <f aca="false">(26*B906-5*B906^2)/24</f>
        <v>1</v>
      </c>
      <c r="D906" s="9" t="n">
        <f aca="false">(A906^2+4*C906)/5</f>
        <v>163444</v>
      </c>
      <c r="E906" s="9" t="n">
        <f aca="false">MOD(D906,10)</f>
        <v>4</v>
      </c>
      <c r="F906" s="9" t="n">
        <f aca="false">2*D906</f>
        <v>326888</v>
      </c>
      <c r="G906" s="9" t="n">
        <f aca="false">MOD(F906,10)</f>
        <v>8</v>
      </c>
      <c r="H906" s="9" t="n">
        <f aca="false">G906/2</f>
        <v>4</v>
      </c>
      <c r="I906" s="9" t="str">
        <f aca="false">IF(H906=0,"—",IF(H906=1,"unison (1:1)",IF(H906=2,"octave (2:1)",IF(H906=3,"fifth (3:2)",IF(H906=4,"fourth (4:3)","?")))))</f>
        <v>fourth (4:3)</v>
      </c>
      <c r="J906" s="9" t="str">
        <f aca="false">IF(H906=0,"—",IF(H906=1,"ὁμώνυμον",IF(H906=2,"διὰ πασῶν",IF(H906=3,"διὰ πέντε",IF(H906=4,"διὰ τεσσάρων","?")))))</f>
        <v>διὰ τεσσάρων</v>
      </c>
      <c r="K906" s="10"/>
      <c r="L906" s="14"/>
      <c r="M906" s="13"/>
    </row>
    <row r="907" customFormat="false" ht="15.75" hidden="false" customHeight="true" outlineLevel="0" collapsed="false">
      <c r="A907" s="8" t="n">
        <f aca="false">A906+1</f>
        <v>905</v>
      </c>
      <c r="B907" s="9" t="n">
        <f aca="false">MOD(4*A907^2,10)</f>
        <v>0</v>
      </c>
      <c r="C907" s="9" t="n">
        <f aca="false">(26*B907-5*B907^2)/24</f>
        <v>0</v>
      </c>
      <c r="D907" s="9" t="n">
        <f aca="false">(A907^2+4*C907)/5</f>
        <v>163805</v>
      </c>
      <c r="E907" s="9" t="n">
        <f aca="false">MOD(D907,10)</f>
        <v>5</v>
      </c>
      <c r="F907" s="9" t="n">
        <f aca="false">2*D907</f>
        <v>327610</v>
      </c>
      <c r="G907" s="9" t="n">
        <f aca="false">MOD(F907,10)</f>
        <v>0</v>
      </c>
      <c r="H907" s="9" t="n">
        <f aca="false">G907/2</f>
        <v>0</v>
      </c>
      <c r="I907" s="9" t="str">
        <f aca="false">IF(H907=0,"—",IF(H907=1,"unison (1:1)",IF(H907=2,"octave (2:1)",IF(H907=3,"fifth (3:2)",IF(H907=4,"fourth (4:3)","?")))))</f>
        <v>—</v>
      </c>
      <c r="J907" s="9" t="str">
        <f aca="false">IF(H907=0,"—",IF(H907=1,"ὁμώνυμον",IF(H907=2,"διὰ πασῶν",IF(H907=3,"διὰ πέντε",IF(H907=4,"διὰ τεσσάρων","?")))))</f>
        <v>—</v>
      </c>
      <c r="K907" s="10"/>
      <c r="L907" s="14"/>
      <c r="M907" s="13"/>
    </row>
    <row r="908" customFormat="false" ht="15.75" hidden="false" customHeight="true" outlineLevel="0" collapsed="false">
      <c r="A908" s="8" t="n">
        <f aca="false">A907+1</f>
        <v>906</v>
      </c>
      <c r="B908" s="9" t="n">
        <f aca="false">MOD(4*A908^2,10)</f>
        <v>4</v>
      </c>
      <c r="C908" s="9" t="n">
        <f aca="false">(26*B908-5*B908^2)/24</f>
        <v>1</v>
      </c>
      <c r="D908" s="9" t="n">
        <f aca="false">(A908^2+4*C908)/5</f>
        <v>164168</v>
      </c>
      <c r="E908" s="9" t="n">
        <f aca="false">MOD(D908,10)</f>
        <v>8</v>
      </c>
      <c r="F908" s="9" t="n">
        <f aca="false">2*D908</f>
        <v>328336</v>
      </c>
      <c r="G908" s="9" t="n">
        <f aca="false">MOD(F908,10)</f>
        <v>6</v>
      </c>
      <c r="H908" s="9" t="n">
        <f aca="false">G908/2</f>
        <v>3</v>
      </c>
      <c r="I908" s="9" t="str">
        <f aca="false">IF(H908=0,"—",IF(H908=1,"unison (1:1)",IF(H908=2,"octave (2:1)",IF(H908=3,"fifth (3:2)",IF(H908=4,"fourth (4:3)","?")))))</f>
        <v>fifth (3:2)</v>
      </c>
      <c r="J908" s="9" t="str">
        <f aca="false">IF(H908=0,"—",IF(H908=1,"ὁμώνυμον",IF(H908=2,"διὰ πασῶν",IF(H908=3,"διὰ πέντε",IF(H908=4,"διὰ τεσσάρων","?")))))</f>
        <v>διὰ πέντε</v>
      </c>
      <c r="K908" s="10"/>
      <c r="L908" s="14"/>
      <c r="M908" s="13"/>
    </row>
    <row r="909" customFormat="false" ht="15.75" hidden="false" customHeight="true" outlineLevel="0" collapsed="false">
      <c r="A909" s="8" t="n">
        <f aca="false">A908+1</f>
        <v>907</v>
      </c>
      <c r="B909" s="9" t="n">
        <f aca="false">MOD(4*A909^2,10)</f>
        <v>6</v>
      </c>
      <c r="C909" s="9" t="n">
        <f aca="false">(26*B909-5*B909^2)/24</f>
        <v>-1</v>
      </c>
      <c r="D909" s="9" t="n">
        <f aca="false">(A909^2+4*C909)/5</f>
        <v>164529</v>
      </c>
      <c r="E909" s="9" t="n">
        <f aca="false">MOD(D909,10)</f>
        <v>9</v>
      </c>
      <c r="F909" s="9" t="n">
        <f aca="false">2*D909</f>
        <v>329058</v>
      </c>
      <c r="G909" s="9" t="n">
        <f aca="false">MOD(F909,10)</f>
        <v>8</v>
      </c>
      <c r="H909" s="9" t="n">
        <f aca="false">G909/2</f>
        <v>4</v>
      </c>
      <c r="I909" s="9" t="str">
        <f aca="false">IF(H909=0,"—",IF(H909=1,"unison (1:1)",IF(H909=2,"octave (2:1)",IF(H909=3,"fifth (3:2)",IF(H909=4,"fourth (4:3)","?")))))</f>
        <v>fourth (4:3)</v>
      </c>
      <c r="J909" s="9" t="str">
        <f aca="false">IF(H909=0,"—",IF(H909=1,"ὁμώνυμον",IF(H909=2,"διὰ πασῶν",IF(H909=3,"διὰ πέντε",IF(H909=4,"διὰ τεσσάρων","?")))))</f>
        <v>διὰ τεσσάρων</v>
      </c>
      <c r="K909" s="10"/>
      <c r="L909" s="14"/>
      <c r="M909" s="13"/>
    </row>
    <row r="910" customFormat="false" ht="15.75" hidden="false" customHeight="true" outlineLevel="0" collapsed="false">
      <c r="A910" s="8" t="n">
        <f aca="false">A909+1</f>
        <v>908</v>
      </c>
      <c r="B910" s="9" t="n">
        <f aca="false">MOD(4*A910^2,10)</f>
        <v>6</v>
      </c>
      <c r="C910" s="9" t="n">
        <f aca="false">(26*B910-5*B910^2)/24</f>
        <v>-1</v>
      </c>
      <c r="D910" s="9" t="n">
        <f aca="false">(A910^2+4*C910)/5</f>
        <v>164892</v>
      </c>
      <c r="E910" s="9" t="n">
        <f aca="false">MOD(D910,10)</f>
        <v>2</v>
      </c>
      <c r="F910" s="9" t="n">
        <f aca="false">2*D910</f>
        <v>329784</v>
      </c>
      <c r="G910" s="9" t="n">
        <f aca="false">MOD(F910,10)</f>
        <v>4</v>
      </c>
      <c r="H910" s="9" t="n">
        <f aca="false">G910/2</f>
        <v>2</v>
      </c>
      <c r="I910" s="9" t="str">
        <f aca="false">IF(H910=0,"—",IF(H910=1,"unison (1:1)",IF(H910=2,"octave (2:1)",IF(H910=3,"fifth (3:2)",IF(H910=4,"fourth (4:3)","?")))))</f>
        <v>octave (2:1)</v>
      </c>
      <c r="J910" s="9" t="str">
        <f aca="false">IF(H910=0,"—",IF(H910=1,"ὁμώνυμον",IF(H910=2,"διὰ πασῶν",IF(H910=3,"διὰ πέντε",IF(H910=4,"διὰ τεσσάρων","?")))))</f>
        <v>διὰ πασῶν</v>
      </c>
      <c r="K910" s="10"/>
      <c r="L910" s="14"/>
      <c r="M910" s="13"/>
    </row>
    <row r="911" customFormat="false" ht="15.75" hidden="false" customHeight="true" outlineLevel="0" collapsed="false">
      <c r="A911" s="8" t="n">
        <f aca="false">A910+1</f>
        <v>909</v>
      </c>
      <c r="B911" s="9" t="n">
        <f aca="false">MOD(4*A911^2,10)</f>
        <v>4</v>
      </c>
      <c r="C911" s="9" t="n">
        <f aca="false">(26*B911-5*B911^2)/24</f>
        <v>1</v>
      </c>
      <c r="D911" s="9" t="n">
        <f aca="false">(A911^2+4*C911)/5</f>
        <v>165257</v>
      </c>
      <c r="E911" s="9" t="n">
        <f aca="false">MOD(D911,10)</f>
        <v>7</v>
      </c>
      <c r="F911" s="9" t="n">
        <f aca="false">2*D911</f>
        <v>330514</v>
      </c>
      <c r="G911" s="9" t="n">
        <f aca="false">MOD(F911,10)</f>
        <v>4</v>
      </c>
      <c r="H911" s="9" t="n">
        <f aca="false">G911/2</f>
        <v>2</v>
      </c>
      <c r="I911" s="9" t="str">
        <f aca="false">IF(H911=0,"—",IF(H911=1,"unison (1:1)",IF(H911=2,"octave (2:1)",IF(H911=3,"fifth (3:2)",IF(H911=4,"fourth (4:3)","?")))))</f>
        <v>octave (2:1)</v>
      </c>
      <c r="J911" s="9" t="str">
        <f aca="false">IF(H911=0,"—",IF(H911=1,"ὁμώνυμον",IF(H911=2,"διὰ πασῶν",IF(H911=3,"διὰ πέντε",IF(H911=4,"διὰ τεσσάρων","?")))))</f>
        <v>διὰ πασῶν</v>
      </c>
      <c r="K911" s="10"/>
      <c r="L911" s="14"/>
      <c r="M911" s="13"/>
    </row>
    <row r="912" customFormat="false" ht="15.75" hidden="false" customHeight="true" outlineLevel="0" collapsed="false">
      <c r="A912" s="8" t="n">
        <f aca="false">A911+1</f>
        <v>910</v>
      </c>
      <c r="B912" s="9" t="n">
        <f aca="false">MOD(4*A912^2,10)</f>
        <v>0</v>
      </c>
      <c r="C912" s="9" t="n">
        <f aca="false">(26*B912-5*B912^2)/24</f>
        <v>0</v>
      </c>
      <c r="D912" s="9" t="n">
        <f aca="false">(A912^2+4*C912)/5</f>
        <v>165620</v>
      </c>
      <c r="E912" s="9" t="n">
        <f aca="false">MOD(D912,10)</f>
        <v>0</v>
      </c>
      <c r="F912" s="9" t="n">
        <f aca="false">2*D912</f>
        <v>331240</v>
      </c>
      <c r="G912" s="9" t="n">
        <f aca="false">MOD(F912,10)</f>
        <v>0</v>
      </c>
      <c r="H912" s="9" t="n">
        <f aca="false">G912/2</f>
        <v>0</v>
      </c>
      <c r="I912" s="9" t="str">
        <f aca="false">IF(H912=0,"—",IF(H912=1,"unison (1:1)",IF(H912=2,"octave (2:1)",IF(H912=3,"fifth (3:2)",IF(H912=4,"fourth (4:3)","?")))))</f>
        <v>—</v>
      </c>
      <c r="J912" s="9" t="str">
        <f aca="false">IF(H912=0,"—",IF(H912=1,"ὁμώνυμον",IF(H912=2,"διὰ πασῶν",IF(H912=3,"διὰ πέντε",IF(H912=4,"διὰ τεσσάρων","?")))))</f>
        <v>—</v>
      </c>
      <c r="K912" s="10"/>
      <c r="L912" s="14"/>
      <c r="M912" s="13"/>
    </row>
    <row r="913" customFormat="false" ht="15.75" hidden="false" customHeight="true" outlineLevel="0" collapsed="false">
      <c r="A913" s="8" t="n">
        <f aca="false">A912+1</f>
        <v>911</v>
      </c>
      <c r="B913" s="9" t="n">
        <f aca="false">MOD(4*A913^2,10)</f>
        <v>4</v>
      </c>
      <c r="C913" s="9" t="n">
        <f aca="false">(26*B913-5*B913^2)/24</f>
        <v>1</v>
      </c>
      <c r="D913" s="9" t="n">
        <f aca="false">(A913^2+4*C913)/5</f>
        <v>165985</v>
      </c>
      <c r="E913" s="9" t="n">
        <f aca="false">MOD(D913,10)</f>
        <v>5</v>
      </c>
      <c r="F913" s="9" t="n">
        <f aca="false">2*D913</f>
        <v>331970</v>
      </c>
      <c r="G913" s="9" t="n">
        <f aca="false">MOD(F913,10)</f>
        <v>0</v>
      </c>
      <c r="H913" s="9" t="n">
        <f aca="false">G913/2</f>
        <v>0</v>
      </c>
      <c r="I913" s="9" t="str">
        <f aca="false">IF(H913=0,"—",IF(H913=1,"unison (1:1)",IF(H913=2,"octave (2:1)",IF(H913=3,"fifth (3:2)",IF(H913=4,"fourth (4:3)","?")))))</f>
        <v>—</v>
      </c>
      <c r="J913" s="9" t="str">
        <f aca="false">IF(H913=0,"—",IF(H913=1,"ὁμώνυμον",IF(H913=2,"διὰ πασῶν",IF(H913=3,"διὰ πέντε",IF(H913=4,"διὰ τεσσάρων","?")))))</f>
        <v>—</v>
      </c>
      <c r="K913" s="10"/>
      <c r="L913" s="14"/>
      <c r="M913" s="13"/>
    </row>
    <row r="914" customFormat="false" ht="15.75" hidden="false" customHeight="true" outlineLevel="0" collapsed="false">
      <c r="A914" s="8" t="n">
        <f aca="false">A913+1</f>
        <v>912</v>
      </c>
      <c r="B914" s="9" t="n">
        <f aca="false">MOD(4*A914^2,10)</f>
        <v>6</v>
      </c>
      <c r="C914" s="9" t="n">
        <f aca="false">(26*B914-5*B914^2)/24</f>
        <v>-1</v>
      </c>
      <c r="D914" s="9" t="n">
        <f aca="false">(A914^2+4*C914)/5</f>
        <v>166348</v>
      </c>
      <c r="E914" s="9" t="n">
        <f aca="false">MOD(D914,10)</f>
        <v>8</v>
      </c>
      <c r="F914" s="9" t="n">
        <f aca="false">2*D914</f>
        <v>332696</v>
      </c>
      <c r="G914" s="9" t="n">
        <f aca="false">MOD(F914,10)</f>
        <v>6</v>
      </c>
      <c r="H914" s="9" t="n">
        <f aca="false">G914/2</f>
        <v>3</v>
      </c>
      <c r="I914" s="9" t="str">
        <f aca="false">IF(H914=0,"—",IF(H914=1,"unison (1:1)",IF(H914=2,"octave (2:1)",IF(H914=3,"fifth (3:2)",IF(H914=4,"fourth (4:3)","?")))))</f>
        <v>fifth (3:2)</v>
      </c>
      <c r="J914" s="9" t="str">
        <f aca="false">IF(H914=0,"—",IF(H914=1,"ὁμώνυμον",IF(H914=2,"διὰ πασῶν",IF(H914=3,"διὰ πέντε",IF(H914=4,"διὰ τεσσάρων","?")))))</f>
        <v>διὰ πέντε</v>
      </c>
      <c r="K914" s="10"/>
      <c r="L914" s="14"/>
      <c r="M914" s="13"/>
    </row>
    <row r="915" customFormat="false" ht="15.75" hidden="false" customHeight="true" outlineLevel="0" collapsed="false">
      <c r="A915" s="8" t="n">
        <f aca="false">A914+1</f>
        <v>913</v>
      </c>
      <c r="B915" s="9" t="n">
        <f aca="false">MOD(4*A915^2,10)</f>
        <v>6</v>
      </c>
      <c r="C915" s="9" t="n">
        <f aca="false">(26*B915-5*B915^2)/24</f>
        <v>-1</v>
      </c>
      <c r="D915" s="9" t="n">
        <f aca="false">(A915^2+4*C915)/5</f>
        <v>166713</v>
      </c>
      <c r="E915" s="9" t="n">
        <f aca="false">MOD(D915,10)</f>
        <v>3</v>
      </c>
      <c r="F915" s="9" t="n">
        <f aca="false">2*D915</f>
        <v>333426</v>
      </c>
      <c r="G915" s="9" t="n">
        <f aca="false">MOD(F915,10)</f>
        <v>6</v>
      </c>
      <c r="H915" s="9" t="n">
        <f aca="false">G915/2</f>
        <v>3</v>
      </c>
      <c r="I915" s="9" t="str">
        <f aca="false">IF(H915=0,"—",IF(H915=1,"unison (1:1)",IF(H915=2,"octave (2:1)",IF(H915=3,"fifth (3:2)",IF(H915=4,"fourth (4:3)","?")))))</f>
        <v>fifth (3:2)</v>
      </c>
      <c r="J915" s="9" t="str">
        <f aca="false">IF(H915=0,"—",IF(H915=1,"ὁμώνυμον",IF(H915=2,"διὰ πασῶν",IF(H915=3,"διὰ πέντε",IF(H915=4,"διὰ τεσσάρων","?")))))</f>
        <v>διὰ πέντε</v>
      </c>
      <c r="K915" s="10"/>
      <c r="L915" s="14"/>
      <c r="M915" s="13"/>
    </row>
    <row r="916" customFormat="false" ht="15.75" hidden="false" customHeight="true" outlineLevel="0" collapsed="false">
      <c r="A916" s="8" t="n">
        <f aca="false">A915+1</f>
        <v>914</v>
      </c>
      <c r="B916" s="9" t="n">
        <f aca="false">MOD(4*A916^2,10)</f>
        <v>4</v>
      </c>
      <c r="C916" s="9" t="n">
        <f aca="false">(26*B916-5*B916^2)/24</f>
        <v>1</v>
      </c>
      <c r="D916" s="9" t="n">
        <f aca="false">(A916^2+4*C916)/5</f>
        <v>167080</v>
      </c>
      <c r="E916" s="9" t="n">
        <f aca="false">MOD(D916,10)</f>
        <v>0</v>
      </c>
      <c r="F916" s="9" t="n">
        <f aca="false">2*D916</f>
        <v>334160</v>
      </c>
      <c r="G916" s="9" t="n">
        <f aca="false">MOD(F916,10)</f>
        <v>0</v>
      </c>
      <c r="H916" s="9" t="n">
        <f aca="false">G916/2</f>
        <v>0</v>
      </c>
      <c r="I916" s="9" t="str">
        <f aca="false">IF(H916=0,"—",IF(H916=1,"unison (1:1)",IF(H916=2,"octave (2:1)",IF(H916=3,"fifth (3:2)",IF(H916=4,"fourth (4:3)","?")))))</f>
        <v>—</v>
      </c>
      <c r="J916" s="9" t="str">
        <f aca="false">IF(H916=0,"—",IF(H916=1,"ὁμώνυμον",IF(H916=2,"διὰ πασῶν",IF(H916=3,"διὰ πέντε",IF(H916=4,"διὰ τεσσάρων","?")))))</f>
        <v>—</v>
      </c>
      <c r="K916" s="10"/>
      <c r="L916" s="14"/>
      <c r="M916" s="13"/>
    </row>
    <row r="917" customFormat="false" ht="15.75" hidden="false" customHeight="true" outlineLevel="0" collapsed="false">
      <c r="A917" s="8" t="n">
        <f aca="false">A916+1</f>
        <v>915</v>
      </c>
      <c r="B917" s="9" t="n">
        <f aca="false">MOD(4*A917^2,10)</f>
        <v>0</v>
      </c>
      <c r="C917" s="9" t="n">
        <f aca="false">(26*B917-5*B917^2)/24</f>
        <v>0</v>
      </c>
      <c r="D917" s="9" t="n">
        <f aca="false">(A917^2+4*C917)/5</f>
        <v>167445</v>
      </c>
      <c r="E917" s="9" t="n">
        <f aca="false">MOD(D917,10)</f>
        <v>5</v>
      </c>
      <c r="F917" s="9" t="n">
        <f aca="false">2*D917</f>
        <v>334890</v>
      </c>
      <c r="G917" s="9" t="n">
        <f aca="false">MOD(F917,10)</f>
        <v>0</v>
      </c>
      <c r="H917" s="9" t="n">
        <f aca="false">G917/2</f>
        <v>0</v>
      </c>
      <c r="I917" s="9" t="str">
        <f aca="false">IF(H917=0,"—",IF(H917=1,"unison (1:1)",IF(H917=2,"octave (2:1)",IF(H917=3,"fifth (3:2)",IF(H917=4,"fourth (4:3)","?")))))</f>
        <v>—</v>
      </c>
      <c r="J917" s="9" t="str">
        <f aca="false">IF(H917=0,"—",IF(H917=1,"ὁμώνυμον",IF(H917=2,"διὰ πασῶν",IF(H917=3,"διὰ πέντε",IF(H917=4,"διὰ τεσσάρων","?")))))</f>
        <v>—</v>
      </c>
      <c r="K917" s="10"/>
      <c r="L917" s="14"/>
      <c r="M917" s="13"/>
    </row>
    <row r="918" customFormat="false" ht="15.75" hidden="false" customHeight="true" outlineLevel="0" collapsed="false">
      <c r="A918" s="8" t="n">
        <f aca="false">A917+1</f>
        <v>916</v>
      </c>
      <c r="B918" s="9" t="n">
        <f aca="false">MOD(4*A918^2,10)</f>
        <v>4</v>
      </c>
      <c r="C918" s="9" t="n">
        <f aca="false">(26*B918-5*B918^2)/24</f>
        <v>1</v>
      </c>
      <c r="D918" s="9" t="n">
        <f aca="false">(A918^2+4*C918)/5</f>
        <v>167812</v>
      </c>
      <c r="E918" s="9" t="n">
        <f aca="false">MOD(D918,10)</f>
        <v>2</v>
      </c>
      <c r="F918" s="9" t="n">
        <f aca="false">2*D918</f>
        <v>335624</v>
      </c>
      <c r="G918" s="9" t="n">
        <f aca="false">MOD(F918,10)</f>
        <v>4</v>
      </c>
      <c r="H918" s="9" t="n">
        <f aca="false">G918/2</f>
        <v>2</v>
      </c>
      <c r="I918" s="9" t="str">
        <f aca="false">IF(H918=0,"—",IF(H918=1,"unison (1:1)",IF(H918=2,"octave (2:1)",IF(H918=3,"fifth (3:2)",IF(H918=4,"fourth (4:3)","?")))))</f>
        <v>octave (2:1)</v>
      </c>
      <c r="J918" s="9" t="str">
        <f aca="false">IF(H918=0,"—",IF(H918=1,"ὁμώνυμον",IF(H918=2,"διὰ πασῶν",IF(H918=3,"διὰ πέντε",IF(H918=4,"διὰ τεσσάρων","?")))))</f>
        <v>διὰ πασῶν</v>
      </c>
      <c r="K918" s="10"/>
      <c r="L918" s="14"/>
      <c r="M918" s="13"/>
    </row>
    <row r="919" customFormat="false" ht="15.75" hidden="false" customHeight="true" outlineLevel="0" collapsed="false">
      <c r="A919" s="8" t="n">
        <f aca="false">A918+1</f>
        <v>917</v>
      </c>
      <c r="B919" s="9" t="n">
        <f aca="false">MOD(4*A919^2,10)</f>
        <v>6</v>
      </c>
      <c r="C919" s="9" t="n">
        <f aca="false">(26*B919-5*B919^2)/24</f>
        <v>-1</v>
      </c>
      <c r="D919" s="9" t="n">
        <f aca="false">(A919^2+4*C919)/5</f>
        <v>168177</v>
      </c>
      <c r="E919" s="9" t="n">
        <f aca="false">MOD(D919,10)</f>
        <v>7</v>
      </c>
      <c r="F919" s="9" t="n">
        <f aca="false">2*D919</f>
        <v>336354</v>
      </c>
      <c r="G919" s="9" t="n">
        <f aca="false">MOD(F919,10)</f>
        <v>4</v>
      </c>
      <c r="H919" s="9" t="n">
        <f aca="false">G919/2</f>
        <v>2</v>
      </c>
      <c r="I919" s="9" t="str">
        <f aca="false">IF(H919=0,"—",IF(H919=1,"unison (1:1)",IF(H919=2,"octave (2:1)",IF(H919=3,"fifth (3:2)",IF(H919=4,"fourth (4:3)","?")))))</f>
        <v>octave (2:1)</v>
      </c>
      <c r="J919" s="9" t="str">
        <f aca="false">IF(H919=0,"—",IF(H919=1,"ὁμώνυμον",IF(H919=2,"διὰ πασῶν",IF(H919=3,"διὰ πέντε",IF(H919=4,"διὰ τεσσάρων","?")))))</f>
        <v>διὰ πασῶν</v>
      </c>
      <c r="K919" s="10"/>
      <c r="L919" s="14"/>
      <c r="M919" s="13"/>
    </row>
    <row r="920" customFormat="false" ht="15.75" hidden="false" customHeight="true" outlineLevel="0" collapsed="false">
      <c r="A920" s="8" t="n">
        <f aca="false">A919+1</f>
        <v>918</v>
      </c>
      <c r="B920" s="9" t="n">
        <f aca="false">MOD(4*A920^2,10)</f>
        <v>6</v>
      </c>
      <c r="C920" s="9" t="n">
        <f aca="false">(26*B920-5*B920^2)/24</f>
        <v>-1</v>
      </c>
      <c r="D920" s="9" t="n">
        <f aca="false">(A920^2+4*C920)/5</f>
        <v>168544</v>
      </c>
      <c r="E920" s="9" t="n">
        <f aca="false">MOD(D920,10)</f>
        <v>4</v>
      </c>
      <c r="F920" s="9" t="n">
        <f aca="false">2*D920</f>
        <v>337088</v>
      </c>
      <c r="G920" s="9" t="n">
        <f aca="false">MOD(F920,10)</f>
        <v>8</v>
      </c>
      <c r="H920" s="9" t="n">
        <f aca="false">G920/2</f>
        <v>4</v>
      </c>
      <c r="I920" s="9" t="str">
        <f aca="false">IF(H920=0,"—",IF(H920=1,"unison (1:1)",IF(H920=2,"octave (2:1)",IF(H920=3,"fifth (3:2)",IF(H920=4,"fourth (4:3)","?")))))</f>
        <v>fourth (4:3)</v>
      </c>
      <c r="J920" s="9" t="str">
        <f aca="false">IF(H920=0,"—",IF(H920=1,"ὁμώνυμον",IF(H920=2,"διὰ πασῶν",IF(H920=3,"διὰ πέντε",IF(H920=4,"διὰ τεσσάρων","?")))))</f>
        <v>διὰ τεσσάρων</v>
      </c>
      <c r="K920" s="10"/>
      <c r="L920" s="14"/>
      <c r="M920" s="13"/>
    </row>
    <row r="921" customFormat="false" ht="15.75" hidden="false" customHeight="true" outlineLevel="0" collapsed="false">
      <c r="A921" s="8" t="n">
        <f aca="false">A920+1</f>
        <v>919</v>
      </c>
      <c r="B921" s="9" t="n">
        <f aca="false">MOD(4*A921^2,10)</f>
        <v>4</v>
      </c>
      <c r="C921" s="9" t="n">
        <f aca="false">(26*B921-5*B921^2)/24</f>
        <v>1</v>
      </c>
      <c r="D921" s="9" t="n">
        <f aca="false">(A921^2+4*C921)/5</f>
        <v>168913</v>
      </c>
      <c r="E921" s="9" t="n">
        <f aca="false">MOD(D921,10)</f>
        <v>3</v>
      </c>
      <c r="F921" s="9" t="n">
        <f aca="false">2*D921</f>
        <v>337826</v>
      </c>
      <c r="G921" s="9" t="n">
        <f aca="false">MOD(F921,10)</f>
        <v>6</v>
      </c>
      <c r="H921" s="9" t="n">
        <f aca="false">G921/2</f>
        <v>3</v>
      </c>
      <c r="I921" s="9" t="str">
        <f aca="false">IF(H921=0,"—",IF(H921=1,"unison (1:1)",IF(H921=2,"octave (2:1)",IF(H921=3,"fifth (3:2)",IF(H921=4,"fourth (4:3)","?")))))</f>
        <v>fifth (3:2)</v>
      </c>
      <c r="J921" s="9" t="str">
        <f aca="false">IF(H921=0,"—",IF(H921=1,"ὁμώνυμον",IF(H921=2,"διὰ πασῶν",IF(H921=3,"διὰ πέντε",IF(H921=4,"διὰ τεσσάρων","?")))))</f>
        <v>διὰ πέντε</v>
      </c>
      <c r="K921" s="10"/>
      <c r="L921" s="14"/>
      <c r="M921" s="13"/>
    </row>
    <row r="922" customFormat="false" ht="15.75" hidden="false" customHeight="true" outlineLevel="0" collapsed="false">
      <c r="A922" s="8" t="n">
        <f aca="false">A921+1</f>
        <v>920</v>
      </c>
      <c r="B922" s="9" t="n">
        <f aca="false">MOD(4*A922^2,10)</f>
        <v>0</v>
      </c>
      <c r="C922" s="9" t="n">
        <f aca="false">(26*B922-5*B922^2)/24</f>
        <v>0</v>
      </c>
      <c r="D922" s="9" t="n">
        <f aca="false">(A922^2+4*C922)/5</f>
        <v>169280</v>
      </c>
      <c r="E922" s="9" t="n">
        <f aca="false">MOD(D922,10)</f>
        <v>0</v>
      </c>
      <c r="F922" s="9" t="n">
        <f aca="false">2*D922</f>
        <v>338560</v>
      </c>
      <c r="G922" s="9" t="n">
        <f aca="false">MOD(F922,10)</f>
        <v>0</v>
      </c>
      <c r="H922" s="9" t="n">
        <f aca="false">G922/2</f>
        <v>0</v>
      </c>
      <c r="I922" s="9" t="str">
        <f aca="false">IF(H922=0,"—",IF(H922=1,"unison (1:1)",IF(H922=2,"octave (2:1)",IF(H922=3,"fifth (3:2)",IF(H922=4,"fourth (4:3)","?")))))</f>
        <v>—</v>
      </c>
      <c r="J922" s="9" t="str">
        <f aca="false">IF(H922=0,"—",IF(H922=1,"ὁμώνυμον",IF(H922=2,"διὰ πασῶν",IF(H922=3,"διὰ πέντε",IF(H922=4,"διὰ τεσσάρων","?")))))</f>
        <v>—</v>
      </c>
      <c r="K922" s="10"/>
      <c r="L922" s="14"/>
      <c r="M922" s="13"/>
    </row>
    <row r="923" customFormat="false" ht="15.75" hidden="false" customHeight="true" outlineLevel="0" collapsed="false">
      <c r="A923" s="8" t="n">
        <f aca="false">A922+1</f>
        <v>921</v>
      </c>
      <c r="B923" s="9" t="n">
        <f aca="false">MOD(4*A923^2,10)</f>
        <v>4</v>
      </c>
      <c r="C923" s="9" t="n">
        <f aca="false">(26*B923-5*B923^2)/24</f>
        <v>1</v>
      </c>
      <c r="D923" s="9" t="n">
        <f aca="false">(A923^2+4*C923)/5</f>
        <v>169649</v>
      </c>
      <c r="E923" s="9" t="n">
        <f aca="false">MOD(D923,10)</f>
        <v>9</v>
      </c>
      <c r="F923" s="9" t="n">
        <f aca="false">2*D923</f>
        <v>339298</v>
      </c>
      <c r="G923" s="9" t="n">
        <f aca="false">MOD(F923,10)</f>
        <v>8</v>
      </c>
      <c r="H923" s="9" t="n">
        <f aca="false">G923/2</f>
        <v>4</v>
      </c>
      <c r="I923" s="9" t="str">
        <f aca="false">IF(H923=0,"—",IF(H923=1,"unison (1:1)",IF(H923=2,"octave (2:1)",IF(H923=3,"fifth (3:2)",IF(H923=4,"fourth (4:3)","?")))))</f>
        <v>fourth (4:3)</v>
      </c>
      <c r="J923" s="9" t="str">
        <f aca="false">IF(H923=0,"—",IF(H923=1,"ὁμώνυμον",IF(H923=2,"διὰ πασῶν",IF(H923=3,"διὰ πέντε",IF(H923=4,"διὰ τεσσάρων","?")))))</f>
        <v>διὰ τεσσάρων</v>
      </c>
      <c r="K923" s="10"/>
      <c r="L923" s="14"/>
      <c r="M923" s="13"/>
    </row>
    <row r="924" customFormat="false" ht="15.75" hidden="false" customHeight="true" outlineLevel="0" collapsed="false">
      <c r="A924" s="8" t="n">
        <f aca="false">A923+1</f>
        <v>922</v>
      </c>
      <c r="B924" s="9" t="n">
        <f aca="false">MOD(4*A924^2,10)</f>
        <v>6</v>
      </c>
      <c r="C924" s="9" t="n">
        <f aca="false">(26*B924-5*B924^2)/24</f>
        <v>-1</v>
      </c>
      <c r="D924" s="9" t="n">
        <f aca="false">(A924^2+4*C924)/5</f>
        <v>170016</v>
      </c>
      <c r="E924" s="9" t="n">
        <f aca="false">MOD(D924,10)</f>
        <v>6</v>
      </c>
      <c r="F924" s="9" t="n">
        <f aca="false">2*D924</f>
        <v>340032</v>
      </c>
      <c r="G924" s="9" t="n">
        <f aca="false">MOD(F924,10)</f>
        <v>2</v>
      </c>
      <c r="H924" s="9" t="n">
        <f aca="false">G924/2</f>
        <v>1</v>
      </c>
      <c r="I924" s="9" t="str">
        <f aca="false">IF(H924=0,"—",IF(H924=1,"unison (1:1)",IF(H924=2,"octave (2:1)",IF(H924=3,"fifth (3:2)",IF(H924=4,"fourth (4:3)","?")))))</f>
        <v>unison (1:1)</v>
      </c>
      <c r="J924" s="9" t="str">
        <f aca="false">IF(H924=0,"—",IF(H924=1,"ὁμώνυμον",IF(H924=2,"διὰ πασῶν",IF(H924=3,"διὰ πέντε",IF(H924=4,"διὰ τεσσάρων","?")))))</f>
        <v>ὁμώνυμον</v>
      </c>
      <c r="K924" s="10"/>
      <c r="L924" s="14"/>
      <c r="M924" s="13"/>
    </row>
    <row r="925" customFormat="false" ht="15.75" hidden="false" customHeight="true" outlineLevel="0" collapsed="false">
      <c r="A925" s="8" t="n">
        <f aca="false">A924+1</f>
        <v>923</v>
      </c>
      <c r="B925" s="9" t="n">
        <f aca="false">MOD(4*A925^2,10)</f>
        <v>6</v>
      </c>
      <c r="C925" s="9" t="n">
        <f aca="false">(26*B925-5*B925^2)/24</f>
        <v>-1</v>
      </c>
      <c r="D925" s="9" t="n">
        <f aca="false">(A925^2+4*C925)/5</f>
        <v>170385</v>
      </c>
      <c r="E925" s="9" t="n">
        <f aca="false">MOD(D925,10)</f>
        <v>5</v>
      </c>
      <c r="F925" s="9" t="n">
        <f aca="false">2*D925</f>
        <v>340770</v>
      </c>
      <c r="G925" s="9" t="n">
        <f aca="false">MOD(F925,10)</f>
        <v>0</v>
      </c>
      <c r="H925" s="9" t="n">
        <f aca="false">G925/2</f>
        <v>0</v>
      </c>
      <c r="I925" s="9" t="str">
        <f aca="false">IF(H925=0,"—",IF(H925=1,"unison (1:1)",IF(H925=2,"octave (2:1)",IF(H925=3,"fifth (3:2)",IF(H925=4,"fourth (4:3)","?")))))</f>
        <v>—</v>
      </c>
      <c r="J925" s="9" t="str">
        <f aca="false">IF(H925=0,"—",IF(H925=1,"ὁμώνυμον",IF(H925=2,"διὰ πασῶν",IF(H925=3,"διὰ πέντε",IF(H925=4,"διὰ τεσσάρων","?")))))</f>
        <v>—</v>
      </c>
      <c r="K925" s="10"/>
      <c r="L925" s="14"/>
      <c r="M925" s="13"/>
    </row>
    <row r="926" customFormat="false" ht="15.75" hidden="false" customHeight="true" outlineLevel="0" collapsed="false">
      <c r="A926" s="8" t="n">
        <f aca="false">A925+1</f>
        <v>924</v>
      </c>
      <c r="B926" s="9" t="n">
        <f aca="false">MOD(4*A926^2,10)</f>
        <v>4</v>
      </c>
      <c r="C926" s="9" t="n">
        <f aca="false">(26*B926-5*B926^2)/24</f>
        <v>1</v>
      </c>
      <c r="D926" s="9" t="n">
        <f aca="false">(A926^2+4*C926)/5</f>
        <v>170756</v>
      </c>
      <c r="E926" s="9" t="n">
        <f aca="false">MOD(D926,10)</f>
        <v>6</v>
      </c>
      <c r="F926" s="9" t="n">
        <f aca="false">2*D926</f>
        <v>341512</v>
      </c>
      <c r="G926" s="9" t="n">
        <f aca="false">MOD(F926,10)</f>
        <v>2</v>
      </c>
      <c r="H926" s="9" t="n">
        <f aca="false">G926/2</f>
        <v>1</v>
      </c>
      <c r="I926" s="9" t="str">
        <f aca="false">IF(H926=0,"—",IF(H926=1,"unison (1:1)",IF(H926=2,"octave (2:1)",IF(H926=3,"fifth (3:2)",IF(H926=4,"fourth (4:3)","?")))))</f>
        <v>unison (1:1)</v>
      </c>
      <c r="J926" s="9" t="str">
        <f aca="false">IF(H926=0,"—",IF(H926=1,"ὁμώνυμον",IF(H926=2,"διὰ πασῶν",IF(H926=3,"διὰ πέντε",IF(H926=4,"διὰ τεσσάρων","?")))))</f>
        <v>ὁμώνυμον</v>
      </c>
      <c r="K926" s="10"/>
      <c r="L926" s="14"/>
      <c r="M926" s="13"/>
    </row>
    <row r="927" customFormat="false" ht="15.75" hidden="false" customHeight="true" outlineLevel="0" collapsed="false">
      <c r="A927" s="8" t="n">
        <f aca="false">A926+1</f>
        <v>925</v>
      </c>
      <c r="B927" s="9" t="n">
        <f aca="false">MOD(4*A927^2,10)</f>
        <v>0</v>
      </c>
      <c r="C927" s="9" t="n">
        <f aca="false">(26*B927-5*B927^2)/24</f>
        <v>0</v>
      </c>
      <c r="D927" s="9" t="n">
        <f aca="false">(A927^2+4*C927)/5</f>
        <v>171125</v>
      </c>
      <c r="E927" s="9" t="n">
        <f aca="false">MOD(D927,10)</f>
        <v>5</v>
      </c>
      <c r="F927" s="9" t="n">
        <f aca="false">2*D927</f>
        <v>342250</v>
      </c>
      <c r="G927" s="9" t="n">
        <f aca="false">MOD(F927,10)</f>
        <v>0</v>
      </c>
      <c r="H927" s="9" t="n">
        <f aca="false">G927/2</f>
        <v>0</v>
      </c>
      <c r="I927" s="9" t="str">
        <f aca="false">IF(H927=0,"—",IF(H927=1,"unison (1:1)",IF(H927=2,"octave (2:1)",IF(H927=3,"fifth (3:2)",IF(H927=4,"fourth (4:3)","?")))))</f>
        <v>—</v>
      </c>
      <c r="J927" s="9" t="str">
        <f aca="false">IF(H927=0,"—",IF(H927=1,"ὁμώνυμον",IF(H927=2,"διὰ πασῶν",IF(H927=3,"διὰ πέντε",IF(H927=4,"διὰ τεσσάρων","?")))))</f>
        <v>—</v>
      </c>
      <c r="K927" s="10"/>
      <c r="L927" s="14"/>
      <c r="M927" s="13"/>
    </row>
    <row r="928" customFormat="false" ht="15.75" hidden="false" customHeight="true" outlineLevel="0" collapsed="false">
      <c r="A928" s="8" t="n">
        <f aca="false">A927+1</f>
        <v>926</v>
      </c>
      <c r="B928" s="9" t="n">
        <f aca="false">MOD(4*A928^2,10)</f>
        <v>4</v>
      </c>
      <c r="C928" s="9" t="n">
        <f aca="false">(26*B928-5*B928^2)/24</f>
        <v>1</v>
      </c>
      <c r="D928" s="9" t="n">
        <f aca="false">(A928^2+4*C928)/5</f>
        <v>171496</v>
      </c>
      <c r="E928" s="9" t="n">
        <f aca="false">MOD(D928,10)</f>
        <v>6</v>
      </c>
      <c r="F928" s="9" t="n">
        <f aca="false">2*D928</f>
        <v>342992</v>
      </c>
      <c r="G928" s="9" t="n">
        <f aca="false">MOD(F928,10)</f>
        <v>2</v>
      </c>
      <c r="H928" s="9" t="n">
        <f aca="false">G928/2</f>
        <v>1</v>
      </c>
      <c r="I928" s="9" t="str">
        <f aca="false">IF(H928=0,"—",IF(H928=1,"unison (1:1)",IF(H928=2,"octave (2:1)",IF(H928=3,"fifth (3:2)",IF(H928=4,"fourth (4:3)","?")))))</f>
        <v>unison (1:1)</v>
      </c>
      <c r="J928" s="9" t="str">
        <f aca="false">IF(H928=0,"—",IF(H928=1,"ὁμώνυμον",IF(H928=2,"διὰ πασῶν",IF(H928=3,"διὰ πέντε",IF(H928=4,"διὰ τεσσάρων","?")))))</f>
        <v>ὁμώνυμον</v>
      </c>
      <c r="K928" s="10"/>
      <c r="L928" s="14"/>
      <c r="M928" s="13"/>
    </row>
    <row r="929" customFormat="false" ht="15.75" hidden="false" customHeight="true" outlineLevel="0" collapsed="false">
      <c r="A929" s="8" t="n">
        <f aca="false">A928+1</f>
        <v>927</v>
      </c>
      <c r="B929" s="9" t="n">
        <f aca="false">MOD(4*A929^2,10)</f>
        <v>6</v>
      </c>
      <c r="C929" s="9" t="n">
        <f aca="false">(26*B929-5*B929^2)/24</f>
        <v>-1</v>
      </c>
      <c r="D929" s="9" t="n">
        <f aca="false">(A929^2+4*C929)/5</f>
        <v>171865</v>
      </c>
      <c r="E929" s="9" t="n">
        <f aca="false">MOD(D929,10)</f>
        <v>5</v>
      </c>
      <c r="F929" s="9" t="n">
        <f aca="false">2*D929</f>
        <v>343730</v>
      </c>
      <c r="G929" s="9" t="n">
        <f aca="false">MOD(F929,10)</f>
        <v>0</v>
      </c>
      <c r="H929" s="9" t="n">
        <f aca="false">G929/2</f>
        <v>0</v>
      </c>
      <c r="I929" s="9" t="str">
        <f aca="false">IF(H929=0,"—",IF(H929=1,"unison (1:1)",IF(H929=2,"octave (2:1)",IF(H929=3,"fifth (3:2)",IF(H929=4,"fourth (4:3)","?")))))</f>
        <v>—</v>
      </c>
      <c r="J929" s="9" t="str">
        <f aca="false">IF(H929=0,"—",IF(H929=1,"ὁμώνυμον",IF(H929=2,"διὰ πασῶν",IF(H929=3,"διὰ πέντε",IF(H929=4,"διὰ τεσσάρων","?")))))</f>
        <v>—</v>
      </c>
      <c r="K929" s="10"/>
      <c r="L929" s="14"/>
      <c r="M929" s="13"/>
    </row>
    <row r="930" customFormat="false" ht="15.75" hidden="false" customHeight="true" outlineLevel="0" collapsed="false">
      <c r="A930" s="8" t="n">
        <f aca="false">A929+1</f>
        <v>928</v>
      </c>
      <c r="B930" s="9" t="n">
        <f aca="false">MOD(4*A930^2,10)</f>
        <v>6</v>
      </c>
      <c r="C930" s="9" t="n">
        <f aca="false">(26*B930-5*B930^2)/24</f>
        <v>-1</v>
      </c>
      <c r="D930" s="9" t="n">
        <f aca="false">(A930^2+4*C930)/5</f>
        <v>172236</v>
      </c>
      <c r="E930" s="9" t="n">
        <f aca="false">MOD(D930,10)</f>
        <v>6</v>
      </c>
      <c r="F930" s="9" t="n">
        <f aca="false">2*D930</f>
        <v>344472</v>
      </c>
      <c r="G930" s="9" t="n">
        <f aca="false">MOD(F930,10)</f>
        <v>2</v>
      </c>
      <c r="H930" s="9" t="n">
        <f aca="false">G930/2</f>
        <v>1</v>
      </c>
      <c r="I930" s="9" t="str">
        <f aca="false">IF(H930=0,"—",IF(H930=1,"unison (1:1)",IF(H930=2,"octave (2:1)",IF(H930=3,"fifth (3:2)",IF(H930=4,"fourth (4:3)","?")))))</f>
        <v>unison (1:1)</v>
      </c>
      <c r="J930" s="9" t="str">
        <f aca="false">IF(H930=0,"—",IF(H930=1,"ὁμώνυμον",IF(H930=2,"διὰ πασῶν",IF(H930=3,"διὰ πέντε",IF(H930=4,"διὰ τεσσάρων","?")))))</f>
        <v>ὁμώνυμον</v>
      </c>
      <c r="K930" s="10"/>
      <c r="L930" s="14"/>
      <c r="M930" s="13"/>
    </row>
    <row r="931" customFormat="false" ht="15.75" hidden="false" customHeight="true" outlineLevel="0" collapsed="false">
      <c r="A931" s="8" t="n">
        <f aca="false">A930+1</f>
        <v>929</v>
      </c>
      <c r="B931" s="9" t="n">
        <f aca="false">MOD(4*A931^2,10)</f>
        <v>4</v>
      </c>
      <c r="C931" s="9" t="n">
        <f aca="false">(26*B931-5*B931^2)/24</f>
        <v>1</v>
      </c>
      <c r="D931" s="9" t="n">
        <f aca="false">(A931^2+4*C931)/5</f>
        <v>172609</v>
      </c>
      <c r="E931" s="9" t="n">
        <f aca="false">MOD(D931,10)</f>
        <v>9</v>
      </c>
      <c r="F931" s="9" t="n">
        <f aca="false">2*D931</f>
        <v>345218</v>
      </c>
      <c r="G931" s="9" t="n">
        <f aca="false">MOD(F931,10)</f>
        <v>8</v>
      </c>
      <c r="H931" s="9" t="n">
        <f aca="false">G931/2</f>
        <v>4</v>
      </c>
      <c r="I931" s="9" t="str">
        <f aca="false">IF(H931=0,"—",IF(H931=1,"unison (1:1)",IF(H931=2,"octave (2:1)",IF(H931=3,"fifth (3:2)",IF(H931=4,"fourth (4:3)","?")))))</f>
        <v>fourth (4:3)</v>
      </c>
      <c r="J931" s="9" t="str">
        <f aca="false">IF(H931=0,"—",IF(H931=1,"ὁμώνυμον",IF(H931=2,"διὰ πασῶν",IF(H931=3,"διὰ πέντε",IF(H931=4,"διὰ τεσσάρων","?")))))</f>
        <v>διὰ τεσσάρων</v>
      </c>
      <c r="K931" s="10"/>
      <c r="L931" s="14"/>
      <c r="M931" s="13"/>
    </row>
    <row r="932" customFormat="false" ht="15.75" hidden="false" customHeight="true" outlineLevel="0" collapsed="false">
      <c r="A932" s="8" t="n">
        <f aca="false">A931+1</f>
        <v>930</v>
      </c>
      <c r="B932" s="9" t="n">
        <f aca="false">MOD(4*A932^2,10)</f>
        <v>0</v>
      </c>
      <c r="C932" s="9" t="n">
        <f aca="false">(26*B932-5*B932^2)/24</f>
        <v>0</v>
      </c>
      <c r="D932" s="9" t="n">
        <f aca="false">(A932^2+4*C932)/5</f>
        <v>172980</v>
      </c>
      <c r="E932" s="9" t="n">
        <f aca="false">MOD(D932,10)</f>
        <v>0</v>
      </c>
      <c r="F932" s="9" t="n">
        <f aca="false">2*D932</f>
        <v>345960</v>
      </c>
      <c r="G932" s="9" t="n">
        <f aca="false">MOD(F932,10)</f>
        <v>0</v>
      </c>
      <c r="H932" s="9" t="n">
        <f aca="false">G932/2</f>
        <v>0</v>
      </c>
      <c r="I932" s="9" t="str">
        <f aca="false">IF(H932=0,"—",IF(H932=1,"unison (1:1)",IF(H932=2,"octave (2:1)",IF(H932=3,"fifth (3:2)",IF(H932=4,"fourth (4:3)","?")))))</f>
        <v>—</v>
      </c>
      <c r="J932" s="9" t="str">
        <f aca="false">IF(H932=0,"—",IF(H932=1,"ὁμώνυμον",IF(H932=2,"διὰ πασῶν",IF(H932=3,"διὰ πέντε",IF(H932=4,"διὰ τεσσάρων","?")))))</f>
        <v>—</v>
      </c>
      <c r="K932" s="10"/>
      <c r="L932" s="14"/>
      <c r="M932" s="13"/>
    </row>
    <row r="933" customFormat="false" ht="15.75" hidden="false" customHeight="true" outlineLevel="0" collapsed="false">
      <c r="A933" s="8" t="n">
        <f aca="false">A932+1</f>
        <v>931</v>
      </c>
      <c r="B933" s="9" t="n">
        <f aca="false">MOD(4*A933^2,10)</f>
        <v>4</v>
      </c>
      <c r="C933" s="9" t="n">
        <f aca="false">(26*B933-5*B933^2)/24</f>
        <v>1</v>
      </c>
      <c r="D933" s="9" t="n">
        <f aca="false">(A933^2+4*C933)/5</f>
        <v>173353</v>
      </c>
      <c r="E933" s="9" t="n">
        <f aca="false">MOD(D933,10)</f>
        <v>3</v>
      </c>
      <c r="F933" s="9" t="n">
        <f aca="false">2*D933</f>
        <v>346706</v>
      </c>
      <c r="G933" s="9" t="n">
        <f aca="false">MOD(F933,10)</f>
        <v>6</v>
      </c>
      <c r="H933" s="9" t="n">
        <f aca="false">G933/2</f>
        <v>3</v>
      </c>
      <c r="I933" s="9" t="str">
        <f aca="false">IF(H933=0,"—",IF(H933=1,"unison (1:1)",IF(H933=2,"octave (2:1)",IF(H933=3,"fifth (3:2)",IF(H933=4,"fourth (4:3)","?")))))</f>
        <v>fifth (3:2)</v>
      </c>
      <c r="J933" s="9" t="str">
        <f aca="false">IF(H933=0,"—",IF(H933=1,"ὁμώνυμον",IF(H933=2,"διὰ πασῶν",IF(H933=3,"διὰ πέντε",IF(H933=4,"διὰ τεσσάρων","?")))))</f>
        <v>διὰ πέντε</v>
      </c>
      <c r="K933" s="10"/>
      <c r="L933" s="14"/>
      <c r="M933" s="13"/>
    </row>
    <row r="934" customFormat="false" ht="15.75" hidden="false" customHeight="true" outlineLevel="0" collapsed="false">
      <c r="A934" s="8" t="n">
        <f aca="false">A933+1</f>
        <v>932</v>
      </c>
      <c r="B934" s="9" t="n">
        <f aca="false">MOD(4*A934^2,10)</f>
        <v>6</v>
      </c>
      <c r="C934" s="9" t="n">
        <f aca="false">(26*B934-5*B934^2)/24</f>
        <v>-1</v>
      </c>
      <c r="D934" s="9" t="n">
        <f aca="false">(A934^2+4*C934)/5</f>
        <v>173724</v>
      </c>
      <c r="E934" s="9" t="n">
        <f aca="false">MOD(D934,10)</f>
        <v>4</v>
      </c>
      <c r="F934" s="9" t="n">
        <f aca="false">2*D934</f>
        <v>347448</v>
      </c>
      <c r="G934" s="9" t="n">
        <f aca="false">MOD(F934,10)</f>
        <v>8</v>
      </c>
      <c r="H934" s="9" t="n">
        <f aca="false">G934/2</f>
        <v>4</v>
      </c>
      <c r="I934" s="9" t="str">
        <f aca="false">IF(H934=0,"—",IF(H934=1,"unison (1:1)",IF(H934=2,"octave (2:1)",IF(H934=3,"fifth (3:2)",IF(H934=4,"fourth (4:3)","?")))))</f>
        <v>fourth (4:3)</v>
      </c>
      <c r="J934" s="9" t="str">
        <f aca="false">IF(H934=0,"—",IF(H934=1,"ὁμώνυμον",IF(H934=2,"διὰ πασῶν",IF(H934=3,"διὰ πέντε",IF(H934=4,"διὰ τεσσάρων","?")))))</f>
        <v>διὰ τεσσάρων</v>
      </c>
      <c r="K934" s="10"/>
      <c r="L934" s="14"/>
      <c r="M934" s="13"/>
    </row>
    <row r="935" customFormat="false" ht="15.75" hidden="false" customHeight="true" outlineLevel="0" collapsed="false">
      <c r="A935" s="8" t="n">
        <f aca="false">A934+1</f>
        <v>933</v>
      </c>
      <c r="B935" s="9" t="n">
        <f aca="false">MOD(4*A935^2,10)</f>
        <v>6</v>
      </c>
      <c r="C935" s="9" t="n">
        <f aca="false">(26*B935-5*B935^2)/24</f>
        <v>-1</v>
      </c>
      <c r="D935" s="9" t="n">
        <f aca="false">(A935^2+4*C935)/5</f>
        <v>174097</v>
      </c>
      <c r="E935" s="9" t="n">
        <f aca="false">MOD(D935,10)</f>
        <v>7</v>
      </c>
      <c r="F935" s="9" t="n">
        <f aca="false">2*D935</f>
        <v>348194</v>
      </c>
      <c r="G935" s="9" t="n">
        <f aca="false">MOD(F935,10)</f>
        <v>4</v>
      </c>
      <c r="H935" s="9" t="n">
        <f aca="false">G935/2</f>
        <v>2</v>
      </c>
      <c r="I935" s="9" t="str">
        <f aca="false">IF(H935=0,"—",IF(H935=1,"unison (1:1)",IF(H935=2,"octave (2:1)",IF(H935=3,"fifth (3:2)",IF(H935=4,"fourth (4:3)","?")))))</f>
        <v>octave (2:1)</v>
      </c>
      <c r="J935" s="9" t="str">
        <f aca="false">IF(H935=0,"—",IF(H935=1,"ὁμώνυμον",IF(H935=2,"διὰ πασῶν",IF(H935=3,"διὰ πέντε",IF(H935=4,"διὰ τεσσάρων","?")))))</f>
        <v>διὰ πασῶν</v>
      </c>
      <c r="K935" s="10"/>
      <c r="L935" s="14"/>
      <c r="M935" s="13"/>
    </row>
    <row r="936" customFormat="false" ht="15.75" hidden="false" customHeight="true" outlineLevel="0" collapsed="false">
      <c r="A936" s="8" t="n">
        <f aca="false">A935+1</f>
        <v>934</v>
      </c>
      <c r="B936" s="9" t="n">
        <f aca="false">MOD(4*A936^2,10)</f>
        <v>4</v>
      </c>
      <c r="C936" s="9" t="n">
        <f aca="false">(26*B936-5*B936^2)/24</f>
        <v>1</v>
      </c>
      <c r="D936" s="9" t="n">
        <f aca="false">(A936^2+4*C936)/5</f>
        <v>174472</v>
      </c>
      <c r="E936" s="9" t="n">
        <f aca="false">MOD(D936,10)</f>
        <v>2</v>
      </c>
      <c r="F936" s="9" t="n">
        <f aca="false">2*D936</f>
        <v>348944</v>
      </c>
      <c r="G936" s="9" t="n">
        <f aca="false">MOD(F936,10)</f>
        <v>4</v>
      </c>
      <c r="H936" s="9" t="n">
        <f aca="false">G936/2</f>
        <v>2</v>
      </c>
      <c r="I936" s="9" t="str">
        <f aca="false">IF(H936=0,"—",IF(H936=1,"unison (1:1)",IF(H936=2,"octave (2:1)",IF(H936=3,"fifth (3:2)",IF(H936=4,"fourth (4:3)","?")))))</f>
        <v>octave (2:1)</v>
      </c>
      <c r="J936" s="9" t="str">
        <f aca="false">IF(H936=0,"—",IF(H936=1,"ὁμώνυμον",IF(H936=2,"διὰ πασῶν",IF(H936=3,"διὰ πέντε",IF(H936=4,"διὰ τεσσάρων","?")))))</f>
        <v>διὰ πασῶν</v>
      </c>
      <c r="K936" s="10"/>
      <c r="L936" s="14"/>
      <c r="M936" s="13"/>
    </row>
    <row r="937" customFormat="false" ht="15.75" hidden="false" customHeight="true" outlineLevel="0" collapsed="false">
      <c r="A937" s="8" t="n">
        <f aca="false">A936+1</f>
        <v>935</v>
      </c>
      <c r="B937" s="9" t="n">
        <f aca="false">MOD(4*A937^2,10)</f>
        <v>0</v>
      </c>
      <c r="C937" s="9" t="n">
        <f aca="false">(26*B937-5*B937^2)/24</f>
        <v>0</v>
      </c>
      <c r="D937" s="9" t="n">
        <f aca="false">(A937^2+4*C937)/5</f>
        <v>174845</v>
      </c>
      <c r="E937" s="9" t="n">
        <f aca="false">MOD(D937,10)</f>
        <v>5</v>
      </c>
      <c r="F937" s="9" t="n">
        <f aca="false">2*D937</f>
        <v>349690</v>
      </c>
      <c r="G937" s="9" t="n">
        <f aca="false">MOD(F937,10)</f>
        <v>0</v>
      </c>
      <c r="H937" s="9" t="n">
        <f aca="false">G937/2</f>
        <v>0</v>
      </c>
      <c r="I937" s="9" t="str">
        <f aca="false">IF(H937=0,"—",IF(H937=1,"unison (1:1)",IF(H937=2,"octave (2:1)",IF(H937=3,"fifth (3:2)",IF(H937=4,"fourth (4:3)","?")))))</f>
        <v>—</v>
      </c>
      <c r="J937" s="9" t="str">
        <f aca="false">IF(H937=0,"—",IF(H937=1,"ὁμώνυμον",IF(H937=2,"διὰ πασῶν",IF(H937=3,"διὰ πέντε",IF(H937=4,"διὰ τεσσάρων","?")))))</f>
        <v>—</v>
      </c>
      <c r="K937" s="10"/>
      <c r="L937" s="14"/>
      <c r="M937" s="13"/>
    </row>
    <row r="938" customFormat="false" ht="15.75" hidden="false" customHeight="true" outlineLevel="0" collapsed="false">
      <c r="A938" s="8" t="n">
        <f aca="false">A937+1</f>
        <v>936</v>
      </c>
      <c r="B938" s="9" t="n">
        <f aca="false">MOD(4*A938^2,10)</f>
        <v>4</v>
      </c>
      <c r="C938" s="9" t="n">
        <f aca="false">(26*B938-5*B938^2)/24</f>
        <v>1</v>
      </c>
      <c r="D938" s="9" t="n">
        <f aca="false">(A938^2+4*C938)/5</f>
        <v>175220</v>
      </c>
      <c r="E938" s="9" t="n">
        <f aca="false">MOD(D938,10)</f>
        <v>0</v>
      </c>
      <c r="F938" s="9" t="n">
        <f aca="false">2*D938</f>
        <v>350440</v>
      </c>
      <c r="G938" s="9" t="n">
        <f aca="false">MOD(F938,10)</f>
        <v>0</v>
      </c>
      <c r="H938" s="9" t="n">
        <f aca="false">G938/2</f>
        <v>0</v>
      </c>
      <c r="I938" s="9" t="str">
        <f aca="false">IF(H938=0,"—",IF(H938=1,"unison (1:1)",IF(H938=2,"octave (2:1)",IF(H938=3,"fifth (3:2)",IF(H938=4,"fourth (4:3)","?")))))</f>
        <v>—</v>
      </c>
      <c r="J938" s="9" t="str">
        <f aca="false">IF(H938=0,"—",IF(H938=1,"ὁμώνυμον",IF(H938=2,"διὰ πασῶν",IF(H938=3,"διὰ πέντε",IF(H938=4,"διὰ τεσσάρων","?")))))</f>
        <v>—</v>
      </c>
      <c r="K938" s="10"/>
      <c r="L938" s="14"/>
      <c r="M938" s="13"/>
    </row>
    <row r="939" customFormat="false" ht="15.75" hidden="false" customHeight="true" outlineLevel="0" collapsed="false">
      <c r="A939" s="8" t="n">
        <f aca="false">A938+1</f>
        <v>937</v>
      </c>
      <c r="B939" s="9" t="n">
        <f aca="false">MOD(4*A939^2,10)</f>
        <v>6</v>
      </c>
      <c r="C939" s="9" t="n">
        <f aca="false">(26*B939-5*B939^2)/24</f>
        <v>-1</v>
      </c>
      <c r="D939" s="9" t="n">
        <f aca="false">(A939^2+4*C939)/5</f>
        <v>175593</v>
      </c>
      <c r="E939" s="9" t="n">
        <f aca="false">MOD(D939,10)</f>
        <v>3</v>
      </c>
      <c r="F939" s="9" t="n">
        <f aca="false">2*D939</f>
        <v>351186</v>
      </c>
      <c r="G939" s="9" t="n">
        <f aca="false">MOD(F939,10)</f>
        <v>6</v>
      </c>
      <c r="H939" s="9" t="n">
        <f aca="false">G939/2</f>
        <v>3</v>
      </c>
      <c r="I939" s="9" t="str">
        <f aca="false">IF(H939=0,"—",IF(H939=1,"unison (1:1)",IF(H939=2,"octave (2:1)",IF(H939=3,"fifth (3:2)",IF(H939=4,"fourth (4:3)","?")))))</f>
        <v>fifth (3:2)</v>
      </c>
      <c r="J939" s="9" t="str">
        <f aca="false">IF(H939=0,"—",IF(H939=1,"ὁμώνυμον",IF(H939=2,"διὰ πασῶν",IF(H939=3,"διὰ πέντε",IF(H939=4,"διὰ τεσσάρων","?")))))</f>
        <v>διὰ πέντε</v>
      </c>
      <c r="K939" s="10"/>
      <c r="L939" s="14"/>
      <c r="M939" s="13"/>
    </row>
    <row r="940" customFormat="false" ht="15.75" hidden="false" customHeight="true" outlineLevel="0" collapsed="false">
      <c r="A940" s="8" t="n">
        <f aca="false">A939+1</f>
        <v>938</v>
      </c>
      <c r="B940" s="9" t="n">
        <f aca="false">MOD(4*A940^2,10)</f>
        <v>6</v>
      </c>
      <c r="C940" s="9" t="n">
        <f aca="false">(26*B940-5*B940^2)/24</f>
        <v>-1</v>
      </c>
      <c r="D940" s="9" t="n">
        <f aca="false">(A940^2+4*C940)/5</f>
        <v>175968</v>
      </c>
      <c r="E940" s="9" t="n">
        <f aca="false">MOD(D940,10)</f>
        <v>8</v>
      </c>
      <c r="F940" s="9" t="n">
        <f aca="false">2*D940</f>
        <v>351936</v>
      </c>
      <c r="G940" s="9" t="n">
        <f aca="false">MOD(F940,10)</f>
        <v>6</v>
      </c>
      <c r="H940" s="9" t="n">
        <f aca="false">G940/2</f>
        <v>3</v>
      </c>
      <c r="I940" s="9" t="str">
        <f aca="false">IF(H940=0,"—",IF(H940=1,"unison (1:1)",IF(H940=2,"octave (2:1)",IF(H940=3,"fifth (3:2)",IF(H940=4,"fourth (4:3)","?")))))</f>
        <v>fifth (3:2)</v>
      </c>
      <c r="J940" s="9" t="str">
        <f aca="false">IF(H940=0,"—",IF(H940=1,"ὁμώνυμον",IF(H940=2,"διὰ πασῶν",IF(H940=3,"διὰ πέντε",IF(H940=4,"διὰ τεσσάρων","?")))))</f>
        <v>διὰ πέντε</v>
      </c>
      <c r="K940" s="10"/>
      <c r="L940" s="14"/>
      <c r="M940" s="13"/>
    </row>
    <row r="941" customFormat="false" ht="15.75" hidden="false" customHeight="true" outlineLevel="0" collapsed="false">
      <c r="A941" s="8" t="n">
        <f aca="false">A940+1</f>
        <v>939</v>
      </c>
      <c r="B941" s="9" t="n">
        <f aca="false">MOD(4*A941^2,10)</f>
        <v>4</v>
      </c>
      <c r="C941" s="9" t="n">
        <f aca="false">(26*B941-5*B941^2)/24</f>
        <v>1</v>
      </c>
      <c r="D941" s="9" t="n">
        <f aca="false">(A941^2+4*C941)/5</f>
        <v>176345</v>
      </c>
      <c r="E941" s="9" t="n">
        <f aca="false">MOD(D941,10)</f>
        <v>5</v>
      </c>
      <c r="F941" s="9" t="n">
        <f aca="false">2*D941</f>
        <v>352690</v>
      </c>
      <c r="G941" s="9" t="n">
        <f aca="false">MOD(F941,10)</f>
        <v>0</v>
      </c>
      <c r="H941" s="9" t="n">
        <f aca="false">G941/2</f>
        <v>0</v>
      </c>
      <c r="I941" s="9" t="str">
        <f aca="false">IF(H941=0,"—",IF(H941=1,"unison (1:1)",IF(H941=2,"octave (2:1)",IF(H941=3,"fifth (3:2)",IF(H941=4,"fourth (4:3)","?")))))</f>
        <v>—</v>
      </c>
      <c r="J941" s="9" t="str">
        <f aca="false">IF(H941=0,"—",IF(H941=1,"ὁμώνυμον",IF(H941=2,"διὰ πασῶν",IF(H941=3,"διὰ πέντε",IF(H941=4,"διὰ τεσσάρων","?")))))</f>
        <v>—</v>
      </c>
      <c r="K941" s="10"/>
      <c r="L941" s="14"/>
      <c r="M941" s="13"/>
    </row>
    <row r="942" customFormat="false" ht="15.75" hidden="false" customHeight="true" outlineLevel="0" collapsed="false">
      <c r="A942" s="8" t="n">
        <f aca="false">A941+1</f>
        <v>940</v>
      </c>
      <c r="B942" s="9" t="n">
        <f aca="false">MOD(4*A942^2,10)</f>
        <v>0</v>
      </c>
      <c r="C942" s="9" t="n">
        <f aca="false">(26*B942-5*B942^2)/24</f>
        <v>0</v>
      </c>
      <c r="D942" s="9" t="n">
        <f aca="false">(A942^2+4*C942)/5</f>
        <v>176720</v>
      </c>
      <c r="E942" s="9" t="n">
        <f aca="false">MOD(D942,10)</f>
        <v>0</v>
      </c>
      <c r="F942" s="9" t="n">
        <f aca="false">2*D942</f>
        <v>353440</v>
      </c>
      <c r="G942" s="9" t="n">
        <f aca="false">MOD(F942,10)</f>
        <v>0</v>
      </c>
      <c r="H942" s="9" t="n">
        <f aca="false">G942/2</f>
        <v>0</v>
      </c>
      <c r="I942" s="9" t="str">
        <f aca="false">IF(H942=0,"—",IF(H942=1,"unison (1:1)",IF(H942=2,"octave (2:1)",IF(H942=3,"fifth (3:2)",IF(H942=4,"fourth (4:3)","?")))))</f>
        <v>—</v>
      </c>
      <c r="J942" s="9" t="str">
        <f aca="false">IF(H942=0,"—",IF(H942=1,"ὁμώνυμον",IF(H942=2,"διὰ πασῶν",IF(H942=3,"διὰ πέντε",IF(H942=4,"διὰ τεσσάρων","?")))))</f>
        <v>—</v>
      </c>
      <c r="K942" s="10"/>
      <c r="L942" s="14"/>
      <c r="M942" s="13"/>
    </row>
    <row r="943" customFormat="false" ht="15.75" hidden="false" customHeight="true" outlineLevel="0" collapsed="false">
      <c r="A943" s="8" t="n">
        <f aca="false">A942+1</f>
        <v>941</v>
      </c>
      <c r="B943" s="9" t="n">
        <f aca="false">MOD(4*A943^2,10)</f>
        <v>4</v>
      </c>
      <c r="C943" s="9" t="n">
        <f aca="false">(26*B943-5*B943^2)/24</f>
        <v>1</v>
      </c>
      <c r="D943" s="9" t="n">
        <f aca="false">(A943^2+4*C943)/5</f>
        <v>177097</v>
      </c>
      <c r="E943" s="9" t="n">
        <f aca="false">MOD(D943,10)</f>
        <v>7</v>
      </c>
      <c r="F943" s="9" t="n">
        <f aca="false">2*D943</f>
        <v>354194</v>
      </c>
      <c r="G943" s="9" t="n">
        <f aca="false">MOD(F943,10)</f>
        <v>4</v>
      </c>
      <c r="H943" s="9" t="n">
        <f aca="false">G943/2</f>
        <v>2</v>
      </c>
      <c r="I943" s="9" t="str">
        <f aca="false">IF(H943=0,"—",IF(H943=1,"unison (1:1)",IF(H943=2,"octave (2:1)",IF(H943=3,"fifth (3:2)",IF(H943=4,"fourth (4:3)","?")))))</f>
        <v>octave (2:1)</v>
      </c>
      <c r="J943" s="9" t="str">
        <f aca="false">IF(H943=0,"—",IF(H943=1,"ὁμώνυμον",IF(H943=2,"διὰ πασῶν",IF(H943=3,"διὰ πέντε",IF(H943=4,"διὰ τεσσάρων","?")))))</f>
        <v>διὰ πασῶν</v>
      </c>
      <c r="K943" s="10"/>
      <c r="L943" s="14"/>
      <c r="M943" s="13"/>
    </row>
    <row r="944" customFormat="false" ht="15.75" hidden="false" customHeight="true" outlineLevel="0" collapsed="false">
      <c r="A944" s="8" t="n">
        <f aca="false">A943+1</f>
        <v>942</v>
      </c>
      <c r="B944" s="9" t="n">
        <f aca="false">MOD(4*A944^2,10)</f>
        <v>6</v>
      </c>
      <c r="C944" s="9" t="n">
        <f aca="false">(26*B944-5*B944^2)/24</f>
        <v>-1</v>
      </c>
      <c r="D944" s="9" t="n">
        <f aca="false">(A944^2+4*C944)/5</f>
        <v>177472</v>
      </c>
      <c r="E944" s="9" t="n">
        <f aca="false">MOD(D944,10)</f>
        <v>2</v>
      </c>
      <c r="F944" s="9" t="n">
        <f aca="false">2*D944</f>
        <v>354944</v>
      </c>
      <c r="G944" s="9" t="n">
        <f aca="false">MOD(F944,10)</f>
        <v>4</v>
      </c>
      <c r="H944" s="9" t="n">
        <f aca="false">G944/2</f>
        <v>2</v>
      </c>
      <c r="I944" s="9" t="str">
        <f aca="false">IF(H944=0,"—",IF(H944=1,"unison (1:1)",IF(H944=2,"octave (2:1)",IF(H944=3,"fifth (3:2)",IF(H944=4,"fourth (4:3)","?")))))</f>
        <v>octave (2:1)</v>
      </c>
      <c r="J944" s="9" t="str">
        <f aca="false">IF(H944=0,"—",IF(H944=1,"ὁμώνυμον",IF(H944=2,"διὰ πασῶν",IF(H944=3,"διὰ πέντε",IF(H944=4,"διὰ τεσσάρων","?")))))</f>
        <v>διὰ πασῶν</v>
      </c>
      <c r="K944" s="10"/>
      <c r="L944" s="14"/>
      <c r="M944" s="13"/>
    </row>
    <row r="945" customFormat="false" ht="15.75" hidden="false" customHeight="true" outlineLevel="0" collapsed="false">
      <c r="A945" s="8" t="n">
        <f aca="false">A944+1</f>
        <v>943</v>
      </c>
      <c r="B945" s="9" t="n">
        <f aca="false">MOD(4*A945^2,10)</f>
        <v>6</v>
      </c>
      <c r="C945" s="9" t="n">
        <f aca="false">(26*B945-5*B945^2)/24</f>
        <v>-1</v>
      </c>
      <c r="D945" s="9" t="n">
        <f aca="false">(A945^2+4*C945)/5</f>
        <v>177849</v>
      </c>
      <c r="E945" s="9" t="n">
        <f aca="false">MOD(D945,10)</f>
        <v>9</v>
      </c>
      <c r="F945" s="9" t="n">
        <f aca="false">2*D945</f>
        <v>355698</v>
      </c>
      <c r="G945" s="9" t="n">
        <f aca="false">MOD(F945,10)</f>
        <v>8</v>
      </c>
      <c r="H945" s="9" t="n">
        <f aca="false">G945/2</f>
        <v>4</v>
      </c>
      <c r="I945" s="9" t="str">
        <f aca="false">IF(H945=0,"—",IF(H945=1,"unison (1:1)",IF(H945=2,"octave (2:1)",IF(H945=3,"fifth (3:2)",IF(H945=4,"fourth (4:3)","?")))))</f>
        <v>fourth (4:3)</v>
      </c>
      <c r="J945" s="9" t="str">
        <f aca="false">IF(H945=0,"—",IF(H945=1,"ὁμώνυμον",IF(H945=2,"διὰ πασῶν",IF(H945=3,"διὰ πέντε",IF(H945=4,"διὰ τεσσάρων","?")))))</f>
        <v>διὰ τεσσάρων</v>
      </c>
      <c r="K945" s="10"/>
      <c r="L945" s="14"/>
      <c r="M945" s="13"/>
    </row>
    <row r="946" customFormat="false" ht="15.75" hidden="false" customHeight="true" outlineLevel="0" collapsed="false">
      <c r="A946" s="8" t="n">
        <f aca="false">A945+1</f>
        <v>944</v>
      </c>
      <c r="B946" s="9" t="n">
        <f aca="false">MOD(4*A946^2,10)</f>
        <v>4</v>
      </c>
      <c r="C946" s="9" t="n">
        <f aca="false">(26*B946-5*B946^2)/24</f>
        <v>1</v>
      </c>
      <c r="D946" s="9" t="n">
        <f aca="false">(A946^2+4*C946)/5</f>
        <v>178228</v>
      </c>
      <c r="E946" s="9" t="n">
        <f aca="false">MOD(D946,10)</f>
        <v>8</v>
      </c>
      <c r="F946" s="9" t="n">
        <f aca="false">2*D946</f>
        <v>356456</v>
      </c>
      <c r="G946" s="9" t="n">
        <f aca="false">MOD(F946,10)</f>
        <v>6</v>
      </c>
      <c r="H946" s="9" t="n">
        <f aca="false">G946/2</f>
        <v>3</v>
      </c>
      <c r="I946" s="9" t="str">
        <f aca="false">IF(H946=0,"—",IF(H946=1,"unison (1:1)",IF(H946=2,"octave (2:1)",IF(H946=3,"fifth (3:2)",IF(H946=4,"fourth (4:3)","?")))))</f>
        <v>fifth (3:2)</v>
      </c>
      <c r="J946" s="9" t="str">
        <f aca="false">IF(H946=0,"—",IF(H946=1,"ὁμώνυμον",IF(H946=2,"διὰ πασῶν",IF(H946=3,"διὰ πέντε",IF(H946=4,"διὰ τεσσάρων","?")))))</f>
        <v>διὰ πέντε</v>
      </c>
      <c r="K946" s="10"/>
      <c r="L946" s="14"/>
      <c r="M946" s="13"/>
    </row>
    <row r="947" customFormat="false" ht="15.75" hidden="false" customHeight="true" outlineLevel="0" collapsed="false">
      <c r="A947" s="8" t="n">
        <f aca="false">A946+1</f>
        <v>945</v>
      </c>
      <c r="B947" s="9" t="n">
        <f aca="false">MOD(4*A947^2,10)</f>
        <v>0</v>
      </c>
      <c r="C947" s="9" t="n">
        <f aca="false">(26*B947-5*B947^2)/24</f>
        <v>0</v>
      </c>
      <c r="D947" s="9" t="n">
        <f aca="false">(A947^2+4*C947)/5</f>
        <v>178605</v>
      </c>
      <c r="E947" s="9" t="n">
        <f aca="false">MOD(D947,10)</f>
        <v>5</v>
      </c>
      <c r="F947" s="9" t="n">
        <f aca="false">2*D947</f>
        <v>357210</v>
      </c>
      <c r="G947" s="9" t="n">
        <f aca="false">MOD(F947,10)</f>
        <v>0</v>
      </c>
      <c r="H947" s="9" t="n">
        <f aca="false">G947/2</f>
        <v>0</v>
      </c>
      <c r="I947" s="9" t="str">
        <f aca="false">IF(H947=0,"—",IF(H947=1,"unison (1:1)",IF(H947=2,"octave (2:1)",IF(H947=3,"fifth (3:2)",IF(H947=4,"fourth (4:3)","?")))))</f>
        <v>—</v>
      </c>
      <c r="J947" s="9" t="str">
        <f aca="false">IF(H947=0,"—",IF(H947=1,"ὁμώνυμον",IF(H947=2,"διὰ πασῶν",IF(H947=3,"διὰ πέντε",IF(H947=4,"διὰ τεσσάρων","?")))))</f>
        <v>—</v>
      </c>
      <c r="K947" s="10"/>
      <c r="L947" s="14"/>
      <c r="M947" s="13"/>
    </row>
    <row r="948" customFormat="false" ht="15.75" hidden="false" customHeight="true" outlineLevel="0" collapsed="false">
      <c r="A948" s="8" t="n">
        <f aca="false">A947+1</f>
        <v>946</v>
      </c>
      <c r="B948" s="9" t="n">
        <f aca="false">MOD(4*A948^2,10)</f>
        <v>4</v>
      </c>
      <c r="C948" s="9" t="n">
        <f aca="false">(26*B948-5*B948^2)/24</f>
        <v>1</v>
      </c>
      <c r="D948" s="9" t="n">
        <f aca="false">(A948^2+4*C948)/5</f>
        <v>178984</v>
      </c>
      <c r="E948" s="9" t="n">
        <f aca="false">MOD(D948,10)</f>
        <v>4</v>
      </c>
      <c r="F948" s="9" t="n">
        <f aca="false">2*D948</f>
        <v>357968</v>
      </c>
      <c r="G948" s="9" t="n">
        <f aca="false">MOD(F948,10)</f>
        <v>8</v>
      </c>
      <c r="H948" s="9" t="n">
        <f aca="false">G948/2</f>
        <v>4</v>
      </c>
      <c r="I948" s="9" t="str">
        <f aca="false">IF(H948=0,"—",IF(H948=1,"unison (1:1)",IF(H948=2,"octave (2:1)",IF(H948=3,"fifth (3:2)",IF(H948=4,"fourth (4:3)","?")))))</f>
        <v>fourth (4:3)</v>
      </c>
      <c r="J948" s="9" t="str">
        <f aca="false">IF(H948=0,"—",IF(H948=1,"ὁμώνυμον",IF(H948=2,"διὰ πασῶν",IF(H948=3,"διὰ πέντε",IF(H948=4,"διὰ τεσσάρων","?")))))</f>
        <v>διὰ τεσσάρων</v>
      </c>
      <c r="K948" s="10"/>
      <c r="L948" s="14"/>
      <c r="M948" s="13"/>
    </row>
    <row r="949" customFormat="false" ht="15.75" hidden="false" customHeight="true" outlineLevel="0" collapsed="false">
      <c r="A949" s="8" t="n">
        <f aca="false">A948+1</f>
        <v>947</v>
      </c>
      <c r="B949" s="9" t="n">
        <f aca="false">MOD(4*A949^2,10)</f>
        <v>6</v>
      </c>
      <c r="C949" s="9" t="n">
        <f aca="false">(26*B949-5*B949^2)/24</f>
        <v>-1</v>
      </c>
      <c r="D949" s="9" t="n">
        <f aca="false">(A949^2+4*C949)/5</f>
        <v>179361</v>
      </c>
      <c r="E949" s="9" t="n">
        <f aca="false">MOD(D949,10)</f>
        <v>1</v>
      </c>
      <c r="F949" s="9" t="n">
        <f aca="false">2*D949</f>
        <v>358722</v>
      </c>
      <c r="G949" s="9" t="n">
        <f aca="false">MOD(F949,10)</f>
        <v>2</v>
      </c>
      <c r="H949" s="9" t="n">
        <f aca="false">G949/2</f>
        <v>1</v>
      </c>
      <c r="I949" s="9" t="str">
        <f aca="false">IF(H949=0,"—",IF(H949=1,"unison (1:1)",IF(H949=2,"octave (2:1)",IF(H949=3,"fifth (3:2)",IF(H949=4,"fourth (4:3)","?")))))</f>
        <v>unison (1:1)</v>
      </c>
      <c r="J949" s="9" t="str">
        <f aca="false">IF(H949=0,"—",IF(H949=1,"ὁμώνυμον",IF(H949=2,"διὰ πασῶν",IF(H949=3,"διὰ πέντε",IF(H949=4,"διὰ τεσσάρων","?")))))</f>
        <v>ὁμώνυμον</v>
      </c>
      <c r="K949" s="10"/>
      <c r="L949" s="14"/>
      <c r="M949" s="13"/>
    </row>
    <row r="950" customFormat="false" ht="15.75" hidden="false" customHeight="true" outlineLevel="0" collapsed="false">
      <c r="A950" s="8" t="n">
        <f aca="false">A949+1</f>
        <v>948</v>
      </c>
      <c r="B950" s="9" t="n">
        <f aca="false">MOD(4*A950^2,10)</f>
        <v>6</v>
      </c>
      <c r="C950" s="9" t="n">
        <f aca="false">(26*B950-5*B950^2)/24</f>
        <v>-1</v>
      </c>
      <c r="D950" s="9" t="n">
        <f aca="false">(A950^2+4*C950)/5</f>
        <v>179740</v>
      </c>
      <c r="E950" s="9" t="n">
        <f aca="false">MOD(D950,10)</f>
        <v>0</v>
      </c>
      <c r="F950" s="9" t="n">
        <f aca="false">2*D950</f>
        <v>359480</v>
      </c>
      <c r="G950" s="9" t="n">
        <f aca="false">MOD(F950,10)</f>
        <v>0</v>
      </c>
      <c r="H950" s="9" t="n">
        <f aca="false">G950/2</f>
        <v>0</v>
      </c>
      <c r="I950" s="9" t="str">
        <f aca="false">IF(H950=0,"—",IF(H950=1,"unison (1:1)",IF(H950=2,"octave (2:1)",IF(H950=3,"fifth (3:2)",IF(H950=4,"fourth (4:3)","?")))))</f>
        <v>—</v>
      </c>
      <c r="J950" s="9" t="str">
        <f aca="false">IF(H950=0,"—",IF(H950=1,"ὁμώνυμον",IF(H950=2,"διὰ πασῶν",IF(H950=3,"διὰ πέντε",IF(H950=4,"διὰ τεσσάρων","?")))))</f>
        <v>—</v>
      </c>
      <c r="K950" s="10"/>
      <c r="L950" s="14"/>
      <c r="M950" s="13"/>
    </row>
    <row r="951" customFormat="false" ht="15.75" hidden="false" customHeight="true" outlineLevel="0" collapsed="false">
      <c r="A951" s="8" t="n">
        <f aca="false">A950+1</f>
        <v>949</v>
      </c>
      <c r="B951" s="9" t="n">
        <f aca="false">MOD(4*A951^2,10)</f>
        <v>4</v>
      </c>
      <c r="C951" s="9" t="n">
        <f aca="false">(26*B951-5*B951^2)/24</f>
        <v>1</v>
      </c>
      <c r="D951" s="9" t="n">
        <f aca="false">(A951^2+4*C951)/5</f>
        <v>180121</v>
      </c>
      <c r="E951" s="9" t="n">
        <f aca="false">MOD(D951,10)</f>
        <v>1</v>
      </c>
      <c r="F951" s="9" t="n">
        <f aca="false">2*D951</f>
        <v>360242</v>
      </c>
      <c r="G951" s="9" t="n">
        <f aca="false">MOD(F951,10)</f>
        <v>2</v>
      </c>
      <c r="H951" s="9" t="n">
        <f aca="false">G951/2</f>
        <v>1</v>
      </c>
      <c r="I951" s="9" t="str">
        <f aca="false">IF(H951=0,"—",IF(H951=1,"unison (1:1)",IF(H951=2,"octave (2:1)",IF(H951=3,"fifth (3:2)",IF(H951=4,"fourth (4:3)","?")))))</f>
        <v>unison (1:1)</v>
      </c>
      <c r="J951" s="9" t="str">
        <f aca="false">IF(H951=0,"—",IF(H951=1,"ὁμώνυμον",IF(H951=2,"διὰ πασῶν",IF(H951=3,"διὰ πέντε",IF(H951=4,"διὰ τεσσάρων","?")))))</f>
        <v>ὁμώνυμον</v>
      </c>
      <c r="K951" s="10"/>
      <c r="L951" s="14"/>
      <c r="M951" s="13"/>
    </row>
    <row r="952" customFormat="false" ht="15.75" hidden="false" customHeight="true" outlineLevel="0" collapsed="false">
      <c r="A952" s="8" t="n">
        <f aca="false">A951+1</f>
        <v>950</v>
      </c>
      <c r="B952" s="9" t="n">
        <f aca="false">MOD(4*A952^2,10)</f>
        <v>0</v>
      </c>
      <c r="C952" s="9" t="n">
        <f aca="false">(26*B952-5*B952^2)/24</f>
        <v>0</v>
      </c>
      <c r="D952" s="9" t="n">
        <f aca="false">(A952^2+4*C952)/5</f>
        <v>180500</v>
      </c>
      <c r="E952" s="9" t="n">
        <f aca="false">MOD(D952,10)</f>
        <v>0</v>
      </c>
      <c r="F952" s="9" t="n">
        <f aca="false">2*D952</f>
        <v>361000</v>
      </c>
      <c r="G952" s="9" t="n">
        <f aca="false">MOD(F952,10)</f>
        <v>0</v>
      </c>
      <c r="H952" s="9" t="n">
        <f aca="false">G952/2</f>
        <v>0</v>
      </c>
      <c r="I952" s="9" t="str">
        <f aca="false">IF(H952=0,"—",IF(H952=1,"unison (1:1)",IF(H952=2,"octave (2:1)",IF(H952=3,"fifth (3:2)",IF(H952=4,"fourth (4:3)","?")))))</f>
        <v>—</v>
      </c>
      <c r="J952" s="9" t="str">
        <f aca="false">IF(H952=0,"—",IF(H952=1,"ὁμώνυμον",IF(H952=2,"διὰ πασῶν",IF(H952=3,"διὰ πέντε",IF(H952=4,"διὰ τεσσάρων","?")))))</f>
        <v>—</v>
      </c>
      <c r="K952" s="10"/>
      <c r="L952" s="14"/>
      <c r="M952" s="13"/>
    </row>
    <row r="953" customFormat="false" ht="15.75" hidden="false" customHeight="true" outlineLevel="0" collapsed="false">
      <c r="A953" s="8" t="n">
        <f aca="false">A952+1</f>
        <v>951</v>
      </c>
      <c r="B953" s="9" t="n">
        <f aca="false">MOD(4*A953^2,10)</f>
        <v>4</v>
      </c>
      <c r="C953" s="9" t="n">
        <f aca="false">(26*B953-5*B953^2)/24</f>
        <v>1</v>
      </c>
      <c r="D953" s="9" t="n">
        <f aca="false">(A953^2+4*C953)/5</f>
        <v>180881</v>
      </c>
      <c r="E953" s="9" t="n">
        <f aca="false">MOD(D953,10)</f>
        <v>1</v>
      </c>
      <c r="F953" s="9" t="n">
        <f aca="false">2*D953</f>
        <v>361762</v>
      </c>
      <c r="G953" s="9" t="n">
        <f aca="false">MOD(F953,10)</f>
        <v>2</v>
      </c>
      <c r="H953" s="9" t="n">
        <f aca="false">G953/2</f>
        <v>1</v>
      </c>
      <c r="I953" s="9" t="str">
        <f aca="false">IF(H953=0,"—",IF(H953=1,"unison (1:1)",IF(H953=2,"octave (2:1)",IF(H953=3,"fifth (3:2)",IF(H953=4,"fourth (4:3)","?")))))</f>
        <v>unison (1:1)</v>
      </c>
      <c r="J953" s="9" t="str">
        <f aca="false">IF(H953=0,"—",IF(H953=1,"ὁμώνυμον",IF(H953=2,"διὰ πασῶν",IF(H953=3,"διὰ πέντε",IF(H953=4,"διὰ τεσσάρων","?")))))</f>
        <v>ὁμώνυμον</v>
      </c>
      <c r="K953" s="10"/>
      <c r="L953" s="14"/>
      <c r="M953" s="13"/>
    </row>
    <row r="954" customFormat="false" ht="15.75" hidden="false" customHeight="true" outlineLevel="0" collapsed="false">
      <c r="A954" s="8" t="n">
        <f aca="false">A953+1</f>
        <v>952</v>
      </c>
      <c r="B954" s="9" t="n">
        <f aca="false">MOD(4*A954^2,10)</f>
        <v>6</v>
      </c>
      <c r="C954" s="9" t="n">
        <f aca="false">(26*B954-5*B954^2)/24</f>
        <v>-1</v>
      </c>
      <c r="D954" s="9" t="n">
        <f aca="false">(A954^2+4*C954)/5</f>
        <v>181260</v>
      </c>
      <c r="E954" s="9" t="n">
        <f aca="false">MOD(D954,10)</f>
        <v>0</v>
      </c>
      <c r="F954" s="9" t="n">
        <f aca="false">2*D954</f>
        <v>362520</v>
      </c>
      <c r="G954" s="9" t="n">
        <f aca="false">MOD(F954,10)</f>
        <v>0</v>
      </c>
      <c r="H954" s="9" t="n">
        <f aca="false">G954/2</f>
        <v>0</v>
      </c>
      <c r="I954" s="9" t="str">
        <f aca="false">IF(H954=0,"—",IF(H954=1,"unison (1:1)",IF(H954=2,"octave (2:1)",IF(H954=3,"fifth (3:2)",IF(H954=4,"fourth (4:3)","?")))))</f>
        <v>—</v>
      </c>
      <c r="J954" s="9" t="str">
        <f aca="false">IF(H954=0,"—",IF(H954=1,"ὁμώνυμον",IF(H954=2,"διὰ πασῶν",IF(H954=3,"διὰ πέντε",IF(H954=4,"διὰ τεσσάρων","?")))))</f>
        <v>—</v>
      </c>
      <c r="K954" s="10"/>
      <c r="L954" s="14"/>
      <c r="M954" s="13"/>
    </row>
    <row r="955" customFormat="false" ht="15.75" hidden="false" customHeight="true" outlineLevel="0" collapsed="false">
      <c r="A955" s="8" t="n">
        <f aca="false">A954+1</f>
        <v>953</v>
      </c>
      <c r="B955" s="9" t="n">
        <f aca="false">MOD(4*A955^2,10)</f>
        <v>6</v>
      </c>
      <c r="C955" s="9" t="n">
        <f aca="false">(26*B955-5*B955^2)/24</f>
        <v>-1</v>
      </c>
      <c r="D955" s="9" t="n">
        <f aca="false">(A955^2+4*C955)/5</f>
        <v>181641</v>
      </c>
      <c r="E955" s="9" t="n">
        <f aca="false">MOD(D955,10)</f>
        <v>1</v>
      </c>
      <c r="F955" s="9" t="n">
        <f aca="false">2*D955</f>
        <v>363282</v>
      </c>
      <c r="G955" s="9" t="n">
        <f aca="false">MOD(F955,10)</f>
        <v>2</v>
      </c>
      <c r="H955" s="9" t="n">
        <f aca="false">G955/2</f>
        <v>1</v>
      </c>
      <c r="I955" s="9" t="str">
        <f aca="false">IF(H955=0,"—",IF(H955=1,"unison (1:1)",IF(H955=2,"octave (2:1)",IF(H955=3,"fifth (3:2)",IF(H955=4,"fourth (4:3)","?")))))</f>
        <v>unison (1:1)</v>
      </c>
      <c r="J955" s="9" t="str">
        <f aca="false">IF(H955=0,"—",IF(H955=1,"ὁμώνυμον",IF(H955=2,"διὰ πασῶν",IF(H955=3,"διὰ πέντε",IF(H955=4,"διὰ τεσσάρων","?")))))</f>
        <v>ὁμώνυμον</v>
      </c>
      <c r="K955" s="10"/>
      <c r="L955" s="14"/>
      <c r="M955" s="13"/>
    </row>
    <row r="956" customFormat="false" ht="15.75" hidden="false" customHeight="true" outlineLevel="0" collapsed="false">
      <c r="A956" s="8" t="n">
        <f aca="false">A955+1</f>
        <v>954</v>
      </c>
      <c r="B956" s="9" t="n">
        <f aca="false">MOD(4*A956^2,10)</f>
        <v>4</v>
      </c>
      <c r="C956" s="9" t="n">
        <f aca="false">(26*B956-5*B956^2)/24</f>
        <v>1</v>
      </c>
      <c r="D956" s="9" t="n">
        <f aca="false">(A956^2+4*C956)/5</f>
        <v>182024</v>
      </c>
      <c r="E956" s="9" t="n">
        <f aca="false">MOD(D956,10)</f>
        <v>4</v>
      </c>
      <c r="F956" s="9" t="n">
        <f aca="false">2*D956</f>
        <v>364048</v>
      </c>
      <c r="G956" s="9" t="n">
        <f aca="false">MOD(F956,10)</f>
        <v>8</v>
      </c>
      <c r="H956" s="9" t="n">
        <f aca="false">G956/2</f>
        <v>4</v>
      </c>
      <c r="I956" s="9" t="str">
        <f aca="false">IF(H956=0,"—",IF(H956=1,"unison (1:1)",IF(H956=2,"octave (2:1)",IF(H956=3,"fifth (3:2)",IF(H956=4,"fourth (4:3)","?")))))</f>
        <v>fourth (4:3)</v>
      </c>
      <c r="J956" s="9" t="str">
        <f aca="false">IF(H956=0,"—",IF(H956=1,"ὁμώνυμον",IF(H956=2,"διὰ πασῶν",IF(H956=3,"διὰ πέντε",IF(H956=4,"διὰ τεσσάρων","?")))))</f>
        <v>διὰ τεσσάρων</v>
      </c>
      <c r="K956" s="10"/>
      <c r="L956" s="14"/>
      <c r="M956" s="13"/>
    </row>
    <row r="957" customFormat="false" ht="15.75" hidden="false" customHeight="true" outlineLevel="0" collapsed="false">
      <c r="A957" s="8" t="n">
        <f aca="false">A956+1</f>
        <v>955</v>
      </c>
      <c r="B957" s="9" t="n">
        <f aca="false">MOD(4*A957^2,10)</f>
        <v>0</v>
      </c>
      <c r="C957" s="9" t="n">
        <f aca="false">(26*B957-5*B957^2)/24</f>
        <v>0</v>
      </c>
      <c r="D957" s="9" t="n">
        <f aca="false">(A957^2+4*C957)/5</f>
        <v>182405</v>
      </c>
      <c r="E957" s="9" t="n">
        <f aca="false">MOD(D957,10)</f>
        <v>5</v>
      </c>
      <c r="F957" s="9" t="n">
        <f aca="false">2*D957</f>
        <v>364810</v>
      </c>
      <c r="G957" s="9" t="n">
        <f aca="false">MOD(F957,10)</f>
        <v>0</v>
      </c>
      <c r="H957" s="9" t="n">
        <f aca="false">G957/2</f>
        <v>0</v>
      </c>
      <c r="I957" s="9" t="str">
        <f aca="false">IF(H957=0,"—",IF(H957=1,"unison (1:1)",IF(H957=2,"octave (2:1)",IF(H957=3,"fifth (3:2)",IF(H957=4,"fourth (4:3)","?")))))</f>
        <v>—</v>
      </c>
      <c r="J957" s="9" t="str">
        <f aca="false">IF(H957=0,"—",IF(H957=1,"ὁμώνυμον",IF(H957=2,"διὰ πασῶν",IF(H957=3,"διὰ πέντε",IF(H957=4,"διὰ τεσσάρων","?")))))</f>
        <v>—</v>
      </c>
      <c r="K957" s="10"/>
      <c r="L957" s="14"/>
      <c r="M957" s="13"/>
    </row>
    <row r="958" customFormat="false" ht="15.75" hidden="false" customHeight="true" outlineLevel="0" collapsed="false">
      <c r="A958" s="8" t="n">
        <f aca="false">A957+1</f>
        <v>956</v>
      </c>
      <c r="B958" s="9" t="n">
        <f aca="false">MOD(4*A958^2,10)</f>
        <v>4</v>
      </c>
      <c r="C958" s="9" t="n">
        <f aca="false">(26*B958-5*B958^2)/24</f>
        <v>1</v>
      </c>
      <c r="D958" s="9" t="n">
        <f aca="false">(A958^2+4*C958)/5</f>
        <v>182788</v>
      </c>
      <c r="E958" s="9" t="n">
        <f aca="false">MOD(D958,10)</f>
        <v>8</v>
      </c>
      <c r="F958" s="9" t="n">
        <f aca="false">2*D958</f>
        <v>365576</v>
      </c>
      <c r="G958" s="9" t="n">
        <f aca="false">MOD(F958,10)</f>
        <v>6</v>
      </c>
      <c r="H958" s="9" t="n">
        <f aca="false">G958/2</f>
        <v>3</v>
      </c>
      <c r="I958" s="9" t="str">
        <f aca="false">IF(H958=0,"—",IF(H958=1,"unison (1:1)",IF(H958=2,"octave (2:1)",IF(H958=3,"fifth (3:2)",IF(H958=4,"fourth (4:3)","?")))))</f>
        <v>fifth (3:2)</v>
      </c>
      <c r="J958" s="9" t="str">
        <f aca="false">IF(H958=0,"—",IF(H958=1,"ὁμώνυμον",IF(H958=2,"διὰ πασῶν",IF(H958=3,"διὰ πέντε",IF(H958=4,"διὰ τεσσάρων","?")))))</f>
        <v>διὰ πέντε</v>
      </c>
      <c r="K958" s="10"/>
      <c r="L958" s="14"/>
      <c r="M958" s="13"/>
    </row>
    <row r="959" customFormat="false" ht="15.75" hidden="false" customHeight="true" outlineLevel="0" collapsed="false">
      <c r="A959" s="8" t="n">
        <f aca="false">A958+1</f>
        <v>957</v>
      </c>
      <c r="B959" s="9" t="n">
        <f aca="false">MOD(4*A959^2,10)</f>
        <v>6</v>
      </c>
      <c r="C959" s="9" t="n">
        <f aca="false">(26*B959-5*B959^2)/24</f>
        <v>-1</v>
      </c>
      <c r="D959" s="9" t="n">
        <f aca="false">(A959^2+4*C959)/5</f>
        <v>183169</v>
      </c>
      <c r="E959" s="9" t="n">
        <f aca="false">MOD(D959,10)</f>
        <v>9</v>
      </c>
      <c r="F959" s="9" t="n">
        <f aca="false">2*D959</f>
        <v>366338</v>
      </c>
      <c r="G959" s="9" t="n">
        <f aca="false">MOD(F959,10)</f>
        <v>8</v>
      </c>
      <c r="H959" s="9" t="n">
        <f aca="false">G959/2</f>
        <v>4</v>
      </c>
      <c r="I959" s="9" t="str">
        <f aca="false">IF(H959=0,"—",IF(H959=1,"unison (1:1)",IF(H959=2,"octave (2:1)",IF(H959=3,"fifth (3:2)",IF(H959=4,"fourth (4:3)","?")))))</f>
        <v>fourth (4:3)</v>
      </c>
      <c r="J959" s="9" t="str">
        <f aca="false">IF(H959=0,"—",IF(H959=1,"ὁμώνυμον",IF(H959=2,"διὰ πασῶν",IF(H959=3,"διὰ πέντε",IF(H959=4,"διὰ τεσσάρων","?")))))</f>
        <v>διὰ τεσσάρων</v>
      </c>
      <c r="K959" s="10"/>
      <c r="L959" s="14"/>
      <c r="M959" s="13"/>
    </row>
    <row r="960" customFormat="false" ht="15.75" hidden="false" customHeight="true" outlineLevel="0" collapsed="false">
      <c r="A960" s="8" t="n">
        <f aca="false">A959+1</f>
        <v>958</v>
      </c>
      <c r="B960" s="9" t="n">
        <f aca="false">MOD(4*A960^2,10)</f>
        <v>6</v>
      </c>
      <c r="C960" s="9" t="n">
        <f aca="false">(26*B960-5*B960^2)/24</f>
        <v>-1</v>
      </c>
      <c r="D960" s="9" t="n">
        <f aca="false">(A960^2+4*C960)/5</f>
        <v>183552</v>
      </c>
      <c r="E960" s="9" t="n">
        <f aca="false">MOD(D960,10)</f>
        <v>2</v>
      </c>
      <c r="F960" s="9" t="n">
        <f aca="false">2*D960</f>
        <v>367104</v>
      </c>
      <c r="G960" s="9" t="n">
        <f aca="false">MOD(F960,10)</f>
        <v>4</v>
      </c>
      <c r="H960" s="9" t="n">
        <f aca="false">G960/2</f>
        <v>2</v>
      </c>
      <c r="I960" s="9" t="str">
        <f aca="false">IF(H960=0,"—",IF(H960=1,"unison (1:1)",IF(H960=2,"octave (2:1)",IF(H960=3,"fifth (3:2)",IF(H960=4,"fourth (4:3)","?")))))</f>
        <v>octave (2:1)</v>
      </c>
      <c r="J960" s="9" t="str">
        <f aca="false">IF(H960=0,"—",IF(H960=1,"ὁμώνυμον",IF(H960=2,"διὰ πασῶν",IF(H960=3,"διὰ πέντε",IF(H960=4,"διὰ τεσσάρων","?")))))</f>
        <v>διὰ πασῶν</v>
      </c>
      <c r="K960" s="10"/>
      <c r="L960" s="14"/>
      <c r="M960" s="13"/>
    </row>
    <row r="961" customFormat="false" ht="15.75" hidden="false" customHeight="true" outlineLevel="0" collapsed="false">
      <c r="A961" s="8" t="n">
        <f aca="false">A960+1</f>
        <v>959</v>
      </c>
      <c r="B961" s="9" t="n">
        <f aca="false">MOD(4*A961^2,10)</f>
        <v>4</v>
      </c>
      <c r="C961" s="9" t="n">
        <f aca="false">(26*B961-5*B961^2)/24</f>
        <v>1</v>
      </c>
      <c r="D961" s="9" t="n">
        <f aca="false">(A961^2+4*C961)/5</f>
        <v>183937</v>
      </c>
      <c r="E961" s="9" t="n">
        <f aca="false">MOD(D961,10)</f>
        <v>7</v>
      </c>
      <c r="F961" s="9" t="n">
        <f aca="false">2*D961</f>
        <v>367874</v>
      </c>
      <c r="G961" s="9" t="n">
        <f aca="false">MOD(F961,10)</f>
        <v>4</v>
      </c>
      <c r="H961" s="9" t="n">
        <f aca="false">G961/2</f>
        <v>2</v>
      </c>
      <c r="I961" s="9" t="str">
        <f aca="false">IF(H961=0,"—",IF(H961=1,"unison (1:1)",IF(H961=2,"octave (2:1)",IF(H961=3,"fifth (3:2)",IF(H961=4,"fourth (4:3)","?")))))</f>
        <v>octave (2:1)</v>
      </c>
      <c r="J961" s="9" t="str">
        <f aca="false">IF(H961=0,"—",IF(H961=1,"ὁμώνυμον",IF(H961=2,"διὰ πασῶν",IF(H961=3,"διὰ πέντε",IF(H961=4,"διὰ τεσσάρων","?")))))</f>
        <v>διὰ πασῶν</v>
      </c>
      <c r="K961" s="10"/>
      <c r="L961" s="14"/>
      <c r="M961" s="13"/>
    </row>
    <row r="962" customFormat="false" ht="15.75" hidden="false" customHeight="true" outlineLevel="0" collapsed="false">
      <c r="A962" s="8" t="n">
        <f aca="false">A961+1</f>
        <v>960</v>
      </c>
      <c r="B962" s="9" t="n">
        <f aca="false">MOD(4*A962^2,10)</f>
        <v>0</v>
      </c>
      <c r="C962" s="9" t="n">
        <f aca="false">(26*B962-5*B962^2)/24</f>
        <v>0</v>
      </c>
      <c r="D962" s="9" t="n">
        <f aca="false">(A962^2+4*C962)/5</f>
        <v>184320</v>
      </c>
      <c r="E962" s="9" t="n">
        <f aca="false">MOD(D962,10)</f>
        <v>0</v>
      </c>
      <c r="F962" s="9" t="n">
        <f aca="false">2*D962</f>
        <v>368640</v>
      </c>
      <c r="G962" s="9" t="n">
        <f aca="false">MOD(F962,10)</f>
        <v>0</v>
      </c>
      <c r="H962" s="9" t="n">
        <f aca="false">G962/2</f>
        <v>0</v>
      </c>
      <c r="I962" s="9" t="str">
        <f aca="false">IF(H962=0,"—",IF(H962=1,"unison (1:1)",IF(H962=2,"octave (2:1)",IF(H962=3,"fifth (3:2)",IF(H962=4,"fourth (4:3)","?")))))</f>
        <v>—</v>
      </c>
      <c r="J962" s="9" t="str">
        <f aca="false">IF(H962=0,"—",IF(H962=1,"ὁμώνυμον",IF(H962=2,"διὰ πασῶν",IF(H962=3,"διὰ πέντε",IF(H962=4,"διὰ τεσσάρων","?")))))</f>
        <v>—</v>
      </c>
      <c r="K962" s="10"/>
      <c r="L962" s="14"/>
      <c r="M962" s="13"/>
    </row>
    <row r="963" customFormat="false" ht="15.75" hidden="false" customHeight="true" outlineLevel="0" collapsed="false">
      <c r="A963" s="8" t="n">
        <f aca="false">A962+1</f>
        <v>961</v>
      </c>
      <c r="B963" s="9" t="n">
        <f aca="false">MOD(4*A963^2,10)</f>
        <v>4</v>
      </c>
      <c r="C963" s="9" t="n">
        <f aca="false">(26*B963-5*B963^2)/24</f>
        <v>1</v>
      </c>
      <c r="D963" s="9" t="n">
        <f aca="false">(A963^2+4*C963)/5</f>
        <v>184705</v>
      </c>
      <c r="E963" s="9" t="n">
        <f aca="false">MOD(D963,10)</f>
        <v>5</v>
      </c>
      <c r="F963" s="9" t="n">
        <f aca="false">2*D963</f>
        <v>369410</v>
      </c>
      <c r="G963" s="9" t="n">
        <f aca="false">MOD(F963,10)</f>
        <v>0</v>
      </c>
      <c r="H963" s="9" t="n">
        <f aca="false">G963/2</f>
        <v>0</v>
      </c>
      <c r="I963" s="9" t="str">
        <f aca="false">IF(H963=0,"—",IF(H963=1,"unison (1:1)",IF(H963=2,"octave (2:1)",IF(H963=3,"fifth (3:2)",IF(H963=4,"fourth (4:3)","?")))))</f>
        <v>—</v>
      </c>
      <c r="J963" s="9" t="str">
        <f aca="false">IF(H963=0,"—",IF(H963=1,"ὁμώνυμον",IF(H963=2,"διὰ πασῶν",IF(H963=3,"διὰ πέντε",IF(H963=4,"διὰ τεσσάρων","?")))))</f>
        <v>—</v>
      </c>
      <c r="K963" s="10"/>
      <c r="L963" s="14"/>
      <c r="M963" s="13"/>
    </row>
    <row r="964" customFormat="false" ht="15.75" hidden="false" customHeight="true" outlineLevel="0" collapsed="false">
      <c r="A964" s="8" t="n">
        <f aca="false">A963+1</f>
        <v>962</v>
      </c>
      <c r="B964" s="9" t="n">
        <f aca="false">MOD(4*A964^2,10)</f>
        <v>6</v>
      </c>
      <c r="C964" s="9" t="n">
        <f aca="false">(26*B964-5*B964^2)/24</f>
        <v>-1</v>
      </c>
      <c r="D964" s="9" t="n">
        <f aca="false">(A964^2+4*C964)/5</f>
        <v>185088</v>
      </c>
      <c r="E964" s="9" t="n">
        <f aca="false">MOD(D964,10)</f>
        <v>8</v>
      </c>
      <c r="F964" s="9" t="n">
        <f aca="false">2*D964</f>
        <v>370176</v>
      </c>
      <c r="G964" s="9" t="n">
        <f aca="false">MOD(F964,10)</f>
        <v>6</v>
      </c>
      <c r="H964" s="9" t="n">
        <f aca="false">G964/2</f>
        <v>3</v>
      </c>
      <c r="I964" s="9" t="str">
        <f aca="false">IF(H964=0,"—",IF(H964=1,"unison (1:1)",IF(H964=2,"octave (2:1)",IF(H964=3,"fifth (3:2)",IF(H964=4,"fourth (4:3)","?")))))</f>
        <v>fifth (3:2)</v>
      </c>
      <c r="J964" s="9" t="str">
        <f aca="false">IF(H964=0,"—",IF(H964=1,"ὁμώνυμον",IF(H964=2,"διὰ πασῶν",IF(H964=3,"διὰ πέντε",IF(H964=4,"διὰ τεσσάρων","?")))))</f>
        <v>διὰ πέντε</v>
      </c>
      <c r="K964" s="10"/>
      <c r="L964" s="14"/>
      <c r="M964" s="13"/>
    </row>
    <row r="965" customFormat="false" ht="15.75" hidden="false" customHeight="true" outlineLevel="0" collapsed="false">
      <c r="A965" s="8" t="n">
        <f aca="false">A964+1</f>
        <v>963</v>
      </c>
      <c r="B965" s="9" t="n">
        <f aca="false">MOD(4*A965^2,10)</f>
        <v>6</v>
      </c>
      <c r="C965" s="9" t="n">
        <f aca="false">(26*B965-5*B965^2)/24</f>
        <v>-1</v>
      </c>
      <c r="D965" s="9" t="n">
        <f aca="false">(A965^2+4*C965)/5</f>
        <v>185473</v>
      </c>
      <c r="E965" s="9" t="n">
        <f aca="false">MOD(D965,10)</f>
        <v>3</v>
      </c>
      <c r="F965" s="9" t="n">
        <f aca="false">2*D965</f>
        <v>370946</v>
      </c>
      <c r="G965" s="9" t="n">
        <f aca="false">MOD(F965,10)</f>
        <v>6</v>
      </c>
      <c r="H965" s="9" t="n">
        <f aca="false">G965/2</f>
        <v>3</v>
      </c>
      <c r="I965" s="9" t="str">
        <f aca="false">IF(H965=0,"—",IF(H965=1,"unison (1:1)",IF(H965=2,"octave (2:1)",IF(H965=3,"fifth (3:2)",IF(H965=4,"fourth (4:3)","?")))))</f>
        <v>fifth (3:2)</v>
      </c>
      <c r="J965" s="9" t="str">
        <f aca="false">IF(H965=0,"—",IF(H965=1,"ὁμώνυμον",IF(H965=2,"διὰ πασῶν",IF(H965=3,"διὰ πέντε",IF(H965=4,"διὰ τεσσάρων","?")))))</f>
        <v>διὰ πέντε</v>
      </c>
      <c r="K965" s="10"/>
      <c r="L965" s="14"/>
      <c r="M965" s="13"/>
    </row>
    <row r="966" customFormat="false" ht="15.75" hidden="false" customHeight="true" outlineLevel="0" collapsed="false">
      <c r="A966" s="8" t="n">
        <f aca="false">A965+1</f>
        <v>964</v>
      </c>
      <c r="B966" s="9" t="n">
        <f aca="false">MOD(4*A966^2,10)</f>
        <v>4</v>
      </c>
      <c r="C966" s="9" t="n">
        <f aca="false">(26*B966-5*B966^2)/24</f>
        <v>1</v>
      </c>
      <c r="D966" s="9" t="n">
        <f aca="false">(A966^2+4*C966)/5</f>
        <v>185860</v>
      </c>
      <c r="E966" s="9" t="n">
        <f aca="false">MOD(D966,10)</f>
        <v>0</v>
      </c>
      <c r="F966" s="9" t="n">
        <f aca="false">2*D966</f>
        <v>371720</v>
      </c>
      <c r="G966" s="9" t="n">
        <f aca="false">MOD(F966,10)</f>
        <v>0</v>
      </c>
      <c r="H966" s="9" t="n">
        <f aca="false">G966/2</f>
        <v>0</v>
      </c>
      <c r="I966" s="9" t="str">
        <f aca="false">IF(H966=0,"—",IF(H966=1,"unison (1:1)",IF(H966=2,"octave (2:1)",IF(H966=3,"fifth (3:2)",IF(H966=4,"fourth (4:3)","?")))))</f>
        <v>—</v>
      </c>
      <c r="J966" s="9" t="str">
        <f aca="false">IF(H966=0,"—",IF(H966=1,"ὁμώνυμον",IF(H966=2,"διὰ πασῶν",IF(H966=3,"διὰ πέντε",IF(H966=4,"διὰ τεσσάρων","?")))))</f>
        <v>—</v>
      </c>
      <c r="K966" s="10"/>
      <c r="L966" s="14"/>
      <c r="M966" s="13"/>
    </row>
    <row r="967" customFormat="false" ht="15.75" hidden="false" customHeight="true" outlineLevel="0" collapsed="false">
      <c r="A967" s="8" t="n">
        <f aca="false">A966+1</f>
        <v>965</v>
      </c>
      <c r="B967" s="9" t="n">
        <f aca="false">MOD(4*A967^2,10)</f>
        <v>0</v>
      </c>
      <c r="C967" s="9" t="n">
        <f aca="false">(26*B967-5*B967^2)/24</f>
        <v>0</v>
      </c>
      <c r="D967" s="9" t="n">
        <f aca="false">(A967^2+4*C967)/5</f>
        <v>186245</v>
      </c>
      <c r="E967" s="9" t="n">
        <f aca="false">MOD(D967,10)</f>
        <v>5</v>
      </c>
      <c r="F967" s="9" t="n">
        <f aca="false">2*D967</f>
        <v>372490</v>
      </c>
      <c r="G967" s="9" t="n">
        <f aca="false">MOD(F967,10)</f>
        <v>0</v>
      </c>
      <c r="H967" s="9" t="n">
        <f aca="false">G967/2</f>
        <v>0</v>
      </c>
      <c r="I967" s="9" t="str">
        <f aca="false">IF(H967=0,"—",IF(H967=1,"unison (1:1)",IF(H967=2,"octave (2:1)",IF(H967=3,"fifth (3:2)",IF(H967=4,"fourth (4:3)","?")))))</f>
        <v>—</v>
      </c>
      <c r="J967" s="9" t="str">
        <f aca="false">IF(H967=0,"—",IF(H967=1,"ὁμώνυμον",IF(H967=2,"διὰ πασῶν",IF(H967=3,"διὰ πέντε",IF(H967=4,"διὰ τεσσάρων","?")))))</f>
        <v>—</v>
      </c>
      <c r="K967" s="10"/>
      <c r="L967" s="14"/>
      <c r="M967" s="13"/>
    </row>
    <row r="968" customFormat="false" ht="15.75" hidden="false" customHeight="true" outlineLevel="0" collapsed="false">
      <c r="A968" s="8" t="n">
        <f aca="false">A967+1</f>
        <v>966</v>
      </c>
      <c r="B968" s="9" t="n">
        <f aca="false">MOD(4*A968^2,10)</f>
        <v>4</v>
      </c>
      <c r="C968" s="9" t="n">
        <f aca="false">(26*B968-5*B968^2)/24</f>
        <v>1</v>
      </c>
      <c r="D968" s="9" t="n">
        <f aca="false">(A968^2+4*C968)/5</f>
        <v>186632</v>
      </c>
      <c r="E968" s="9" t="n">
        <f aca="false">MOD(D968,10)</f>
        <v>2</v>
      </c>
      <c r="F968" s="9" t="n">
        <f aca="false">2*D968</f>
        <v>373264</v>
      </c>
      <c r="G968" s="9" t="n">
        <f aca="false">MOD(F968,10)</f>
        <v>4</v>
      </c>
      <c r="H968" s="9" t="n">
        <f aca="false">G968/2</f>
        <v>2</v>
      </c>
      <c r="I968" s="9" t="str">
        <f aca="false">IF(H968=0,"—",IF(H968=1,"unison (1:1)",IF(H968=2,"octave (2:1)",IF(H968=3,"fifth (3:2)",IF(H968=4,"fourth (4:3)","?")))))</f>
        <v>octave (2:1)</v>
      </c>
      <c r="J968" s="9" t="str">
        <f aca="false">IF(H968=0,"—",IF(H968=1,"ὁμώνυμον",IF(H968=2,"διὰ πασῶν",IF(H968=3,"διὰ πέντε",IF(H968=4,"διὰ τεσσάρων","?")))))</f>
        <v>διὰ πασῶν</v>
      </c>
      <c r="K968" s="10"/>
      <c r="L968" s="14"/>
      <c r="M968" s="13"/>
    </row>
    <row r="969" customFormat="false" ht="15.75" hidden="false" customHeight="true" outlineLevel="0" collapsed="false">
      <c r="A969" s="8" t="n">
        <f aca="false">A968+1</f>
        <v>967</v>
      </c>
      <c r="B969" s="9" t="n">
        <f aca="false">MOD(4*A969^2,10)</f>
        <v>6</v>
      </c>
      <c r="C969" s="9" t="n">
        <f aca="false">(26*B969-5*B969^2)/24</f>
        <v>-1</v>
      </c>
      <c r="D969" s="9" t="n">
        <f aca="false">(A969^2+4*C969)/5</f>
        <v>187017</v>
      </c>
      <c r="E969" s="9" t="n">
        <f aca="false">MOD(D969,10)</f>
        <v>7</v>
      </c>
      <c r="F969" s="9" t="n">
        <f aca="false">2*D969</f>
        <v>374034</v>
      </c>
      <c r="G969" s="9" t="n">
        <f aca="false">MOD(F969,10)</f>
        <v>4</v>
      </c>
      <c r="H969" s="9" t="n">
        <f aca="false">G969/2</f>
        <v>2</v>
      </c>
      <c r="I969" s="9" t="str">
        <f aca="false">IF(H969=0,"—",IF(H969=1,"unison (1:1)",IF(H969=2,"octave (2:1)",IF(H969=3,"fifth (3:2)",IF(H969=4,"fourth (4:3)","?")))))</f>
        <v>octave (2:1)</v>
      </c>
      <c r="J969" s="9" t="str">
        <f aca="false">IF(H969=0,"—",IF(H969=1,"ὁμώνυμον",IF(H969=2,"διὰ πασῶν",IF(H969=3,"διὰ πέντε",IF(H969=4,"διὰ τεσσάρων","?")))))</f>
        <v>διὰ πασῶν</v>
      </c>
      <c r="K969" s="10"/>
      <c r="L969" s="14"/>
      <c r="M969" s="13"/>
    </row>
    <row r="970" customFormat="false" ht="15.75" hidden="false" customHeight="true" outlineLevel="0" collapsed="false">
      <c r="A970" s="8" t="n">
        <f aca="false">A969+1</f>
        <v>968</v>
      </c>
      <c r="B970" s="9" t="n">
        <f aca="false">MOD(4*A970^2,10)</f>
        <v>6</v>
      </c>
      <c r="C970" s="9" t="n">
        <f aca="false">(26*B970-5*B970^2)/24</f>
        <v>-1</v>
      </c>
      <c r="D970" s="9" t="n">
        <f aca="false">(A970^2+4*C970)/5</f>
        <v>187404</v>
      </c>
      <c r="E970" s="9" t="n">
        <f aca="false">MOD(D970,10)</f>
        <v>4</v>
      </c>
      <c r="F970" s="9" t="n">
        <f aca="false">2*D970</f>
        <v>374808</v>
      </c>
      <c r="G970" s="9" t="n">
        <f aca="false">MOD(F970,10)</f>
        <v>8</v>
      </c>
      <c r="H970" s="9" t="n">
        <f aca="false">G970/2</f>
        <v>4</v>
      </c>
      <c r="I970" s="9" t="str">
        <f aca="false">IF(H970=0,"—",IF(H970=1,"unison (1:1)",IF(H970=2,"octave (2:1)",IF(H970=3,"fifth (3:2)",IF(H970=4,"fourth (4:3)","?")))))</f>
        <v>fourth (4:3)</v>
      </c>
      <c r="J970" s="9" t="str">
        <f aca="false">IF(H970=0,"—",IF(H970=1,"ὁμώνυμον",IF(H970=2,"διὰ πασῶν",IF(H970=3,"διὰ πέντε",IF(H970=4,"διὰ τεσσάρων","?")))))</f>
        <v>διὰ τεσσάρων</v>
      </c>
      <c r="K970" s="10"/>
      <c r="L970" s="14"/>
      <c r="M970" s="13"/>
    </row>
    <row r="971" customFormat="false" ht="15.75" hidden="false" customHeight="true" outlineLevel="0" collapsed="false">
      <c r="A971" s="8" t="n">
        <f aca="false">A970+1</f>
        <v>969</v>
      </c>
      <c r="B971" s="9" t="n">
        <f aca="false">MOD(4*A971^2,10)</f>
        <v>4</v>
      </c>
      <c r="C971" s="9" t="n">
        <f aca="false">(26*B971-5*B971^2)/24</f>
        <v>1</v>
      </c>
      <c r="D971" s="9" t="n">
        <f aca="false">(A971^2+4*C971)/5</f>
        <v>187793</v>
      </c>
      <c r="E971" s="9" t="n">
        <f aca="false">MOD(D971,10)</f>
        <v>3</v>
      </c>
      <c r="F971" s="9" t="n">
        <f aca="false">2*D971</f>
        <v>375586</v>
      </c>
      <c r="G971" s="9" t="n">
        <f aca="false">MOD(F971,10)</f>
        <v>6</v>
      </c>
      <c r="H971" s="9" t="n">
        <f aca="false">G971/2</f>
        <v>3</v>
      </c>
      <c r="I971" s="9" t="str">
        <f aca="false">IF(H971=0,"—",IF(H971=1,"unison (1:1)",IF(H971=2,"octave (2:1)",IF(H971=3,"fifth (3:2)",IF(H971=4,"fourth (4:3)","?")))))</f>
        <v>fifth (3:2)</v>
      </c>
      <c r="J971" s="9" t="str">
        <f aca="false">IF(H971=0,"—",IF(H971=1,"ὁμώνυμον",IF(H971=2,"διὰ πασῶν",IF(H971=3,"διὰ πέντε",IF(H971=4,"διὰ τεσσάρων","?")))))</f>
        <v>διὰ πέντε</v>
      </c>
      <c r="K971" s="10"/>
      <c r="L971" s="14"/>
      <c r="M971" s="13"/>
    </row>
    <row r="972" customFormat="false" ht="15.75" hidden="false" customHeight="true" outlineLevel="0" collapsed="false">
      <c r="A972" s="8" t="n">
        <f aca="false">A971+1</f>
        <v>970</v>
      </c>
      <c r="B972" s="9" t="n">
        <f aca="false">MOD(4*A972^2,10)</f>
        <v>0</v>
      </c>
      <c r="C972" s="9" t="n">
        <f aca="false">(26*B972-5*B972^2)/24</f>
        <v>0</v>
      </c>
      <c r="D972" s="9" t="n">
        <f aca="false">(A972^2+4*C972)/5</f>
        <v>188180</v>
      </c>
      <c r="E972" s="9" t="n">
        <f aca="false">MOD(D972,10)</f>
        <v>0</v>
      </c>
      <c r="F972" s="9" t="n">
        <f aca="false">2*D972</f>
        <v>376360</v>
      </c>
      <c r="G972" s="9" t="n">
        <f aca="false">MOD(F972,10)</f>
        <v>0</v>
      </c>
      <c r="H972" s="9" t="n">
        <f aca="false">G972/2</f>
        <v>0</v>
      </c>
      <c r="I972" s="9" t="str">
        <f aca="false">IF(H972=0,"—",IF(H972=1,"unison (1:1)",IF(H972=2,"octave (2:1)",IF(H972=3,"fifth (3:2)",IF(H972=4,"fourth (4:3)","?")))))</f>
        <v>—</v>
      </c>
      <c r="J972" s="9" t="str">
        <f aca="false">IF(H972=0,"—",IF(H972=1,"ὁμώνυμον",IF(H972=2,"διὰ πασῶν",IF(H972=3,"διὰ πέντε",IF(H972=4,"διὰ τεσσάρων","?")))))</f>
        <v>—</v>
      </c>
      <c r="K972" s="10"/>
      <c r="L972" s="14"/>
      <c r="M972" s="13"/>
    </row>
    <row r="973" customFormat="false" ht="15.75" hidden="false" customHeight="true" outlineLevel="0" collapsed="false">
      <c r="A973" s="8" t="n">
        <f aca="false">A972+1</f>
        <v>971</v>
      </c>
      <c r="B973" s="9" t="n">
        <f aca="false">MOD(4*A973^2,10)</f>
        <v>4</v>
      </c>
      <c r="C973" s="9" t="n">
        <f aca="false">(26*B973-5*B973^2)/24</f>
        <v>1</v>
      </c>
      <c r="D973" s="9" t="n">
        <f aca="false">(A973^2+4*C973)/5</f>
        <v>188569</v>
      </c>
      <c r="E973" s="9" t="n">
        <f aca="false">MOD(D973,10)</f>
        <v>9</v>
      </c>
      <c r="F973" s="9" t="n">
        <f aca="false">2*D973</f>
        <v>377138</v>
      </c>
      <c r="G973" s="9" t="n">
        <f aca="false">MOD(F973,10)</f>
        <v>8</v>
      </c>
      <c r="H973" s="9" t="n">
        <f aca="false">G973/2</f>
        <v>4</v>
      </c>
      <c r="I973" s="9" t="str">
        <f aca="false">IF(H973=0,"—",IF(H973=1,"unison (1:1)",IF(H973=2,"octave (2:1)",IF(H973=3,"fifth (3:2)",IF(H973=4,"fourth (4:3)","?")))))</f>
        <v>fourth (4:3)</v>
      </c>
      <c r="J973" s="9" t="str">
        <f aca="false">IF(H973=0,"—",IF(H973=1,"ὁμώνυμον",IF(H973=2,"διὰ πασῶν",IF(H973=3,"διὰ πέντε",IF(H973=4,"διὰ τεσσάρων","?")))))</f>
        <v>διὰ τεσσάρων</v>
      </c>
      <c r="K973" s="10"/>
      <c r="L973" s="14"/>
      <c r="M973" s="13"/>
    </row>
    <row r="974" customFormat="false" ht="15.75" hidden="false" customHeight="true" outlineLevel="0" collapsed="false">
      <c r="A974" s="8" t="n">
        <f aca="false">A973+1</f>
        <v>972</v>
      </c>
      <c r="B974" s="9" t="n">
        <f aca="false">MOD(4*A974^2,10)</f>
        <v>6</v>
      </c>
      <c r="C974" s="9" t="n">
        <f aca="false">(26*B974-5*B974^2)/24</f>
        <v>-1</v>
      </c>
      <c r="D974" s="9" t="n">
        <f aca="false">(A974^2+4*C974)/5</f>
        <v>188956</v>
      </c>
      <c r="E974" s="9" t="n">
        <f aca="false">MOD(D974,10)</f>
        <v>6</v>
      </c>
      <c r="F974" s="9" t="n">
        <f aca="false">2*D974</f>
        <v>377912</v>
      </c>
      <c r="G974" s="9" t="n">
        <f aca="false">MOD(F974,10)</f>
        <v>2</v>
      </c>
      <c r="H974" s="9" t="n">
        <f aca="false">G974/2</f>
        <v>1</v>
      </c>
      <c r="I974" s="9" t="str">
        <f aca="false">IF(H974=0,"—",IF(H974=1,"unison (1:1)",IF(H974=2,"octave (2:1)",IF(H974=3,"fifth (3:2)",IF(H974=4,"fourth (4:3)","?")))))</f>
        <v>unison (1:1)</v>
      </c>
      <c r="J974" s="9" t="str">
        <f aca="false">IF(H974=0,"—",IF(H974=1,"ὁμώνυμον",IF(H974=2,"διὰ πασῶν",IF(H974=3,"διὰ πέντε",IF(H974=4,"διὰ τεσσάρων","?")))))</f>
        <v>ὁμώνυμον</v>
      </c>
      <c r="K974" s="10"/>
      <c r="L974" s="14"/>
      <c r="M974" s="13"/>
    </row>
    <row r="975" customFormat="false" ht="15.75" hidden="false" customHeight="true" outlineLevel="0" collapsed="false">
      <c r="A975" s="8" t="n">
        <f aca="false">A974+1</f>
        <v>973</v>
      </c>
      <c r="B975" s="9" t="n">
        <f aca="false">MOD(4*A975^2,10)</f>
        <v>6</v>
      </c>
      <c r="C975" s="9" t="n">
        <f aca="false">(26*B975-5*B975^2)/24</f>
        <v>-1</v>
      </c>
      <c r="D975" s="9" t="n">
        <f aca="false">(A975^2+4*C975)/5</f>
        <v>189345</v>
      </c>
      <c r="E975" s="9" t="n">
        <f aca="false">MOD(D975,10)</f>
        <v>5</v>
      </c>
      <c r="F975" s="9" t="n">
        <f aca="false">2*D975</f>
        <v>378690</v>
      </c>
      <c r="G975" s="9" t="n">
        <f aca="false">MOD(F975,10)</f>
        <v>0</v>
      </c>
      <c r="H975" s="9" t="n">
        <f aca="false">G975/2</f>
        <v>0</v>
      </c>
      <c r="I975" s="9" t="str">
        <f aca="false">IF(H975=0,"—",IF(H975=1,"unison (1:1)",IF(H975=2,"octave (2:1)",IF(H975=3,"fifth (3:2)",IF(H975=4,"fourth (4:3)","?")))))</f>
        <v>—</v>
      </c>
      <c r="J975" s="9" t="str">
        <f aca="false">IF(H975=0,"—",IF(H975=1,"ὁμώνυμον",IF(H975=2,"διὰ πασῶν",IF(H975=3,"διὰ πέντε",IF(H975=4,"διὰ τεσσάρων","?")))))</f>
        <v>—</v>
      </c>
      <c r="K975" s="10"/>
      <c r="L975" s="14"/>
      <c r="M975" s="13"/>
    </row>
    <row r="976" customFormat="false" ht="15.75" hidden="false" customHeight="true" outlineLevel="0" collapsed="false">
      <c r="A976" s="8" t="n">
        <f aca="false">A975+1</f>
        <v>974</v>
      </c>
      <c r="B976" s="9" t="n">
        <f aca="false">MOD(4*A976^2,10)</f>
        <v>4</v>
      </c>
      <c r="C976" s="9" t="n">
        <f aca="false">(26*B976-5*B976^2)/24</f>
        <v>1</v>
      </c>
      <c r="D976" s="9" t="n">
        <f aca="false">(A976^2+4*C976)/5</f>
        <v>189736</v>
      </c>
      <c r="E976" s="9" t="n">
        <f aca="false">MOD(D976,10)</f>
        <v>6</v>
      </c>
      <c r="F976" s="9" t="n">
        <f aca="false">2*D976</f>
        <v>379472</v>
      </c>
      <c r="G976" s="9" t="n">
        <f aca="false">MOD(F976,10)</f>
        <v>2</v>
      </c>
      <c r="H976" s="9" t="n">
        <f aca="false">G976/2</f>
        <v>1</v>
      </c>
      <c r="I976" s="9" t="str">
        <f aca="false">IF(H976=0,"—",IF(H976=1,"unison (1:1)",IF(H976=2,"octave (2:1)",IF(H976=3,"fifth (3:2)",IF(H976=4,"fourth (4:3)","?")))))</f>
        <v>unison (1:1)</v>
      </c>
      <c r="J976" s="9" t="str">
        <f aca="false">IF(H976=0,"—",IF(H976=1,"ὁμώνυμον",IF(H976=2,"διὰ πασῶν",IF(H976=3,"διὰ πέντε",IF(H976=4,"διὰ τεσσάρων","?")))))</f>
        <v>ὁμώνυμον</v>
      </c>
      <c r="K976" s="10"/>
      <c r="L976" s="14"/>
      <c r="M976" s="13"/>
    </row>
    <row r="977" customFormat="false" ht="15.75" hidden="false" customHeight="true" outlineLevel="0" collapsed="false">
      <c r="A977" s="8" t="n">
        <f aca="false">A976+1</f>
        <v>975</v>
      </c>
      <c r="B977" s="9" t="n">
        <f aca="false">MOD(4*A977^2,10)</f>
        <v>0</v>
      </c>
      <c r="C977" s="9" t="n">
        <f aca="false">(26*B977-5*B977^2)/24</f>
        <v>0</v>
      </c>
      <c r="D977" s="9" t="n">
        <f aca="false">(A977^2+4*C977)/5</f>
        <v>190125</v>
      </c>
      <c r="E977" s="9" t="n">
        <f aca="false">MOD(D977,10)</f>
        <v>5</v>
      </c>
      <c r="F977" s="9" t="n">
        <f aca="false">2*D977</f>
        <v>380250</v>
      </c>
      <c r="G977" s="9" t="n">
        <f aca="false">MOD(F977,10)</f>
        <v>0</v>
      </c>
      <c r="H977" s="9" t="n">
        <f aca="false">G977/2</f>
        <v>0</v>
      </c>
      <c r="I977" s="9" t="str">
        <f aca="false">IF(H977=0,"—",IF(H977=1,"unison (1:1)",IF(H977=2,"octave (2:1)",IF(H977=3,"fifth (3:2)",IF(H977=4,"fourth (4:3)","?")))))</f>
        <v>—</v>
      </c>
      <c r="J977" s="9" t="str">
        <f aca="false">IF(H977=0,"—",IF(H977=1,"ὁμώνυμον",IF(H977=2,"διὰ πασῶν",IF(H977=3,"διὰ πέντε",IF(H977=4,"διὰ τεσσάρων","?")))))</f>
        <v>—</v>
      </c>
      <c r="K977" s="10"/>
      <c r="L977" s="14"/>
      <c r="M977" s="13"/>
    </row>
    <row r="978" customFormat="false" ht="15.75" hidden="false" customHeight="true" outlineLevel="0" collapsed="false">
      <c r="A978" s="8" t="n">
        <f aca="false">A977+1</f>
        <v>976</v>
      </c>
      <c r="B978" s="9" t="n">
        <f aca="false">MOD(4*A978^2,10)</f>
        <v>4</v>
      </c>
      <c r="C978" s="9" t="n">
        <f aca="false">(26*B978-5*B978^2)/24</f>
        <v>1</v>
      </c>
      <c r="D978" s="9" t="n">
        <f aca="false">(A978^2+4*C978)/5</f>
        <v>190516</v>
      </c>
      <c r="E978" s="9" t="n">
        <f aca="false">MOD(D978,10)</f>
        <v>6</v>
      </c>
      <c r="F978" s="9" t="n">
        <f aca="false">2*D978</f>
        <v>381032</v>
      </c>
      <c r="G978" s="9" t="n">
        <f aca="false">MOD(F978,10)</f>
        <v>2</v>
      </c>
      <c r="H978" s="9" t="n">
        <f aca="false">G978/2</f>
        <v>1</v>
      </c>
      <c r="I978" s="9" t="str">
        <f aca="false">IF(H978=0,"—",IF(H978=1,"unison (1:1)",IF(H978=2,"octave (2:1)",IF(H978=3,"fifth (3:2)",IF(H978=4,"fourth (4:3)","?")))))</f>
        <v>unison (1:1)</v>
      </c>
      <c r="J978" s="9" t="str">
        <f aca="false">IF(H978=0,"—",IF(H978=1,"ὁμώνυμον",IF(H978=2,"διὰ πασῶν",IF(H978=3,"διὰ πέντε",IF(H978=4,"διὰ τεσσάρων","?")))))</f>
        <v>ὁμώνυμον</v>
      </c>
      <c r="K978" s="10"/>
      <c r="L978" s="14"/>
      <c r="M978" s="13"/>
    </row>
    <row r="979" customFormat="false" ht="15.75" hidden="false" customHeight="true" outlineLevel="0" collapsed="false">
      <c r="A979" s="8" t="n">
        <f aca="false">A978+1</f>
        <v>977</v>
      </c>
      <c r="B979" s="9" t="n">
        <f aca="false">MOD(4*A979^2,10)</f>
        <v>6</v>
      </c>
      <c r="C979" s="9" t="n">
        <f aca="false">(26*B979-5*B979^2)/24</f>
        <v>-1</v>
      </c>
      <c r="D979" s="9" t="n">
        <f aca="false">(A979^2+4*C979)/5</f>
        <v>190905</v>
      </c>
      <c r="E979" s="9" t="n">
        <f aca="false">MOD(D979,10)</f>
        <v>5</v>
      </c>
      <c r="F979" s="9" t="n">
        <f aca="false">2*D979</f>
        <v>381810</v>
      </c>
      <c r="G979" s="9" t="n">
        <f aca="false">MOD(F979,10)</f>
        <v>0</v>
      </c>
      <c r="H979" s="9" t="n">
        <f aca="false">G979/2</f>
        <v>0</v>
      </c>
      <c r="I979" s="9" t="str">
        <f aca="false">IF(H979=0,"—",IF(H979=1,"unison (1:1)",IF(H979=2,"octave (2:1)",IF(H979=3,"fifth (3:2)",IF(H979=4,"fourth (4:3)","?")))))</f>
        <v>—</v>
      </c>
      <c r="J979" s="9" t="str">
        <f aca="false">IF(H979=0,"—",IF(H979=1,"ὁμώνυμον",IF(H979=2,"διὰ πασῶν",IF(H979=3,"διὰ πέντε",IF(H979=4,"διὰ τεσσάρων","?")))))</f>
        <v>—</v>
      </c>
      <c r="K979" s="10"/>
      <c r="L979" s="14"/>
      <c r="M979" s="13"/>
    </row>
    <row r="980" customFormat="false" ht="15.75" hidden="false" customHeight="true" outlineLevel="0" collapsed="false">
      <c r="A980" s="8" t="n">
        <f aca="false">A979+1</f>
        <v>978</v>
      </c>
      <c r="B980" s="9" t="n">
        <f aca="false">MOD(4*A980^2,10)</f>
        <v>6</v>
      </c>
      <c r="C980" s="9" t="n">
        <f aca="false">(26*B980-5*B980^2)/24</f>
        <v>-1</v>
      </c>
      <c r="D980" s="9" t="n">
        <f aca="false">(A980^2+4*C980)/5</f>
        <v>191296</v>
      </c>
      <c r="E980" s="9" t="n">
        <f aca="false">MOD(D980,10)</f>
        <v>6</v>
      </c>
      <c r="F980" s="9" t="n">
        <f aca="false">2*D980</f>
        <v>382592</v>
      </c>
      <c r="G980" s="9" t="n">
        <f aca="false">MOD(F980,10)</f>
        <v>2</v>
      </c>
      <c r="H980" s="9" t="n">
        <f aca="false">G980/2</f>
        <v>1</v>
      </c>
      <c r="I980" s="9" t="str">
        <f aca="false">IF(H980=0,"—",IF(H980=1,"unison (1:1)",IF(H980=2,"octave (2:1)",IF(H980=3,"fifth (3:2)",IF(H980=4,"fourth (4:3)","?")))))</f>
        <v>unison (1:1)</v>
      </c>
      <c r="J980" s="9" t="str">
        <f aca="false">IF(H980=0,"—",IF(H980=1,"ὁμώνυμον",IF(H980=2,"διὰ πασῶν",IF(H980=3,"διὰ πέντε",IF(H980=4,"διὰ τεσσάρων","?")))))</f>
        <v>ὁμώνυμον</v>
      </c>
      <c r="K980" s="10"/>
      <c r="L980" s="14"/>
      <c r="M980" s="13"/>
    </row>
    <row r="981" customFormat="false" ht="15.75" hidden="false" customHeight="true" outlineLevel="0" collapsed="false">
      <c r="A981" s="8" t="n">
        <f aca="false">A980+1</f>
        <v>979</v>
      </c>
      <c r="B981" s="9" t="n">
        <f aca="false">MOD(4*A981^2,10)</f>
        <v>4</v>
      </c>
      <c r="C981" s="9" t="n">
        <f aca="false">(26*B981-5*B981^2)/24</f>
        <v>1</v>
      </c>
      <c r="D981" s="9" t="n">
        <f aca="false">(A981^2+4*C981)/5</f>
        <v>191689</v>
      </c>
      <c r="E981" s="9" t="n">
        <f aca="false">MOD(D981,10)</f>
        <v>9</v>
      </c>
      <c r="F981" s="9" t="n">
        <f aca="false">2*D981</f>
        <v>383378</v>
      </c>
      <c r="G981" s="9" t="n">
        <f aca="false">MOD(F981,10)</f>
        <v>8</v>
      </c>
      <c r="H981" s="9" t="n">
        <f aca="false">G981/2</f>
        <v>4</v>
      </c>
      <c r="I981" s="9" t="str">
        <f aca="false">IF(H981=0,"—",IF(H981=1,"unison (1:1)",IF(H981=2,"octave (2:1)",IF(H981=3,"fifth (3:2)",IF(H981=4,"fourth (4:3)","?")))))</f>
        <v>fourth (4:3)</v>
      </c>
      <c r="J981" s="9" t="str">
        <f aca="false">IF(H981=0,"—",IF(H981=1,"ὁμώνυμον",IF(H981=2,"διὰ πασῶν",IF(H981=3,"διὰ πέντε",IF(H981=4,"διὰ τεσσάρων","?")))))</f>
        <v>διὰ τεσσάρων</v>
      </c>
      <c r="K981" s="10"/>
      <c r="L981" s="14"/>
      <c r="M981" s="13"/>
    </row>
    <row r="982" customFormat="false" ht="15.75" hidden="false" customHeight="true" outlineLevel="0" collapsed="false">
      <c r="A982" s="8" t="n">
        <f aca="false">A981+1</f>
        <v>980</v>
      </c>
      <c r="B982" s="9" t="n">
        <f aca="false">MOD(4*A982^2,10)</f>
        <v>0</v>
      </c>
      <c r="C982" s="9" t="n">
        <f aca="false">(26*B982-5*B982^2)/24</f>
        <v>0</v>
      </c>
      <c r="D982" s="9" t="n">
        <f aca="false">(A982^2+4*C982)/5</f>
        <v>192080</v>
      </c>
      <c r="E982" s="9" t="n">
        <f aca="false">MOD(D982,10)</f>
        <v>0</v>
      </c>
      <c r="F982" s="9" t="n">
        <f aca="false">2*D982</f>
        <v>384160</v>
      </c>
      <c r="G982" s="9" t="n">
        <f aca="false">MOD(F982,10)</f>
        <v>0</v>
      </c>
      <c r="H982" s="9" t="n">
        <f aca="false">G982/2</f>
        <v>0</v>
      </c>
      <c r="I982" s="9" t="str">
        <f aca="false">IF(H982=0,"—",IF(H982=1,"unison (1:1)",IF(H982=2,"octave (2:1)",IF(H982=3,"fifth (3:2)",IF(H982=4,"fourth (4:3)","?")))))</f>
        <v>—</v>
      </c>
      <c r="J982" s="9" t="str">
        <f aca="false">IF(H982=0,"—",IF(H982=1,"ὁμώνυμον",IF(H982=2,"διὰ πασῶν",IF(H982=3,"διὰ πέντε",IF(H982=4,"διὰ τεσσάρων","?")))))</f>
        <v>—</v>
      </c>
      <c r="K982" s="10"/>
      <c r="L982" s="14"/>
      <c r="M982" s="13"/>
    </row>
    <row r="983" customFormat="false" ht="15.75" hidden="false" customHeight="true" outlineLevel="0" collapsed="false">
      <c r="A983" s="8" t="n">
        <f aca="false">A982+1</f>
        <v>981</v>
      </c>
      <c r="B983" s="9" t="n">
        <f aca="false">MOD(4*A983^2,10)</f>
        <v>4</v>
      </c>
      <c r="C983" s="9" t="n">
        <f aca="false">(26*B983-5*B983^2)/24</f>
        <v>1</v>
      </c>
      <c r="D983" s="9" t="n">
        <f aca="false">(A983^2+4*C983)/5</f>
        <v>192473</v>
      </c>
      <c r="E983" s="9" t="n">
        <f aca="false">MOD(D983,10)</f>
        <v>3</v>
      </c>
      <c r="F983" s="9" t="n">
        <f aca="false">2*D983</f>
        <v>384946</v>
      </c>
      <c r="G983" s="9" t="n">
        <f aca="false">MOD(F983,10)</f>
        <v>6</v>
      </c>
      <c r="H983" s="9" t="n">
        <f aca="false">G983/2</f>
        <v>3</v>
      </c>
      <c r="I983" s="9" t="str">
        <f aca="false">IF(H983=0,"—",IF(H983=1,"unison (1:1)",IF(H983=2,"octave (2:1)",IF(H983=3,"fifth (3:2)",IF(H983=4,"fourth (4:3)","?")))))</f>
        <v>fifth (3:2)</v>
      </c>
      <c r="J983" s="9" t="str">
        <f aca="false">IF(H983=0,"—",IF(H983=1,"ὁμώνυμον",IF(H983=2,"διὰ πασῶν",IF(H983=3,"διὰ πέντε",IF(H983=4,"διὰ τεσσάρων","?")))))</f>
        <v>διὰ πέντε</v>
      </c>
      <c r="K983" s="10"/>
      <c r="L983" s="14"/>
      <c r="M983" s="13"/>
    </row>
    <row r="984" customFormat="false" ht="15.75" hidden="false" customHeight="true" outlineLevel="0" collapsed="false">
      <c r="A984" s="8" t="n">
        <f aca="false">A983+1</f>
        <v>982</v>
      </c>
      <c r="B984" s="9" t="n">
        <f aca="false">MOD(4*A984^2,10)</f>
        <v>6</v>
      </c>
      <c r="C984" s="9" t="n">
        <f aca="false">(26*B984-5*B984^2)/24</f>
        <v>-1</v>
      </c>
      <c r="D984" s="9" t="n">
        <f aca="false">(A984^2+4*C984)/5</f>
        <v>192864</v>
      </c>
      <c r="E984" s="9" t="n">
        <f aca="false">MOD(D984,10)</f>
        <v>4</v>
      </c>
      <c r="F984" s="9" t="n">
        <f aca="false">2*D984</f>
        <v>385728</v>
      </c>
      <c r="G984" s="9" t="n">
        <f aca="false">MOD(F984,10)</f>
        <v>8</v>
      </c>
      <c r="H984" s="9" t="n">
        <f aca="false">G984/2</f>
        <v>4</v>
      </c>
      <c r="I984" s="9" t="str">
        <f aca="false">IF(H984=0,"—",IF(H984=1,"unison (1:1)",IF(H984=2,"octave (2:1)",IF(H984=3,"fifth (3:2)",IF(H984=4,"fourth (4:3)","?")))))</f>
        <v>fourth (4:3)</v>
      </c>
      <c r="J984" s="9" t="str">
        <f aca="false">IF(H984=0,"—",IF(H984=1,"ὁμώνυμον",IF(H984=2,"διὰ πασῶν",IF(H984=3,"διὰ πέντε",IF(H984=4,"διὰ τεσσάρων","?")))))</f>
        <v>διὰ τεσσάρων</v>
      </c>
      <c r="K984" s="10"/>
      <c r="L984" s="14"/>
      <c r="M984" s="13"/>
    </row>
    <row r="985" customFormat="false" ht="15.75" hidden="false" customHeight="true" outlineLevel="0" collapsed="false">
      <c r="A985" s="8" t="n">
        <f aca="false">A984+1</f>
        <v>983</v>
      </c>
      <c r="B985" s="9" t="n">
        <f aca="false">MOD(4*A985^2,10)</f>
        <v>6</v>
      </c>
      <c r="C985" s="9" t="n">
        <f aca="false">(26*B985-5*B985^2)/24</f>
        <v>-1</v>
      </c>
      <c r="D985" s="9" t="n">
        <f aca="false">(A985^2+4*C985)/5</f>
        <v>193257</v>
      </c>
      <c r="E985" s="9" t="n">
        <f aca="false">MOD(D985,10)</f>
        <v>7</v>
      </c>
      <c r="F985" s="9" t="n">
        <f aca="false">2*D985</f>
        <v>386514</v>
      </c>
      <c r="G985" s="9" t="n">
        <f aca="false">MOD(F985,10)</f>
        <v>4</v>
      </c>
      <c r="H985" s="9" t="n">
        <f aca="false">G985/2</f>
        <v>2</v>
      </c>
      <c r="I985" s="9" t="str">
        <f aca="false">IF(H985=0,"—",IF(H985=1,"unison (1:1)",IF(H985=2,"octave (2:1)",IF(H985=3,"fifth (3:2)",IF(H985=4,"fourth (4:3)","?")))))</f>
        <v>octave (2:1)</v>
      </c>
      <c r="J985" s="9" t="str">
        <f aca="false">IF(H985=0,"—",IF(H985=1,"ὁμώνυμον",IF(H985=2,"διὰ πασῶν",IF(H985=3,"διὰ πέντε",IF(H985=4,"διὰ τεσσάρων","?")))))</f>
        <v>διὰ πασῶν</v>
      </c>
      <c r="K985" s="10"/>
      <c r="L985" s="14"/>
      <c r="M985" s="13"/>
    </row>
    <row r="986" customFormat="false" ht="15.75" hidden="false" customHeight="true" outlineLevel="0" collapsed="false">
      <c r="A986" s="8" t="n">
        <f aca="false">A985+1</f>
        <v>984</v>
      </c>
      <c r="B986" s="9" t="n">
        <f aca="false">MOD(4*A986^2,10)</f>
        <v>4</v>
      </c>
      <c r="C986" s="9" t="n">
        <f aca="false">(26*B986-5*B986^2)/24</f>
        <v>1</v>
      </c>
      <c r="D986" s="9" t="n">
        <f aca="false">(A986^2+4*C986)/5</f>
        <v>193652</v>
      </c>
      <c r="E986" s="9" t="n">
        <f aca="false">MOD(D986,10)</f>
        <v>2</v>
      </c>
      <c r="F986" s="9" t="n">
        <f aca="false">2*D986</f>
        <v>387304</v>
      </c>
      <c r="G986" s="9" t="n">
        <f aca="false">MOD(F986,10)</f>
        <v>4</v>
      </c>
      <c r="H986" s="9" t="n">
        <f aca="false">G986/2</f>
        <v>2</v>
      </c>
      <c r="I986" s="9" t="str">
        <f aca="false">IF(H986=0,"—",IF(H986=1,"unison (1:1)",IF(H986=2,"octave (2:1)",IF(H986=3,"fifth (3:2)",IF(H986=4,"fourth (4:3)","?")))))</f>
        <v>octave (2:1)</v>
      </c>
      <c r="J986" s="9" t="str">
        <f aca="false">IF(H986=0,"—",IF(H986=1,"ὁμώνυμον",IF(H986=2,"διὰ πασῶν",IF(H986=3,"διὰ πέντε",IF(H986=4,"διὰ τεσσάρων","?")))))</f>
        <v>διὰ πασῶν</v>
      </c>
      <c r="K986" s="10"/>
      <c r="L986" s="14"/>
      <c r="M986" s="13"/>
    </row>
    <row r="987" customFormat="false" ht="15.75" hidden="false" customHeight="true" outlineLevel="0" collapsed="false">
      <c r="A987" s="8" t="n">
        <f aca="false">A986+1</f>
        <v>985</v>
      </c>
      <c r="B987" s="9" t="n">
        <f aca="false">MOD(4*A987^2,10)</f>
        <v>0</v>
      </c>
      <c r="C987" s="9" t="n">
        <f aca="false">(26*B987-5*B987^2)/24</f>
        <v>0</v>
      </c>
      <c r="D987" s="9" t="n">
        <f aca="false">(A987^2+4*C987)/5</f>
        <v>194045</v>
      </c>
      <c r="E987" s="9" t="n">
        <f aca="false">MOD(D987,10)</f>
        <v>5</v>
      </c>
      <c r="F987" s="9" t="n">
        <f aca="false">2*D987</f>
        <v>388090</v>
      </c>
      <c r="G987" s="9" t="n">
        <f aca="false">MOD(F987,10)</f>
        <v>0</v>
      </c>
      <c r="H987" s="9" t="n">
        <f aca="false">G987/2</f>
        <v>0</v>
      </c>
      <c r="I987" s="9" t="str">
        <f aca="false">IF(H987=0,"—",IF(H987=1,"unison (1:1)",IF(H987=2,"octave (2:1)",IF(H987=3,"fifth (3:2)",IF(H987=4,"fourth (4:3)","?")))))</f>
        <v>—</v>
      </c>
      <c r="J987" s="9" t="str">
        <f aca="false">IF(H987=0,"—",IF(H987=1,"ὁμώνυμον",IF(H987=2,"διὰ πασῶν",IF(H987=3,"διὰ πέντε",IF(H987=4,"διὰ τεσσάρων","?")))))</f>
        <v>—</v>
      </c>
      <c r="K987" s="10"/>
      <c r="L987" s="14"/>
      <c r="M987" s="13"/>
    </row>
    <row r="988" customFormat="false" ht="15.75" hidden="false" customHeight="true" outlineLevel="0" collapsed="false">
      <c r="A988" s="8" t="n">
        <f aca="false">A987+1</f>
        <v>986</v>
      </c>
      <c r="B988" s="9" t="n">
        <f aca="false">MOD(4*A988^2,10)</f>
        <v>4</v>
      </c>
      <c r="C988" s="9" t="n">
        <f aca="false">(26*B988-5*B988^2)/24</f>
        <v>1</v>
      </c>
      <c r="D988" s="9" t="n">
        <f aca="false">(A988^2+4*C988)/5</f>
        <v>194440</v>
      </c>
      <c r="E988" s="9" t="n">
        <f aca="false">MOD(D988,10)</f>
        <v>0</v>
      </c>
      <c r="F988" s="9" t="n">
        <f aca="false">2*D988</f>
        <v>388880</v>
      </c>
      <c r="G988" s="9" t="n">
        <f aca="false">MOD(F988,10)</f>
        <v>0</v>
      </c>
      <c r="H988" s="9" t="n">
        <f aca="false">G988/2</f>
        <v>0</v>
      </c>
      <c r="I988" s="9" t="str">
        <f aca="false">IF(H988=0,"—",IF(H988=1,"unison (1:1)",IF(H988=2,"octave (2:1)",IF(H988=3,"fifth (3:2)",IF(H988=4,"fourth (4:3)","?")))))</f>
        <v>—</v>
      </c>
      <c r="J988" s="9" t="str">
        <f aca="false">IF(H988=0,"—",IF(H988=1,"ὁμώνυμον",IF(H988=2,"διὰ πασῶν",IF(H988=3,"διὰ πέντε",IF(H988=4,"διὰ τεσσάρων","?")))))</f>
        <v>—</v>
      </c>
      <c r="K988" s="10"/>
      <c r="L988" s="14"/>
      <c r="M988" s="13"/>
    </row>
    <row r="989" customFormat="false" ht="15.75" hidden="false" customHeight="true" outlineLevel="0" collapsed="false">
      <c r="A989" s="8" t="n">
        <f aca="false">A988+1</f>
        <v>987</v>
      </c>
      <c r="B989" s="9" t="n">
        <f aca="false">MOD(4*A989^2,10)</f>
        <v>6</v>
      </c>
      <c r="C989" s="9" t="n">
        <f aca="false">(26*B989-5*B989^2)/24</f>
        <v>-1</v>
      </c>
      <c r="D989" s="9" t="n">
        <f aca="false">(A989^2+4*C989)/5</f>
        <v>194833</v>
      </c>
      <c r="E989" s="9" t="n">
        <f aca="false">MOD(D989,10)</f>
        <v>3</v>
      </c>
      <c r="F989" s="9" t="n">
        <f aca="false">2*D989</f>
        <v>389666</v>
      </c>
      <c r="G989" s="9" t="n">
        <f aca="false">MOD(F989,10)</f>
        <v>6</v>
      </c>
      <c r="H989" s="9" t="n">
        <f aca="false">G989/2</f>
        <v>3</v>
      </c>
      <c r="I989" s="9" t="str">
        <f aca="false">IF(H989=0,"—",IF(H989=1,"unison (1:1)",IF(H989=2,"octave (2:1)",IF(H989=3,"fifth (3:2)",IF(H989=4,"fourth (4:3)","?")))))</f>
        <v>fifth (3:2)</v>
      </c>
      <c r="J989" s="9" t="str">
        <f aca="false">IF(H989=0,"—",IF(H989=1,"ὁμώνυμον",IF(H989=2,"διὰ πασῶν",IF(H989=3,"διὰ πέντε",IF(H989=4,"διὰ τεσσάρων","?")))))</f>
        <v>διὰ πέντε</v>
      </c>
      <c r="K989" s="10"/>
      <c r="L989" s="14"/>
      <c r="M989" s="13"/>
    </row>
    <row r="990" customFormat="false" ht="15.75" hidden="false" customHeight="true" outlineLevel="0" collapsed="false">
      <c r="A990" s="8" t="n">
        <f aca="false">A989+1</f>
        <v>988</v>
      </c>
      <c r="B990" s="9" t="n">
        <f aca="false">MOD(4*A990^2,10)</f>
        <v>6</v>
      </c>
      <c r="C990" s="9" t="n">
        <f aca="false">(26*B990-5*B990^2)/24</f>
        <v>-1</v>
      </c>
      <c r="D990" s="9" t="n">
        <f aca="false">(A990^2+4*C990)/5</f>
        <v>195228</v>
      </c>
      <c r="E990" s="9" t="n">
        <f aca="false">MOD(D990,10)</f>
        <v>8</v>
      </c>
      <c r="F990" s="9" t="n">
        <f aca="false">2*D990</f>
        <v>390456</v>
      </c>
      <c r="G990" s="9" t="n">
        <f aca="false">MOD(F990,10)</f>
        <v>6</v>
      </c>
      <c r="H990" s="9" t="n">
        <f aca="false">G990/2</f>
        <v>3</v>
      </c>
      <c r="I990" s="9" t="str">
        <f aca="false">IF(H990=0,"—",IF(H990=1,"unison (1:1)",IF(H990=2,"octave (2:1)",IF(H990=3,"fifth (3:2)",IF(H990=4,"fourth (4:3)","?")))))</f>
        <v>fifth (3:2)</v>
      </c>
      <c r="J990" s="9" t="str">
        <f aca="false">IF(H990=0,"—",IF(H990=1,"ὁμώνυμον",IF(H990=2,"διὰ πασῶν",IF(H990=3,"διὰ πέντε",IF(H990=4,"διὰ τεσσάρων","?")))))</f>
        <v>διὰ πέντε</v>
      </c>
      <c r="K990" s="10"/>
      <c r="L990" s="14"/>
      <c r="M990" s="13"/>
    </row>
    <row r="991" customFormat="false" ht="15.75" hidden="false" customHeight="true" outlineLevel="0" collapsed="false">
      <c r="A991" s="8" t="n">
        <f aca="false">A990+1</f>
        <v>989</v>
      </c>
      <c r="B991" s="9" t="n">
        <f aca="false">MOD(4*A991^2,10)</f>
        <v>4</v>
      </c>
      <c r="C991" s="9" t="n">
        <f aca="false">(26*B991-5*B991^2)/24</f>
        <v>1</v>
      </c>
      <c r="D991" s="9" t="n">
        <f aca="false">(A991^2+4*C991)/5</f>
        <v>195625</v>
      </c>
      <c r="E991" s="9" t="n">
        <f aca="false">MOD(D991,10)</f>
        <v>5</v>
      </c>
      <c r="F991" s="9" t="n">
        <f aca="false">2*D991</f>
        <v>391250</v>
      </c>
      <c r="G991" s="9" t="n">
        <f aca="false">MOD(F991,10)</f>
        <v>0</v>
      </c>
      <c r="H991" s="9" t="n">
        <f aca="false">G991/2</f>
        <v>0</v>
      </c>
      <c r="I991" s="9" t="str">
        <f aca="false">IF(H991=0,"—",IF(H991=1,"unison (1:1)",IF(H991=2,"octave (2:1)",IF(H991=3,"fifth (3:2)",IF(H991=4,"fourth (4:3)","?")))))</f>
        <v>—</v>
      </c>
      <c r="J991" s="9" t="str">
        <f aca="false">IF(H991=0,"—",IF(H991=1,"ὁμώνυμον",IF(H991=2,"διὰ πασῶν",IF(H991=3,"διὰ πέντε",IF(H991=4,"διὰ τεσσάρων","?")))))</f>
        <v>—</v>
      </c>
      <c r="K991" s="10"/>
      <c r="L991" s="14"/>
      <c r="M991" s="13"/>
    </row>
    <row r="992" customFormat="false" ht="15.75" hidden="false" customHeight="true" outlineLevel="0" collapsed="false">
      <c r="A992" s="8" t="n">
        <f aca="false">A991+1</f>
        <v>990</v>
      </c>
      <c r="B992" s="9" t="n">
        <f aca="false">MOD(4*A992^2,10)</f>
        <v>0</v>
      </c>
      <c r="C992" s="9" t="n">
        <f aca="false">(26*B992-5*B992^2)/24</f>
        <v>0</v>
      </c>
      <c r="D992" s="9" t="n">
        <f aca="false">(A992^2+4*C992)/5</f>
        <v>196020</v>
      </c>
      <c r="E992" s="9" t="n">
        <f aca="false">MOD(D992,10)</f>
        <v>0</v>
      </c>
      <c r="F992" s="9" t="n">
        <f aca="false">2*D992</f>
        <v>392040</v>
      </c>
      <c r="G992" s="9" t="n">
        <f aca="false">MOD(F992,10)</f>
        <v>0</v>
      </c>
      <c r="H992" s="9" t="n">
        <f aca="false">G992/2</f>
        <v>0</v>
      </c>
      <c r="I992" s="9" t="str">
        <f aca="false">IF(H992=0,"—",IF(H992=1,"unison (1:1)",IF(H992=2,"octave (2:1)",IF(H992=3,"fifth (3:2)",IF(H992=4,"fourth (4:3)","?")))))</f>
        <v>—</v>
      </c>
      <c r="J992" s="9" t="str">
        <f aca="false">IF(H992=0,"—",IF(H992=1,"ὁμώνυμον",IF(H992=2,"διὰ πασῶν",IF(H992=3,"διὰ πέντε",IF(H992=4,"διὰ τεσσάρων","?")))))</f>
        <v>—</v>
      </c>
      <c r="K992" s="10"/>
      <c r="L992" s="14"/>
      <c r="M992" s="13"/>
    </row>
    <row r="993" customFormat="false" ht="15.75" hidden="false" customHeight="true" outlineLevel="0" collapsed="false">
      <c r="A993" s="8" t="n">
        <f aca="false">A992+1</f>
        <v>991</v>
      </c>
      <c r="B993" s="9" t="n">
        <f aca="false">MOD(4*A993^2,10)</f>
        <v>4</v>
      </c>
      <c r="C993" s="9" t="n">
        <f aca="false">(26*B993-5*B993^2)/24</f>
        <v>1</v>
      </c>
      <c r="D993" s="9" t="n">
        <f aca="false">(A993^2+4*C993)/5</f>
        <v>196417</v>
      </c>
      <c r="E993" s="9" t="n">
        <f aca="false">MOD(D993,10)</f>
        <v>7</v>
      </c>
      <c r="F993" s="9" t="n">
        <f aca="false">2*D993</f>
        <v>392834</v>
      </c>
      <c r="G993" s="9" t="n">
        <f aca="false">MOD(F993,10)</f>
        <v>4</v>
      </c>
      <c r="H993" s="9" t="n">
        <f aca="false">G993/2</f>
        <v>2</v>
      </c>
      <c r="I993" s="9" t="str">
        <f aca="false">IF(H993=0,"—",IF(H993=1,"unison (1:1)",IF(H993=2,"octave (2:1)",IF(H993=3,"fifth (3:2)",IF(H993=4,"fourth (4:3)","?")))))</f>
        <v>octave (2:1)</v>
      </c>
      <c r="J993" s="9" t="str">
        <f aca="false">IF(H993=0,"—",IF(H993=1,"ὁμώνυμον",IF(H993=2,"διὰ πασῶν",IF(H993=3,"διὰ πέντε",IF(H993=4,"διὰ τεσσάρων","?")))))</f>
        <v>διὰ πασῶν</v>
      </c>
      <c r="K993" s="10"/>
      <c r="L993" s="14"/>
      <c r="M993" s="13"/>
    </row>
    <row r="994" customFormat="false" ht="15.75" hidden="false" customHeight="true" outlineLevel="0" collapsed="false">
      <c r="A994" s="8" t="n">
        <f aca="false">A993+1</f>
        <v>992</v>
      </c>
      <c r="B994" s="9" t="n">
        <f aca="false">MOD(4*A994^2,10)</f>
        <v>6</v>
      </c>
      <c r="C994" s="9" t="n">
        <f aca="false">(26*B994-5*B994^2)/24</f>
        <v>-1</v>
      </c>
      <c r="D994" s="9" t="n">
        <f aca="false">(A994^2+4*C994)/5</f>
        <v>196812</v>
      </c>
      <c r="E994" s="9" t="n">
        <f aca="false">MOD(D994,10)</f>
        <v>2</v>
      </c>
      <c r="F994" s="9" t="n">
        <f aca="false">2*D994</f>
        <v>393624</v>
      </c>
      <c r="G994" s="9" t="n">
        <f aca="false">MOD(F994,10)</f>
        <v>4</v>
      </c>
      <c r="H994" s="9" t="n">
        <f aca="false">G994/2</f>
        <v>2</v>
      </c>
      <c r="I994" s="9" t="str">
        <f aca="false">IF(H994=0,"—",IF(H994=1,"unison (1:1)",IF(H994=2,"octave (2:1)",IF(H994=3,"fifth (3:2)",IF(H994=4,"fourth (4:3)","?")))))</f>
        <v>octave (2:1)</v>
      </c>
      <c r="J994" s="9" t="str">
        <f aca="false">IF(H994=0,"—",IF(H994=1,"ὁμώνυμον",IF(H994=2,"διὰ πασῶν",IF(H994=3,"διὰ πέντε",IF(H994=4,"διὰ τεσσάρων","?")))))</f>
        <v>διὰ πασῶν</v>
      </c>
      <c r="K994" s="10"/>
      <c r="L994" s="14"/>
      <c r="M994" s="13"/>
    </row>
    <row r="995" customFormat="false" ht="15.75" hidden="false" customHeight="true" outlineLevel="0" collapsed="false">
      <c r="A995" s="8" t="n">
        <f aca="false">A994+1</f>
        <v>993</v>
      </c>
      <c r="B995" s="9" t="n">
        <f aca="false">MOD(4*A995^2,10)</f>
        <v>6</v>
      </c>
      <c r="C995" s="9" t="n">
        <f aca="false">(26*B995-5*B995^2)/24</f>
        <v>-1</v>
      </c>
      <c r="D995" s="9" t="n">
        <f aca="false">(A995^2+4*C995)/5</f>
        <v>197209</v>
      </c>
      <c r="E995" s="9" t="n">
        <f aca="false">MOD(D995,10)</f>
        <v>9</v>
      </c>
      <c r="F995" s="9" t="n">
        <f aca="false">2*D995</f>
        <v>394418</v>
      </c>
      <c r="G995" s="9" t="n">
        <f aca="false">MOD(F995,10)</f>
        <v>8</v>
      </c>
      <c r="H995" s="9" t="n">
        <f aca="false">G995/2</f>
        <v>4</v>
      </c>
      <c r="I995" s="9" t="str">
        <f aca="false">IF(H995=0,"—",IF(H995=1,"unison (1:1)",IF(H995=2,"octave (2:1)",IF(H995=3,"fifth (3:2)",IF(H995=4,"fourth (4:3)","?")))))</f>
        <v>fourth (4:3)</v>
      </c>
      <c r="J995" s="9" t="str">
        <f aca="false">IF(H995=0,"—",IF(H995=1,"ὁμώνυμον",IF(H995=2,"διὰ πασῶν",IF(H995=3,"διὰ πέντε",IF(H995=4,"διὰ τεσσάρων","?")))))</f>
        <v>διὰ τεσσάρων</v>
      </c>
      <c r="K995" s="10"/>
      <c r="L995" s="14"/>
      <c r="M995" s="13"/>
    </row>
    <row r="996" customFormat="false" ht="15.75" hidden="false" customHeight="true" outlineLevel="0" collapsed="false">
      <c r="A996" s="8" t="n">
        <f aca="false">A995+1</f>
        <v>994</v>
      </c>
      <c r="B996" s="9" t="n">
        <f aca="false">MOD(4*A996^2,10)</f>
        <v>4</v>
      </c>
      <c r="C996" s="9" t="n">
        <f aca="false">(26*B996-5*B996^2)/24</f>
        <v>1</v>
      </c>
      <c r="D996" s="9" t="n">
        <f aca="false">(A996^2+4*C996)/5</f>
        <v>197608</v>
      </c>
      <c r="E996" s="9" t="n">
        <f aca="false">MOD(D996,10)</f>
        <v>8</v>
      </c>
      <c r="F996" s="9" t="n">
        <f aca="false">2*D996</f>
        <v>395216</v>
      </c>
      <c r="G996" s="9" t="n">
        <f aca="false">MOD(F996,10)</f>
        <v>6</v>
      </c>
      <c r="H996" s="9" t="n">
        <f aca="false">G996/2</f>
        <v>3</v>
      </c>
      <c r="I996" s="9" t="str">
        <f aca="false">IF(H996=0,"—",IF(H996=1,"unison (1:1)",IF(H996=2,"octave (2:1)",IF(H996=3,"fifth (3:2)",IF(H996=4,"fourth (4:3)","?")))))</f>
        <v>fifth (3:2)</v>
      </c>
      <c r="J996" s="9" t="str">
        <f aca="false">IF(H996=0,"—",IF(H996=1,"ὁμώνυμον",IF(H996=2,"διὰ πασῶν",IF(H996=3,"διὰ πέντε",IF(H996=4,"διὰ τεσσάρων","?")))))</f>
        <v>διὰ πέντε</v>
      </c>
      <c r="K996" s="10"/>
      <c r="L996" s="14"/>
      <c r="M996" s="13"/>
    </row>
    <row r="997" customFormat="false" ht="15.75" hidden="false" customHeight="true" outlineLevel="0" collapsed="false">
      <c r="A997" s="8" t="n">
        <f aca="false">A996+1</f>
        <v>995</v>
      </c>
      <c r="B997" s="9" t="n">
        <f aca="false">MOD(4*A997^2,10)</f>
        <v>0</v>
      </c>
      <c r="C997" s="9" t="n">
        <f aca="false">(26*B997-5*B997^2)/24</f>
        <v>0</v>
      </c>
      <c r="D997" s="9" t="n">
        <f aca="false">(A997^2+4*C997)/5</f>
        <v>198005</v>
      </c>
      <c r="E997" s="9" t="n">
        <f aca="false">MOD(D997,10)</f>
        <v>5</v>
      </c>
      <c r="F997" s="9" t="n">
        <f aca="false">2*D997</f>
        <v>396010</v>
      </c>
      <c r="G997" s="9" t="n">
        <f aca="false">MOD(F997,10)</f>
        <v>0</v>
      </c>
      <c r="H997" s="9" t="n">
        <f aca="false">G997/2</f>
        <v>0</v>
      </c>
      <c r="I997" s="9" t="str">
        <f aca="false">IF(H997=0,"—",IF(H997=1,"unison (1:1)",IF(H997=2,"octave (2:1)",IF(H997=3,"fifth (3:2)",IF(H997=4,"fourth (4:3)","?")))))</f>
        <v>—</v>
      </c>
      <c r="J997" s="9" t="str">
        <f aca="false">IF(H997=0,"—",IF(H997=1,"ὁμώνυμον",IF(H997=2,"διὰ πασῶν",IF(H997=3,"διὰ πέντε",IF(H997=4,"διὰ τεσσάρων","?")))))</f>
        <v>—</v>
      </c>
      <c r="K997" s="10"/>
      <c r="L997" s="14"/>
      <c r="M997" s="13"/>
    </row>
    <row r="998" customFormat="false" ht="15.75" hidden="false" customHeight="true" outlineLevel="0" collapsed="false">
      <c r="A998" s="8" t="n">
        <f aca="false">A997+1</f>
        <v>996</v>
      </c>
      <c r="B998" s="9" t="n">
        <f aca="false">MOD(4*A998^2,10)</f>
        <v>4</v>
      </c>
      <c r="C998" s="9" t="n">
        <f aca="false">(26*B998-5*B998^2)/24</f>
        <v>1</v>
      </c>
      <c r="D998" s="9" t="n">
        <f aca="false">(A998^2+4*C998)/5</f>
        <v>198404</v>
      </c>
      <c r="E998" s="9" t="n">
        <f aca="false">MOD(D998,10)</f>
        <v>4</v>
      </c>
      <c r="F998" s="9" t="n">
        <f aca="false">2*D998</f>
        <v>396808</v>
      </c>
      <c r="G998" s="9" t="n">
        <f aca="false">MOD(F998,10)</f>
        <v>8</v>
      </c>
      <c r="H998" s="9" t="n">
        <f aca="false">G998/2</f>
        <v>4</v>
      </c>
      <c r="I998" s="9" t="str">
        <f aca="false">IF(H998=0,"—",IF(H998=1,"unison (1:1)",IF(H998=2,"octave (2:1)",IF(H998=3,"fifth (3:2)",IF(H998=4,"fourth (4:3)","?")))))</f>
        <v>fourth (4:3)</v>
      </c>
      <c r="J998" s="9" t="str">
        <f aca="false">IF(H998=0,"—",IF(H998=1,"ὁμώνυμον",IF(H998=2,"διὰ πασῶν",IF(H998=3,"διὰ πέντε",IF(H998=4,"διὰ τεσσάρων","?")))))</f>
        <v>διὰ τεσσάρων</v>
      </c>
      <c r="K998" s="10"/>
      <c r="L998" s="14"/>
      <c r="M998" s="13"/>
    </row>
    <row r="999" customFormat="false" ht="15.75" hidden="false" customHeight="true" outlineLevel="0" collapsed="false">
      <c r="A999" s="8" t="n">
        <f aca="false">A998+1</f>
        <v>997</v>
      </c>
      <c r="B999" s="9" t="n">
        <f aca="false">MOD(4*A999^2,10)</f>
        <v>6</v>
      </c>
      <c r="C999" s="9" t="n">
        <f aca="false">(26*B999-5*B999^2)/24</f>
        <v>-1</v>
      </c>
      <c r="D999" s="9" t="n">
        <f aca="false">(A999^2+4*C999)/5</f>
        <v>198801</v>
      </c>
      <c r="E999" s="9" t="n">
        <f aca="false">MOD(D999,10)</f>
        <v>1</v>
      </c>
      <c r="F999" s="9" t="n">
        <f aca="false">2*D999</f>
        <v>397602</v>
      </c>
      <c r="G999" s="9" t="n">
        <f aca="false">MOD(F999,10)</f>
        <v>2</v>
      </c>
      <c r="H999" s="9" t="n">
        <f aca="false">G999/2</f>
        <v>1</v>
      </c>
      <c r="I999" s="9" t="str">
        <f aca="false">IF(H999=0,"—",IF(H999=1,"unison (1:1)",IF(H999=2,"octave (2:1)",IF(H999=3,"fifth (3:2)",IF(H999=4,"fourth (4:3)","?")))))</f>
        <v>unison (1:1)</v>
      </c>
      <c r="J999" s="9" t="str">
        <f aca="false">IF(H999=0,"—",IF(H999=1,"ὁμώνυμον",IF(H999=2,"διὰ πασῶν",IF(H999=3,"διὰ πέντε",IF(H999=4,"διὰ τεσσάρων","?")))))</f>
        <v>ὁμώνυμον</v>
      </c>
      <c r="K999" s="10"/>
      <c r="L999" s="14"/>
      <c r="M999" s="13"/>
    </row>
    <row r="1000" customFormat="false" ht="15.75" hidden="false" customHeight="true" outlineLevel="0" collapsed="false">
      <c r="A1000" s="8" t="n">
        <f aca="false">A999+1</f>
        <v>998</v>
      </c>
      <c r="B1000" s="9" t="n">
        <f aca="false">MOD(4*A1000^2,10)</f>
        <v>6</v>
      </c>
      <c r="C1000" s="9" t="n">
        <f aca="false">(26*B1000-5*B1000^2)/24</f>
        <v>-1</v>
      </c>
      <c r="D1000" s="9" t="n">
        <f aca="false">(A1000^2+4*C1000)/5</f>
        <v>199200</v>
      </c>
      <c r="E1000" s="9" t="n">
        <f aca="false">MOD(D1000,10)</f>
        <v>0</v>
      </c>
      <c r="F1000" s="9" t="n">
        <f aca="false">2*D1000</f>
        <v>398400</v>
      </c>
      <c r="G1000" s="9" t="n">
        <f aca="false">MOD(F1000,10)</f>
        <v>0</v>
      </c>
      <c r="H1000" s="9" t="n">
        <f aca="false">G1000/2</f>
        <v>0</v>
      </c>
      <c r="I1000" s="9" t="str">
        <f aca="false">IF(H1000=0,"—",IF(H1000=1,"unison (1:1)",IF(H1000=2,"octave (2:1)",IF(H1000=3,"fifth (3:2)",IF(H1000=4,"fourth (4:3)","?")))))</f>
        <v>—</v>
      </c>
      <c r="J1000" s="9" t="str">
        <f aca="false">IF(H1000=0,"—",IF(H1000=1,"ὁμώνυμον",IF(H1000=2,"διὰ πασῶν",IF(H1000=3,"διὰ πέντε",IF(H1000=4,"διὰ τεσσάρων","?")))))</f>
        <v>—</v>
      </c>
      <c r="K1000" s="10"/>
      <c r="L1000" s="14"/>
      <c r="M1000" s="13"/>
    </row>
    <row r="1001" customFormat="false" ht="15.75" hidden="false" customHeight="true" outlineLevel="0" collapsed="false">
      <c r="A1001" s="8" t="n">
        <f aca="false">A1000+1</f>
        <v>999</v>
      </c>
      <c r="B1001" s="9" t="n">
        <f aca="false">MOD(4*A1001^2,10)</f>
        <v>4</v>
      </c>
      <c r="C1001" s="9" t="n">
        <f aca="false">(26*B1001-5*B1001^2)/24</f>
        <v>1</v>
      </c>
      <c r="D1001" s="9" t="n">
        <f aca="false">(A1001^2+4*C1001)/5</f>
        <v>199601</v>
      </c>
      <c r="E1001" s="9" t="n">
        <f aca="false">MOD(D1001,10)</f>
        <v>1</v>
      </c>
      <c r="F1001" s="9" t="n">
        <f aca="false">2*D1001</f>
        <v>399202</v>
      </c>
      <c r="G1001" s="9" t="n">
        <f aca="false">MOD(F1001,10)</f>
        <v>2</v>
      </c>
      <c r="H1001" s="9" t="n">
        <f aca="false">G1001/2</f>
        <v>1</v>
      </c>
      <c r="I1001" s="9" t="str">
        <f aca="false">IF(H1001=0,"—",IF(H1001=1,"unison (1:1)",IF(H1001=2,"octave (2:1)",IF(H1001=3,"fifth (3:2)",IF(H1001=4,"fourth (4:3)","?")))))</f>
        <v>unison (1:1)</v>
      </c>
      <c r="J1001" s="9" t="str">
        <f aca="false">IF(H1001=0,"—",IF(H1001=1,"ὁμώνυμον",IF(H1001=2,"διὰ πασῶν",IF(H1001=3,"διὰ πέντε",IF(H1001=4,"διὰ τεσσάρων","?")))))</f>
        <v>ὁμώνυμον</v>
      </c>
      <c r="K1001" s="10"/>
      <c r="L1001" s="14"/>
      <c r="M1001" s="13"/>
    </row>
    <row r="1002" customFormat="false" ht="15.75" hidden="false" customHeight="true" outlineLevel="0" collapsed="false">
      <c r="A1002" s="8" t="n">
        <f aca="false">A1001+1</f>
        <v>1000</v>
      </c>
      <c r="B1002" s="9" t="n">
        <f aca="false">MOD(4*A1002^2,10)</f>
        <v>0</v>
      </c>
      <c r="C1002" s="9" t="n">
        <f aca="false">(26*B1002-5*B1002^2)/24</f>
        <v>0</v>
      </c>
      <c r="D1002" s="9" t="n">
        <f aca="false">(A1002^2+4*C1002)/5</f>
        <v>200000</v>
      </c>
      <c r="E1002" s="9" t="n">
        <f aca="false">MOD(D1002,10)</f>
        <v>0</v>
      </c>
      <c r="F1002" s="9" t="n">
        <f aca="false">2*D1002</f>
        <v>400000</v>
      </c>
      <c r="G1002" s="9" t="n">
        <f aca="false">MOD(F1002,10)</f>
        <v>0</v>
      </c>
      <c r="H1002" s="9" t="n">
        <f aca="false">G1002/2</f>
        <v>0</v>
      </c>
      <c r="I1002" s="9" t="str">
        <f aca="false">IF(H1002=0,"—",IF(H1002=1,"unison (1:1)",IF(H1002=2,"octave (2:1)",IF(H1002=3,"fifth (3:2)",IF(H1002=4,"fourth (4:3)","?")))))</f>
        <v>—</v>
      </c>
      <c r="J1002" s="9" t="str">
        <f aca="false">IF(H1002=0,"—",IF(H1002=1,"ὁμώνυμον",IF(H1002=2,"διὰ πασῶν",IF(H1002=3,"διὰ πέντε",IF(H1002=4,"διὰ τεσσάρων","?")))))</f>
        <v>—</v>
      </c>
      <c r="K1002" s="10"/>
      <c r="L1002" s="14"/>
      <c r="M1002" s="13"/>
    </row>
    <row r="1003" customFormat="false" ht="15.75" hidden="false" customHeight="true" outlineLevel="0" collapsed="false">
      <c r="A1003" s="8" t="n">
        <f aca="false">A1002+1</f>
        <v>1001</v>
      </c>
      <c r="B1003" s="9" t="n">
        <f aca="false">MOD(4*A1003^2,10)</f>
        <v>4</v>
      </c>
      <c r="C1003" s="9" t="n">
        <f aca="false">(26*B1003-5*B1003^2)/24</f>
        <v>1</v>
      </c>
      <c r="D1003" s="9" t="n">
        <f aca="false">(A1003^2+4*C1003)/5</f>
        <v>200401</v>
      </c>
      <c r="E1003" s="9" t="n">
        <f aca="false">MOD(D1003,10)</f>
        <v>1</v>
      </c>
      <c r="F1003" s="9" t="n">
        <f aca="false">2*D1003</f>
        <v>400802</v>
      </c>
      <c r="G1003" s="9" t="n">
        <f aca="false">MOD(F1003,10)</f>
        <v>2</v>
      </c>
      <c r="H1003" s="9" t="n">
        <f aca="false">G1003/2</f>
        <v>1</v>
      </c>
      <c r="I1003" s="9" t="str">
        <f aca="false">IF(H1003=0,"—",IF(H1003=1,"unison (1:1)",IF(H1003=2,"octave (2:1)",IF(H1003=3,"fifth (3:2)",IF(H1003=4,"fourth (4:3)","?")))))</f>
        <v>unison (1:1)</v>
      </c>
      <c r="J1003" s="9" t="str">
        <f aca="false">IF(H1003=0,"—",IF(H1003=1,"ὁμώνυμον",IF(H1003=2,"διὰ πασῶν",IF(H1003=3,"διὰ πέντε",IF(H1003=4,"διὰ τεσσάρων","?")))))</f>
        <v>ὁμώνυμον</v>
      </c>
      <c r="K1003" s="10"/>
      <c r="L1003" s="14"/>
      <c r="M1003" s="13"/>
    </row>
    <row r="1004" customFormat="false" ht="15.75" hidden="false" customHeight="true" outlineLevel="0" collapsed="false">
      <c r="A1004" s="8" t="n">
        <f aca="false">A1003+1</f>
        <v>1002</v>
      </c>
      <c r="B1004" s="9" t="n">
        <f aca="false">MOD(4*A1004^2,10)</f>
        <v>6</v>
      </c>
      <c r="C1004" s="9" t="n">
        <f aca="false">(26*B1004-5*B1004^2)/24</f>
        <v>-1</v>
      </c>
      <c r="D1004" s="9" t="n">
        <f aca="false">(A1004^2+4*C1004)/5</f>
        <v>200800</v>
      </c>
      <c r="E1004" s="9" t="n">
        <f aca="false">MOD(D1004,10)</f>
        <v>0</v>
      </c>
      <c r="F1004" s="9" t="n">
        <f aca="false">2*D1004</f>
        <v>401600</v>
      </c>
      <c r="G1004" s="9" t="n">
        <f aca="false">MOD(F1004,10)</f>
        <v>0</v>
      </c>
      <c r="H1004" s="9" t="n">
        <f aca="false">G1004/2</f>
        <v>0</v>
      </c>
      <c r="I1004" s="9" t="str">
        <f aca="false">IF(H1004=0,"—",IF(H1004=1,"unison (1:1)",IF(H1004=2,"octave (2:1)",IF(H1004=3,"fifth (3:2)",IF(H1004=4,"fourth (4:3)","?")))))</f>
        <v>—</v>
      </c>
      <c r="J1004" s="9" t="str">
        <f aca="false">IF(H1004=0,"—",IF(H1004=1,"ὁμώνυμον",IF(H1004=2,"διὰ πασῶν",IF(H1004=3,"διὰ πέντε",IF(H1004=4,"διὰ τεσσάρων","?")))))</f>
        <v>—</v>
      </c>
      <c r="K1004" s="10"/>
      <c r="L1004" s="14"/>
      <c r="M1004" s="13"/>
    </row>
    <row r="1005" customFormat="false" ht="15.75" hidden="false" customHeight="true" outlineLevel="0" collapsed="false">
      <c r="A1005" s="8" t="n">
        <f aca="false">A1004+1</f>
        <v>1003</v>
      </c>
      <c r="B1005" s="9" t="n">
        <f aca="false">MOD(4*A1005^2,10)</f>
        <v>6</v>
      </c>
      <c r="C1005" s="9" t="n">
        <f aca="false">(26*B1005-5*B1005^2)/24</f>
        <v>-1</v>
      </c>
      <c r="D1005" s="9" t="n">
        <f aca="false">(A1005^2+4*C1005)/5</f>
        <v>201201</v>
      </c>
      <c r="E1005" s="9" t="n">
        <f aca="false">MOD(D1005,10)</f>
        <v>1</v>
      </c>
      <c r="F1005" s="9" t="n">
        <f aca="false">2*D1005</f>
        <v>402402</v>
      </c>
      <c r="G1005" s="9" t="n">
        <f aca="false">MOD(F1005,10)</f>
        <v>2</v>
      </c>
      <c r="H1005" s="9" t="n">
        <f aca="false">G1005/2</f>
        <v>1</v>
      </c>
      <c r="I1005" s="9" t="str">
        <f aca="false">IF(H1005=0,"—",IF(H1005=1,"unison (1:1)",IF(H1005=2,"octave (2:1)",IF(H1005=3,"fifth (3:2)",IF(H1005=4,"fourth (4:3)","?")))))</f>
        <v>unison (1:1)</v>
      </c>
      <c r="J1005" s="9" t="str">
        <f aca="false">IF(H1005=0,"—",IF(H1005=1,"ὁμώνυμον",IF(H1005=2,"διὰ πασῶν",IF(H1005=3,"διὰ πέντε",IF(H1005=4,"διὰ τεσσάρων","?")))))</f>
        <v>ὁμώνυμον</v>
      </c>
      <c r="K1005" s="10"/>
      <c r="L1005" s="14"/>
      <c r="M1005" s="13"/>
    </row>
    <row r="1006" customFormat="false" ht="15.75" hidden="false" customHeight="true" outlineLevel="0" collapsed="false">
      <c r="A1006" s="8" t="n">
        <f aca="false">A1005+1</f>
        <v>1004</v>
      </c>
      <c r="B1006" s="9" t="n">
        <f aca="false">MOD(4*A1006^2,10)</f>
        <v>4</v>
      </c>
      <c r="C1006" s="9" t="n">
        <f aca="false">(26*B1006-5*B1006^2)/24</f>
        <v>1</v>
      </c>
      <c r="D1006" s="9" t="n">
        <f aca="false">(A1006^2+4*C1006)/5</f>
        <v>201604</v>
      </c>
      <c r="E1006" s="9" t="n">
        <f aca="false">MOD(D1006,10)</f>
        <v>4</v>
      </c>
      <c r="F1006" s="9" t="n">
        <f aca="false">2*D1006</f>
        <v>403208</v>
      </c>
      <c r="G1006" s="9" t="n">
        <f aca="false">MOD(F1006,10)</f>
        <v>8</v>
      </c>
      <c r="H1006" s="9" t="n">
        <f aca="false">G1006/2</f>
        <v>4</v>
      </c>
      <c r="I1006" s="9" t="str">
        <f aca="false">IF(H1006=0,"—",IF(H1006=1,"unison (1:1)",IF(H1006=2,"octave (2:1)",IF(H1006=3,"fifth (3:2)",IF(H1006=4,"fourth (4:3)","?")))))</f>
        <v>fourth (4:3)</v>
      </c>
      <c r="J1006" s="9" t="str">
        <f aca="false">IF(H1006=0,"—",IF(H1006=1,"ὁμώνυμον",IF(H1006=2,"διὰ πασῶν",IF(H1006=3,"διὰ πέντε",IF(H1006=4,"διὰ τεσσάρων","?")))))</f>
        <v>διὰ τεσσάρων</v>
      </c>
      <c r="K1006" s="10"/>
      <c r="L1006" s="14"/>
      <c r="M1006" s="13"/>
    </row>
    <row r="1007" customFormat="false" ht="15.75" hidden="false" customHeight="true" outlineLevel="0" collapsed="false">
      <c r="A1007" s="8" t="n">
        <f aca="false">A1006+1</f>
        <v>1005</v>
      </c>
      <c r="B1007" s="9" t="n">
        <f aca="false">MOD(4*A1007^2,10)</f>
        <v>0</v>
      </c>
      <c r="C1007" s="9" t="n">
        <f aca="false">(26*B1007-5*B1007^2)/24</f>
        <v>0</v>
      </c>
      <c r="D1007" s="9" t="n">
        <f aca="false">(A1007^2+4*C1007)/5</f>
        <v>202005</v>
      </c>
      <c r="E1007" s="9" t="n">
        <f aca="false">MOD(D1007,10)</f>
        <v>5</v>
      </c>
      <c r="F1007" s="9" t="n">
        <f aca="false">2*D1007</f>
        <v>404010</v>
      </c>
      <c r="G1007" s="9" t="n">
        <f aca="false">MOD(F1007,10)</f>
        <v>0</v>
      </c>
      <c r="H1007" s="9" t="n">
        <f aca="false">G1007/2</f>
        <v>0</v>
      </c>
      <c r="I1007" s="9" t="str">
        <f aca="false">IF(H1007=0,"—",IF(H1007=1,"unison (1:1)",IF(H1007=2,"octave (2:1)",IF(H1007=3,"fifth (3:2)",IF(H1007=4,"fourth (4:3)","?")))))</f>
        <v>—</v>
      </c>
      <c r="J1007" s="9" t="str">
        <f aca="false">IF(H1007=0,"—",IF(H1007=1,"ὁμώνυμον",IF(H1007=2,"διὰ πασῶν",IF(H1007=3,"διὰ πέντε",IF(H1007=4,"διὰ τεσσάρων","?")))))</f>
        <v>—</v>
      </c>
      <c r="K1007" s="10"/>
      <c r="L1007" s="14"/>
      <c r="M1007" s="13"/>
    </row>
    <row r="1008" customFormat="false" ht="15.75" hidden="false" customHeight="true" outlineLevel="0" collapsed="false">
      <c r="A1008" s="8" t="n">
        <f aca="false">A1007+1</f>
        <v>1006</v>
      </c>
      <c r="B1008" s="9" t="n">
        <f aca="false">MOD(4*A1008^2,10)</f>
        <v>4</v>
      </c>
      <c r="C1008" s="9" t="n">
        <f aca="false">(26*B1008-5*B1008^2)/24</f>
        <v>1</v>
      </c>
      <c r="D1008" s="9" t="n">
        <f aca="false">(A1008^2+4*C1008)/5</f>
        <v>202408</v>
      </c>
      <c r="E1008" s="9" t="n">
        <f aca="false">MOD(D1008,10)</f>
        <v>8</v>
      </c>
      <c r="F1008" s="9" t="n">
        <f aca="false">2*D1008</f>
        <v>404816</v>
      </c>
      <c r="G1008" s="9" t="n">
        <f aca="false">MOD(F1008,10)</f>
        <v>6</v>
      </c>
      <c r="H1008" s="9" t="n">
        <f aca="false">G1008/2</f>
        <v>3</v>
      </c>
      <c r="I1008" s="9" t="str">
        <f aca="false">IF(H1008=0,"—",IF(H1008=1,"unison (1:1)",IF(H1008=2,"octave (2:1)",IF(H1008=3,"fifth (3:2)",IF(H1008=4,"fourth (4:3)","?")))))</f>
        <v>fifth (3:2)</v>
      </c>
      <c r="J1008" s="9" t="str">
        <f aca="false">IF(H1008=0,"—",IF(H1008=1,"ὁμώνυμον",IF(H1008=2,"διὰ πασῶν",IF(H1008=3,"διὰ πέντε",IF(H1008=4,"διὰ τεσσάρων","?")))))</f>
        <v>διὰ πέντε</v>
      </c>
      <c r="K1008" s="10"/>
      <c r="L1008" s="14"/>
      <c r="M1008" s="13"/>
    </row>
    <row r="1009" customFormat="false" ht="15.75" hidden="false" customHeight="true" outlineLevel="0" collapsed="false">
      <c r="A1009" s="8" t="n">
        <f aca="false">A1008+1</f>
        <v>1007</v>
      </c>
      <c r="B1009" s="9" t="n">
        <f aca="false">MOD(4*A1009^2,10)</f>
        <v>6</v>
      </c>
      <c r="C1009" s="9" t="n">
        <f aca="false">(26*B1009-5*B1009^2)/24</f>
        <v>-1</v>
      </c>
      <c r="D1009" s="9" t="n">
        <f aca="false">(A1009^2+4*C1009)/5</f>
        <v>202809</v>
      </c>
      <c r="E1009" s="9" t="n">
        <f aca="false">MOD(D1009,10)</f>
        <v>9</v>
      </c>
      <c r="F1009" s="9" t="n">
        <f aca="false">2*D1009</f>
        <v>405618</v>
      </c>
      <c r="G1009" s="9" t="n">
        <f aca="false">MOD(F1009,10)</f>
        <v>8</v>
      </c>
      <c r="H1009" s="9" t="n">
        <f aca="false">G1009/2</f>
        <v>4</v>
      </c>
      <c r="I1009" s="9" t="str">
        <f aca="false">IF(H1009=0,"—",IF(H1009=1,"unison (1:1)",IF(H1009=2,"octave (2:1)",IF(H1009=3,"fifth (3:2)",IF(H1009=4,"fourth (4:3)","?")))))</f>
        <v>fourth (4:3)</v>
      </c>
      <c r="J1009" s="9" t="str">
        <f aca="false">IF(H1009=0,"—",IF(H1009=1,"ὁμώνυμον",IF(H1009=2,"διὰ πασῶν",IF(H1009=3,"διὰ πέντε",IF(H1009=4,"διὰ τεσσάρων","?")))))</f>
        <v>διὰ τεσσάρων</v>
      </c>
      <c r="K1009" s="10"/>
      <c r="L1009" s="14"/>
      <c r="M1009" s="13"/>
    </row>
    <row r="1010" customFormat="false" ht="15.75" hidden="false" customHeight="true" outlineLevel="0" collapsed="false">
      <c r="A1010" s="8" t="n">
        <f aca="false">A1009+1</f>
        <v>1008</v>
      </c>
      <c r="B1010" s="9" t="n">
        <f aca="false">MOD(4*A1010^2,10)</f>
        <v>6</v>
      </c>
      <c r="C1010" s="9" t="n">
        <f aca="false">(26*B1010-5*B1010^2)/24</f>
        <v>-1</v>
      </c>
      <c r="D1010" s="9" t="n">
        <f aca="false">(A1010^2+4*C1010)/5</f>
        <v>203212</v>
      </c>
      <c r="E1010" s="9" t="n">
        <f aca="false">MOD(D1010,10)</f>
        <v>2</v>
      </c>
      <c r="F1010" s="9" t="n">
        <f aca="false">2*D1010</f>
        <v>406424</v>
      </c>
      <c r="G1010" s="9" t="n">
        <f aca="false">MOD(F1010,10)</f>
        <v>4</v>
      </c>
      <c r="H1010" s="9" t="n">
        <f aca="false">G1010/2</f>
        <v>2</v>
      </c>
      <c r="I1010" s="9" t="str">
        <f aca="false">IF(H1010=0,"—",IF(H1010=1,"unison (1:1)",IF(H1010=2,"octave (2:1)",IF(H1010=3,"fifth (3:2)",IF(H1010=4,"fourth (4:3)","?")))))</f>
        <v>octave (2:1)</v>
      </c>
      <c r="J1010" s="9" t="str">
        <f aca="false">IF(H1010=0,"—",IF(H1010=1,"ὁμώνυμον",IF(H1010=2,"διὰ πασῶν",IF(H1010=3,"διὰ πέντε",IF(H1010=4,"διὰ τεσσάρων","?")))))</f>
        <v>διὰ πασῶν</v>
      </c>
      <c r="K1010" s="10"/>
      <c r="L1010" s="14"/>
      <c r="M1010" s="13"/>
    </row>
    <row r="1011" customFormat="false" ht="15.75" hidden="false" customHeight="true" outlineLevel="0" collapsed="false">
      <c r="A1011" s="8" t="n">
        <f aca="false">A1010+1</f>
        <v>1009</v>
      </c>
      <c r="B1011" s="9" t="n">
        <f aca="false">MOD(4*A1011^2,10)</f>
        <v>4</v>
      </c>
      <c r="C1011" s="9" t="n">
        <f aca="false">(26*B1011-5*B1011^2)/24</f>
        <v>1</v>
      </c>
      <c r="D1011" s="9" t="n">
        <f aca="false">(A1011^2+4*C1011)/5</f>
        <v>203617</v>
      </c>
      <c r="E1011" s="9" t="n">
        <f aca="false">MOD(D1011,10)</f>
        <v>7</v>
      </c>
      <c r="F1011" s="9" t="n">
        <f aca="false">2*D1011</f>
        <v>407234</v>
      </c>
      <c r="G1011" s="9" t="n">
        <f aca="false">MOD(F1011,10)</f>
        <v>4</v>
      </c>
      <c r="H1011" s="9" t="n">
        <f aca="false">G1011/2</f>
        <v>2</v>
      </c>
      <c r="I1011" s="9" t="str">
        <f aca="false">IF(H1011=0,"—",IF(H1011=1,"unison (1:1)",IF(H1011=2,"octave (2:1)",IF(H1011=3,"fifth (3:2)",IF(H1011=4,"fourth (4:3)","?")))))</f>
        <v>octave (2:1)</v>
      </c>
      <c r="J1011" s="9" t="str">
        <f aca="false">IF(H1011=0,"—",IF(H1011=1,"ὁμώνυμον",IF(H1011=2,"διὰ πασῶν",IF(H1011=3,"διὰ πέντε",IF(H1011=4,"διὰ τεσσάρων","?")))))</f>
        <v>διὰ πασῶν</v>
      </c>
      <c r="K1011" s="10"/>
      <c r="L1011" s="14"/>
      <c r="M1011" s="13"/>
    </row>
    <row r="1012" customFormat="false" ht="15.75" hidden="false" customHeight="true" outlineLevel="0" collapsed="false">
      <c r="A1012" s="8" t="n">
        <f aca="false">A1011+1</f>
        <v>1010</v>
      </c>
      <c r="B1012" s="9" t="n">
        <f aca="false">MOD(4*A1012^2,10)</f>
        <v>0</v>
      </c>
      <c r="C1012" s="9" t="n">
        <f aca="false">(26*B1012-5*B1012^2)/24</f>
        <v>0</v>
      </c>
      <c r="D1012" s="9" t="n">
        <f aca="false">(A1012^2+4*C1012)/5</f>
        <v>204020</v>
      </c>
      <c r="E1012" s="9" t="n">
        <f aca="false">MOD(D1012,10)</f>
        <v>0</v>
      </c>
      <c r="F1012" s="9" t="n">
        <f aca="false">2*D1012</f>
        <v>408040</v>
      </c>
      <c r="G1012" s="9" t="n">
        <f aca="false">MOD(F1012,10)</f>
        <v>0</v>
      </c>
      <c r="H1012" s="9" t="n">
        <f aca="false">G1012/2</f>
        <v>0</v>
      </c>
      <c r="I1012" s="9" t="str">
        <f aca="false">IF(H1012=0,"—",IF(H1012=1,"unison (1:1)",IF(H1012=2,"octave (2:1)",IF(H1012=3,"fifth (3:2)",IF(H1012=4,"fourth (4:3)","?")))))</f>
        <v>—</v>
      </c>
      <c r="J1012" s="9" t="str">
        <f aca="false">IF(H1012=0,"—",IF(H1012=1,"ὁμώνυμον",IF(H1012=2,"διὰ πασῶν",IF(H1012=3,"διὰ πέντε",IF(H1012=4,"διὰ τεσσάρων","?")))))</f>
        <v>—</v>
      </c>
      <c r="K1012" s="10"/>
      <c r="L1012" s="14"/>
      <c r="M1012" s="13"/>
    </row>
    <row r="1013" customFormat="false" ht="15.75" hidden="false" customHeight="true" outlineLevel="0" collapsed="false">
      <c r="A1013" s="8" t="n">
        <f aca="false">A1012+1</f>
        <v>1011</v>
      </c>
      <c r="B1013" s="9" t="n">
        <f aca="false">MOD(4*A1013^2,10)</f>
        <v>4</v>
      </c>
      <c r="C1013" s="9" t="n">
        <f aca="false">(26*B1013-5*B1013^2)/24</f>
        <v>1</v>
      </c>
      <c r="D1013" s="9" t="n">
        <f aca="false">(A1013^2+4*C1013)/5</f>
        <v>204425</v>
      </c>
      <c r="E1013" s="9" t="n">
        <f aca="false">MOD(D1013,10)</f>
        <v>5</v>
      </c>
      <c r="F1013" s="9" t="n">
        <f aca="false">2*D1013</f>
        <v>408850</v>
      </c>
      <c r="G1013" s="9" t="n">
        <f aca="false">MOD(F1013,10)</f>
        <v>0</v>
      </c>
      <c r="H1013" s="9" t="n">
        <f aca="false">G1013/2</f>
        <v>0</v>
      </c>
      <c r="I1013" s="9" t="str">
        <f aca="false">IF(H1013=0,"—",IF(H1013=1,"unison (1:1)",IF(H1013=2,"octave (2:1)",IF(H1013=3,"fifth (3:2)",IF(H1013=4,"fourth (4:3)","?")))))</f>
        <v>—</v>
      </c>
      <c r="J1013" s="9" t="str">
        <f aca="false">IF(H1013=0,"—",IF(H1013=1,"ὁμώνυμον",IF(H1013=2,"διὰ πασῶν",IF(H1013=3,"διὰ πέντε",IF(H1013=4,"διὰ τεσσάρων","?")))))</f>
        <v>—</v>
      </c>
      <c r="K1013" s="10"/>
      <c r="L1013" s="14"/>
      <c r="M1013" s="13"/>
    </row>
    <row r="1014" customFormat="false" ht="15.75" hidden="false" customHeight="true" outlineLevel="0" collapsed="false">
      <c r="A1014" s="8" t="n">
        <f aca="false">A1013+1</f>
        <v>1012</v>
      </c>
      <c r="B1014" s="9" t="n">
        <f aca="false">MOD(4*A1014^2,10)</f>
        <v>6</v>
      </c>
      <c r="C1014" s="9" t="n">
        <f aca="false">(26*B1014-5*B1014^2)/24</f>
        <v>-1</v>
      </c>
      <c r="D1014" s="9" t="n">
        <f aca="false">(A1014^2+4*C1014)/5</f>
        <v>204828</v>
      </c>
      <c r="E1014" s="9" t="n">
        <f aca="false">MOD(D1014,10)</f>
        <v>8</v>
      </c>
      <c r="F1014" s="9" t="n">
        <f aca="false">2*D1014</f>
        <v>409656</v>
      </c>
      <c r="G1014" s="9" t="n">
        <f aca="false">MOD(F1014,10)</f>
        <v>6</v>
      </c>
      <c r="H1014" s="9" t="n">
        <f aca="false">G1014/2</f>
        <v>3</v>
      </c>
      <c r="I1014" s="9" t="str">
        <f aca="false">IF(H1014=0,"—",IF(H1014=1,"unison (1:1)",IF(H1014=2,"octave (2:1)",IF(H1014=3,"fifth (3:2)",IF(H1014=4,"fourth (4:3)","?")))))</f>
        <v>fifth (3:2)</v>
      </c>
      <c r="J1014" s="9" t="str">
        <f aca="false">IF(H1014=0,"—",IF(H1014=1,"ὁμώνυμον",IF(H1014=2,"διὰ πασῶν",IF(H1014=3,"διὰ πέντε",IF(H1014=4,"διὰ τεσσάρων","?")))))</f>
        <v>διὰ πέντε</v>
      </c>
      <c r="K1014" s="10"/>
      <c r="L1014" s="14"/>
      <c r="M1014" s="13"/>
    </row>
    <row r="1015" customFormat="false" ht="15.75" hidden="false" customHeight="true" outlineLevel="0" collapsed="false">
      <c r="A1015" s="8" t="n">
        <f aca="false">A1014+1</f>
        <v>1013</v>
      </c>
      <c r="B1015" s="9" t="n">
        <f aca="false">MOD(4*A1015^2,10)</f>
        <v>6</v>
      </c>
      <c r="C1015" s="9" t="n">
        <f aca="false">(26*B1015-5*B1015^2)/24</f>
        <v>-1</v>
      </c>
      <c r="D1015" s="9" t="n">
        <f aca="false">(A1015^2+4*C1015)/5</f>
        <v>205233</v>
      </c>
      <c r="E1015" s="9" t="n">
        <f aca="false">MOD(D1015,10)</f>
        <v>3</v>
      </c>
      <c r="F1015" s="9" t="n">
        <f aca="false">2*D1015</f>
        <v>410466</v>
      </c>
      <c r="G1015" s="9" t="n">
        <f aca="false">MOD(F1015,10)</f>
        <v>6</v>
      </c>
      <c r="H1015" s="9" t="n">
        <f aca="false">G1015/2</f>
        <v>3</v>
      </c>
      <c r="I1015" s="9" t="str">
        <f aca="false">IF(H1015=0,"—",IF(H1015=1,"unison (1:1)",IF(H1015=2,"octave (2:1)",IF(H1015=3,"fifth (3:2)",IF(H1015=4,"fourth (4:3)","?")))))</f>
        <v>fifth (3:2)</v>
      </c>
      <c r="J1015" s="9" t="str">
        <f aca="false">IF(H1015=0,"—",IF(H1015=1,"ὁμώνυμον",IF(H1015=2,"διὰ πασῶν",IF(H1015=3,"διὰ πέντε",IF(H1015=4,"διὰ τεσσάρων","?")))))</f>
        <v>διὰ πέντε</v>
      </c>
      <c r="K1015" s="10"/>
      <c r="L1015" s="14"/>
      <c r="M1015" s="13"/>
    </row>
    <row r="1016" customFormat="false" ht="15.75" hidden="false" customHeight="true" outlineLevel="0" collapsed="false">
      <c r="A1016" s="8" t="n">
        <f aca="false">A1015+1</f>
        <v>1014</v>
      </c>
      <c r="B1016" s="9" t="n">
        <f aca="false">MOD(4*A1016^2,10)</f>
        <v>4</v>
      </c>
      <c r="C1016" s="9" t="n">
        <f aca="false">(26*B1016-5*B1016^2)/24</f>
        <v>1</v>
      </c>
      <c r="D1016" s="9" t="n">
        <f aca="false">(A1016^2+4*C1016)/5</f>
        <v>205640</v>
      </c>
      <c r="E1016" s="9" t="n">
        <f aca="false">MOD(D1016,10)</f>
        <v>0</v>
      </c>
      <c r="F1016" s="9" t="n">
        <f aca="false">2*D1016</f>
        <v>411280</v>
      </c>
      <c r="G1016" s="9" t="n">
        <f aca="false">MOD(F1016,10)</f>
        <v>0</v>
      </c>
      <c r="H1016" s="9" t="n">
        <f aca="false">G1016/2</f>
        <v>0</v>
      </c>
      <c r="I1016" s="9" t="str">
        <f aca="false">IF(H1016=0,"—",IF(H1016=1,"unison (1:1)",IF(H1016=2,"octave (2:1)",IF(H1016=3,"fifth (3:2)",IF(H1016=4,"fourth (4:3)","?")))))</f>
        <v>—</v>
      </c>
      <c r="J1016" s="9" t="str">
        <f aca="false">IF(H1016=0,"—",IF(H1016=1,"ὁμώνυμον",IF(H1016=2,"διὰ πασῶν",IF(H1016=3,"διὰ πέντε",IF(H1016=4,"διὰ τεσσάρων","?")))))</f>
        <v>—</v>
      </c>
      <c r="K1016" s="10"/>
      <c r="L1016" s="14"/>
      <c r="M1016" s="13"/>
    </row>
    <row r="1017" customFormat="false" ht="15.75" hidden="false" customHeight="true" outlineLevel="0" collapsed="false">
      <c r="A1017" s="8" t="n">
        <f aca="false">A1016+1</f>
        <v>1015</v>
      </c>
      <c r="B1017" s="9" t="n">
        <f aca="false">MOD(4*A1017^2,10)</f>
        <v>0</v>
      </c>
      <c r="C1017" s="9" t="n">
        <f aca="false">(26*B1017-5*B1017^2)/24</f>
        <v>0</v>
      </c>
      <c r="D1017" s="9" t="n">
        <f aca="false">(A1017^2+4*C1017)/5</f>
        <v>206045</v>
      </c>
      <c r="E1017" s="9" t="n">
        <f aca="false">MOD(D1017,10)</f>
        <v>5</v>
      </c>
      <c r="F1017" s="9" t="n">
        <f aca="false">2*D1017</f>
        <v>412090</v>
      </c>
      <c r="G1017" s="9" t="n">
        <f aca="false">MOD(F1017,10)</f>
        <v>0</v>
      </c>
      <c r="H1017" s="9" t="n">
        <f aca="false">G1017/2</f>
        <v>0</v>
      </c>
      <c r="I1017" s="9" t="str">
        <f aca="false">IF(H1017=0,"—",IF(H1017=1,"unison (1:1)",IF(H1017=2,"octave (2:1)",IF(H1017=3,"fifth (3:2)",IF(H1017=4,"fourth (4:3)","?")))))</f>
        <v>—</v>
      </c>
      <c r="J1017" s="9" t="str">
        <f aca="false">IF(H1017=0,"—",IF(H1017=1,"ὁμώνυμον",IF(H1017=2,"διὰ πασῶν",IF(H1017=3,"διὰ πέντε",IF(H1017=4,"διὰ τεσσάρων","?")))))</f>
        <v>—</v>
      </c>
      <c r="K1017" s="10"/>
      <c r="L1017" s="14"/>
      <c r="M1017" s="13"/>
    </row>
    <row r="1018" customFormat="false" ht="15.75" hidden="false" customHeight="true" outlineLevel="0" collapsed="false">
      <c r="A1018" s="8" t="n">
        <f aca="false">A1017+1</f>
        <v>1016</v>
      </c>
      <c r="B1018" s="9" t="n">
        <f aca="false">MOD(4*A1018^2,10)</f>
        <v>4</v>
      </c>
      <c r="C1018" s="9" t="n">
        <f aca="false">(26*B1018-5*B1018^2)/24</f>
        <v>1</v>
      </c>
      <c r="D1018" s="9" t="n">
        <f aca="false">(A1018^2+4*C1018)/5</f>
        <v>206452</v>
      </c>
      <c r="E1018" s="9" t="n">
        <f aca="false">MOD(D1018,10)</f>
        <v>2</v>
      </c>
      <c r="F1018" s="9" t="n">
        <f aca="false">2*D1018</f>
        <v>412904</v>
      </c>
      <c r="G1018" s="9" t="n">
        <f aca="false">MOD(F1018,10)</f>
        <v>4</v>
      </c>
      <c r="H1018" s="9" t="n">
        <f aca="false">G1018/2</f>
        <v>2</v>
      </c>
      <c r="I1018" s="9" t="str">
        <f aca="false">IF(H1018=0,"—",IF(H1018=1,"unison (1:1)",IF(H1018=2,"octave (2:1)",IF(H1018=3,"fifth (3:2)",IF(H1018=4,"fourth (4:3)","?")))))</f>
        <v>octave (2:1)</v>
      </c>
      <c r="J1018" s="9" t="str">
        <f aca="false">IF(H1018=0,"—",IF(H1018=1,"ὁμώνυμον",IF(H1018=2,"διὰ πασῶν",IF(H1018=3,"διὰ πέντε",IF(H1018=4,"διὰ τεσσάρων","?")))))</f>
        <v>διὰ πασῶν</v>
      </c>
      <c r="K1018" s="10"/>
      <c r="L1018" s="14"/>
      <c r="M1018" s="13"/>
    </row>
    <row r="1019" customFormat="false" ht="15.75" hidden="false" customHeight="true" outlineLevel="0" collapsed="false">
      <c r="A1019" s="8" t="n">
        <f aca="false">A1018+1</f>
        <v>1017</v>
      </c>
      <c r="B1019" s="9" t="n">
        <f aca="false">MOD(4*A1019^2,10)</f>
        <v>6</v>
      </c>
      <c r="C1019" s="9" t="n">
        <f aca="false">(26*B1019-5*B1019^2)/24</f>
        <v>-1</v>
      </c>
      <c r="D1019" s="9" t="n">
        <f aca="false">(A1019^2+4*C1019)/5</f>
        <v>206857</v>
      </c>
      <c r="E1019" s="9" t="n">
        <f aca="false">MOD(D1019,10)</f>
        <v>7</v>
      </c>
      <c r="F1019" s="9" t="n">
        <f aca="false">2*D1019</f>
        <v>413714</v>
      </c>
      <c r="G1019" s="9" t="n">
        <f aca="false">MOD(F1019,10)</f>
        <v>4</v>
      </c>
      <c r="H1019" s="9" t="n">
        <f aca="false">G1019/2</f>
        <v>2</v>
      </c>
      <c r="I1019" s="9" t="str">
        <f aca="false">IF(H1019=0,"—",IF(H1019=1,"unison (1:1)",IF(H1019=2,"octave (2:1)",IF(H1019=3,"fifth (3:2)",IF(H1019=4,"fourth (4:3)","?")))))</f>
        <v>octave (2:1)</v>
      </c>
      <c r="J1019" s="9" t="str">
        <f aca="false">IF(H1019=0,"—",IF(H1019=1,"ὁμώνυμον",IF(H1019=2,"διὰ πασῶν",IF(H1019=3,"διὰ πέντε",IF(H1019=4,"διὰ τεσσάρων","?")))))</f>
        <v>διὰ πασῶν</v>
      </c>
      <c r="K1019" s="10"/>
      <c r="L1019" s="14"/>
      <c r="M1019" s="13"/>
    </row>
    <row r="1020" customFormat="false" ht="15.75" hidden="false" customHeight="true" outlineLevel="0" collapsed="false">
      <c r="A1020" s="8" t="n">
        <f aca="false">A1019+1</f>
        <v>1018</v>
      </c>
      <c r="B1020" s="9" t="n">
        <f aca="false">MOD(4*A1020^2,10)</f>
        <v>6</v>
      </c>
      <c r="C1020" s="9" t="n">
        <f aca="false">(26*B1020-5*B1020^2)/24</f>
        <v>-1</v>
      </c>
      <c r="D1020" s="9" t="n">
        <f aca="false">(A1020^2+4*C1020)/5</f>
        <v>207264</v>
      </c>
      <c r="E1020" s="9" t="n">
        <f aca="false">MOD(D1020,10)</f>
        <v>4</v>
      </c>
      <c r="F1020" s="9" t="n">
        <f aca="false">2*D1020</f>
        <v>414528</v>
      </c>
      <c r="G1020" s="9" t="n">
        <f aca="false">MOD(F1020,10)</f>
        <v>8</v>
      </c>
      <c r="H1020" s="9" t="n">
        <f aca="false">G1020/2</f>
        <v>4</v>
      </c>
      <c r="I1020" s="9" t="str">
        <f aca="false">IF(H1020=0,"—",IF(H1020=1,"unison (1:1)",IF(H1020=2,"octave (2:1)",IF(H1020=3,"fifth (3:2)",IF(H1020=4,"fourth (4:3)","?")))))</f>
        <v>fourth (4:3)</v>
      </c>
      <c r="J1020" s="9" t="str">
        <f aca="false">IF(H1020=0,"—",IF(H1020=1,"ὁμώνυμον",IF(H1020=2,"διὰ πασῶν",IF(H1020=3,"διὰ πέντε",IF(H1020=4,"διὰ τεσσάρων","?")))))</f>
        <v>διὰ τεσσάρων</v>
      </c>
      <c r="K1020" s="10"/>
      <c r="L1020" s="14"/>
      <c r="M1020" s="13"/>
    </row>
    <row r="1021" customFormat="false" ht="15.75" hidden="false" customHeight="true" outlineLevel="0" collapsed="false">
      <c r="A1021" s="8" t="n">
        <f aca="false">A1020+1</f>
        <v>1019</v>
      </c>
      <c r="B1021" s="9" t="n">
        <f aca="false">MOD(4*A1021^2,10)</f>
        <v>4</v>
      </c>
      <c r="C1021" s="9" t="n">
        <f aca="false">(26*B1021-5*B1021^2)/24</f>
        <v>1</v>
      </c>
      <c r="D1021" s="9" t="n">
        <f aca="false">(A1021^2+4*C1021)/5</f>
        <v>207673</v>
      </c>
      <c r="E1021" s="9" t="n">
        <f aca="false">MOD(D1021,10)</f>
        <v>3</v>
      </c>
      <c r="F1021" s="9" t="n">
        <f aca="false">2*D1021</f>
        <v>415346</v>
      </c>
      <c r="G1021" s="9" t="n">
        <f aca="false">MOD(F1021,10)</f>
        <v>6</v>
      </c>
      <c r="H1021" s="9" t="n">
        <f aca="false">G1021/2</f>
        <v>3</v>
      </c>
      <c r="I1021" s="9" t="str">
        <f aca="false">IF(H1021=0,"—",IF(H1021=1,"unison (1:1)",IF(H1021=2,"octave (2:1)",IF(H1021=3,"fifth (3:2)",IF(H1021=4,"fourth (4:3)","?")))))</f>
        <v>fifth (3:2)</v>
      </c>
      <c r="J1021" s="9" t="str">
        <f aca="false">IF(H1021=0,"—",IF(H1021=1,"ὁμώνυμον",IF(H1021=2,"διὰ πασῶν",IF(H1021=3,"διὰ πέντε",IF(H1021=4,"διὰ τεσσάρων","?")))))</f>
        <v>διὰ πέντε</v>
      </c>
      <c r="K1021" s="10"/>
      <c r="L1021" s="14"/>
      <c r="M1021" s="13"/>
    </row>
    <row r="1022" customFormat="false" ht="15.75" hidden="false" customHeight="true" outlineLevel="0" collapsed="false">
      <c r="A1022" s="8" t="n">
        <f aca="false">A1021+1</f>
        <v>1020</v>
      </c>
      <c r="B1022" s="9" t="n">
        <f aca="false">MOD(4*A1022^2,10)</f>
        <v>0</v>
      </c>
      <c r="C1022" s="9" t="n">
        <f aca="false">(26*B1022-5*B1022^2)/24</f>
        <v>0</v>
      </c>
      <c r="D1022" s="9" t="n">
        <f aca="false">(A1022^2+4*C1022)/5</f>
        <v>208080</v>
      </c>
      <c r="E1022" s="9" t="n">
        <f aca="false">MOD(D1022,10)</f>
        <v>0</v>
      </c>
      <c r="F1022" s="9" t="n">
        <f aca="false">2*D1022</f>
        <v>416160</v>
      </c>
      <c r="G1022" s="9" t="n">
        <f aca="false">MOD(F1022,10)</f>
        <v>0</v>
      </c>
      <c r="H1022" s="9" t="n">
        <f aca="false">G1022/2</f>
        <v>0</v>
      </c>
      <c r="I1022" s="9" t="str">
        <f aca="false">IF(H1022=0,"—",IF(H1022=1,"unison (1:1)",IF(H1022=2,"octave (2:1)",IF(H1022=3,"fifth (3:2)",IF(H1022=4,"fourth (4:3)","?")))))</f>
        <v>—</v>
      </c>
      <c r="J1022" s="9" t="str">
        <f aca="false">IF(H1022=0,"—",IF(H1022=1,"ὁμώνυμον",IF(H1022=2,"διὰ πασῶν",IF(H1022=3,"διὰ πέντε",IF(H1022=4,"διὰ τεσσάρων","?")))))</f>
        <v>—</v>
      </c>
      <c r="K1022" s="10"/>
      <c r="L1022" s="14"/>
      <c r="M1022" s="13"/>
    </row>
    <row r="1023" customFormat="false" ht="15.75" hidden="false" customHeight="true" outlineLevel="0" collapsed="false">
      <c r="A1023" s="8" t="n">
        <f aca="false">A1022+1</f>
        <v>1021</v>
      </c>
      <c r="B1023" s="9" t="n">
        <f aca="false">MOD(4*A1023^2,10)</f>
        <v>4</v>
      </c>
      <c r="C1023" s="9" t="n">
        <f aca="false">(26*B1023-5*B1023^2)/24</f>
        <v>1</v>
      </c>
      <c r="D1023" s="9" t="n">
        <f aca="false">(A1023^2+4*C1023)/5</f>
        <v>208489</v>
      </c>
      <c r="E1023" s="9" t="n">
        <f aca="false">MOD(D1023,10)</f>
        <v>9</v>
      </c>
      <c r="F1023" s="9" t="n">
        <f aca="false">2*D1023</f>
        <v>416978</v>
      </c>
      <c r="G1023" s="9" t="n">
        <f aca="false">MOD(F1023,10)</f>
        <v>8</v>
      </c>
      <c r="H1023" s="9" t="n">
        <f aca="false">G1023/2</f>
        <v>4</v>
      </c>
      <c r="I1023" s="9" t="str">
        <f aca="false">IF(H1023=0,"—",IF(H1023=1,"unison (1:1)",IF(H1023=2,"octave (2:1)",IF(H1023=3,"fifth (3:2)",IF(H1023=4,"fourth (4:3)","?")))))</f>
        <v>fourth (4:3)</v>
      </c>
      <c r="J1023" s="9" t="str">
        <f aca="false">IF(H1023=0,"—",IF(H1023=1,"ὁμώνυμον",IF(H1023=2,"διὰ πασῶν",IF(H1023=3,"διὰ πέντε",IF(H1023=4,"διὰ τεσσάρων","?")))))</f>
        <v>διὰ τεσσάρων</v>
      </c>
      <c r="K1023" s="10"/>
      <c r="L1023" s="14"/>
      <c r="M1023" s="13"/>
    </row>
    <row r="1024" customFormat="false" ht="15.75" hidden="false" customHeight="true" outlineLevel="0" collapsed="false">
      <c r="A1024" s="8" t="n">
        <f aca="false">A1023+1</f>
        <v>1022</v>
      </c>
      <c r="B1024" s="9" t="n">
        <f aca="false">MOD(4*A1024^2,10)</f>
        <v>6</v>
      </c>
      <c r="C1024" s="9" t="n">
        <f aca="false">(26*B1024-5*B1024^2)/24</f>
        <v>-1</v>
      </c>
      <c r="D1024" s="9" t="n">
        <f aca="false">(A1024^2+4*C1024)/5</f>
        <v>208896</v>
      </c>
      <c r="E1024" s="9" t="n">
        <f aca="false">MOD(D1024,10)</f>
        <v>6</v>
      </c>
      <c r="F1024" s="9" t="n">
        <f aca="false">2*D1024</f>
        <v>417792</v>
      </c>
      <c r="G1024" s="9" t="n">
        <f aca="false">MOD(F1024,10)</f>
        <v>2</v>
      </c>
      <c r="H1024" s="9" t="n">
        <f aca="false">G1024/2</f>
        <v>1</v>
      </c>
      <c r="I1024" s="9" t="str">
        <f aca="false">IF(H1024=0,"—",IF(H1024=1,"unison (1:1)",IF(H1024=2,"octave (2:1)",IF(H1024=3,"fifth (3:2)",IF(H1024=4,"fourth (4:3)","?")))))</f>
        <v>unison (1:1)</v>
      </c>
      <c r="J1024" s="9" t="str">
        <f aca="false">IF(H1024=0,"—",IF(H1024=1,"ὁμώνυμον",IF(H1024=2,"διὰ πασῶν",IF(H1024=3,"διὰ πέντε",IF(H1024=4,"διὰ τεσσάρων","?")))))</f>
        <v>ὁμώνυμον</v>
      </c>
      <c r="K1024" s="10"/>
      <c r="L1024" s="14"/>
      <c r="M1024" s="13"/>
    </row>
    <row r="1025" customFormat="false" ht="15.75" hidden="false" customHeight="true" outlineLevel="0" collapsed="false">
      <c r="A1025" s="8" t="n">
        <f aca="false">A1024+1</f>
        <v>1023</v>
      </c>
      <c r="B1025" s="9" t="n">
        <f aca="false">MOD(4*A1025^2,10)</f>
        <v>6</v>
      </c>
      <c r="C1025" s="9" t="n">
        <f aca="false">(26*B1025-5*B1025^2)/24</f>
        <v>-1</v>
      </c>
      <c r="D1025" s="9" t="n">
        <f aca="false">(A1025^2+4*C1025)/5</f>
        <v>209305</v>
      </c>
      <c r="E1025" s="9" t="n">
        <f aca="false">MOD(D1025,10)</f>
        <v>5</v>
      </c>
      <c r="F1025" s="9" t="n">
        <f aca="false">2*D1025</f>
        <v>418610</v>
      </c>
      <c r="G1025" s="9" t="n">
        <f aca="false">MOD(F1025,10)</f>
        <v>0</v>
      </c>
      <c r="H1025" s="9" t="n">
        <f aca="false">G1025/2</f>
        <v>0</v>
      </c>
      <c r="I1025" s="9" t="str">
        <f aca="false">IF(H1025=0,"—",IF(H1025=1,"unison (1:1)",IF(H1025=2,"octave (2:1)",IF(H1025=3,"fifth (3:2)",IF(H1025=4,"fourth (4:3)","?")))))</f>
        <v>—</v>
      </c>
      <c r="J1025" s="9" t="str">
        <f aca="false">IF(H1025=0,"—",IF(H1025=1,"ὁμώνυμον",IF(H1025=2,"διὰ πασῶν",IF(H1025=3,"διὰ πέντε",IF(H1025=4,"διὰ τεσσάρων","?")))))</f>
        <v>—</v>
      </c>
      <c r="K1025" s="10"/>
      <c r="L1025" s="14"/>
      <c r="M1025" s="13"/>
    </row>
    <row r="1026" customFormat="false" ht="15.75" hidden="false" customHeight="true" outlineLevel="0" collapsed="false">
      <c r="A1026" s="8" t="n">
        <f aca="false">A1025+1</f>
        <v>1024</v>
      </c>
      <c r="B1026" s="9" t="n">
        <f aca="false">MOD(4*A1026^2,10)</f>
        <v>4</v>
      </c>
      <c r="C1026" s="9" t="n">
        <f aca="false">(26*B1026-5*B1026^2)/24</f>
        <v>1</v>
      </c>
      <c r="D1026" s="9" t="n">
        <f aca="false">(A1026^2+4*C1026)/5</f>
        <v>209716</v>
      </c>
      <c r="E1026" s="9" t="n">
        <f aca="false">MOD(D1026,10)</f>
        <v>6</v>
      </c>
      <c r="F1026" s="9" t="n">
        <f aca="false">2*D1026</f>
        <v>419432</v>
      </c>
      <c r="G1026" s="9" t="n">
        <f aca="false">MOD(F1026,10)</f>
        <v>2</v>
      </c>
      <c r="H1026" s="9" t="n">
        <f aca="false">G1026/2</f>
        <v>1</v>
      </c>
      <c r="I1026" s="9" t="str">
        <f aca="false">IF(H1026=0,"—",IF(H1026=1,"unison (1:1)",IF(H1026=2,"octave (2:1)",IF(H1026=3,"fifth (3:2)",IF(H1026=4,"fourth (4:3)","?")))))</f>
        <v>unison (1:1)</v>
      </c>
      <c r="J1026" s="9" t="str">
        <f aca="false">IF(H1026=0,"—",IF(H1026=1,"ὁμώνυμον",IF(H1026=2,"διὰ πασῶν",IF(H1026=3,"διὰ πέντε",IF(H1026=4,"διὰ τεσσάρων","?")))))</f>
        <v>ὁμώνυμον</v>
      </c>
      <c r="K1026" s="10"/>
      <c r="L1026" s="14"/>
      <c r="M1026" s="13"/>
    </row>
    <row r="1027" customFormat="false" ht="15.75" hidden="false" customHeight="true" outlineLevel="0" collapsed="false">
      <c r="A1027" s="8" t="n">
        <f aca="false">A1026+1</f>
        <v>1025</v>
      </c>
      <c r="B1027" s="9" t="n">
        <f aca="false">MOD(4*A1027^2,10)</f>
        <v>0</v>
      </c>
      <c r="C1027" s="9" t="n">
        <f aca="false">(26*B1027-5*B1027^2)/24</f>
        <v>0</v>
      </c>
      <c r="D1027" s="9" t="n">
        <f aca="false">(A1027^2+4*C1027)/5</f>
        <v>210125</v>
      </c>
      <c r="E1027" s="9" t="n">
        <f aca="false">MOD(D1027,10)</f>
        <v>5</v>
      </c>
      <c r="F1027" s="9" t="n">
        <f aca="false">2*D1027</f>
        <v>420250</v>
      </c>
      <c r="G1027" s="9" t="n">
        <f aca="false">MOD(F1027,10)</f>
        <v>0</v>
      </c>
      <c r="H1027" s="9" t="n">
        <f aca="false">G1027/2</f>
        <v>0</v>
      </c>
      <c r="I1027" s="9" t="str">
        <f aca="false">IF(H1027=0,"—",IF(H1027=1,"unison (1:1)",IF(H1027=2,"octave (2:1)",IF(H1027=3,"fifth (3:2)",IF(H1027=4,"fourth (4:3)","?")))))</f>
        <v>—</v>
      </c>
      <c r="J1027" s="9" t="str">
        <f aca="false">IF(H1027=0,"—",IF(H1027=1,"ὁμώνυμον",IF(H1027=2,"διὰ πασῶν",IF(H1027=3,"διὰ πέντε",IF(H1027=4,"διὰ τεσσάρων","?")))))</f>
        <v>—</v>
      </c>
      <c r="K1027" s="10"/>
      <c r="L1027" s="14"/>
      <c r="M1027" s="13"/>
    </row>
    <row r="1028" customFormat="false" ht="15.75" hidden="false" customHeight="true" outlineLevel="0" collapsed="false">
      <c r="A1028" s="8" t="n">
        <f aca="false">A1027+1</f>
        <v>1026</v>
      </c>
      <c r="B1028" s="9" t="n">
        <f aca="false">MOD(4*A1028^2,10)</f>
        <v>4</v>
      </c>
      <c r="C1028" s="9" t="n">
        <f aca="false">(26*B1028-5*B1028^2)/24</f>
        <v>1</v>
      </c>
      <c r="D1028" s="9" t="n">
        <f aca="false">(A1028^2+4*C1028)/5</f>
        <v>210536</v>
      </c>
      <c r="E1028" s="9" t="n">
        <f aca="false">MOD(D1028,10)</f>
        <v>6</v>
      </c>
      <c r="F1028" s="9" t="n">
        <f aca="false">2*D1028</f>
        <v>421072</v>
      </c>
      <c r="G1028" s="9" t="n">
        <f aca="false">MOD(F1028,10)</f>
        <v>2</v>
      </c>
      <c r="H1028" s="9" t="n">
        <f aca="false">G1028/2</f>
        <v>1</v>
      </c>
      <c r="I1028" s="9" t="str">
        <f aca="false">IF(H1028=0,"—",IF(H1028=1,"unison (1:1)",IF(H1028=2,"octave (2:1)",IF(H1028=3,"fifth (3:2)",IF(H1028=4,"fourth (4:3)","?")))))</f>
        <v>unison (1:1)</v>
      </c>
      <c r="J1028" s="9" t="str">
        <f aca="false">IF(H1028=0,"—",IF(H1028=1,"ὁμώνυμον",IF(H1028=2,"διὰ πασῶν",IF(H1028=3,"διὰ πέντε",IF(H1028=4,"διὰ τεσσάρων","?")))))</f>
        <v>ὁμώνυμον</v>
      </c>
      <c r="K1028" s="10"/>
      <c r="L1028" s="14"/>
      <c r="M1028" s="13"/>
    </row>
    <row r="1029" customFormat="false" ht="15.75" hidden="false" customHeight="true" outlineLevel="0" collapsed="false">
      <c r="A1029" s="8" t="n">
        <f aca="false">A1028+1</f>
        <v>1027</v>
      </c>
      <c r="B1029" s="9" t="n">
        <f aca="false">MOD(4*A1029^2,10)</f>
        <v>6</v>
      </c>
      <c r="C1029" s="9" t="n">
        <f aca="false">(26*B1029-5*B1029^2)/24</f>
        <v>-1</v>
      </c>
      <c r="D1029" s="9" t="n">
        <f aca="false">(A1029^2+4*C1029)/5</f>
        <v>210945</v>
      </c>
      <c r="E1029" s="9" t="n">
        <f aca="false">MOD(D1029,10)</f>
        <v>5</v>
      </c>
      <c r="F1029" s="9" t="n">
        <f aca="false">2*D1029</f>
        <v>421890</v>
      </c>
      <c r="G1029" s="9" t="n">
        <f aca="false">MOD(F1029,10)</f>
        <v>0</v>
      </c>
      <c r="H1029" s="9" t="n">
        <f aca="false">G1029/2</f>
        <v>0</v>
      </c>
      <c r="I1029" s="9" t="str">
        <f aca="false">IF(H1029=0,"—",IF(H1029=1,"unison (1:1)",IF(H1029=2,"octave (2:1)",IF(H1029=3,"fifth (3:2)",IF(H1029=4,"fourth (4:3)","?")))))</f>
        <v>—</v>
      </c>
      <c r="J1029" s="9" t="str">
        <f aca="false">IF(H1029=0,"—",IF(H1029=1,"ὁμώνυμον",IF(H1029=2,"διὰ πασῶν",IF(H1029=3,"διὰ πέντε",IF(H1029=4,"διὰ τεσσάρων","?")))))</f>
        <v>—</v>
      </c>
      <c r="K1029" s="10"/>
      <c r="L1029" s="14"/>
      <c r="M1029" s="13"/>
    </row>
    <row r="1030" customFormat="false" ht="15.75" hidden="false" customHeight="true" outlineLevel="0" collapsed="false">
      <c r="A1030" s="8" t="n">
        <f aca="false">A1029+1</f>
        <v>1028</v>
      </c>
      <c r="B1030" s="9" t="n">
        <f aca="false">MOD(4*A1030^2,10)</f>
        <v>6</v>
      </c>
      <c r="C1030" s="9" t="n">
        <f aca="false">(26*B1030-5*B1030^2)/24</f>
        <v>-1</v>
      </c>
      <c r="D1030" s="9" t="n">
        <f aca="false">(A1030^2+4*C1030)/5</f>
        <v>211356</v>
      </c>
      <c r="E1030" s="9" t="n">
        <f aca="false">MOD(D1030,10)</f>
        <v>6</v>
      </c>
      <c r="F1030" s="9" t="n">
        <f aca="false">2*D1030</f>
        <v>422712</v>
      </c>
      <c r="G1030" s="9" t="n">
        <f aca="false">MOD(F1030,10)</f>
        <v>2</v>
      </c>
      <c r="H1030" s="9" t="n">
        <f aca="false">G1030/2</f>
        <v>1</v>
      </c>
      <c r="I1030" s="9" t="str">
        <f aca="false">IF(H1030=0,"—",IF(H1030=1,"unison (1:1)",IF(H1030=2,"octave (2:1)",IF(H1030=3,"fifth (3:2)",IF(H1030=4,"fourth (4:3)","?")))))</f>
        <v>unison (1:1)</v>
      </c>
      <c r="J1030" s="9" t="str">
        <f aca="false">IF(H1030=0,"—",IF(H1030=1,"ὁμώνυμον",IF(H1030=2,"διὰ πασῶν",IF(H1030=3,"διὰ πέντε",IF(H1030=4,"διὰ τεσσάρων","?")))))</f>
        <v>ὁμώνυμον</v>
      </c>
      <c r="K1030" s="10"/>
      <c r="L1030" s="14"/>
      <c r="M1030" s="13"/>
    </row>
    <row r="1031" customFormat="false" ht="15.75" hidden="false" customHeight="true" outlineLevel="0" collapsed="false">
      <c r="A1031" s="8" t="n">
        <f aca="false">A1030+1</f>
        <v>1029</v>
      </c>
      <c r="B1031" s="9" t="n">
        <f aca="false">MOD(4*A1031^2,10)</f>
        <v>4</v>
      </c>
      <c r="C1031" s="9" t="n">
        <f aca="false">(26*B1031-5*B1031^2)/24</f>
        <v>1</v>
      </c>
      <c r="D1031" s="9" t="n">
        <f aca="false">(A1031^2+4*C1031)/5</f>
        <v>211769</v>
      </c>
      <c r="E1031" s="9" t="n">
        <f aca="false">MOD(D1031,10)</f>
        <v>9</v>
      </c>
      <c r="F1031" s="9" t="n">
        <f aca="false">2*D1031</f>
        <v>423538</v>
      </c>
      <c r="G1031" s="9" t="n">
        <f aca="false">MOD(F1031,10)</f>
        <v>8</v>
      </c>
      <c r="H1031" s="9" t="n">
        <f aca="false">G1031/2</f>
        <v>4</v>
      </c>
      <c r="I1031" s="9" t="str">
        <f aca="false">IF(H1031=0,"—",IF(H1031=1,"unison (1:1)",IF(H1031=2,"octave (2:1)",IF(H1031=3,"fifth (3:2)",IF(H1031=4,"fourth (4:3)","?")))))</f>
        <v>fourth (4:3)</v>
      </c>
      <c r="J1031" s="9" t="str">
        <f aca="false">IF(H1031=0,"—",IF(H1031=1,"ὁμώνυμον",IF(H1031=2,"διὰ πασῶν",IF(H1031=3,"διὰ πέντε",IF(H1031=4,"διὰ τεσσάρων","?")))))</f>
        <v>διὰ τεσσάρων</v>
      </c>
      <c r="K1031" s="10"/>
      <c r="L1031" s="14"/>
      <c r="M1031" s="13"/>
    </row>
    <row r="1032" customFormat="false" ht="15.75" hidden="false" customHeight="true" outlineLevel="0" collapsed="false">
      <c r="A1032" s="8" t="n">
        <f aca="false">A1031+1</f>
        <v>1030</v>
      </c>
      <c r="B1032" s="9" t="n">
        <f aca="false">MOD(4*A1032^2,10)</f>
        <v>0</v>
      </c>
      <c r="C1032" s="9" t="n">
        <f aca="false">(26*B1032-5*B1032^2)/24</f>
        <v>0</v>
      </c>
      <c r="D1032" s="9" t="n">
        <f aca="false">(A1032^2+4*C1032)/5</f>
        <v>212180</v>
      </c>
      <c r="E1032" s="9" t="n">
        <f aca="false">MOD(D1032,10)</f>
        <v>0</v>
      </c>
      <c r="F1032" s="9" t="n">
        <f aca="false">2*D1032</f>
        <v>424360</v>
      </c>
      <c r="G1032" s="9" t="n">
        <f aca="false">MOD(F1032,10)</f>
        <v>0</v>
      </c>
      <c r="H1032" s="9" t="n">
        <f aca="false">G1032/2</f>
        <v>0</v>
      </c>
      <c r="I1032" s="9" t="str">
        <f aca="false">IF(H1032=0,"—",IF(H1032=1,"unison (1:1)",IF(H1032=2,"octave (2:1)",IF(H1032=3,"fifth (3:2)",IF(H1032=4,"fourth (4:3)","?")))))</f>
        <v>—</v>
      </c>
      <c r="J1032" s="9" t="str">
        <f aca="false">IF(H1032=0,"—",IF(H1032=1,"ὁμώνυμον",IF(H1032=2,"διὰ πασῶν",IF(H1032=3,"διὰ πέντε",IF(H1032=4,"διὰ τεσσάρων","?")))))</f>
        <v>—</v>
      </c>
      <c r="K1032" s="10"/>
      <c r="L1032" s="14"/>
      <c r="M1032" s="13"/>
    </row>
    <row r="1033" customFormat="false" ht="15.75" hidden="false" customHeight="true" outlineLevel="0" collapsed="false">
      <c r="A1033" s="8" t="n">
        <f aca="false">A1032+1</f>
        <v>1031</v>
      </c>
      <c r="B1033" s="9" t="n">
        <f aca="false">MOD(4*A1033^2,10)</f>
        <v>4</v>
      </c>
      <c r="C1033" s="9" t="n">
        <f aca="false">(26*B1033-5*B1033^2)/24</f>
        <v>1</v>
      </c>
      <c r="D1033" s="9" t="n">
        <f aca="false">(A1033^2+4*C1033)/5</f>
        <v>212593</v>
      </c>
      <c r="E1033" s="9" t="n">
        <f aca="false">MOD(D1033,10)</f>
        <v>3</v>
      </c>
      <c r="F1033" s="9" t="n">
        <f aca="false">2*D1033</f>
        <v>425186</v>
      </c>
      <c r="G1033" s="9" t="n">
        <f aca="false">MOD(F1033,10)</f>
        <v>6</v>
      </c>
      <c r="H1033" s="9" t="n">
        <f aca="false">G1033/2</f>
        <v>3</v>
      </c>
      <c r="I1033" s="9" t="str">
        <f aca="false">IF(H1033=0,"—",IF(H1033=1,"unison (1:1)",IF(H1033=2,"octave (2:1)",IF(H1033=3,"fifth (3:2)",IF(H1033=4,"fourth (4:3)","?")))))</f>
        <v>fifth (3:2)</v>
      </c>
      <c r="J1033" s="9" t="str">
        <f aca="false">IF(H1033=0,"—",IF(H1033=1,"ὁμώνυμον",IF(H1033=2,"διὰ πασῶν",IF(H1033=3,"διὰ πέντε",IF(H1033=4,"διὰ τεσσάρων","?")))))</f>
        <v>διὰ πέντε</v>
      </c>
      <c r="K1033" s="10"/>
      <c r="L1033" s="14"/>
      <c r="M1033" s="13"/>
    </row>
    <row r="1034" customFormat="false" ht="15.75" hidden="false" customHeight="true" outlineLevel="0" collapsed="false">
      <c r="A1034" s="8" t="n">
        <f aca="false">A1033+1</f>
        <v>1032</v>
      </c>
      <c r="B1034" s="9" t="n">
        <f aca="false">MOD(4*A1034^2,10)</f>
        <v>6</v>
      </c>
      <c r="C1034" s="9" t="n">
        <f aca="false">(26*B1034-5*B1034^2)/24</f>
        <v>-1</v>
      </c>
      <c r="D1034" s="9" t="n">
        <f aca="false">(A1034^2+4*C1034)/5</f>
        <v>213004</v>
      </c>
      <c r="E1034" s="9" t="n">
        <f aca="false">MOD(D1034,10)</f>
        <v>4</v>
      </c>
      <c r="F1034" s="9" t="n">
        <f aca="false">2*D1034</f>
        <v>426008</v>
      </c>
      <c r="G1034" s="9" t="n">
        <f aca="false">MOD(F1034,10)</f>
        <v>8</v>
      </c>
      <c r="H1034" s="9" t="n">
        <f aca="false">G1034/2</f>
        <v>4</v>
      </c>
      <c r="I1034" s="9" t="str">
        <f aca="false">IF(H1034=0,"—",IF(H1034=1,"unison (1:1)",IF(H1034=2,"octave (2:1)",IF(H1034=3,"fifth (3:2)",IF(H1034=4,"fourth (4:3)","?")))))</f>
        <v>fourth (4:3)</v>
      </c>
      <c r="J1034" s="9" t="str">
        <f aca="false">IF(H1034=0,"—",IF(H1034=1,"ὁμώνυμον",IF(H1034=2,"διὰ πασῶν",IF(H1034=3,"διὰ πέντε",IF(H1034=4,"διὰ τεσσάρων","?")))))</f>
        <v>διὰ τεσσάρων</v>
      </c>
      <c r="K1034" s="10"/>
      <c r="L1034" s="14"/>
      <c r="M1034" s="13"/>
    </row>
    <row r="1035" customFormat="false" ht="15.75" hidden="false" customHeight="true" outlineLevel="0" collapsed="false">
      <c r="A1035" s="8" t="n">
        <f aca="false">A1034+1</f>
        <v>1033</v>
      </c>
      <c r="B1035" s="9" t="n">
        <f aca="false">MOD(4*A1035^2,10)</f>
        <v>6</v>
      </c>
      <c r="C1035" s="9" t="n">
        <f aca="false">(26*B1035-5*B1035^2)/24</f>
        <v>-1</v>
      </c>
      <c r="D1035" s="9" t="n">
        <f aca="false">(A1035^2+4*C1035)/5</f>
        <v>213417</v>
      </c>
      <c r="E1035" s="9" t="n">
        <f aca="false">MOD(D1035,10)</f>
        <v>7</v>
      </c>
      <c r="F1035" s="9" t="n">
        <f aca="false">2*D1035</f>
        <v>426834</v>
      </c>
      <c r="G1035" s="9" t="n">
        <f aca="false">MOD(F1035,10)</f>
        <v>4</v>
      </c>
      <c r="H1035" s="9" t="n">
        <f aca="false">G1035/2</f>
        <v>2</v>
      </c>
      <c r="I1035" s="9" t="str">
        <f aca="false">IF(H1035=0,"—",IF(H1035=1,"unison (1:1)",IF(H1035=2,"octave (2:1)",IF(H1035=3,"fifth (3:2)",IF(H1035=4,"fourth (4:3)","?")))))</f>
        <v>octave (2:1)</v>
      </c>
      <c r="J1035" s="9" t="str">
        <f aca="false">IF(H1035=0,"—",IF(H1035=1,"ὁμώνυμον",IF(H1035=2,"διὰ πασῶν",IF(H1035=3,"διὰ πέντε",IF(H1035=4,"διὰ τεσσάρων","?")))))</f>
        <v>διὰ πασῶν</v>
      </c>
      <c r="K1035" s="10"/>
      <c r="L1035" s="14"/>
      <c r="M1035" s="13"/>
    </row>
    <row r="1036" customFormat="false" ht="15.75" hidden="false" customHeight="true" outlineLevel="0" collapsed="false">
      <c r="A1036" s="8" t="n">
        <f aca="false">A1035+1</f>
        <v>1034</v>
      </c>
      <c r="B1036" s="9" t="n">
        <f aca="false">MOD(4*A1036^2,10)</f>
        <v>4</v>
      </c>
      <c r="C1036" s="9" t="n">
        <f aca="false">(26*B1036-5*B1036^2)/24</f>
        <v>1</v>
      </c>
      <c r="D1036" s="9" t="n">
        <f aca="false">(A1036^2+4*C1036)/5</f>
        <v>213832</v>
      </c>
      <c r="E1036" s="9" t="n">
        <f aca="false">MOD(D1036,10)</f>
        <v>2</v>
      </c>
      <c r="F1036" s="9" t="n">
        <f aca="false">2*D1036</f>
        <v>427664</v>
      </c>
      <c r="G1036" s="9" t="n">
        <f aca="false">MOD(F1036,10)</f>
        <v>4</v>
      </c>
      <c r="H1036" s="9" t="n">
        <f aca="false">G1036/2</f>
        <v>2</v>
      </c>
      <c r="I1036" s="9" t="str">
        <f aca="false">IF(H1036=0,"—",IF(H1036=1,"unison (1:1)",IF(H1036=2,"octave (2:1)",IF(H1036=3,"fifth (3:2)",IF(H1036=4,"fourth (4:3)","?")))))</f>
        <v>octave (2:1)</v>
      </c>
      <c r="J1036" s="9" t="str">
        <f aca="false">IF(H1036=0,"—",IF(H1036=1,"ὁμώνυμον",IF(H1036=2,"διὰ πασῶν",IF(H1036=3,"διὰ πέντε",IF(H1036=4,"διὰ τεσσάρων","?")))))</f>
        <v>διὰ πασῶν</v>
      </c>
      <c r="K1036" s="10"/>
      <c r="L1036" s="14"/>
      <c r="M1036" s="13"/>
    </row>
    <row r="1037" customFormat="false" ht="15.75" hidden="false" customHeight="true" outlineLevel="0" collapsed="false">
      <c r="A1037" s="8" t="n">
        <f aca="false">A1036+1</f>
        <v>1035</v>
      </c>
      <c r="B1037" s="9" t="n">
        <f aca="false">MOD(4*A1037^2,10)</f>
        <v>0</v>
      </c>
      <c r="C1037" s="9" t="n">
        <f aca="false">(26*B1037-5*B1037^2)/24</f>
        <v>0</v>
      </c>
      <c r="D1037" s="9" t="n">
        <f aca="false">(A1037^2+4*C1037)/5</f>
        <v>214245</v>
      </c>
      <c r="E1037" s="9" t="n">
        <f aca="false">MOD(D1037,10)</f>
        <v>5</v>
      </c>
      <c r="F1037" s="9" t="n">
        <f aca="false">2*D1037</f>
        <v>428490</v>
      </c>
      <c r="G1037" s="9" t="n">
        <f aca="false">MOD(F1037,10)</f>
        <v>0</v>
      </c>
      <c r="H1037" s="9" t="n">
        <f aca="false">G1037/2</f>
        <v>0</v>
      </c>
      <c r="I1037" s="9" t="str">
        <f aca="false">IF(H1037=0,"—",IF(H1037=1,"unison (1:1)",IF(H1037=2,"octave (2:1)",IF(H1037=3,"fifth (3:2)",IF(H1037=4,"fourth (4:3)","?")))))</f>
        <v>—</v>
      </c>
      <c r="J1037" s="9" t="str">
        <f aca="false">IF(H1037=0,"—",IF(H1037=1,"ὁμώνυμον",IF(H1037=2,"διὰ πασῶν",IF(H1037=3,"διὰ πέντε",IF(H1037=4,"διὰ τεσσάρων","?")))))</f>
        <v>—</v>
      </c>
      <c r="K1037" s="10"/>
      <c r="L1037" s="14"/>
      <c r="M1037" s="13"/>
    </row>
    <row r="1038" customFormat="false" ht="15.75" hidden="false" customHeight="true" outlineLevel="0" collapsed="false">
      <c r="A1038" s="8" t="n">
        <f aca="false">A1037+1</f>
        <v>1036</v>
      </c>
      <c r="B1038" s="9" t="n">
        <f aca="false">MOD(4*A1038^2,10)</f>
        <v>4</v>
      </c>
      <c r="C1038" s="9" t="n">
        <f aca="false">(26*B1038-5*B1038^2)/24</f>
        <v>1</v>
      </c>
      <c r="D1038" s="9" t="n">
        <f aca="false">(A1038^2+4*C1038)/5</f>
        <v>214660</v>
      </c>
      <c r="E1038" s="9" t="n">
        <f aca="false">MOD(D1038,10)</f>
        <v>0</v>
      </c>
      <c r="F1038" s="9" t="n">
        <f aca="false">2*D1038</f>
        <v>429320</v>
      </c>
      <c r="G1038" s="9" t="n">
        <f aca="false">MOD(F1038,10)</f>
        <v>0</v>
      </c>
      <c r="H1038" s="9" t="n">
        <f aca="false">G1038/2</f>
        <v>0</v>
      </c>
      <c r="I1038" s="9" t="str">
        <f aca="false">IF(H1038=0,"—",IF(H1038=1,"unison (1:1)",IF(H1038=2,"octave (2:1)",IF(H1038=3,"fifth (3:2)",IF(H1038=4,"fourth (4:3)","?")))))</f>
        <v>—</v>
      </c>
      <c r="J1038" s="9" t="str">
        <f aca="false">IF(H1038=0,"—",IF(H1038=1,"ὁμώνυμον",IF(H1038=2,"διὰ πασῶν",IF(H1038=3,"διὰ πέντε",IF(H1038=4,"διὰ τεσσάρων","?")))))</f>
        <v>—</v>
      </c>
      <c r="K1038" s="10"/>
      <c r="L1038" s="14"/>
      <c r="M1038" s="13"/>
    </row>
    <row r="1039" customFormat="false" ht="15.75" hidden="false" customHeight="true" outlineLevel="0" collapsed="false">
      <c r="A1039" s="8" t="n">
        <f aca="false">A1038+1</f>
        <v>1037</v>
      </c>
      <c r="B1039" s="9" t="n">
        <f aca="false">MOD(4*A1039^2,10)</f>
        <v>6</v>
      </c>
      <c r="C1039" s="9" t="n">
        <f aca="false">(26*B1039-5*B1039^2)/24</f>
        <v>-1</v>
      </c>
      <c r="D1039" s="9" t="n">
        <f aca="false">(A1039^2+4*C1039)/5</f>
        <v>215073</v>
      </c>
      <c r="E1039" s="9" t="n">
        <f aca="false">MOD(D1039,10)</f>
        <v>3</v>
      </c>
      <c r="F1039" s="9" t="n">
        <f aca="false">2*D1039</f>
        <v>430146</v>
      </c>
      <c r="G1039" s="9" t="n">
        <f aca="false">MOD(F1039,10)</f>
        <v>6</v>
      </c>
      <c r="H1039" s="9" t="n">
        <f aca="false">G1039/2</f>
        <v>3</v>
      </c>
      <c r="I1039" s="9" t="str">
        <f aca="false">IF(H1039=0,"—",IF(H1039=1,"unison (1:1)",IF(H1039=2,"octave (2:1)",IF(H1039=3,"fifth (3:2)",IF(H1039=4,"fourth (4:3)","?")))))</f>
        <v>fifth (3:2)</v>
      </c>
      <c r="J1039" s="9" t="str">
        <f aca="false">IF(H1039=0,"—",IF(H1039=1,"ὁμώνυμον",IF(H1039=2,"διὰ πασῶν",IF(H1039=3,"διὰ πέντε",IF(H1039=4,"διὰ τεσσάρων","?")))))</f>
        <v>διὰ πέντε</v>
      </c>
      <c r="K1039" s="10"/>
      <c r="L1039" s="14"/>
      <c r="M1039" s="13"/>
    </row>
    <row r="1040" customFormat="false" ht="15.75" hidden="false" customHeight="true" outlineLevel="0" collapsed="false">
      <c r="A1040" s="8" t="n">
        <f aca="false">A1039+1</f>
        <v>1038</v>
      </c>
      <c r="B1040" s="9" t="n">
        <f aca="false">MOD(4*A1040^2,10)</f>
        <v>6</v>
      </c>
      <c r="C1040" s="9" t="n">
        <f aca="false">(26*B1040-5*B1040^2)/24</f>
        <v>-1</v>
      </c>
      <c r="D1040" s="9" t="n">
        <f aca="false">(A1040^2+4*C1040)/5</f>
        <v>215488</v>
      </c>
      <c r="E1040" s="9" t="n">
        <f aca="false">MOD(D1040,10)</f>
        <v>8</v>
      </c>
      <c r="F1040" s="9" t="n">
        <f aca="false">2*D1040</f>
        <v>430976</v>
      </c>
      <c r="G1040" s="9" t="n">
        <f aca="false">MOD(F1040,10)</f>
        <v>6</v>
      </c>
      <c r="H1040" s="9" t="n">
        <f aca="false">G1040/2</f>
        <v>3</v>
      </c>
      <c r="I1040" s="9" t="str">
        <f aca="false">IF(H1040=0,"—",IF(H1040=1,"unison (1:1)",IF(H1040=2,"octave (2:1)",IF(H1040=3,"fifth (3:2)",IF(H1040=4,"fourth (4:3)","?")))))</f>
        <v>fifth (3:2)</v>
      </c>
      <c r="J1040" s="9" t="str">
        <f aca="false">IF(H1040=0,"—",IF(H1040=1,"ὁμώνυμον",IF(H1040=2,"διὰ πασῶν",IF(H1040=3,"διὰ πέντε",IF(H1040=4,"διὰ τεσσάρων","?")))))</f>
        <v>διὰ πέντε</v>
      </c>
      <c r="K1040" s="10"/>
      <c r="L1040" s="14"/>
      <c r="M1040" s="13"/>
    </row>
    <row r="1041" customFormat="false" ht="15.75" hidden="false" customHeight="true" outlineLevel="0" collapsed="false">
      <c r="A1041" s="8" t="n">
        <f aca="false">A1040+1</f>
        <v>1039</v>
      </c>
      <c r="B1041" s="9" t="n">
        <f aca="false">MOD(4*A1041^2,10)</f>
        <v>4</v>
      </c>
      <c r="C1041" s="9" t="n">
        <f aca="false">(26*B1041-5*B1041^2)/24</f>
        <v>1</v>
      </c>
      <c r="D1041" s="9" t="n">
        <f aca="false">(A1041^2+4*C1041)/5</f>
        <v>215905</v>
      </c>
      <c r="E1041" s="9" t="n">
        <f aca="false">MOD(D1041,10)</f>
        <v>5</v>
      </c>
      <c r="F1041" s="9" t="n">
        <f aca="false">2*D1041</f>
        <v>431810</v>
      </c>
      <c r="G1041" s="9" t="n">
        <f aca="false">MOD(F1041,10)</f>
        <v>0</v>
      </c>
      <c r="H1041" s="9" t="n">
        <f aca="false">G1041/2</f>
        <v>0</v>
      </c>
      <c r="I1041" s="9" t="str">
        <f aca="false">IF(H1041=0,"—",IF(H1041=1,"unison (1:1)",IF(H1041=2,"octave (2:1)",IF(H1041=3,"fifth (3:2)",IF(H1041=4,"fourth (4:3)","?")))))</f>
        <v>—</v>
      </c>
      <c r="J1041" s="9" t="str">
        <f aca="false">IF(H1041=0,"—",IF(H1041=1,"ὁμώνυμον",IF(H1041=2,"διὰ πασῶν",IF(H1041=3,"διὰ πέντε",IF(H1041=4,"διὰ τεσσάρων","?")))))</f>
        <v>—</v>
      </c>
      <c r="K1041" s="10"/>
      <c r="L1041" s="14"/>
      <c r="M1041" s="13"/>
    </row>
    <row r="1042" customFormat="false" ht="15.75" hidden="false" customHeight="true" outlineLevel="0" collapsed="false">
      <c r="A1042" s="8" t="n">
        <f aca="false">A1041+1</f>
        <v>1040</v>
      </c>
      <c r="B1042" s="9" t="n">
        <f aca="false">MOD(4*A1042^2,10)</f>
        <v>0</v>
      </c>
      <c r="C1042" s="9" t="n">
        <f aca="false">(26*B1042-5*B1042^2)/24</f>
        <v>0</v>
      </c>
      <c r="D1042" s="9" t="n">
        <f aca="false">(A1042^2+4*C1042)/5</f>
        <v>216320</v>
      </c>
      <c r="E1042" s="9" t="n">
        <f aca="false">MOD(D1042,10)</f>
        <v>0</v>
      </c>
      <c r="F1042" s="9" t="n">
        <f aca="false">2*D1042</f>
        <v>432640</v>
      </c>
      <c r="G1042" s="9" t="n">
        <f aca="false">MOD(F1042,10)</f>
        <v>0</v>
      </c>
      <c r="H1042" s="9" t="n">
        <f aca="false">G1042/2</f>
        <v>0</v>
      </c>
      <c r="I1042" s="9" t="str">
        <f aca="false">IF(H1042=0,"—",IF(H1042=1,"unison (1:1)",IF(H1042=2,"octave (2:1)",IF(H1042=3,"fifth (3:2)",IF(H1042=4,"fourth (4:3)","?")))))</f>
        <v>—</v>
      </c>
      <c r="J1042" s="9" t="str">
        <f aca="false">IF(H1042=0,"—",IF(H1042=1,"ὁμώνυμον",IF(H1042=2,"διὰ πασῶν",IF(H1042=3,"διὰ πέντε",IF(H1042=4,"διὰ τεσσάρων","?")))))</f>
        <v>—</v>
      </c>
      <c r="K1042" s="10"/>
      <c r="L1042" s="14"/>
      <c r="M1042" s="13"/>
    </row>
    <row r="1043" customFormat="false" ht="15.75" hidden="false" customHeight="true" outlineLevel="0" collapsed="false">
      <c r="A1043" s="8" t="n">
        <f aca="false">A1042+1</f>
        <v>1041</v>
      </c>
      <c r="B1043" s="9" t="n">
        <f aca="false">MOD(4*A1043^2,10)</f>
        <v>4</v>
      </c>
      <c r="C1043" s="9" t="n">
        <f aca="false">(26*B1043-5*B1043^2)/24</f>
        <v>1</v>
      </c>
      <c r="D1043" s="9" t="n">
        <f aca="false">(A1043^2+4*C1043)/5</f>
        <v>216737</v>
      </c>
      <c r="E1043" s="9" t="n">
        <f aca="false">MOD(D1043,10)</f>
        <v>7</v>
      </c>
      <c r="F1043" s="9" t="n">
        <f aca="false">2*D1043</f>
        <v>433474</v>
      </c>
      <c r="G1043" s="9" t="n">
        <f aca="false">MOD(F1043,10)</f>
        <v>4</v>
      </c>
      <c r="H1043" s="9" t="n">
        <f aca="false">G1043/2</f>
        <v>2</v>
      </c>
      <c r="I1043" s="9" t="str">
        <f aca="false">IF(H1043=0,"—",IF(H1043=1,"unison (1:1)",IF(H1043=2,"octave (2:1)",IF(H1043=3,"fifth (3:2)",IF(H1043=4,"fourth (4:3)","?")))))</f>
        <v>octave (2:1)</v>
      </c>
      <c r="J1043" s="9" t="str">
        <f aca="false">IF(H1043=0,"—",IF(H1043=1,"ὁμώνυμον",IF(H1043=2,"διὰ πασῶν",IF(H1043=3,"διὰ πέντε",IF(H1043=4,"διὰ τεσσάρων","?")))))</f>
        <v>διὰ πασῶν</v>
      </c>
      <c r="K1043" s="10"/>
      <c r="L1043" s="14"/>
      <c r="M1043" s="13"/>
    </row>
    <row r="1044" customFormat="false" ht="15.75" hidden="false" customHeight="true" outlineLevel="0" collapsed="false">
      <c r="A1044" s="8" t="n">
        <f aca="false">A1043+1</f>
        <v>1042</v>
      </c>
      <c r="B1044" s="9" t="n">
        <f aca="false">MOD(4*A1044^2,10)</f>
        <v>6</v>
      </c>
      <c r="C1044" s="9" t="n">
        <f aca="false">(26*B1044-5*B1044^2)/24</f>
        <v>-1</v>
      </c>
      <c r="D1044" s="9" t="n">
        <f aca="false">(A1044^2+4*C1044)/5</f>
        <v>217152</v>
      </c>
      <c r="E1044" s="9" t="n">
        <f aca="false">MOD(D1044,10)</f>
        <v>2</v>
      </c>
      <c r="F1044" s="9" t="n">
        <f aca="false">2*D1044</f>
        <v>434304</v>
      </c>
      <c r="G1044" s="9" t="n">
        <f aca="false">MOD(F1044,10)</f>
        <v>4</v>
      </c>
      <c r="H1044" s="9" t="n">
        <f aca="false">G1044/2</f>
        <v>2</v>
      </c>
      <c r="I1044" s="9" t="str">
        <f aca="false">IF(H1044=0,"—",IF(H1044=1,"unison (1:1)",IF(H1044=2,"octave (2:1)",IF(H1044=3,"fifth (3:2)",IF(H1044=4,"fourth (4:3)","?")))))</f>
        <v>octave (2:1)</v>
      </c>
      <c r="J1044" s="9" t="str">
        <f aca="false">IF(H1044=0,"—",IF(H1044=1,"ὁμώνυμον",IF(H1044=2,"διὰ πασῶν",IF(H1044=3,"διὰ πέντε",IF(H1044=4,"διὰ τεσσάρων","?")))))</f>
        <v>διὰ πασῶν</v>
      </c>
      <c r="K1044" s="10"/>
      <c r="L1044" s="14"/>
      <c r="M1044" s="13"/>
    </row>
    <row r="1045" customFormat="false" ht="15.75" hidden="false" customHeight="true" outlineLevel="0" collapsed="false">
      <c r="A1045" s="8" t="n">
        <f aca="false">A1044+1</f>
        <v>1043</v>
      </c>
      <c r="B1045" s="9" t="n">
        <f aca="false">MOD(4*A1045^2,10)</f>
        <v>6</v>
      </c>
      <c r="C1045" s="9" t="n">
        <f aca="false">(26*B1045-5*B1045^2)/24</f>
        <v>-1</v>
      </c>
      <c r="D1045" s="9" t="n">
        <f aca="false">(A1045^2+4*C1045)/5</f>
        <v>217569</v>
      </c>
      <c r="E1045" s="9" t="n">
        <f aca="false">MOD(D1045,10)</f>
        <v>9</v>
      </c>
      <c r="F1045" s="9" t="n">
        <f aca="false">2*D1045</f>
        <v>435138</v>
      </c>
      <c r="G1045" s="9" t="n">
        <f aca="false">MOD(F1045,10)</f>
        <v>8</v>
      </c>
      <c r="H1045" s="9" t="n">
        <f aca="false">G1045/2</f>
        <v>4</v>
      </c>
      <c r="I1045" s="9" t="str">
        <f aca="false">IF(H1045=0,"—",IF(H1045=1,"unison (1:1)",IF(H1045=2,"octave (2:1)",IF(H1045=3,"fifth (3:2)",IF(H1045=4,"fourth (4:3)","?")))))</f>
        <v>fourth (4:3)</v>
      </c>
      <c r="J1045" s="9" t="str">
        <f aca="false">IF(H1045=0,"—",IF(H1045=1,"ὁμώνυμον",IF(H1045=2,"διὰ πασῶν",IF(H1045=3,"διὰ πέντε",IF(H1045=4,"διὰ τεσσάρων","?")))))</f>
        <v>διὰ τεσσάρων</v>
      </c>
      <c r="K1045" s="10"/>
      <c r="L1045" s="14"/>
      <c r="M1045" s="13"/>
    </row>
    <row r="1046" customFormat="false" ht="15.75" hidden="false" customHeight="true" outlineLevel="0" collapsed="false">
      <c r="A1046" s="8" t="n">
        <f aca="false">A1045+1</f>
        <v>1044</v>
      </c>
      <c r="B1046" s="9" t="n">
        <f aca="false">MOD(4*A1046^2,10)</f>
        <v>4</v>
      </c>
      <c r="C1046" s="9" t="n">
        <f aca="false">(26*B1046-5*B1046^2)/24</f>
        <v>1</v>
      </c>
      <c r="D1046" s="9" t="n">
        <f aca="false">(A1046^2+4*C1046)/5</f>
        <v>217988</v>
      </c>
      <c r="E1046" s="9" t="n">
        <f aca="false">MOD(D1046,10)</f>
        <v>8</v>
      </c>
      <c r="F1046" s="9" t="n">
        <f aca="false">2*D1046</f>
        <v>435976</v>
      </c>
      <c r="G1046" s="9" t="n">
        <f aca="false">MOD(F1046,10)</f>
        <v>6</v>
      </c>
      <c r="H1046" s="9" t="n">
        <f aca="false">G1046/2</f>
        <v>3</v>
      </c>
      <c r="I1046" s="9" t="str">
        <f aca="false">IF(H1046=0,"—",IF(H1046=1,"unison (1:1)",IF(H1046=2,"octave (2:1)",IF(H1046=3,"fifth (3:2)",IF(H1046=4,"fourth (4:3)","?")))))</f>
        <v>fifth (3:2)</v>
      </c>
      <c r="J1046" s="9" t="str">
        <f aca="false">IF(H1046=0,"—",IF(H1046=1,"ὁμώνυμον",IF(H1046=2,"διὰ πασῶν",IF(H1046=3,"διὰ πέντε",IF(H1046=4,"διὰ τεσσάρων","?")))))</f>
        <v>διὰ πέντε</v>
      </c>
      <c r="K1046" s="10"/>
      <c r="L1046" s="14"/>
      <c r="M1046" s="13"/>
    </row>
    <row r="1047" customFormat="false" ht="15.75" hidden="false" customHeight="true" outlineLevel="0" collapsed="false">
      <c r="A1047" s="8" t="n">
        <f aca="false">A1046+1</f>
        <v>1045</v>
      </c>
      <c r="B1047" s="9" t="n">
        <f aca="false">MOD(4*A1047^2,10)</f>
        <v>0</v>
      </c>
      <c r="C1047" s="9" t="n">
        <f aca="false">(26*B1047-5*B1047^2)/24</f>
        <v>0</v>
      </c>
      <c r="D1047" s="9" t="n">
        <f aca="false">(A1047^2+4*C1047)/5</f>
        <v>218405</v>
      </c>
      <c r="E1047" s="9" t="n">
        <f aca="false">MOD(D1047,10)</f>
        <v>5</v>
      </c>
      <c r="F1047" s="9" t="n">
        <f aca="false">2*D1047</f>
        <v>436810</v>
      </c>
      <c r="G1047" s="9" t="n">
        <f aca="false">MOD(F1047,10)</f>
        <v>0</v>
      </c>
      <c r="H1047" s="9" t="n">
        <f aca="false">G1047/2</f>
        <v>0</v>
      </c>
      <c r="I1047" s="9" t="str">
        <f aca="false">IF(H1047=0,"—",IF(H1047=1,"unison (1:1)",IF(H1047=2,"octave (2:1)",IF(H1047=3,"fifth (3:2)",IF(H1047=4,"fourth (4:3)","?")))))</f>
        <v>—</v>
      </c>
      <c r="J1047" s="9" t="str">
        <f aca="false">IF(H1047=0,"—",IF(H1047=1,"ὁμώνυμον",IF(H1047=2,"διὰ πασῶν",IF(H1047=3,"διὰ πέντε",IF(H1047=4,"διὰ τεσσάρων","?")))))</f>
        <v>—</v>
      </c>
      <c r="K1047" s="10"/>
      <c r="L1047" s="14"/>
      <c r="M1047" s="13"/>
    </row>
    <row r="1048" customFormat="false" ht="15.75" hidden="false" customHeight="true" outlineLevel="0" collapsed="false">
      <c r="A1048" s="8" t="n">
        <f aca="false">A1047+1</f>
        <v>1046</v>
      </c>
      <c r="B1048" s="9" t="n">
        <f aca="false">MOD(4*A1048^2,10)</f>
        <v>4</v>
      </c>
      <c r="C1048" s="9" t="n">
        <f aca="false">(26*B1048-5*B1048^2)/24</f>
        <v>1</v>
      </c>
      <c r="D1048" s="9" t="n">
        <f aca="false">(A1048^2+4*C1048)/5</f>
        <v>218824</v>
      </c>
      <c r="E1048" s="9" t="n">
        <f aca="false">MOD(D1048,10)</f>
        <v>4</v>
      </c>
      <c r="F1048" s="9" t="n">
        <f aca="false">2*D1048</f>
        <v>437648</v>
      </c>
      <c r="G1048" s="9" t="n">
        <f aca="false">MOD(F1048,10)</f>
        <v>8</v>
      </c>
      <c r="H1048" s="9" t="n">
        <f aca="false">G1048/2</f>
        <v>4</v>
      </c>
      <c r="I1048" s="9" t="str">
        <f aca="false">IF(H1048=0,"—",IF(H1048=1,"unison (1:1)",IF(H1048=2,"octave (2:1)",IF(H1048=3,"fifth (3:2)",IF(H1048=4,"fourth (4:3)","?")))))</f>
        <v>fourth (4:3)</v>
      </c>
      <c r="J1048" s="9" t="str">
        <f aca="false">IF(H1048=0,"—",IF(H1048=1,"ὁμώνυμον",IF(H1048=2,"διὰ πασῶν",IF(H1048=3,"διὰ πέντε",IF(H1048=4,"διὰ τεσσάρων","?")))))</f>
        <v>διὰ τεσσάρων</v>
      </c>
      <c r="K1048" s="10"/>
      <c r="L1048" s="14"/>
      <c r="M1048" s="13"/>
    </row>
    <row r="1049" customFormat="false" ht="15.75" hidden="false" customHeight="true" outlineLevel="0" collapsed="false">
      <c r="A1049" s="8" t="n">
        <f aca="false">A1048+1</f>
        <v>1047</v>
      </c>
      <c r="B1049" s="9" t="n">
        <f aca="false">MOD(4*A1049^2,10)</f>
        <v>6</v>
      </c>
      <c r="C1049" s="9" t="n">
        <f aca="false">(26*B1049-5*B1049^2)/24</f>
        <v>-1</v>
      </c>
      <c r="D1049" s="9" t="n">
        <f aca="false">(A1049^2+4*C1049)/5</f>
        <v>219241</v>
      </c>
      <c r="E1049" s="9" t="n">
        <f aca="false">MOD(D1049,10)</f>
        <v>1</v>
      </c>
      <c r="F1049" s="9" t="n">
        <f aca="false">2*D1049</f>
        <v>438482</v>
      </c>
      <c r="G1049" s="9" t="n">
        <f aca="false">MOD(F1049,10)</f>
        <v>2</v>
      </c>
      <c r="H1049" s="9" t="n">
        <f aca="false">G1049/2</f>
        <v>1</v>
      </c>
      <c r="I1049" s="9" t="str">
        <f aca="false">IF(H1049=0,"—",IF(H1049=1,"unison (1:1)",IF(H1049=2,"octave (2:1)",IF(H1049=3,"fifth (3:2)",IF(H1049=4,"fourth (4:3)","?")))))</f>
        <v>unison (1:1)</v>
      </c>
      <c r="J1049" s="9" t="str">
        <f aca="false">IF(H1049=0,"—",IF(H1049=1,"ὁμώνυμον",IF(H1049=2,"διὰ πασῶν",IF(H1049=3,"διὰ πέντε",IF(H1049=4,"διὰ τεσσάρων","?")))))</f>
        <v>ὁμώνυμον</v>
      </c>
      <c r="K1049" s="10"/>
      <c r="L1049" s="14"/>
      <c r="M1049" s="13"/>
    </row>
    <row r="1050" customFormat="false" ht="15.75" hidden="false" customHeight="true" outlineLevel="0" collapsed="false">
      <c r="A1050" s="8" t="n">
        <f aca="false">A1049+1</f>
        <v>1048</v>
      </c>
      <c r="B1050" s="9" t="n">
        <f aca="false">MOD(4*A1050^2,10)</f>
        <v>6</v>
      </c>
      <c r="C1050" s="9" t="n">
        <f aca="false">(26*B1050-5*B1050^2)/24</f>
        <v>-1</v>
      </c>
      <c r="D1050" s="9" t="n">
        <f aca="false">(A1050^2+4*C1050)/5</f>
        <v>219660</v>
      </c>
      <c r="E1050" s="9" t="n">
        <f aca="false">MOD(D1050,10)</f>
        <v>0</v>
      </c>
      <c r="F1050" s="9" t="n">
        <f aca="false">2*D1050</f>
        <v>439320</v>
      </c>
      <c r="G1050" s="9" t="n">
        <f aca="false">MOD(F1050,10)</f>
        <v>0</v>
      </c>
      <c r="H1050" s="9" t="n">
        <f aca="false">G1050/2</f>
        <v>0</v>
      </c>
      <c r="I1050" s="9" t="str">
        <f aca="false">IF(H1050=0,"—",IF(H1050=1,"unison (1:1)",IF(H1050=2,"octave (2:1)",IF(H1050=3,"fifth (3:2)",IF(H1050=4,"fourth (4:3)","?")))))</f>
        <v>—</v>
      </c>
      <c r="J1050" s="9" t="str">
        <f aca="false">IF(H1050=0,"—",IF(H1050=1,"ὁμώνυμον",IF(H1050=2,"διὰ πασῶν",IF(H1050=3,"διὰ πέντε",IF(H1050=4,"διὰ τεσσάρων","?")))))</f>
        <v>—</v>
      </c>
      <c r="K1050" s="10"/>
      <c r="L1050" s="14"/>
      <c r="M1050" s="13"/>
    </row>
    <row r="1051" customFormat="false" ht="15.75" hidden="false" customHeight="true" outlineLevel="0" collapsed="false">
      <c r="A1051" s="8" t="n">
        <f aca="false">A1050+1</f>
        <v>1049</v>
      </c>
      <c r="B1051" s="9" t="n">
        <f aca="false">MOD(4*A1051^2,10)</f>
        <v>4</v>
      </c>
      <c r="C1051" s="9" t="n">
        <f aca="false">(26*B1051-5*B1051^2)/24</f>
        <v>1</v>
      </c>
      <c r="D1051" s="9" t="n">
        <f aca="false">(A1051^2+4*C1051)/5</f>
        <v>220081</v>
      </c>
      <c r="E1051" s="9" t="n">
        <f aca="false">MOD(D1051,10)</f>
        <v>1</v>
      </c>
      <c r="F1051" s="9" t="n">
        <f aca="false">2*D1051</f>
        <v>440162</v>
      </c>
      <c r="G1051" s="9" t="n">
        <f aca="false">MOD(F1051,10)</f>
        <v>2</v>
      </c>
      <c r="H1051" s="9" t="n">
        <f aca="false">G1051/2</f>
        <v>1</v>
      </c>
      <c r="I1051" s="9" t="str">
        <f aca="false">IF(H1051=0,"—",IF(H1051=1,"unison (1:1)",IF(H1051=2,"octave (2:1)",IF(H1051=3,"fifth (3:2)",IF(H1051=4,"fourth (4:3)","?")))))</f>
        <v>unison (1:1)</v>
      </c>
      <c r="J1051" s="9" t="str">
        <f aca="false">IF(H1051=0,"—",IF(H1051=1,"ὁμώνυμον",IF(H1051=2,"διὰ πασῶν",IF(H1051=3,"διὰ πέντε",IF(H1051=4,"διὰ τεσσάρων","?")))))</f>
        <v>ὁμώνυμον</v>
      </c>
      <c r="K1051" s="10"/>
      <c r="L1051" s="14"/>
      <c r="M1051" s="13"/>
    </row>
    <row r="1052" customFormat="false" ht="15.75" hidden="false" customHeight="true" outlineLevel="0" collapsed="false">
      <c r="A1052" s="8" t="n">
        <f aca="false">A1051+1</f>
        <v>1050</v>
      </c>
      <c r="B1052" s="9" t="n">
        <f aca="false">MOD(4*A1052^2,10)</f>
        <v>0</v>
      </c>
      <c r="C1052" s="9" t="n">
        <f aca="false">(26*B1052-5*B1052^2)/24</f>
        <v>0</v>
      </c>
      <c r="D1052" s="9" t="n">
        <f aca="false">(A1052^2+4*C1052)/5</f>
        <v>220500</v>
      </c>
      <c r="E1052" s="9" t="n">
        <f aca="false">MOD(D1052,10)</f>
        <v>0</v>
      </c>
      <c r="F1052" s="9" t="n">
        <f aca="false">2*D1052</f>
        <v>441000</v>
      </c>
      <c r="G1052" s="9" t="n">
        <f aca="false">MOD(F1052,10)</f>
        <v>0</v>
      </c>
      <c r="H1052" s="9" t="n">
        <f aca="false">G1052/2</f>
        <v>0</v>
      </c>
      <c r="I1052" s="9" t="str">
        <f aca="false">IF(H1052=0,"—",IF(H1052=1,"unison (1:1)",IF(H1052=2,"octave (2:1)",IF(H1052=3,"fifth (3:2)",IF(H1052=4,"fourth (4:3)","?")))))</f>
        <v>—</v>
      </c>
      <c r="J1052" s="9" t="str">
        <f aca="false">IF(H1052=0,"—",IF(H1052=1,"ὁμώνυμον",IF(H1052=2,"διὰ πασῶν",IF(H1052=3,"διὰ πέντε",IF(H1052=4,"διὰ τεσσάρων","?")))))</f>
        <v>—</v>
      </c>
      <c r="K1052" s="10"/>
      <c r="L1052" s="14"/>
      <c r="M1052" s="13"/>
    </row>
    <row r="1053" customFormat="false" ht="15.75" hidden="false" customHeight="true" outlineLevel="0" collapsed="false">
      <c r="A1053" s="8" t="n">
        <f aca="false">A1052+1</f>
        <v>1051</v>
      </c>
      <c r="B1053" s="9" t="n">
        <f aca="false">MOD(4*A1053^2,10)</f>
        <v>4</v>
      </c>
      <c r="C1053" s="9" t="n">
        <f aca="false">(26*B1053-5*B1053^2)/24</f>
        <v>1</v>
      </c>
      <c r="D1053" s="9" t="n">
        <f aca="false">(A1053^2+4*C1053)/5</f>
        <v>220921</v>
      </c>
      <c r="E1053" s="9" t="n">
        <f aca="false">MOD(D1053,10)</f>
        <v>1</v>
      </c>
      <c r="F1053" s="9" t="n">
        <f aca="false">2*D1053</f>
        <v>441842</v>
      </c>
      <c r="G1053" s="9" t="n">
        <f aca="false">MOD(F1053,10)</f>
        <v>2</v>
      </c>
      <c r="H1053" s="9" t="n">
        <f aca="false">G1053/2</f>
        <v>1</v>
      </c>
      <c r="I1053" s="9" t="str">
        <f aca="false">IF(H1053=0,"—",IF(H1053=1,"unison (1:1)",IF(H1053=2,"octave (2:1)",IF(H1053=3,"fifth (3:2)",IF(H1053=4,"fourth (4:3)","?")))))</f>
        <v>unison (1:1)</v>
      </c>
      <c r="J1053" s="9" t="str">
        <f aca="false">IF(H1053=0,"—",IF(H1053=1,"ὁμώνυμον",IF(H1053=2,"διὰ πασῶν",IF(H1053=3,"διὰ πέντε",IF(H1053=4,"διὰ τεσσάρων","?")))))</f>
        <v>ὁμώνυμον</v>
      </c>
      <c r="K1053" s="10"/>
      <c r="L1053" s="14"/>
      <c r="M1053" s="13"/>
    </row>
    <row r="1054" customFormat="false" ht="15.75" hidden="false" customHeight="true" outlineLevel="0" collapsed="false">
      <c r="A1054" s="8" t="n">
        <f aca="false">A1053+1</f>
        <v>1052</v>
      </c>
      <c r="B1054" s="9" t="n">
        <f aca="false">MOD(4*A1054^2,10)</f>
        <v>6</v>
      </c>
      <c r="C1054" s="9" t="n">
        <f aca="false">(26*B1054-5*B1054^2)/24</f>
        <v>-1</v>
      </c>
      <c r="D1054" s="9" t="n">
        <f aca="false">(A1054^2+4*C1054)/5</f>
        <v>221340</v>
      </c>
      <c r="E1054" s="9" t="n">
        <f aca="false">MOD(D1054,10)</f>
        <v>0</v>
      </c>
      <c r="F1054" s="9" t="n">
        <f aca="false">2*D1054</f>
        <v>442680</v>
      </c>
      <c r="G1054" s="9" t="n">
        <f aca="false">MOD(F1054,10)</f>
        <v>0</v>
      </c>
      <c r="H1054" s="9" t="n">
        <f aca="false">G1054/2</f>
        <v>0</v>
      </c>
      <c r="I1054" s="9" t="str">
        <f aca="false">IF(H1054=0,"—",IF(H1054=1,"unison (1:1)",IF(H1054=2,"octave (2:1)",IF(H1054=3,"fifth (3:2)",IF(H1054=4,"fourth (4:3)","?")))))</f>
        <v>—</v>
      </c>
      <c r="J1054" s="9" t="str">
        <f aca="false">IF(H1054=0,"—",IF(H1054=1,"ὁμώνυμον",IF(H1054=2,"διὰ πασῶν",IF(H1054=3,"διὰ πέντε",IF(H1054=4,"διὰ τεσσάρων","?")))))</f>
        <v>—</v>
      </c>
      <c r="K1054" s="10"/>
      <c r="L1054" s="14"/>
      <c r="M1054" s="13"/>
    </row>
    <row r="1055" customFormat="false" ht="15.75" hidden="false" customHeight="true" outlineLevel="0" collapsed="false">
      <c r="A1055" s="8" t="n">
        <f aca="false">A1054+1</f>
        <v>1053</v>
      </c>
      <c r="B1055" s="9" t="n">
        <f aca="false">MOD(4*A1055^2,10)</f>
        <v>6</v>
      </c>
      <c r="C1055" s="9" t="n">
        <f aca="false">(26*B1055-5*B1055^2)/24</f>
        <v>-1</v>
      </c>
      <c r="D1055" s="9" t="n">
        <f aca="false">(A1055^2+4*C1055)/5</f>
        <v>221761</v>
      </c>
      <c r="E1055" s="9" t="n">
        <f aca="false">MOD(D1055,10)</f>
        <v>1</v>
      </c>
      <c r="F1055" s="9" t="n">
        <f aca="false">2*D1055</f>
        <v>443522</v>
      </c>
      <c r="G1055" s="9" t="n">
        <f aca="false">MOD(F1055,10)</f>
        <v>2</v>
      </c>
      <c r="H1055" s="9" t="n">
        <f aca="false">G1055/2</f>
        <v>1</v>
      </c>
      <c r="I1055" s="9" t="str">
        <f aca="false">IF(H1055=0,"—",IF(H1055=1,"unison (1:1)",IF(H1055=2,"octave (2:1)",IF(H1055=3,"fifth (3:2)",IF(H1055=4,"fourth (4:3)","?")))))</f>
        <v>unison (1:1)</v>
      </c>
      <c r="J1055" s="9" t="str">
        <f aca="false">IF(H1055=0,"—",IF(H1055=1,"ὁμώνυμον",IF(H1055=2,"διὰ πασῶν",IF(H1055=3,"διὰ πέντε",IF(H1055=4,"διὰ τεσσάρων","?")))))</f>
        <v>ὁμώνυμον</v>
      </c>
      <c r="K1055" s="10"/>
      <c r="L1055" s="14"/>
      <c r="M1055" s="13"/>
    </row>
    <row r="1056" customFormat="false" ht="15.75" hidden="false" customHeight="true" outlineLevel="0" collapsed="false">
      <c r="A1056" s="8" t="n">
        <f aca="false">A1055+1</f>
        <v>1054</v>
      </c>
      <c r="B1056" s="9" t="n">
        <f aca="false">MOD(4*A1056^2,10)</f>
        <v>4</v>
      </c>
      <c r="C1056" s="9" t="n">
        <f aca="false">(26*B1056-5*B1056^2)/24</f>
        <v>1</v>
      </c>
      <c r="D1056" s="9" t="n">
        <f aca="false">(A1056^2+4*C1056)/5</f>
        <v>222184</v>
      </c>
      <c r="E1056" s="9" t="n">
        <f aca="false">MOD(D1056,10)</f>
        <v>4</v>
      </c>
      <c r="F1056" s="9" t="n">
        <f aca="false">2*D1056</f>
        <v>444368</v>
      </c>
      <c r="G1056" s="9" t="n">
        <f aca="false">MOD(F1056,10)</f>
        <v>8</v>
      </c>
      <c r="H1056" s="9" t="n">
        <f aca="false">G1056/2</f>
        <v>4</v>
      </c>
      <c r="I1056" s="9" t="str">
        <f aca="false">IF(H1056=0,"—",IF(H1056=1,"unison (1:1)",IF(H1056=2,"octave (2:1)",IF(H1056=3,"fifth (3:2)",IF(H1056=4,"fourth (4:3)","?")))))</f>
        <v>fourth (4:3)</v>
      </c>
      <c r="J1056" s="9" t="str">
        <f aca="false">IF(H1056=0,"—",IF(H1056=1,"ὁμώνυμον",IF(H1056=2,"διὰ πασῶν",IF(H1056=3,"διὰ πέντε",IF(H1056=4,"διὰ τεσσάρων","?")))))</f>
        <v>διὰ τεσσάρων</v>
      </c>
      <c r="K1056" s="10"/>
      <c r="L1056" s="14"/>
      <c r="M1056" s="13"/>
    </row>
    <row r="1057" customFormat="false" ht="15.75" hidden="false" customHeight="true" outlineLevel="0" collapsed="false">
      <c r="A1057" s="8" t="n">
        <f aca="false">A1056+1</f>
        <v>1055</v>
      </c>
      <c r="B1057" s="9" t="n">
        <f aca="false">MOD(4*A1057^2,10)</f>
        <v>0</v>
      </c>
      <c r="C1057" s="9" t="n">
        <f aca="false">(26*B1057-5*B1057^2)/24</f>
        <v>0</v>
      </c>
      <c r="D1057" s="9" t="n">
        <f aca="false">(A1057^2+4*C1057)/5</f>
        <v>222605</v>
      </c>
      <c r="E1057" s="9" t="n">
        <f aca="false">MOD(D1057,10)</f>
        <v>5</v>
      </c>
      <c r="F1057" s="9" t="n">
        <f aca="false">2*D1057</f>
        <v>445210</v>
      </c>
      <c r="G1057" s="9" t="n">
        <f aca="false">MOD(F1057,10)</f>
        <v>0</v>
      </c>
      <c r="H1057" s="9" t="n">
        <f aca="false">G1057/2</f>
        <v>0</v>
      </c>
      <c r="I1057" s="9" t="str">
        <f aca="false">IF(H1057=0,"—",IF(H1057=1,"unison (1:1)",IF(H1057=2,"octave (2:1)",IF(H1057=3,"fifth (3:2)",IF(H1057=4,"fourth (4:3)","?")))))</f>
        <v>—</v>
      </c>
      <c r="J1057" s="9" t="str">
        <f aca="false">IF(H1057=0,"—",IF(H1057=1,"ὁμώνυμον",IF(H1057=2,"διὰ πασῶν",IF(H1057=3,"διὰ πέντε",IF(H1057=4,"διὰ τεσσάρων","?")))))</f>
        <v>—</v>
      </c>
      <c r="K1057" s="10"/>
      <c r="L1057" s="14"/>
      <c r="M1057" s="13"/>
    </row>
    <row r="1058" customFormat="false" ht="15.75" hidden="false" customHeight="true" outlineLevel="0" collapsed="false">
      <c r="A1058" s="8" t="n">
        <f aca="false">A1057+1</f>
        <v>1056</v>
      </c>
      <c r="B1058" s="9" t="n">
        <f aca="false">MOD(4*A1058^2,10)</f>
        <v>4</v>
      </c>
      <c r="C1058" s="9" t="n">
        <f aca="false">(26*B1058-5*B1058^2)/24</f>
        <v>1</v>
      </c>
      <c r="D1058" s="9" t="n">
        <f aca="false">(A1058^2+4*C1058)/5</f>
        <v>223028</v>
      </c>
      <c r="E1058" s="9" t="n">
        <f aca="false">MOD(D1058,10)</f>
        <v>8</v>
      </c>
      <c r="F1058" s="9" t="n">
        <f aca="false">2*D1058</f>
        <v>446056</v>
      </c>
      <c r="G1058" s="9" t="n">
        <f aca="false">MOD(F1058,10)</f>
        <v>6</v>
      </c>
      <c r="H1058" s="9" t="n">
        <f aca="false">G1058/2</f>
        <v>3</v>
      </c>
      <c r="I1058" s="9" t="str">
        <f aca="false">IF(H1058=0,"—",IF(H1058=1,"unison (1:1)",IF(H1058=2,"octave (2:1)",IF(H1058=3,"fifth (3:2)",IF(H1058=4,"fourth (4:3)","?")))))</f>
        <v>fifth (3:2)</v>
      </c>
      <c r="J1058" s="9" t="str">
        <f aca="false">IF(H1058=0,"—",IF(H1058=1,"ὁμώνυμον",IF(H1058=2,"διὰ πασῶν",IF(H1058=3,"διὰ πέντε",IF(H1058=4,"διὰ τεσσάρων","?")))))</f>
        <v>διὰ πέντε</v>
      </c>
      <c r="K1058" s="10"/>
      <c r="L1058" s="14"/>
      <c r="M1058" s="13"/>
    </row>
    <row r="1059" customFormat="false" ht="15.75" hidden="false" customHeight="true" outlineLevel="0" collapsed="false">
      <c r="A1059" s="8" t="n">
        <f aca="false">A1058+1</f>
        <v>1057</v>
      </c>
      <c r="B1059" s="9" t="n">
        <f aca="false">MOD(4*A1059^2,10)</f>
        <v>6</v>
      </c>
      <c r="C1059" s="9" t="n">
        <f aca="false">(26*B1059-5*B1059^2)/24</f>
        <v>-1</v>
      </c>
      <c r="D1059" s="9" t="n">
        <f aca="false">(A1059^2+4*C1059)/5</f>
        <v>223449</v>
      </c>
      <c r="E1059" s="9" t="n">
        <f aca="false">MOD(D1059,10)</f>
        <v>9</v>
      </c>
      <c r="F1059" s="9" t="n">
        <f aca="false">2*D1059</f>
        <v>446898</v>
      </c>
      <c r="G1059" s="9" t="n">
        <f aca="false">MOD(F1059,10)</f>
        <v>8</v>
      </c>
      <c r="H1059" s="9" t="n">
        <f aca="false">G1059/2</f>
        <v>4</v>
      </c>
      <c r="I1059" s="9" t="str">
        <f aca="false">IF(H1059=0,"—",IF(H1059=1,"unison (1:1)",IF(H1059=2,"octave (2:1)",IF(H1059=3,"fifth (3:2)",IF(H1059=4,"fourth (4:3)","?")))))</f>
        <v>fourth (4:3)</v>
      </c>
      <c r="J1059" s="9" t="str">
        <f aca="false">IF(H1059=0,"—",IF(H1059=1,"ὁμώνυμον",IF(H1059=2,"διὰ πασῶν",IF(H1059=3,"διὰ πέντε",IF(H1059=4,"διὰ τεσσάρων","?")))))</f>
        <v>διὰ τεσσάρων</v>
      </c>
      <c r="K1059" s="10"/>
      <c r="L1059" s="14"/>
      <c r="M1059" s="13"/>
    </row>
    <row r="1060" customFormat="false" ht="15.75" hidden="false" customHeight="true" outlineLevel="0" collapsed="false">
      <c r="A1060" s="8" t="n">
        <f aca="false">A1059+1</f>
        <v>1058</v>
      </c>
      <c r="B1060" s="9" t="n">
        <f aca="false">MOD(4*A1060^2,10)</f>
        <v>6</v>
      </c>
      <c r="C1060" s="9" t="n">
        <f aca="false">(26*B1060-5*B1060^2)/24</f>
        <v>-1</v>
      </c>
      <c r="D1060" s="9" t="n">
        <f aca="false">(A1060^2+4*C1060)/5</f>
        <v>223872</v>
      </c>
      <c r="E1060" s="9" t="n">
        <f aca="false">MOD(D1060,10)</f>
        <v>2</v>
      </c>
      <c r="F1060" s="9" t="n">
        <f aca="false">2*D1060</f>
        <v>447744</v>
      </c>
      <c r="G1060" s="9" t="n">
        <f aca="false">MOD(F1060,10)</f>
        <v>4</v>
      </c>
      <c r="H1060" s="9" t="n">
        <f aca="false">G1060/2</f>
        <v>2</v>
      </c>
      <c r="I1060" s="9" t="str">
        <f aca="false">IF(H1060=0,"—",IF(H1060=1,"unison (1:1)",IF(H1060=2,"octave (2:1)",IF(H1060=3,"fifth (3:2)",IF(H1060=4,"fourth (4:3)","?")))))</f>
        <v>octave (2:1)</v>
      </c>
      <c r="J1060" s="9" t="str">
        <f aca="false">IF(H1060=0,"—",IF(H1060=1,"ὁμώνυμον",IF(H1060=2,"διὰ πασῶν",IF(H1060=3,"διὰ πέντε",IF(H1060=4,"διὰ τεσσάρων","?")))))</f>
        <v>διὰ πασῶν</v>
      </c>
      <c r="K1060" s="10"/>
      <c r="L1060" s="14"/>
      <c r="M1060" s="13"/>
    </row>
    <row r="1061" customFormat="false" ht="15.75" hidden="false" customHeight="true" outlineLevel="0" collapsed="false">
      <c r="A1061" s="8" t="n">
        <f aca="false">A1060+1</f>
        <v>1059</v>
      </c>
      <c r="B1061" s="9" t="n">
        <f aca="false">MOD(4*A1061^2,10)</f>
        <v>4</v>
      </c>
      <c r="C1061" s="9" t="n">
        <f aca="false">(26*B1061-5*B1061^2)/24</f>
        <v>1</v>
      </c>
      <c r="D1061" s="9" t="n">
        <f aca="false">(A1061^2+4*C1061)/5</f>
        <v>224297</v>
      </c>
      <c r="E1061" s="9" t="n">
        <f aca="false">MOD(D1061,10)</f>
        <v>7</v>
      </c>
      <c r="F1061" s="9" t="n">
        <f aca="false">2*D1061</f>
        <v>448594</v>
      </c>
      <c r="G1061" s="9" t="n">
        <f aca="false">MOD(F1061,10)</f>
        <v>4</v>
      </c>
      <c r="H1061" s="9" t="n">
        <f aca="false">G1061/2</f>
        <v>2</v>
      </c>
      <c r="I1061" s="9" t="str">
        <f aca="false">IF(H1061=0,"—",IF(H1061=1,"unison (1:1)",IF(H1061=2,"octave (2:1)",IF(H1061=3,"fifth (3:2)",IF(H1061=4,"fourth (4:3)","?")))))</f>
        <v>octave (2:1)</v>
      </c>
      <c r="J1061" s="9" t="str">
        <f aca="false">IF(H1061=0,"—",IF(H1061=1,"ὁμώνυμον",IF(H1061=2,"διὰ πασῶν",IF(H1061=3,"διὰ πέντε",IF(H1061=4,"διὰ τεσσάρων","?")))))</f>
        <v>διὰ πασῶν</v>
      </c>
      <c r="K1061" s="10"/>
      <c r="L1061" s="14"/>
      <c r="M1061" s="13"/>
    </row>
    <row r="1062" customFormat="false" ht="15.75" hidden="false" customHeight="true" outlineLevel="0" collapsed="false">
      <c r="A1062" s="8" t="n">
        <f aca="false">A1061+1</f>
        <v>1060</v>
      </c>
      <c r="B1062" s="9" t="n">
        <f aca="false">MOD(4*A1062^2,10)</f>
        <v>0</v>
      </c>
      <c r="C1062" s="9" t="n">
        <f aca="false">(26*B1062-5*B1062^2)/24</f>
        <v>0</v>
      </c>
      <c r="D1062" s="9" t="n">
        <f aca="false">(A1062^2+4*C1062)/5</f>
        <v>224720</v>
      </c>
      <c r="E1062" s="9" t="n">
        <f aca="false">MOD(D1062,10)</f>
        <v>0</v>
      </c>
      <c r="F1062" s="9" t="n">
        <f aca="false">2*D1062</f>
        <v>449440</v>
      </c>
      <c r="G1062" s="9" t="n">
        <f aca="false">MOD(F1062,10)</f>
        <v>0</v>
      </c>
      <c r="H1062" s="9" t="n">
        <f aca="false">G1062/2</f>
        <v>0</v>
      </c>
      <c r="I1062" s="9" t="str">
        <f aca="false">IF(H1062=0,"—",IF(H1062=1,"unison (1:1)",IF(H1062=2,"octave (2:1)",IF(H1062=3,"fifth (3:2)",IF(H1062=4,"fourth (4:3)","?")))))</f>
        <v>—</v>
      </c>
      <c r="J1062" s="9" t="str">
        <f aca="false">IF(H1062=0,"—",IF(H1062=1,"ὁμώνυμον",IF(H1062=2,"διὰ πασῶν",IF(H1062=3,"διὰ πέντε",IF(H1062=4,"διὰ τεσσάρων","?")))))</f>
        <v>—</v>
      </c>
      <c r="K1062" s="10"/>
      <c r="L1062" s="14"/>
      <c r="M1062" s="13"/>
    </row>
    <row r="1063" customFormat="false" ht="15.75" hidden="false" customHeight="true" outlineLevel="0" collapsed="false">
      <c r="A1063" s="8" t="n">
        <f aca="false">A1062+1</f>
        <v>1061</v>
      </c>
      <c r="B1063" s="9" t="n">
        <f aca="false">MOD(4*A1063^2,10)</f>
        <v>4</v>
      </c>
      <c r="C1063" s="9" t="n">
        <f aca="false">(26*B1063-5*B1063^2)/24</f>
        <v>1</v>
      </c>
      <c r="D1063" s="9" t="n">
        <f aca="false">(A1063^2+4*C1063)/5</f>
        <v>225145</v>
      </c>
      <c r="E1063" s="9" t="n">
        <f aca="false">MOD(D1063,10)</f>
        <v>5</v>
      </c>
      <c r="F1063" s="9" t="n">
        <f aca="false">2*D1063</f>
        <v>450290</v>
      </c>
      <c r="G1063" s="9" t="n">
        <f aca="false">MOD(F1063,10)</f>
        <v>0</v>
      </c>
      <c r="H1063" s="9" t="n">
        <f aca="false">G1063/2</f>
        <v>0</v>
      </c>
      <c r="I1063" s="9" t="str">
        <f aca="false">IF(H1063=0,"—",IF(H1063=1,"unison (1:1)",IF(H1063=2,"octave (2:1)",IF(H1063=3,"fifth (3:2)",IF(H1063=4,"fourth (4:3)","?")))))</f>
        <v>—</v>
      </c>
      <c r="J1063" s="9" t="str">
        <f aca="false">IF(H1063=0,"—",IF(H1063=1,"ὁμώνυμον",IF(H1063=2,"διὰ πασῶν",IF(H1063=3,"διὰ πέντε",IF(H1063=4,"διὰ τεσσάρων","?")))))</f>
        <v>—</v>
      </c>
      <c r="K1063" s="10"/>
      <c r="L1063" s="14"/>
      <c r="M1063" s="13"/>
    </row>
    <row r="1064" customFormat="false" ht="15.75" hidden="false" customHeight="true" outlineLevel="0" collapsed="false">
      <c r="A1064" s="8" t="n">
        <f aca="false">A1063+1</f>
        <v>1062</v>
      </c>
      <c r="B1064" s="9" t="n">
        <f aca="false">MOD(4*A1064^2,10)</f>
        <v>6</v>
      </c>
      <c r="C1064" s="9" t="n">
        <f aca="false">(26*B1064-5*B1064^2)/24</f>
        <v>-1</v>
      </c>
      <c r="D1064" s="9" t="n">
        <f aca="false">(A1064^2+4*C1064)/5</f>
        <v>225568</v>
      </c>
      <c r="E1064" s="9" t="n">
        <f aca="false">MOD(D1064,10)</f>
        <v>8</v>
      </c>
      <c r="F1064" s="9" t="n">
        <f aca="false">2*D1064</f>
        <v>451136</v>
      </c>
      <c r="G1064" s="9" t="n">
        <f aca="false">MOD(F1064,10)</f>
        <v>6</v>
      </c>
      <c r="H1064" s="9" t="n">
        <f aca="false">G1064/2</f>
        <v>3</v>
      </c>
      <c r="I1064" s="9" t="str">
        <f aca="false">IF(H1064=0,"—",IF(H1064=1,"unison (1:1)",IF(H1064=2,"octave (2:1)",IF(H1064=3,"fifth (3:2)",IF(H1064=4,"fourth (4:3)","?")))))</f>
        <v>fifth (3:2)</v>
      </c>
      <c r="J1064" s="9" t="str">
        <f aca="false">IF(H1064=0,"—",IF(H1064=1,"ὁμώνυμον",IF(H1064=2,"διὰ πασῶν",IF(H1064=3,"διὰ πέντε",IF(H1064=4,"διὰ τεσσάρων","?")))))</f>
        <v>διὰ πέντε</v>
      </c>
      <c r="K1064" s="10"/>
      <c r="L1064" s="14"/>
      <c r="M1064" s="13"/>
    </row>
    <row r="1065" customFormat="false" ht="15.75" hidden="false" customHeight="true" outlineLevel="0" collapsed="false">
      <c r="A1065" s="8" t="n">
        <f aca="false">A1064+1</f>
        <v>1063</v>
      </c>
      <c r="B1065" s="9" t="n">
        <f aca="false">MOD(4*A1065^2,10)</f>
        <v>6</v>
      </c>
      <c r="C1065" s="9" t="n">
        <f aca="false">(26*B1065-5*B1065^2)/24</f>
        <v>-1</v>
      </c>
      <c r="D1065" s="9" t="n">
        <f aca="false">(A1065^2+4*C1065)/5</f>
        <v>225993</v>
      </c>
      <c r="E1065" s="9" t="n">
        <f aca="false">MOD(D1065,10)</f>
        <v>3</v>
      </c>
      <c r="F1065" s="9" t="n">
        <f aca="false">2*D1065</f>
        <v>451986</v>
      </c>
      <c r="G1065" s="9" t="n">
        <f aca="false">MOD(F1065,10)</f>
        <v>6</v>
      </c>
      <c r="H1065" s="9" t="n">
        <f aca="false">G1065/2</f>
        <v>3</v>
      </c>
      <c r="I1065" s="9" t="str">
        <f aca="false">IF(H1065=0,"—",IF(H1065=1,"unison (1:1)",IF(H1065=2,"octave (2:1)",IF(H1065=3,"fifth (3:2)",IF(H1065=4,"fourth (4:3)","?")))))</f>
        <v>fifth (3:2)</v>
      </c>
      <c r="J1065" s="9" t="str">
        <f aca="false">IF(H1065=0,"—",IF(H1065=1,"ὁμώνυμον",IF(H1065=2,"διὰ πασῶν",IF(H1065=3,"διὰ πέντε",IF(H1065=4,"διὰ τεσσάρων","?")))))</f>
        <v>διὰ πέντε</v>
      </c>
      <c r="K1065" s="10"/>
      <c r="L1065" s="14"/>
      <c r="M1065" s="13"/>
    </row>
    <row r="1066" customFormat="false" ht="15.75" hidden="false" customHeight="true" outlineLevel="0" collapsed="false">
      <c r="A1066" s="8" t="n">
        <f aca="false">A1065+1</f>
        <v>1064</v>
      </c>
      <c r="B1066" s="9" t="n">
        <f aca="false">MOD(4*A1066^2,10)</f>
        <v>4</v>
      </c>
      <c r="C1066" s="9" t="n">
        <f aca="false">(26*B1066-5*B1066^2)/24</f>
        <v>1</v>
      </c>
      <c r="D1066" s="9" t="n">
        <f aca="false">(A1066^2+4*C1066)/5</f>
        <v>226420</v>
      </c>
      <c r="E1066" s="9" t="n">
        <f aca="false">MOD(D1066,10)</f>
        <v>0</v>
      </c>
      <c r="F1066" s="9" t="n">
        <f aca="false">2*D1066</f>
        <v>452840</v>
      </c>
      <c r="G1066" s="9" t="n">
        <f aca="false">MOD(F1066,10)</f>
        <v>0</v>
      </c>
      <c r="H1066" s="9" t="n">
        <f aca="false">G1066/2</f>
        <v>0</v>
      </c>
      <c r="I1066" s="9" t="str">
        <f aca="false">IF(H1066=0,"—",IF(H1066=1,"unison (1:1)",IF(H1066=2,"octave (2:1)",IF(H1066=3,"fifth (3:2)",IF(H1066=4,"fourth (4:3)","?")))))</f>
        <v>—</v>
      </c>
      <c r="J1066" s="9" t="str">
        <f aca="false">IF(H1066=0,"—",IF(H1066=1,"ὁμώνυμον",IF(H1066=2,"διὰ πασῶν",IF(H1066=3,"διὰ πέντε",IF(H1066=4,"διὰ τεσσάρων","?")))))</f>
        <v>—</v>
      </c>
      <c r="K1066" s="10"/>
      <c r="L1066" s="14"/>
      <c r="M1066" s="13"/>
    </row>
    <row r="1067" customFormat="false" ht="15.75" hidden="false" customHeight="true" outlineLevel="0" collapsed="false">
      <c r="A1067" s="8" t="n">
        <f aca="false">A1066+1</f>
        <v>1065</v>
      </c>
      <c r="B1067" s="9" t="n">
        <f aca="false">MOD(4*A1067^2,10)</f>
        <v>0</v>
      </c>
      <c r="C1067" s="9" t="n">
        <f aca="false">(26*B1067-5*B1067^2)/24</f>
        <v>0</v>
      </c>
      <c r="D1067" s="9" t="n">
        <f aca="false">(A1067^2+4*C1067)/5</f>
        <v>226845</v>
      </c>
      <c r="E1067" s="9" t="n">
        <f aca="false">MOD(D1067,10)</f>
        <v>5</v>
      </c>
      <c r="F1067" s="9" t="n">
        <f aca="false">2*D1067</f>
        <v>453690</v>
      </c>
      <c r="G1067" s="9" t="n">
        <f aca="false">MOD(F1067,10)</f>
        <v>0</v>
      </c>
      <c r="H1067" s="9" t="n">
        <f aca="false">G1067/2</f>
        <v>0</v>
      </c>
      <c r="I1067" s="9" t="str">
        <f aca="false">IF(H1067=0,"—",IF(H1067=1,"unison (1:1)",IF(H1067=2,"octave (2:1)",IF(H1067=3,"fifth (3:2)",IF(H1067=4,"fourth (4:3)","?")))))</f>
        <v>—</v>
      </c>
      <c r="J1067" s="9" t="str">
        <f aca="false">IF(H1067=0,"—",IF(H1067=1,"ὁμώνυμον",IF(H1067=2,"διὰ πασῶν",IF(H1067=3,"διὰ πέντε",IF(H1067=4,"διὰ τεσσάρων","?")))))</f>
        <v>—</v>
      </c>
      <c r="K1067" s="10"/>
      <c r="L1067" s="14"/>
      <c r="M1067" s="13"/>
    </row>
    <row r="1068" customFormat="false" ht="15.75" hidden="false" customHeight="true" outlineLevel="0" collapsed="false">
      <c r="A1068" s="8" t="n">
        <f aca="false">A1067+1</f>
        <v>1066</v>
      </c>
      <c r="B1068" s="9" t="n">
        <f aca="false">MOD(4*A1068^2,10)</f>
        <v>4</v>
      </c>
      <c r="C1068" s="9" t="n">
        <f aca="false">(26*B1068-5*B1068^2)/24</f>
        <v>1</v>
      </c>
      <c r="D1068" s="9" t="n">
        <f aca="false">(A1068^2+4*C1068)/5</f>
        <v>227272</v>
      </c>
      <c r="E1068" s="9" t="n">
        <f aca="false">MOD(D1068,10)</f>
        <v>2</v>
      </c>
      <c r="F1068" s="9" t="n">
        <f aca="false">2*D1068</f>
        <v>454544</v>
      </c>
      <c r="G1068" s="9" t="n">
        <f aca="false">MOD(F1068,10)</f>
        <v>4</v>
      </c>
      <c r="H1068" s="9" t="n">
        <f aca="false">G1068/2</f>
        <v>2</v>
      </c>
      <c r="I1068" s="9" t="str">
        <f aca="false">IF(H1068=0,"—",IF(H1068=1,"unison (1:1)",IF(H1068=2,"octave (2:1)",IF(H1068=3,"fifth (3:2)",IF(H1068=4,"fourth (4:3)","?")))))</f>
        <v>octave (2:1)</v>
      </c>
      <c r="J1068" s="9" t="str">
        <f aca="false">IF(H1068=0,"—",IF(H1068=1,"ὁμώνυμον",IF(H1068=2,"διὰ πασῶν",IF(H1068=3,"διὰ πέντε",IF(H1068=4,"διὰ τεσσάρων","?")))))</f>
        <v>διὰ πασῶν</v>
      </c>
      <c r="K1068" s="10"/>
      <c r="L1068" s="14"/>
      <c r="M1068" s="13"/>
    </row>
    <row r="1069" customFormat="false" ht="15.75" hidden="false" customHeight="true" outlineLevel="0" collapsed="false">
      <c r="A1069" s="8" t="n">
        <f aca="false">A1068+1</f>
        <v>1067</v>
      </c>
      <c r="B1069" s="9" t="n">
        <f aca="false">MOD(4*A1069^2,10)</f>
        <v>6</v>
      </c>
      <c r="C1069" s="9" t="n">
        <f aca="false">(26*B1069-5*B1069^2)/24</f>
        <v>-1</v>
      </c>
      <c r="D1069" s="9" t="n">
        <f aca="false">(A1069^2+4*C1069)/5</f>
        <v>227697</v>
      </c>
      <c r="E1069" s="9" t="n">
        <f aca="false">MOD(D1069,10)</f>
        <v>7</v>
      </c>
      <c r="F1069" s="9" t="n">
        <f aca="false">2*D1069</f>
        <v>455394</v>
      </c>
      <c r="G1069" s="9" t="n">
        <f aca="false">MOD(F1069,10)</f>
        <v>4</v>
      </c>
      <c r="H1069" s="9" t="n">
        <f aca="false">G1069/2</f>
        <v>2</v>
      </c>
      <c r="I1069" s="9" t="str">
        <f aca="false">IF(H1069=0,"—",IF(H1069=1,"unison (1:1)",IF(H1069=2,"octave (2:1)",IF(H1069=3,"fifth (3:2)",IF(H1069=4,"fourth (4:3)","?")))))</f>
        <v>octave (2:1)</v>
      </c>
      <c r="J1069" s="9" t="str">
        <f aca="false">IF(H1069=0,"—",IF(H1069=1,"ὁμώνυμον",IF(H1069=2,"διὰ πασῶν",IF(H1069=3,"διὰ πέντε",IF(H1069=4,"διὰ τεσσάρων","?")))))</f>
        <v>διὰ πασῶν</v>
      </c>
      <c r="K1069" s="10"/>
      <c r="L1069" s="14"/>
      <c r="M1069" s="13"/>
    </row>
    <row r="1070" customFormat="false" ht="15.75" hidden="false" customHeight="true" outlineLevel="0" collapsed="false">
      <c r="A1070" s="8" t="n">
        <f aca="false">A1069+1</f>
        <v>1068</v>
      </c>
      <c r="B1070" s="9" t="n">
        <f aca="false">MOD(4*A1070^2,10)</f>
        <v>6</v>
      </c>
      <c r="C1070" s="9" t="n">
        <f aca="false">(26*B1070-5*B1070^2)/24</f>
        <v>-1</v>
      </c>
      <c r="D1070" s="9" t="n">
        <f aca="false">(A1070^2+4*C1070)/5</f>
        <v>228124</v>
      </c>
      <c r="E1070" s="9" t="n">
        <f aca="false">MOD(D1070,10)</f>
        <v>4</v>
      </c>
      <c r="F1070" s="9" t="n">
        <f aca="false">2*D1070</f>
        <v>456248</v>
      </c>
      <c r="G1070" s="9" t="n">
        <f aca="false">MOD(F1070,10)</f>
        <v>8</v>
      </c>
      <c r="H1070" s="9" t="n">
        <f aca="false">G1070/2</f>
        <v>4</v>
      </c>
      <c r="I1070" s="9" t="str">
        <f aca="false">IF(H1070=0,"—",IF(H1070=1,"unison (1:1)",IF(H1070=2,"octave (2:1)",IF(H1070=3,"fifth (3:2)",IF(H1070=4,"fourth (4:3)","?")))))</f>
        <v>fourth (4:3)</v>
      </c>
      <c r="J1070" s="9" t="str">
        <f aca="false">IF(H1070=0,"—",IF(H1070=1,"ὁμώνυμον",IF(H1070=2,"διὰ πασῶν",IF(H1070=3,"διὰ πέντε",IF(H1070=4,"διὰ τεσσάρων","?")))))</f>
        <v>διὰ τεσσάρων</v>
      </c>
      <c r="K1070" s="10"/>
      <c r="L1070" s="14"/>
      <c r="M1070" s="13"/>
    </row>
    <row r="1071" customFormat="false" ht="15.75" hidden="false" customHeight="true" outlineLevel="0" collapsed="false">
      <c r="A1071" s="8" t="n">
        <f aca="false">A1070+1</f>
        <v>1069</v>
      </c>
      <c r="B1071" s="9" t="n">
        <f aca="false">MOD(4*A1071^2,10)</f>
        <v>4</v>
      </c>
      <c r="C1071" s="9" t="n">
        <f aca="false">(26*B1071-5*B1071^2)/24</f>
        <v>1</v>
      </c>
      <c r="D1071" s="9" t="n">
        <f aca="false">(A1071^2+4*C1071)/5</f>
        <v>228553</v>
      </c>
      <c r="E1071" s="9" t="n">
        <f aca="false">MOD(D1071,10)</f>
        <v>3</v>
      </c>
      <c r="F1071" s="9" t="n">
        <f aca="false">2*D1071</f>
        <v>457106</v>
      </c>
      <c r="G1071" s="9" t="n">
        <f aca="false">MOD(F1071,10)</f>
        <v>6</v>
      </c>
      <c r="H1071" s="9" t="n">
        <f aca="false">G1071/2</f>
        <v>3</v>
      </c>
      <c r="I1071" s="9" t="str">
        <f aca="false">IF(H1071=0,"—",IF(H1071=1,"unison (1:1)",IF(H1071=2,"octave (2:1)",IF(H1071=3,"fifth (3:2)",IF(H1071=4,"fourth (4:3)","?")))))</f>
        <v>fifth (3:2)</v>
      </c>
      <c r="J1071" s="9" t="str">
        <f aca="false">IF(H1071=0,"—",IF(H1071=1,"ὁμώνυμον",IF(H1071=2,"διὰ πασῶν",IF(H1071=3,"διὰ πέντε",IF(H1071=4,"διὰ τεσσάρων","?")))))</f>
        <v>διὰ πέντε</v>
      </c>
      <c r="K1071" s="10"/>
      <c r="L1071" s="14"/>
      <c r="M1071" s="13"/>
    </row>
    <row r="1072" customFormat="false" ht="15.75" hidden="false" customHeight="true" outlineLevel="0" collapsed="false">
      <c r="A1072" s="8" t="n">
        <f aca="false">A1071+1</f>
        <v>1070</v>
      </c>
      <c r="B1072" s="9" t="n">
        <f aca="false">MOD(4*A1072^2,10)</f>
        <v>0</v>
      </c>
      <c r="C1072" s="9" t="n">
        <f aca="false">(26*B1072-5*B1072^2)/24</f>
        <v>0</v>
      </c>
      <c r="D1072" s="9" t="n">
        <f aca="false">(A1072^2+4*C1072)/5</f>
        <v>228980</v>
      </c>
      <c r="E1072" s="9" t="n">
        <f aca="false">MOD(D1072,10)</f>
        <v>0</v>
      </c>
      <c r="F1072" s="9" t="n">
        <f aca="false">2*D1072</f>
        <v>457960</v>
      </c>
      <c r="G1072" s="9" t="n">
        <f aca="false">MOD(F1072,10)</f>
        <v>0</v>
      </c>
      <c r="H1072" s="9" t="n">
        <f aca="false">G1072/2</f>
        <v>0</v>
      </c>
      <c r="I1072" s="9" t="str">
        <f aca="false">IF(H1072=0,"—",IF(H1072=1,"unison (1:1)",IF(H1072=2,"octave (2:1)",IF(H1072=3,"fifth (3:2)",IF(H1072=4,"fourth (4:3)","?")))))</f>
        <v>—</v>
      </c>
      <c r="J1072" s="9" t="str">
        <f aca="false">IF(H1072=0,"—",IF(H1072=1,"ὁμώνυμον",IF(H1072=2,"διὰ πασῶν",IF(H1072=3,"διὰ πέντε",IF(H1072=4,"διὰ τεσσάρων","?")))))</f>
        <v>—</v>
      </c>
      <c r="K1072" s="10"/>
      <c r="L1072" s="14"/>
      <c r="M1072" s="13"/>
    </row>
    <row r="1073" customFormat="false" ht="15.75" hidden="false" customHeight="true" outlineLevel="0" collapsed="false">
      <c r="A1073" s="8" t="n">
        <f aca="false">A1072+1</f>
        <v>1071</v>
      </c>
      <c r="B1073" s="9" t="n">
        <f aca="false">MOD(4*A1073^2,10)</f>
        <v>4</v>
      </c>
      <c r="C1073" s="9" t="n">
        <f aca="false">(26*B1073-5*B1073^2)/24</f>
        <v>1</v>
      </c>
      <c r="D1073" s="9" t="n">
        <f aca="false">(A1073^2+4*C1073)/5</f>
        <v>229409</v>
      </c>
      <c r="E1073" s="9" t="n">
        <f aca="false">MOD(D1073,10)</f>
        <v>9</v>
      </c>
      <c r="F1073" s="9" t="n">
        <f aca="false">2*D1073</f>
        <v>458818</v>
      </c>
      <c r="G1073" s="9" t="n">
        <f aca="false">MOD(F1073,10)</f>
        <v>8</v>
      </c>
      <c r="H1073" s="9" t="n">
        <f aca="false">G1073/2</f>
        <v>4</v>
      </c>
      <c r="I1073" s="9" t="str">
        <f aca="false">IF(H1073=0,"—",IF(H1073=1,"unison (1:1)",IF(H1073=2,"octave (2:1)",IF(H1073=3,"fifth (3:2)",IF(H1073=4,"fourth (4:3)","?")))))</f>
        <v>fourth (4:3)</v>
      </c>
      <c r="J1073" s="9" t="str">
        <f aca="false">IF(H1073=0,"—",IF(H1073=1,"ὁμώνυμον",IF(H1073=2,"διὰ πασῶν",IF(H1073=3,"διὰ πέντε",IF(H1073=4,"διὰ τεσσάρων","?")))))</f>
        <v>διὰ τεσσάρων</v>
      </c>
      <c r="K1073" s="10"/>
      <c r="L1073" s="14"/>
      <c r="M1073" s="13"/>
    </row>
    <row r="1074" customFormat="false" ht="15.75" hidden="false" customHeight="true" outlineLevel="0" collapsed="false">
      <c r="A1074" s="8" t="n">
        <f aca="false">A1073+1</f>
        <v>1072</v>
      </c>
      <c r="B1074" s="9" t="n">
        <f aca="false">MOD(4*A1074^2,10)</f>
        <v>6</v>
      </c>
      <c r="C1074" s="9" t="n">
        <f aca="false">(26*B1074-5*B1074^2)/24</f>
        <v>-1</v>
      </c>
      <c r="D1074" s="9" t="n">
        <f aca="false">(A1074^2+4*C1074)/5</f>
        <v>229836</v>
      </c>
      <c r="E1074" s="9" t="n">
        <f aca="false">MOD(D1074,10)</f>
        <v>6</v>
      </c>
      <c r="F1074" s="9" t="n">
        <f aca="false">2*D1074</f>
        <v>459672</v>
      </c>
      <c r="G1074" s="9" t="n">
        <f aca="false">MOD(F1074,10)</f>
        <v>2</v>
      </c>
      <c r="H1074" s="9" t="n">
        <f aca="false">G1074/2</f>
        <v>1</v>
      </c>
      <c r="I1074" s="9" t="str">
        <f aca="false">IF(H1074=0,"—",IF(H1074=1,"unison (1:1)",IF(H1074=2,"octave (2:1)",IF(H1074=3,"fifth (3:2)",IF(H1074=4,"fourth (4:3)","?")))))</f>
        <v>unison (1:1)</v>
      </c>
      <c r="J1074" s="9" t="str">
        <f aca="false">IF(H1074=0,"—",IF(H1074=1,"ὁμώνυμον",IF(H1074=2,"διὰ πασῶν",IF(H1074=3,"διὰ πέντε",IF(H1074=4,"διὰ τεσσάρων","?")))))</f>
        <v>ὁμώνυμον</v>
      </c>
      <c r="K1074" s="10"/>
      <c r="L1074" s="14"/>
      <c r="M1074" s="13"/>
    </row>
    <row r="1075" customFormat="false" ht="15.75" hidden="false" customHeight="true" outlineLevel="0" collapsed="false">
      <c r="A1075" s="8" t="n">
        <f aca="false">A1074+1</f>
        <v>1073</v>
      </c>
      <c r="B1075" s="9" t="n">
        <f aca="false">MOD(4*A1075^2,10)</f>
        <v>6</v>
      </c>
      <c r="C1075" s="9" t="n">
        <f aca="false">(26*B1075-5*B1075^2)/24</f>
        <v>-1</v>
      </c>
      <c r="D1075" s="9" t="n">
        <f aca="false">(A1075^2+4*C1075)/5</f>
        <v>230265</v>
      </c>
      <c r="E1075" s="9" t="n">
        <f aca="false">MOD(D1075,10)</f>
        <v>5</v>
      </c>
      <c r="F1075" s="9" t="n">
        <f aca="false">2*D1075</f>
        <v>460530</v>
      </c>
      <c r="G1075" s="9" t="n">
        <f aca="false">MOD(F1075,10)</f>
        <v>0</v>
      </c>
      <c r="H1075" s="9" t="n">
        <f aca="false">G1075/2</f>
        <v>0</v>
      </c>
      <c r="I1075" s="9" t="str">
        <f aca="false">IF(H1075=0,"—",IF(H1075=1,"unison (1:1)",IF(H1075=2,"octave (2:1)",IF(H1075=3,"fifth (3:2)",IF(H1075=4,"fourth (4:3)","?")))))</f>
        <v>—</v>
      </c>
      <c r="J1075" s="9" t="str">
        <f aca="false">IF(H1075=0,"—",IF(H1075=1,"ὁμώνυμον",IF(H1075=2,"διὰ πασῶν",IF(H1075=3,"διὰ πέντε",IF(H1075=4,"διὰ τεσσάρων","?")))))</f>
        <v>—</v>
      </c>
      <c r="K1075" s="10"/>
      <c r="L1075" s="14"/>
      <c r="M1075" s="13"/>
    </row>
    <row r="1076" customFormat="false" ht="15.75" hidden="false" customHeight="true" outlineLevel="0" collapsed="false">
      <c r="A1076" s="8" t="n">
        <f aca="false">A1075+1</f>
        <v>1074</v>
      </c>
      <c r="B1076" s="9" t="n">
        <f aca="false">MOD(4*A1076^2,10)</f>
        <v>4</v>
      </c>
      <c r="C1076" s="9" t="n">
        <f aca="false">(26*B1076-5*B1076^2)/24</f>
        <v>1</v>
      </c>
      <c r="D1076" s="9" t="n">
        <f aca="false">(A1076^2+4*C1076)/5</f>
        <v>230696</v>
      </c>
      <c r="E1076" s="9" t="n">
        <f aca="false">MOD(D1076,10)</f>
        <v>6</v>
      </c>
      <c r="F1076" s="9" t="n">
        <f aca="false">2*D1076</f>
        <v>461392</v>
      </c>
      <c r="G1076" s="9" t="n">
        <f aca="false">MOD(F1076,10)</f>
        <v>2</v>
      </c>
      <c r="H1076" s="9" t="n">
        <f aca="false">G1076/2</f>
        <v>1</v>
      </c>
      <c r="I1076" s="9" t="str">
        <f aca="false">IF(H1076=0,"—",IF(H1076=1,"unison (1:1)",IF(H1076=2,"octave (2:1)",IF(H1076=3,"fifth (3:2)",IF(H1076=4,"fourth (4:3)","?")))))</f>
        <v>unison (1:1)</v>
      </c>
      <c r="J1076" s="9" t="str">
        <f aca="false">IF(H1076=0,"—",IF(H1076=1,"ὁμώνυμον",IF(H1076=2,"διὰ πασῶν",IF(H1076=3,"διὰ πέντε",IF(H1076=4,"διὰ τεσσάρων","?")))))</f>
        <v>ὁμώνυμον</v>
      </c>
      <c r="K1076" s="10"/>
      <c r="L1076" s="14"/>
      <c r="M1076" s="13"/>
    </row>
    <row r="1077" customFormat="false" ht="15.75" hidden="false" customHeight="true" outlineLevel="0" collapsed="false">
      <c r="A1077" s="8" t="n">
        <f aca="false">A1076+1</f>
        <v>1075</v>
      </c>
      <c r="B1077" s="9" t="n">
        <f aca="false">MOD(4*A1077^2,10)</f>
        <v>0</v>
      </c>
      <c r="C1077" s="9" t="n">
        <f aca="false">(26*B1077-5*B1077^2)/24</f>
        <v>0</v>
      </c>
      <c r="D1077" s="9" t="n">
        <f aca="false">(A1077^2+4*C1077)/5</f>
        <v>231125</v>
      </c>
      <c r="E1077" s="9" t="n">
        <f aca="false">MOD(D1077,10)</f>
        <v>5</v>
      </c>
      <c r="F1077" s="9" t="n">
        <f aca="false">2*D1077</f>
        <v>462250</v>
      </c>
      <c r="G1077" s="9" t="n">
        <f aca="false">MOD(F1077,10)</f>
        <v>0</v>
      </c>
      <c r="H1077" s="9" t="n">
        <f aca="false">G1077/2</f>
        <v>0</v>
      </c>
      <c r="I1077" s="9" t="str">
        <f aca="false">IF(H1077=0,"—",IF(H1077=1,"unison (1:1)",IF(H1077=2,"octave (2:1)",IF(H1077=3,"fifth (3:2)",IF(H1077=4,"fourth (4:3)","?")))))</f>
        <v>—</v>
      </c>
      <c r="J1077" s="9" t="str">
        <f aca="false">IF(H1077=0,"—",IF(H1077=1,"ὁμώνυμον",IF(H1077=2,"διὰ πασῶν",IF(H1077=3,"διὰ πέντε",IF(H1077=4,"διὰ τεσσάρων","?")))))</f>
        <v>—</v>
      </c>
      <c r="K1077" s="10"/>
      <c r="L1077" s="14"/>
      <c r="M1077" s="13"/>
    </row>
    <row r="1078" customFormat="false" ht="15.75" hidden="false" customHeight="true" outlineLevel="0" collapsed="false">
      <c r="A1078" s="8" t="n">
        <f aca="false">A1077+1</f>
        <v>1076</v>
      </c>
      <c r="B1078" s="9" t="n">
        <f aca="false">MOD(4*A1078^2,10)</f>
        <v>4</v>
      </c>
      <c r="C1078" s="9" t="n">
        <f aca="false">(26*B1078-5*B1078^2)/24</f>
        <v>1</v>
      </c>
      <c r="D1078" s="9" t="n">
        <f aca="false">(A1078^2+4*C1078)/5</f>
        <v>231556</v>
      </c>
      <c r="E1078" s="9" t="n">
        <f aca="false">MOD(D1078,10)</f>
        <v>6</v>
      </c>
      <c r="F1078" s="9" t="n">
        <f aca="false">2*D1078</f>
        <v>463112</v>
      </c>
      <c r="G1078" s="9" t="n">
        <f aca="false">MOD(F1078,10)</f>
        <v>2</v>
      </c>
      <c r="H1078" s="9" t="n">
        <f aca="false">G1078/2</f>
        <v>1</v>
      </c>
      <c r="I1078" s="9" t="str">
        <f aca="false">IF(H1078=0,"—",IF(H1078=1,"unison (1:1)",IF(H1078=2,"octave (2:1)",IF(H1078=3,"fifth (3:2)",IF(H1078=4,"fourth (4:3)","?")))))</f>
        <v>unison (1:1)</v>
      </c>
      <c r="J1078" s="9" t="str">
        <f aca="false">IF(H1078=0,"—",IF(H1078=1,"ὁμώνυμον",IF(H1078=2,"διὰ πασῶν",IF(H1078=3,"διὰ πέντε",IF(H1078=4,"διὰ τεσσάρων","?")))))</f>
        <v>ὁμώνυμον</v>
      </c>
      <c r="K1078" s="10"/>
      <c r="L1078" s="14"/>
      <c r="M1078" s="13"/>
    </row>
    <row r="1079" customFormat="false" ht="15.75" hidden="false" customHeight="true" outlineLevel="0" collapsed="false">
      <c r="A1079" s="8" t="n">
        <f aca="false">A1078+1</f>
        <v>1077</v>
      </c>
      <c r="B1079" s="9" t="n">
        <f aca="false">MOD(4*A1079^2,10)</f>
        <v>6</v>
      </c>
      <c r="C1079" s="9" t="n">
        <f aca="false">(26*B1079-5*B1079^2)/24</f>
        <v>-1</v>
      </c>
      <c r="D1079" s="9" t="n">
        <f aca="false">(A1079^2+4*C1079)/5</f>
        <v>231985</v>
      </c>
      <c r="E1079" s="9" t="n">
        <f aca="false">MOD(D1079,10)</f>
        <v>5</v>
      </c>
      <c r="F1079" s="9" t="n">
        <f aca="false">2*D1079</f>
        <v>463970</v>
      </c>
      <c r="G1079" s="9" t="n">
        <f aca="false">MOD(F1079,10)</f>
        <v>0</v>
      </c>
      <c r="H1079" s="9" t="n">
        <f aca="false">G1079/2</f>
        <v>0</v>
      </c>
      <c r="I1079" s="9" t="str">
        <f aca="false">IF(H1079=0,"—",IF(H1079=1,"unison (1:1)",IF(H1079=2,"octave (2:1)",IF(H1079=3,"fifth (3:2)",IF(H1079=4,"fourth (4:3)","?")))))</f>
        <v>—</v>
      </c>
      <c r="J1079" s="9" t="str">
        <f aca="false">IF(H1079=0,"—",IF(H1079=1,"ὁμώνυμον",IF(H1079=2,"διὰ πασῶν",IF(H1079=3,"διὰ πέντε",IF(H1079=4,"διὰ τεσσάρων","?")))))</f>
        <v>—</v>
      </c>
      <c r="K1079" s="10"/>
      <c r="L1079" s="14"/>
      <c r="M1079" s="13"/>
    </row>
    <row r="1080" customFormat="false" ht="15.75" hidden="false" customHeight="true" outlineLevel="0" collapsed="false">
      <c r="A1080" s="8" t="n">
        <f aca="false">A1079+1</f>
        <v>1078</v>
      </c>
      <c r="B1080" s="9" t="n">
        <f aca="false">MOD(4*A1080^2,10)</f>
        <v>6</v>
      </c>
      <c r="C1080" s="9" t="n">
        <f aca="false">(26*B1080-5*B1080^2)/24</f>
        <v>-1</v>
      </c>
      <c r="D1080" s="9" t="n">
        <f aca="false">(A1080^2+4*C1080)/5</f>
        <v>232416</v>
      </c>
      <c r="E1080" s="9" t="n">
        <f aca="false">MOD(D1080,10)</f>
        <v>6</v>
      </c>
      <c r="F1080" s="9" t="n">
        <f aca="false">2*D1080</f>
        <v>464832</v>
      </c>
      <c r="G1080" s="9" t="n">
        <f aca="false">MOD(F1080,10)</f>
        <v>2</v>
      </c>
      <c r="H1080" s="9" t="n">
        <f aca="false">G1080/2</f>
        <v>1</v>
      </c>
      <c r="I1080" s="9" t="str">
        <f aca="false">IF(H1080=0,"—",IF(H1080=1,"unison (1:1)",IF(H1080=2,"octave (2:1)",IF(H1080=3,"fifth (3:2)",IF(H1080=4,"fourth (4:3)","?")))))</f>
        <v>unison (1:1)</v>
      </c>
      <c r="J1080" s="9" t="str">
        <f aca="false">IF(H1080=0,"—",IF(H1080=1,"ὁμώνυμον",IF(H1080=2,"διὰ πασῶν",IF(H1080=3,"διὰ πέντε",IF(H1080=4,"διὰ τεσσάρων","?")))))</f>
        <v>ὁμώνυμον</v>
      </c>
      <c r="K1080" s="10"/>
      <c r="L1080" s="14"/>
      <c r="M1080" s="13"/>
    </row>
    <row r="1081" customFormat="false" ht="15.75" hidden="false" customHeight="true" outlineLevel="0" collapsed="false">
      <c r="A1081" s="8" t="n">
        <f aca="false">A1080+1</f>
        <v>1079</v>
      </c>
      <c r="B1081" s="9" t="n">
        <f aca="false">MOD(4*A1081^2,10)</f>
        <v>4</v>
      </c>
      <c r="C1081" s="9" t="n">
        <f aca="false">(26*B1081-5*B1081^2)/24</f>
        <v>1</v>
      </c>
      <c r="D1081" s="9" t="n">
        <f aca="false">(A1081^2+4*C1081)/5</f>
        <v>232849</v>
      </c>
      <c r="E1081" s="9" t="n">
        <f aca="false">MOD(D1081,10)</f>
        <v>9</v>
      </c>
      <c r="F1081" s="9" t="n">
        <f aca="false">2*D1081</f>
        <v>465698</v>
      </c>
      <c r="G1081" s="9" t="n">
        <f aca="false">MOD(F1081,10)</f>
        <v>8</v>
      </c>
      <c r="H1081" s="9" t="n">
        <f aca="false">G1081/2</f>
        <v>4</v>
      </c>
      <c r="I1081" s="9" t="str">
        <f aca="false">IF(H1081=0,"—",IF(H1081=1,"unison (1:1)",IF(H1081=2,"octave (2:1)",IF(H1081=3,"fifth (3:2)",IF(H1081=4,"fourth (4:3)","?")))))</f>
        <v>fourth (4:3)</v>
      </c>
      <c r="J1081" s="9" t="str">
        <f aca="false">IF(H1081=0,"—",IF(H1081=1,"ὁμώνυμον",IF(H1081=2,"διὰ πασῶν",IF(H1081=3,"διὰ πέντε",IF(H1081=4,"διὰ τεσσάρων","?")))))</f>
        <v>διὰ τεσσάρων</v>
      </c>
      <c r="K1081" s="10"/>
      <c r="L1081" s="14"/>
      <c r="M1081" s="13"/>
    </row>
    <row r="1082" customFormat="false" ht="15.75" hidden="false" customHeight="true" outlineLevel="0" collapsed="false">
      <c r="A1082" s="8" t="n">
        <f aca="false">A1081+1</f>
        <v>1080</v>
      </c>
      <c r="B1082" s="9" t="n">
        <f aca="false">MOD(4*A1082^2,10)</f>
        <v>0</v>
      </c>
      <c r="C1082" s="9" t="n">
        <f aca="false">(26*B1082-5*B1082^2)/24</f>
        <v>0</v>
      </c>
      <c r="D1082" s="9" t="n">
        <f aca="false">(A1082^2+4*C1082)/5</f>
        <v>233280</v>
      </c>
      <c r="E1082" s="9" t="n">
        <f aca="false">MOD(D1082,10)</f>
        <v>0</v>
      </c>
      <c r="F1082" s="9" t="n">
        <f aca="false">2*D1082</f>
        <v>466560</v>
      </c>
      <c r="G1082" s="9" t="n">
        <f aca="false">MOD(F1082,10)</f>
        <v>0</v>
      </c>
      <c r="H1082" s="9" t="n">
        <f aca="false">G1082/2</f>
        <v>0</v>
      </c>
      <c r="I1082" s="9" t="str">
        <f aca="false">IF(H1082=0,"—",IF(H1082=1,"unison (1:1)",IF(H1082=2,"octave (2:1)",IF(H1082=3,"fifth (3:2)",IF(H1082=4,"fourth (4:3)","?")))))</f>
        <v>—</v>
      </c>
      <c r="J1082" s="9" t="str">
        <f aca="false">IF(H1082=0,"—",IF(H1082=1,"ὁμώνυμον",IF(H1082=2,"διὰ πασῶν",IF(H1082=3,"διὰ πέντε",IF(H1082=4,"διὰ τεσσάρων","?")))))</f>
        <v>—</v>
      </c>
      <c r="K1082" s="10"/>
      <c r="L1082" s="14"/>
      <c r="M1082" s="13"/>
    </row>
    <row r="1083" customFormat="false" ht="15.75" hidden="false" customHeight="true" outlineLevel="0" collapsed="false">
      <c r="A1083" s="8" t="n">
        <f aca="false">A1082+1</f>
        <v>1081</v>
      </c>
      <c r="B1083" s="9" t="n">
        <f aca="false">MOD(4*A1083^2,10)</f>
        <v>4</v>
      </c>
      <c r="C1083" s="9" t="n">
        <f aca="false">(26*B1083-5*B1083^2)/24</f>
        <v>1</v>
      </c>
      <c r="D1083" s="9" t="n">
        <f aca="false">(A1083^2+4*C1083)/5</f>
        <v>233713</v>
      </c>
      <c r="E1083" s="9" t="n">
        <f aca="false">MOD(D1083,10)</f>
        <v>3</v>
      </c>
      <c r="F1083" s="9" t="n">
        <f aca="false">2*D1083</f>
        <v>467426</v>
      </c>
      <c r="G1083" s="9" t="n">
        <f aca="false">MOD(F1083,10)</f>
        <v>6</v>
      </c>
      <c r="H1083" s="9" t="n">
        <f aca="false">G1083/2</f>
        <v>3</v>
      </c>
      <c r="I1083" s="9" t="str">
        <f aca="false">IF(H1083=0,"—",IF(H1083=1,"unison (1:1)",IF(H1083=2,"octave (2:1)",IF(H1083=3,"fifth (3:2)",IF(H1083=4,"fourth (4:3)","?")))))</f>
        <v>fifth (3:2)</v>
      </c>
      <c r="J1083" s="9" t="str">
        <f aca="false">IF(H1083=0,"—",IF(H1083=1,"ὁμώνυμον",IF(H1083=2,"διὰ πασῶν",IF(H1083=3,"διὰ πέντε",IF(H1083=4,"διὰ τεσσάρων","?")))))</f>
        <v>διὰ πέντε</v>
      </c>
      <c r="K1083" s="10"/>
      <c r="L1083" s="14"/>
      <c r="M1083" s="13"/>
    </row>
    <row r="1084" customFormat="false" ht="15.75" hidden="false" customHeight="true" outlineLevel="0" collapsed="false">
      <c r="A1084" s="8" t="n">
        <f aca="false">A1083+1</f>
        <v>1082</v>
      </c>
      <c r="B1084" s="9" t="n">
        <f aca="false">MOD(4*A1084^2,10)</f>
        <v>6</v>
      </c>
      <c r="C1084" s="9" t="n">
        <f aca="false">(26*B1084-5*B1084^2)/24</f>
        <v>-1</v>
      </c>
      <c r="D1084" s="9" t="n">
        <f aca="false">(A1084^2+4*C1084)/5</f>
        <v>234144</v>
      </c>
      <c r="E1084" s="9" t="n">
        <f aca="false">MOD(D1084,10)</f>
        <v>4</v>
      </c>
      <c r="F1084" s="9" t="n">
        <f aca="false">2*D1084</f>
        <v>468288</v>
      </c>
      <c r="G1084" s="9" t="n">
        <f aca="false">MOD(F1084,10)</f>
        <v>8</v>
      </c>
      <c r="H1084" s="9" t="n">
        <f aca="false">G1084/2</f>
        <v>4</v>
      </c>
      <c r="I1084" s="9" t="str">
        <f aca="false">IF(H1084=0,"—",IF(H1084=1,"unison (1:1)",IF(H1084=2,"octave (2:1)",IF(H1084=3,"fifth (3:2)",IF(H1084=4,"fourth (4:3)","?")))))</f>
        <v>fourth (4:3)</v>
      </c>
      <c r="J1084" s="9" t="str">
        <f aca="false">IF(H1084=0,"—",IF(H1084=1,"ὁμώνυμον",IF(H1084=2,"διὰ πασῶν",IF(H1084=3,"διὰ πέντε",IF(H1084=4,"διὰ τεσσάρων","?")))))</f>
        <v>διὰ τεσσάρων</v>
      </c>
      <c r="K1084" s="10"/>
      <c r="L1084" s="14"/>
      <c r="M1084" s="13"/>
    </row>
    <row r="1085" customFormat="false" ht="15.75" hidden="false" customHeight="true" outlineLevel="0" collapsed="false">
      <c r="A1085" s="8" t="n">
        <f aca="false">A1084+1</f>
        <v>1083</v>
      </c>
      <c r="B1085" s="9" t="n">
        <f aca="false">MOD(4*A1085^2,10)</f>
        <v>6</v>
      </c>
      <c r="C1085" s="9" t="n">
        <f aca="false">(26*B1085-5*B1085^2)/24</f>
        <v>-1</v>
      </c>
      <c r="D1085" s="9" t="n">
        <f aca="false">(A1085^2+4*C1085)/5</f>
        <v>234577</v>
      </c>
      <c r="E1085" s="9" t="n">
        <f aca="false">MOD(D1085,10)</f>
        <v>7</v>
      </c>
      <c r="F1085" s="9" t="n">
        <f aca="false">2*D1085</f>
        <v>469154</v>
      </c>
      <c r="G1085" s="9" t="n">
        <f aca="false">MOD(F1085,10)</f>
        <v>4</v>
      </c>
      <c r="H1085" s="9" t="n">
        <f aca="false">G1085/2</f>
        <v>2</v>
      </c>
      <c r="I1085" s="9" t="str">
        <f aca="false">IF(H1085=0,"—",IF(H1085=1,"unison (1:1)",IF(H1085=2,"octave (2:1)",IF(H1085=3,"fifth (3:2)",IF(H1085=4,"fourth (4:3)","?")))))</f>
        <v>octave (2:1)</v>
      </c>
      <c r="J1085" s="9" t="str">
        <f aca="false">IF(H1085=0,"—",IF(H1085=1,"ὁμώνυμον",IF(H1085=2,"διὰ πασῶν",IF(H1085=3,"διὰ πέντε",IF(H1085=4,"διὰ τεσσάρων","?")))))</f>
        <v>διὰ πασῶν</v>
      </c>
      <c r="K1085" s="10"/>
      <c r="L1085" s="14"/>
      <c r="M1085" s="13"/>
    </row>
    <row r="1086" customFormat="false" ht="15.75" hidden="false" customHeight="true" outlineLevel="0" collapsed="false">
      <c r="A1086" s="8" t="n">
        <f aca="false">A1085+1</f>
        <v>1084</v>
      </c>
      <c r="B1086" s="9" t="n">
        <f aca="false">MOD(4*A1086^2,10)</f>
        <v>4</v>
      </c>
      <c r="C1086" s="9" t="n">
        <f aca="false">(26*B1086-5*B1086^2)/24</f>
        <v>1</v>
      </c>
      <c r="D1086" s="9" t="n">
        <f aca="false">(A1086^2+4*C1086)/5</f>
        <v>235012</v>
      </c>
      <c r="E1086" s="9" t="n">
        <f aca="false">MOD(D1086,10)</f>
        <v>2</v>
      </c>
      <c r="F1086" s="9" t="n">
        <f aca="false">2*D1086</f>
        <v>470024</v>
      </c>
      <c r="G1086" s="9" t="n">
        <f aca="false">MOD(F1086,10)</f>
        <v>4</v>
      </c>
      <c r="H1086" s="9" t="n">
        <f aca="false">G1086/2</f>
        <v>2</v>
      </c>
      <c r="I1086" s="9" t="str">
        <f aca="false">IF(H1086=0,"—",IF(H1086=1,"unison (1:1)",IF(H1086=2,"octave (2:1)",IF(H1086=3,"fifth (3:2)",IF(H1086=4,"fourth (4:3)","?")))))</f>
        <v>octave (2:1)</v>
      </c>
      <c r="J1086" s="9" t="str">
        <f aca="false">IF(H1086=0,"—",IF(H1086=1,"ὁμώνυμον",IF(H1086=2,"διὰ πασῶν",IF(H1086=3,"διὰ πέντε",IF(H1086=4,"διὰ τεσσάρων","?")))))</f>
        <v>διὰ πασῶν</v>
      </c>
      <c r="K1086" s="10"/>
      <c r="L1086" s="14"/>
      <c r="M1086" s="13"/>
    </row>
    <row r="1087" customFormat="false" ht="15.75" hidden="false" customHeight="true" outlineLevel="0" collapsed="false">
      <c r="A1087" s="8" t="n">
        <f aca="false">A1086+1</f>
        <v>1085</v>
      </c>
      <c r="B1087" s="9" t="n">
        <f aca="false">MOD(4*A1087^2,10)</f>
        <v>0</v>
      </c>
      <c r="C1087" s="9" t="n">
        <f aca="false">(26*B1087-5*B1087^2)/24</f>
        <v>0</v>
      </c>
      <c r="D1087" s="9" t="n">
        <f aca="false">(A1087^2+4*C1087)/5</f>
        <v>235445</v>
      </c>
      <c r="E1087" s="9" t="n">
        <f aca="false">MOD(D1087,10)</f>
        <v>5</v>
      </c>
      <c r="F1087" s="9" t="n">
        <f aca="false">2*D1087</f>
        <v>470890</v>
      </c>
      <c r="G1087" s="9" t="n">
        <f aca="false">MOD(F1087,10)</f>
        <v>0</v>
      </c>
      <c r="H1087" s="9" t="n">
        <f aca="false">G1087/2</f>
        <v>0</v>
      </c>
      <c r="I1087" s="9" t="str">
        <f aca="false">IF(H1087=0,"—",IF(H1087=1,"unison (1:1)",IF(H1087=2,"octave (2:1)",IF(H1087=3,"fifth (3:2)",IF(H1087=4,"fourth (4:3)","?")))))</f>
        <v>—</v>
      </c>
      <c r="J1087" s="9" t="str">
        <f aca="false">IF(H1087=0,"—",IF(H1087=1,"ὁμώνυμον",IF(H1087=2,"διὰ πασῶν",IF(H1087=3,"διὰ πέντε",IF(H1087=4,"διὰ τεσσάρων","?")))))</f>
        <v>—</v>
      </c>
      <c r="K1087" s="10"/>
      <c r="L1087" s="14"/>
      <c r="M1087" s="13"/>
    </row>
    <row r="1088" customFormat="false" ht="15.75" hidden="false" customHeight="true" outlineLevel="0" collapsed="false">
      <c r="A1088" s="8" t="n">
        <f aca="false">A1087+1</f>
        <v>1086</v>
      </c>
      <c r="B1088" s="9" t="n">
        <f aca="false">MOD(4*A1088^2,10)</f>
        <v>4</v>
      </c>
      <c r="C1088" s="9" t="n">
        <f aca="false">(26*B1088-5*B1088^2)/24</f>
        <v>1</v>
      </c>
      <c r="D1088" s="9" t="n">
        <f aca="false">(A1088^2+4*C1088)/5</f>
        <v>235880</v>
      </c>
      <c r="E1088" s="9" t="n">
        <f aca="false">MOD(D1088,10)</f>
        <v>0</v>
      </c>
      <c r="F1088" s="9" t="n">
        <f aca="false">2*D1088</f>
        <v>471760</v>
      </c>
      <c r="G1088" s="9" t="n">
        <f aca="false">MOD(F1088,10)</f>
        <v>0</v>
      </c>
      <c r="H1088" s="9" t="n">
        <f aca="false">G1088/2</f>
        <v>0</v>
      </c>
      <c r="I1088" s="9" t="str">
        <f aca="false">IF(H1088=0,"—",IF(H1088=1,"unison (1:1)",IF(H1088=2,"octave (2:1)",IF(H1088=3,"fifth (3:2)",IF(H1088=4,"fourth (4:3)","?")))))</f>
        <v>—</v>
      </c>
      <c r="J1088" s="9" t="str">
        <f aca="false">IF(H1088=0,"—",IF(H1088=1,"ὁμώνυμον",IF(H1088=2,"διὰ πασῶν",IF(H1088=3,"διὰ πέντε",IF(H1088=4,"διὰ τεσσάρων","?")))))</f>
        <v>—</v>
      </c>
      <c r="K1088" s="10"/>
      <c r="L1088" s="14"/>
      <c r="M1088" s="13"/>
    </row>
    <row r="1089" customFormat="false" ht="15.75" hidden="false" customHeight="true" outlineLevel="0" collapsed="false">
      <c r="A1089" s="8" t="n">
        <f aca="false">A1088+1</f>
        <v>1087</v>
      </c>
      <c r="B1089" s="9" t="n">
        <f aca="false">MOD(4*A1089^2,10)</f>
        <v>6</v>
      </c>
      <c r="C1089" s="9" t="n">
        <f aca="false">(26*B1089-5*B1089^2)/24</f>
        <v>-1</v>
      </c>
      <c r="D1089" s="9" t="n">
        <f aca="false">(A1089^2+4*C1089)/5</f>
        <v>236313</v>
      </c>
      <c r="E1089" s="9" t="n">
        <f aca="false">MOD(D1089,10)</f>
        <v>3</v>
      </c>
      <c r="F1089" s="9" t="n">
        <f aca="false">2*D1089</f>
        <v>472626</v>
      </c>
      <c r="G1089" s="9" t="n">
        <f aca="false">MOD(F1089,10)</f>
        <v>6</v>
      </c>
      <c r="H1089" s="9" t="n">
        <f aca="false">G1089/2</f>
        <v>3</v>
      </c>
      <c r="I1089" s="9" t="str">
        <f aca="false">IF(H1089=0,"—",IF(H1089=1,"unison (1:1)",IF(H1089=2,"octave (2:1)",IF(H1089=3,"fifth (3:2)",IF(H1089=4,"fourth (4:3)","?")))))</f>
        <v>fifth (3:2)</v>
      </c>
      <c r="J1089" s="9" t="str">
        <f aca="false">IF(H1089=0,"—",IF(H1089=1,"ὁμώνυμον",IF(H1089=2,"διὰ πασῶν",IF(H1089=3,"διὰ πέντε",IF(H1089=4,"διὰ τεσσάρων","?")))))</f>
        <v>διὰ πέντε</v>
      </c>
      <c r="K1089" s="10"/>
      <c r="L1089" s="14"/>
      <c r="M1089" s="13"/>
    </row>
    <row r="1090" customFormat="false" ht="15.75" hidden="false" customHeight="true" outlineLevel="0" collapsed="false">
      <c r="A1090" s="8" t="n">
        <f aca="false">A1089+1</f>
        <v>1088</v>
      </c>
      <c r="B1090" s="9" t="n">
        <f aca="false">MOD(4*A1090^2,10)</f>
        <v>6</v>
      </c>
      <c r="C1090" s="9" t="n">
        <f aca="false">(26*B1090-5*B1090^2)/24</f>
        <v>-1</v>
      </c>
      <c r="D1090" s="9" t="n">
        <f aca="false">(A1090^2+4*C1090)/5</f>
        <v>236748</v>
      </c>
      <c r="E1090" s="9" t="n">
        <f aca="false">MOD(D1090,10)</f>
        <v>8</v>
      </c>
      <c r="F1090" s="9" t="n">
        <f aca="false">2*D1090</f>
        <v>473496</v>
      </c>
      <c r="G1090" s="9" t="n">
        <f aca="false">MOD(F1090,10)</f>
        <v>6</v>
      </c>
      <c r="H1090" s="9" t="n">
        <f aca="false">G1090/2</f>
        <v>3</v>
      </c>
      <c r="I1090" s="9" t="str">
        <f aca="false">IF(H1090=0,"—",IF(H1090=1,"unison (1:1)",IF(H1090=2,"octave (2:1)",IF(H1090=3,"fifth (3:2)",IF(H1090=4,"fourth (4:3)","?")))))</f>
        <v>fifth (3:2)</v>
      </c>
      <c r="J1090" s="9" t="str">
        <f aca="false">IF(H1090=0,"—",IF(H1090=1,"ὁμώνυμον",IF(H1090=2,"διὰ πασῶν",IF(H1090=3,"διὰ πέντε",IF(H1090=4,"διὰ τεσσάρων","?")))))</f>
        <v>διὰ πέντε</v>
      </c>
      <c r="K1090" s="10"/>
      <c r="L1090" s="14"/>
      <c r="M1090" s="13"/>
    </row>
    <row r="1091" customFormat="false" ht="15.75" hidden="false" customHeight="true" outlineLevel="0" collapsed="false">
      <c r="A1091" s="8" t="n">
        <f aca="false">A1090+1</f>
        <v>1089</v>
      </c>
      <c r="B1091" s="9" t="n">
        <f aca="false">MOD(4*A1091^2,10)</f>
        <v>4</v>
      </c>
      <c r="C1091" s="9" t="n">
        <f aca="false">(26*B1091-5*B1091^2)/24</f>
        <v>1</v>
      </c>
      <c r="D1091" s="9" t="n">
        <f aca="false">(A1091^2+4*C1091)/5</f>
        <v>237185</v>
      </c>
      <c r="E1091" s="9" t="n">
        <f aca="false">MOD(D1091,10)</f>
        <v>5</v>
      </c>
      <c r="F1091" s="9" t="n">
        <f aca="false">2*D1091</f>
        <v>474370</v>
      </c>
      <c r="G1091" s="9" t="n">
        <f aca="false">MOD(F1091,10)</f>
        <v>0</v>
      </c>
      <c r="H1091" s="9" t="n">
        <f aca="false">G1091/2</f>
        <v>0</v>
      </c>
      <c r="I1091" s="9" t="str">
        <f aca="false">IF(H1091=0,"—",IF(H1091=1,"unison (1:1)",IF(H1091=2,"octave (2:1)",IF(H1091=3,"fifth (3:2)",IF(H1091=4,"fourth (4:3)","?")))))</f>
        <v>—</v>
      </c>
      <c r="J1091" s="9" t="str">
        <f aca="false">IF(H1091=0,"—",IF(H1091=1,"ὁμώνυμον",IF(H1091=2,"διὰ πασῶν",IF(H1091=3,"διὰ πέντε",IF(H1091=4,"διὰ τεσσάρων","?")))))</f>
        <v>—</v>
      </c>
      <c r="K1091" s="10"/>
      <c r="L1091" s="14"/>
      <c r="M1091" s="13"/>
    </row>
    <row r="1092" customFormat="false" ht="15.75" hidden="false" customHeight="true" outlineLevel="0" collapsed="false">
      <c r="A1092" s="8" t="n">
        <f aca="false">A1091+1</f>
        <v>1090</v>
      </c>
      <c r="B1092" s="9" t="n">
        <f aca="false">MOD(4*A1092^2,10)</f>
        <v>0</v>
      </c>
      <c r="C1092" s="9" t="n">
        <f aca="false">(26*B1092-5*B1092^2)/24</f>
        <v>0</v>
      </c>
      <c r="D1092" s="9" t="n">
        <f aca="false">(A1092^2+4*C1092)/5</f>
        <v>237620</v>
      </c>
      <c r="E1092" s="9" t="n">
        <f aca="false">MOD(D1092,10)</f>
        <v>0</v>
      </c>
      <c r="F1092" s="9" t="n">
        <f aca="false">2*D1092</f>
        <v>475240</v>
      </c>
      <c r="G1092" s="9" t="n">
        <f aca="false">MOD(F1092,10)</f>
        <v>0</v>
      </c>
      <c r="H1092" s="9" t="n">
        <f aca="false">G1092/2</f>
        <v>0</v>
      </c>
      <c r="I1092" s="9" t="str">
        <f aca="false">IF(H1092=0,"—",IF(H1092=1,"unison (1:1)",IF(H1092=2,"octave (2:1)",IF(H1092=3,"fifth (3:2)",IF(H1092=4,"fourth (4:3)","?")))))</f>
        <v>—</v>
      </c>
      <c r="J1092" s="9" t="str">
        <f aca="false">IF(H1092=0,"—",IF(H1092=1,"ὁμώνυμον",IF(H1092=2,"διὰ πασῶν",IF(H1092=3,"διὰ πέντε",IF(H1092=4,"διὰ τεσσάρων","?")))))</f>
        <v>—</v>
      </c>
      <c r="K1092" s="10"/>
      <c r="L1092" s="14"/>
      <c r="M1092" s="13"/>
    </row>
    <row r="1093" customFormat="false" ht="15.75" hidden="false" customHeight="true" outlineLevel="0" collapsed="false">
      <c r="A1093" s="8" t="n">
        <f aca="false">A1092+1</f>
        <v>1091</v>
      </c>
      <c r="B1093" s="9" t="n">
        <f aca="false">MOD(4*A1093^2,10)</f>
        <v>4</v>
      </c>
      <c r="C1093" s="9" t="n">
        <f aca="false">(26*B1093-5*B1093^2)/24</f>
        <v>1</v>
      </c>
      <c r="D1093" s="9" t="n">
        <f aca="false">(A1093^2+4*C1093)/5</f>
        <v>238057</v>
      </c>
      <c r="E1093" s="9" t="n">
        <f aca="false">MOD(D1093,10)</f>
        <v>7</v>
      </c>
      <c r="F1093" s="9" t="n">
        <f aca="false">2*D1093</f>
        <v>476114</v>
      </c>
      <c r="G1093" s="9" t="n">
        <f aca="false">MOD(F1093,10)</f>
        <v>4</v>
      </c>
      <c r="H1093" s="9" t="n">
        <f aca="false">G1093/2</f>
        <v>2</v>
      </c>
      <c r="I1093" s="9" t="str">
        <f aca="false">IF(H1093=0,"—",IF(H1093=1,"unison (1:1)",IF(H1093=2,"octave (2:1)",IF(H1093=3,"fifth (3:2)",IF(H1093=4,"fourth (4:3)","?")))))</f>
        <v>octave (2:1)</v>
      </c>
      <c r="J1093" s="9" t="str">
        <f aca="false">IF(H1093=0,"—",IF(H1093=1,"ὁμώνυμον",IF(H1093=2,"διὰ πασῶν",IF(H1093=3,"διὰ πέντε",IF(H1093=4,"διὰ τεσσάρων","?")))))</f>
        <v>διὰ πασῶν</v>
      </c>
      <c r="K1093" s="10"/>
      <c r="L1093" s="14"/>
      <c r="M1093" s="13"/>
    </row>
    <row r="1094" customFormat="false" ht="15.75" hidden="false" customHeight="true" outlineLevel="0" collapsed="false">
      <c r="A1094" s="8" t="n">
        <f aca="false">A1093+1</f>
        <v>1092</v>
      </c>
      <c r="B1094" s="9" t="n">
        <f aca="false">MOD(4*A1094^2,10)</f>
        <v>6</v>
      </c>
      <c r="C1094" s="9" t="n">
        <f aca="false">(26*B1094-5*B1094^2)/24</f>
        <v>-1</v>
      </c>
      <c r="D1094" s="9" t="n">
        <f aca="false">(A1094^2+4*C1094)/5</f>
        <v>238492</v>
      </c>
      <c r="E1094" s="9" t="n">
        <f aca="false">MOD(D1094,10)</f>
        <v>2</v>
      </c>
      <c r="F1094" s="9" t="n">
        <f aca="false">2*D1094</f>
        <v>476984</v>
      </c>
      <c r="G1094" s="9" t="n">
        <f aca="false">MOD(F1094,10)</f>
        <v>4</v>
      </c>
      <c r="H1094" s="9" t="n">
        <f aca="false">G1094/2</f>
        <v>2</v>
      </c>
      <c r="I1094" s="9" t="str">
        <f aca="false">IF(H1094=0,"—",IF(H1094=1,"unison (1:1)",IF(H1094=2,"octave (2:1)",IF(H1094=3,"fifth (3:2)",IF(H1094=4,"fourth (4:3)","?")))))</f>
        <v>octave (2:1)</v>
      </c>
      <c r="J1094" s="9" t="str">
        <f aca="false">IF(H1094=0,"—",IF(H1094=1,"ὁμώνυμον",IF(H1094=2,"διὰ πασῶν",IF(H1094=3,"διὰ πέντε",IF(H1094=4,"διὰ τεσσάρων","?")))))</f>
        <v>διὰ πασῶν</v>
      </c>
      <c r="K1094" s="10"/>
      <c r="L1094" s="14"/>
      <c r="M1094" s="13"/>
    </row>
    <row r="1095" customFormat="false" ht="15.75" hidden="false" customHeight="true" outlineLevel="0" collapsed="false">
      <c r="A1095" s="8" t="n">
        <f aca="false">A1094+1</f>
        <v>1093</v>
      </c>
      <c r="B1095" s="9" t="n">
        <f aca="false">MOD(4*A1095^2,10)</f>
        <v>6</v>
      </c>
      <c r="C1095" s="9" t="n">
        <f aca="false">(26*B1095-5*B1095^2)/24</f>
        <v>-1</v>
      </c>
      <c r="D1095" s="9" t="n">
        <f aca="false">(A1095^2+4*C1095)/5</f>
        <v>238929</v>
      </c>
      <c r="E1095" s="9" t="n">
        <f aca="false">MOD(D1095,10)</f>
        <v>9</v>
      </c>
      <c r="F1095" s="9" t="n">
        <f aca="false">2*D1095</f>
        <v>477858</v>
      </c>
      <c r="G1095" s="9" t="n">
        <f aca="false">MOD(F1095,10)</f>
        <v>8</v>
      </c>
      <c r="H1095" s="9" t="n">
        <f aca="false">G1095/2</f>
        <v>4</v>
      </c>
      <c r="I1095" s="9" t="str">
        <f aca="false">IF(H1095=0,"—",IF(H1095=1,"unison (1:1)",IF(H1095=2,"octave (2:1)",IF(H1095=3,"fifth (3:2)",IF(H1095=4,"fourth (4:3)","?")))))</f>
        <v>fourth (4:3)</v>
      </c>
      <c r="J1095" s="9" t="str">
        <f aca="false">IF(H1095=0,"—",IF(H1095=1,"ὁμώνυμον",IF(H1095=2,"διὰ πασῶν",IF(H1095=3,"διὰ πέντε",IF(H1095=4,"διὰ τεσσάρων","?")))))</f>
        <v>διὰ τεσσάρων</v>
      </c>
      <c r="K1095" s="10"/>
      <c r="L1095" s="14"/>
      <c r="M1095" s="13"/>
    </row>
    <row r="1096" customFormat="false" ht="15.75" hidden="false" customHeight="true" outlineLevel="0" collapsed="false">
      <c r="A1096" s="8" t="n">
        <f aca="false">A1095+1</f>
        <v>1094</v>
      </c>
      <c r="B1096" s="9" t="n">
        <f aca="false">MOD(4*A1096^2,10)</f>
        <v>4</v>
      </c>
      <c r="C1096" s="9" t="n">
        <f aca="false">(26*B1096-5*B1096^2)/24</f>
        <v>1</v>
      </c>
      <c r="D1096" s="9" t="n">
        <f aca="false">(A1096^2+4*C1096)/5</f>
        <v>239368</v>
      </c>
      <c r="E1096" s="9" t="n">
        <f aca="false">MOD(D1096,10)</f>
        <v>8</v>
      </c>
      <c r="F1096" s="9" t="n">
        <f aca="false">2*D1096</f>
        <v>478736</v>
      </c>
      <c r="G1096" s="9" t="n">
        <f aca="false">MOD(F1096,10)</f>
        <v>6</v>
      </c>
      <c r="H1096" s="9" t="n">
        <f aca="false">G1096/2</f>
        <v>3</v>
      </c>
      <c r="I1096" s="9" t="str">
        <f aca="false">IF(H1096=0,"—",IF(H1096=1,"unison (1:1)",IF(H1096=2,"octave (2:1)",IF(H1096=3,"fifth (3:2)",IF(H1096=4,"fourth (4:3)","?")))))</f>
        <v>fifth (3:2)</v>
      </c>
      <c r="J1096" s="9" t="str">
        <f aca="false">IF(H1096=0,"—",IF(H1096=1,"ὁμώνυμον",IF(H1096=2,"διὰ πασῶν",IF(H1096=3,"διὰ πέντε",IF(H1096=4,"διὰ τεσσάρων","?")))))</f>
        <v>διὰ πέντε</v>
      </c>
      <c r="K1096" s="10"/>
      <c r="L1096" s="14"/>
      <c r="M1096" s="13"/>
    </row>
    <row r="1097" customFormat="false" ht="15.75" hidden="false" customHeight="true" outlineLevel="0" collapsed="false">
      <c r="A1097" s="8" t="n">
        <f aca="false">A1096+1</f>
        <v>1095</v>
      </c>
      <c r="B1097" s="9" t="n">
        <f aca="false">MOD(4*A1097^2,10)</f>
        <v>0</v>
      </c>
      <c r="C1097" s="9" t="n">
        <f aca="false">(26*B1097-5*B1097^2)/24</f>
        <v>0</v>
      </c>
      <c r="D1097" s="9" t="n">
        <f aca="false">(A1097^2+4*C1097)/5</f>
        <v>239805</v>
      </c>
      <c r="E1097" s="9" t="n">
        <f aca="false">MOD(D1097,10)</f>
        <v>5</v>
      </c>
      <c r="F1097" s="9" t="n">
        <f aca="false">2*D1097</f>
        <v>479610</v>
      </c>
      <c r="G1097" s="9" t="n">
        <f aca="false">MOD(F1097,10)</f>
        <v>0</v>
      </c>
      <c r="H1097" s="9" t="n">
        <f aca="false">G1097/2</f>
        <v>0</v>
      </c>
      <c r="I1097" s="9" t="str">
        <f aca="false">IF(H1097=0,"—",IF(H1097=1,"unison (1:1)",IF(H1097=2,"octave (2:1)",IF(H1097=3,"fifth (3:2)",IF(H1097=4,"fourth (4:3)","?")))))</f>
        <v>—</v>
      </c>
      <c r="J1097" s="9" t="str">
        <f aca="false">IF(H1097=0,"—",IF(H1097=1,"ὁμώνυμον",IF(H1097=2,"διὰ πασῶν",IF(H1097=3,"διὰ πέντε",IF(H1097=4,"διὰ τεσσάρων","?")))))</f>
        <v>—</v>
      </c>
      <c r="K1097" s="10"/>
      <c r="L1097" s="14"/>
      <c r="M1097" s="13"/>
    </row>
    <row r="1098" customFormat="false" ht="15.75" hidden="false" customHeight="true" outlineLevel="0" collapsed="false">
      <c r="A1098" s="8" t="n">
        <f aca="false">A1097+1</f>
        <v>1096</v>
      </c>
      <c r="B1098" s="9" t="n">
        <f aca="false">MOD(4*A1098^2,10)</f>
        <v>4</v>
      </c>
      <c r="C1098" s="9" t="n">
        <f aca="false">(26*B1098-5*B1098^2)/24</f>
        <v>1</v>
      </c>
      <c r="D1098" s="9" t="n">
        <f aca="false">(A1098^2+4*C1098)/5</f>
        <v>240244</v>
      </c>
      <c r="E1098" s="9" t="n">
        <f aca="false">MOD(D1098,10)</f>
        <v>4</v>
      </c>
      <c r="F1098" s="9" t="n">
        <f aca="false">2*D1098</f>
        <v>480488</v>
      </c>
      <c r="G1098" s="9" t="n">
        <f aca="false">MOD(F1098,10)</f>
        <v>8</v>
      </c>
      <c r="H1098" s="9" t="n">
        <f aca="false">G1098/2</f>
        <v>4</v>
      </c>
      <c r="I1098" s="9" t="str">
        <f aca="false">IF(H1098=0,"—",IF(H1098=1,"unison (1:1)",IF(H1098=2,"octave (2:1)",IF(H1098=3,"fifth (3:2)",IF(H1098=4,"fourth (4:3)","?")))))</f>
        <v>fourth (4:3)</v>
      </c>
      <c r="J1098" s="9" t="str">
        <f aca="false">IF(H1098=0,"—",IF(H1098=1,"ὁμώνυμον",IF(H1098=2,"διὰ πασῶν",IF(H1098=3,"διὰ πέντε",IF(H1098=4,"διὰ τεσσάρων","?")))))</f>
        <v>διὰ τεσσάρων</v>
      </c>
      <c r="K1098" s="10"/>
      <c r="L1098" s="14"/>
      <c r="M1098" s="13"/>
    </row>
    <row r="1099" customFormat="false" ht="15.75" hidden="false" customHeight="true" outlineLevel="0" collapsed="false">
      <c r="A1099" s="8" t="n">
        <f aca="false">A1098+1</f>
        <v>1097</v>
      </c>
      <c r="B1099" s="9" t="n">
        <f aca="false">MOD(4*A1099^2,10)</f>
        <v>6</v>
      </c>
      <c r="C1099" s="9" t="n">
        <f aca="false">(26*B1099-5*B1099^2)/24</f>
        <v>-1</v>
      </c>
      <c r="D1099" s="9" t="n">
        <f aca="false">(A1099^2+4*C1099)/5</f>
        <v>240681</v>
      </c>
      <c r="E1099" s="9" t="n">
        <f aca="false">MOD(D1099,10)</f>
        <v>1</v>
      </c>
      <c r="F1099" s="9" t="n">
        <f aca="false">2*D1099</f>
        <v>481362</v>
      </c>
      <c r="G1099" s="9" t="n">
        <f aca="false">MOD(F1099,10)</f>
        <v>2</v>
      </c>
      <c r="H1099" s="9" t="n">
        <f aca="false">G1099/2</f>
        <v>1</v>
      </c>
      <c r="I1099" s="9" t="str">
        <f aca="false">IF(H1099=0,"—",IF(H1099=1,"unison (1:1)",IF(H1099=2,"octave (2:1)",IF(H1099=3,"fifth (3:2)",IF(H1099=4,"fourth (4:3)","?")))))</f>
        <v>unison (1:1)</v>
      </c>
      <c r="J1099" s="9" t="str">
        <f aca="false">IF(H1099=0,"—",IF(H1099=1,"ὁμώνυμον",IF(H1099=2,"διὰ πασῶν",IF(H1099=3,"διὰ πέντε",IF(H1099=4,"διὰ τεσσάρων","?")))))</f>
        <v>ὁμώνυμον</v>
      </c>
      <c r="K1099" s="10"/>
      <c r="L1099" s="14"/>
      <c r="M1099" s="13"/>
    </row>
    <row r="1100" customFormat="false" ht="15.75" hidden="false" customHeight="true" outlineLevel="0" collapsed="false">
      <c r="A1100" s="8" t="n">
        <f aca="false">A1099+1</f>
        <v>1098</v>
      </c>
      <c r="B1100" s="9" t="n">
        <f aca="false">MOD(4*A1100^2,10)</f>
        <v>6</v>
      </c>
      <c r="C1100" s="9" t="n">
        <f aca="false">(26*B1100-5*B1100^2)/24</f>
        <v>-1</v>
      </c>
      <c r="D1100" s="9" t="n">
        <f aca="false">(A1100^2+4*C1100)/5</f>
        <v>241120</v>
      </c>
      <c r="E1100" s="9" t="n">
        <f aca="false">MOD(D1100,10)</f>
        <v>0</v>
      </c>
      <c r="F1100" s="9" t="n">
        <f aca="false">2*D1100</f>
        <v>482240</v>
      </c>
      <c r="G1100" s="9" t="n">
        <f aca="false">MOD(F1100,10)</f>
        <v>0</v>
      </c>
      <c r="H1100" s="9" t="n">
        <f aca="false">G1100/2</f>
        <v>0</v>
      </c>
      <c r="I1100" s="9" t="str">
        <f aca="false">IF(H1100=0,"—",IF(H1100=1,"unison (1:1)",IF(H1100=2,"octave (2:1)",IF(H1100=3,"fifth (3:2)",IF(H1100=4,"fourth (4:3)","?")))))</f>
        <v>—</v>
      </c>
      <c r="J1100" s="9" t="str">
        <f aca="false">IF(H1100=0,"—",IF(H1100=1,"ὁμώνυμον",IF(H1100=2,"διὰ πασῶν",IF(H1100=3,"διὰ πέντε",IF(H1100=4,"διὰ τεσσάρων","?")))))</f>
        <v>—</v>
      </c>
      <c r="K1100" s="10"/>
      <c r="L1100" s="14"/>
      <c r="M1100" s="13"/>
    </row>
    <row r="1101" customFormat="false" ht="15.75" hidden="false" customHeight="true" outlineLevel="0" collapsed="false">
      <c r="A1101" s="8" t="n">
        <f aca="false">A1100+1</f>
        <v>1099</v>
      </c>
      <c r="B1101" s="9" t="n">
        <f aca="false">MOD(4*A1101^2,10)</f>
        <v>4</v>
      </c>
      <c r="C1101" s="9" t="n">
        <f aca="false">(26*B1101-5*B1101^2)/24</f>
        <v>1</v>
      </c>
      <c r="D1101" s="9" t="n">
        <f aca="false">(A1101^2+4*C1101)/5</f>
        <v>241561</v>
      </c>
      <c r="E1101" s="9" t="n">
        <f aca="false">MOD(D1101,10)</f>
        <v>1</v>
      </c>
      <c r="F1101" s="9" t="n">
        <f aca="false">2*D1101</f>
        <v>483122</v>
      </c>
      <c r="G1101" s="9" t="n">
        <f aca="false">MOD(F1101,10)</f>
        <v>2</v>
      </c>
      <c r="H1101" s="9" t="n">
        <f aca="false">G1101/2</f>
        <v>1</v>
      </c>
      <c r="I1101" s="9" t="str">
        <f aca="false">IF(H1101=0,"—",IF(H1101=1,"unison (1:1)",IF(H1101=2,"octave (2:1)",IF(H1101=3,"fifth (3:2)",IF(H1101=4,"fourth (4:3)","?")))))</f>
        <v>unison (1:1)</v>
      </c>
      <c r="J1101" s="9" t="str">
        <f aca="false">IF(H1101=0,"—",IF(H1101=1,"ὁμώνυμον",IF(H1101=2,"διὰ πασῶν",IF(H1101=3,"διὰ πέντε",IF(H1101=4,"διὰ τεσσάρων","?")))))</f>
        <v>ὁμώνυμον</v>
      </c>
      <c r="K1101" s="10"/>
      <c r="L1101" s="14"/>
      <c r="M1101" s="13"/>
    </row>
    <row r="1102" customFormat="false" ht="15.75" hidden="false" customHeight="true" outlineLevel="0" collapsed="false">
      <c r="A1102" s="8" t="n">
        <f aca="false">A1101+1</f>
        <v>1100</v>
      </c>
      <c r="B1102" s="9" t="n">
        <f aca="false">MOD(4*A1102^2,10)</f>
        <v>0</v>
      </c>
      <c r="C1102" s="9" t="n">
        <f aca="false">(26*B1102-5*B1102^2)/24</f>
        <v>0</v>
      </c>
      <c r="D1102" s="9" t="n">
        <f aca="false">(A1102^2+4*C1102)/5</f>
        <v>242000</v>
      </c>
      <c r="E1102" s="9" t="n">
        <f aca="false">MOD(D1102,10)</f>
        <v>0</v>
      </c>
      <c r="F1102" s="9" t="n">
        <f aca="false">2*D1102</f>
        <v>484000</v>
      </c>
      <c r="G1102" s="9" t="n">
        <f aca="false">MOD(F1102,10)</f>
        <v>0</v>
      </c>
      <c r="H1102" s="9" t="n">
        <f aca="false">G1102/2</f>
        <v>0</v>
      </c>
      <c r="I1102" s="9" t="str">
        <f aca="false">IF(H1102=0,"—",IF(H1102=1,"unison (1:1)",IF(H1102=2,"octave (2:1)",IF(H1102=3,"fifth (3:2)",IF(H1102=4,"fourth (4:3)","?")))))</f>
        <v>—</v>
      </c>
      <c r="J1102" s="9" t="str">
        <f aca="false">IF(H1102=0,"—",IF(H1102=1,"ὁμώνυμον",IF(H1102=2,"διὰ πασῶν",IF(H1102=3,"διὰ πέντε",IF(H1102=4,"διὰ τεσσάρων","?")))))</f>
        <v>—</v>
      </c>
      <c r="K1102" s="10"/>
      <c r="L1102" s="14"/>
      <c r="M1102" s="13"/>
    </row>
    <row r="1103" customFormat="false" ht="15.75" hidden="false" customHeight="true" outlineLevel="0" collapsed="false">
      <c r="A1103" s="8" t="n">
        <f aca="false">A1102+1</f>
        <v>1101</v>
      </c>
      <c r="B1103" s="9" t="n">
        <f aca="false">MOD(4*A1103^2,10)</f>
        <v>4</v>
      </c>
      <c r="C1103" s="9" t="n">
        <f aca="false">(26*B1103-5*B1103^2)/24</f>
        <v>1</v>
      </c>
      <c r="D1103" s="9" t="n">
        <f aca="false">(A1103^2+4*C1103)/5</f>
        <v>242441</v>
      </c>
      <c r="E1103" s="9" t="n">
        <f aca="false">MOD(D1103,10)</f>
        <v>1</v>
      </c>
      <c r="F1103" s="9" t="n">
        <f aca="false">2*D1103</f>
        <v>484882</v>
      </c>
      <c r="G1103" s="9" t="n">
        <f aca="false">MOD(F1103,10)</f>
        <v>2</v>
      </c>
      <c r="H1103" s="9" t="n">
        <f aca="false">G1103/2</f>
        <v>1</v>
      </c>
      <c r="I1103" s="9" t="str">
        <f aca="false">IF(H1103=0,"—",IF(H1103=1,"unison (1:1)",IF(H1103=2,"octave (2:1)",IF(H1103=3,"fifth (3:2)",IF(H1103=4,"fourth (4:3)","?")))))</f>
        <v>unison (1:1)</v>
      </c>
      <c r="J1103" s="9" t="str">
        <f aca="false">IF(H1103=0,"—",IF(H1103=1,"ὁμώνυμον",IF(H1103=2,"διὰ πασῶν",IF(H1103=3,"διὰ πέντε",IF(H1103=4,"διὰ τεσσάρων","?")))))</f>
        <v>ὁμώνυμον</v>
      </c>
      <c r="K1103" s="10"/>
      <c r="L1103" s="14"/>
      <c r="M1103" s="13"/>
    </row>
    <row r="1104" customFormat="false" ht="15.75" hidden="false" customHeight="true" outlineLevel="0" collapsed="false">
      <c r="A1104" s="8" t="n">
        <f aca="false">A1103+1</f>
        <v>1102</v>
      </c>
      <c r="B1104" s="9" t="n">
        <f aca="false">MOD(4*A1104^2,10)</f>
        <v>6</v>
      </c>
      <c r="C1104" s="9" t="n">
        <f aca="false">(26*B1104-5*B1104^2)/24</f>
        <v>-1</v>
      </c>
      <c r="D1104" s="9" t="n">
        <f aca="false">(A1104^2+4*C1104)/5</f>
        <v>242880</v>
      </c>
      <c r="E1104" s="9" t="n">
        <f aca="false">MOD(D1104,10)</f>
        <v>0</v>
      </c>
      <c r="F1104" s="9" t="n">
        <f aca="false">2*D1104</f>
        <v>485760</v>
      </c>
      <c r="G1104" s="9" t="n">
        <f aca="false">MOD(F1104,10)</f>
        <v>0</v>
      </c>
      <c r="H1104" s="9" t="n">
        <f aca="false">G1104/2</f>
        <v>0</v>
      </c>
      <c r="I1104" s="9" t="str">
        <f aca="false">IF(H1104=0,"—",IF(H1104=1,"unison (1:1)",IF(H1104=2,"octave (2:1)",IF(H1104=3,"fifth (3:2)",IF(H1104=4,"fourth (4:3)","?")))))</f>
        <v>—</v>
      </c>
      <c r="J1104" s="9" t="str">
        <f aca="false">IF(H1104=0,"—",IF(H1104=1,"ὁμώνυμον",IF(H1104=2,"διὰ πασῶν",IF(H1104=3,"διὰ πέντε",IF(H1104=4,"διὰ τεσσάρων","?")))))</f>
        <v>—</v>
      </c>
      <c r="K1104" s="10"/>
      <c r="L1104" s="14"/>
      <c r="M1104" s="13"/>
    </row>
    <row r="1105" customFormat="false" ht="15.75" hidden="false" customHeight="true" outlineLevel="0" collapsed="false">
      <c r="A1105" s="8" t="n">
        <f aca="false">A1104+1</f>
        <v>1103</v>
      </c>
      <c r="B1105" s="9" t="n">
        <f aca="false">MOD(4*A1105^2,10)</f>
        <v>6</v>
      </c>
      <c r="C1105" s="9" t="n">
        <f aca="false">(26*B1105-5*B1105^2)/24</f>
        <v>-1</v>
      </c>
      <c r="D1105" s="9" t="n">
        <f aca="false">(A1105^2+4*C1105)/5</f>
        <v>243321</v>
      </c>
      <c r="E1105" s="9" t="n">
        <f aca="false">MOD(D1105,10)</f>
        <v>1</v>
      </c>
      <c r="F1105" s="9" t="n">
        <f aca="false">2*D1105</f>
        <v>486642</v>
      </c>
      <c r="G1105" s="9" t="n">
        <f aca="false">MOD(F1105,10)</f>
        <v>2</v>
      </c>
      <c r="H1105" s="9" t="n">
        <f aca="false">G1105/2</f>
        <v>1</v>
      </c>
      <c r="I1105" s="9" t="str">
        <f aca="false">IF(H1105=0,"—",IF(H1105=1,"unison (1:1)",IF(H1105=2,"octave (2:1)",IF(H1105=3,"fifth (3:2)",IF(H1105=4,"fourth (4:3)","?")))))</f>
        <v>unison (1:1)</v>
      </c>
      <c r="J1105" s="9" t="str">
        <f aca="false">IF(H1105=0,"—",IF(H1105=1,"ὁμώνυμον",IF(H1105=2,"διὰ πασῶν",IF(H1105=3,"διὰ πέντε",IF(H1105=4,"διὰ τεσσάρων","?")))))</f>
        <v>ὁμώνυμον</v>
      </c>
      <c r="K1105" s="10"/>
      <c r="L1105" s="14"/>
      <c r="M1105" s="13"/>
    </row>
    <row r="1106" customFormat="false" ht="15.75" hidden="false" customHeight="true" outlineLevel="0" collapsed="false">
      <c r="A1106" s="8" t="n">
        <f aca="false">A1105+1</f>
        <v>1104</v>
      </c>
      <c r="B1106" s="9" t="n">
        <f aca="false">MOD(4*A1106^2,10)</f>
        <v>4</v>
      </c>
      <c r="C1106" s="9" t="n">
        <f aca="false">(26*B1106-5*B1106^2)/24</f>
        <v>1</v>
      </c>
      <c r="D1106" s="9" t="n">
        <f aca="false">(A1106^2+4*C1106)/5</f>
        <v>243764</v>
      </c>
      <c r="E1106" s="9" t="n">
        <f aca="false">MOD(D1106,10)</f>
        <v>4</v>
      </c>
      <c r="F1106" s="9" t="n">
        <f aca="false">2*D1106</f>
        <v>487528</v>
      </c>
      <c r="G1106" s="9" t="n">
        <f aca="false">MOD(F1106,10)</f>
        <v>8</v>
      </c>
      <c r="H1106" s="9" t="n">
        <f aca="false">G1106/2</f>
        <v>4</v>
      </c>
      <c r="I1106" s="9" t="str">
        <f aca="false">IF(H1106=0,"—",IF(H1106=1,"unison (1:1)",IF(H1106=2,"octave (2:1)",IF(H1106=3,"fifth (3:2)",IF(H1106=4,"fourth (4:3)","?")))))</f>
        <v>fourth (4:3)</v>
      </c>
      <c r="J1106" s="9" t="str">
        <f aca="false">IF(H1106=0,"—",IF(H1106=1,"ὁμώνυμον",IF(H1106=2,"διὰ πασῶν",IF(H1106=3,"διὰ πέντε",IF(H1106=4,"διὰ τεσσάρων","?")))))</f>
        <v>διὰ τεσσάρων</v>
      </c>
      <c r="K1106" s="10"/>
      <c r="L1106" s="14"/>
      <c r="M1106" s="13"/>
    </row>
    <row r="1107" customFormat="false" ht="15.75" hidden="false" customHeight="true" outlineLevel="0" collapsed="false">
      <c r="A1107" s="8" t="n">
        <f aca="false">A1106+1</f>
        <v>1105</v>
      </c>
      <c r="B1107" s="9" t="n">
        <f aca="false">MOD(4*A1107^2,10)</f>
        <v>0</v>
      </c>
      <c r="C1107" s="9" t="n">
        <f aca="false">(26*B1107-5*B1107^2)/24</f>
        <v>0</v>
      </c>
      <c r="D1107" s="9" t="n">
        <f aca="false">(A1107^2+4*C1107)/5</f>
        <v>244205</v>
      </c>
      <c r="E1107" s="9" t="n">
        <f aca="false">MOD(D1107,10)</f>
        <v>5</v>
      </c>
      <c r="F1107" s="9" t="n">
        <f aca="false">2*D1107</f>
        <v>488410</v>
      </c>
      <c r="G1107" s="9" t="n">
        <f aca="false">MOD(F1107,10)</f>
        <v>0</v>
      </c>
      <c r="H1107" s="9" t="n">
        <f aca="false">G1107/2</f>
        <v>0</v>
      </c>
      <c r="I1107" s="9" t="str">
        <f aca="false">IF(H1107=0,"—",IF(H1107=1,"unison (1:1)",IF(H1107=2,"octave (2:1)",IF(H1107=3,"fifth (3:2)",IF(H1107=4,"fourth (4:3)","?")))))</f>
        <v>—</v>
      </c>
      <c r="J1107" s="9" t="str">
        <f aca="false">IF(H1107=0,"—",IF(H1107=1,"ὁμώνυμον",IF(H1107=2,"διὰ πασῶν",IF(H1107=3,"διὰ πέντε",IF(H1107=4,"διὰ τεσσάρων","?")))))</f>
        <v>—</v>
      </c>
      <c r="K1107" s="10"/>
      <c r="L1107" s="14"/>
      <c r="M1107" s="13"/>
    </row>
    <row r="1108" customFormat="false" ht="15.75" hidden="false" customHeight="true" outlineLevel="0" collapsed="false">
      <c r="A1108" s="8" t="n">
        <f aca="false">A1107+1</f>
        <v>1106</v>
      </c>
      <c r="B1108" s="9" t="n">
        <f aca="false">MOD(4*A1108^2,10)</f>
        <v>4</v>
      </c>
      <c r="C1108" s="9" t="n">
        <f aca="false">(26*B1108-5*B1108^2)/24</f>
        <v>1</v>
      </c>
      <c r="D1108" s="9" t="n">
        <f aca="false">(A1108^2+4*C1108)/5</f>
        <v>244648</v>
      </c>
      <c r="E1108" s="9" t="n">
        <f aca="false">MOD(D1108,10)</f>
        <v>8</v>
      </c>
      <c r="F1108" s="9" t="n">
        <f aca="false">2*D1108</f>
        <v>489296</v>
      </c>
      <c r="G1108" s="9" t="n">
        <f aca="false">MOD(F1108,10)</f>
        <v>6</v>
      </c>
      <c r="H1108" s="9" t="n">
        <f aca="false">G1108/2</f>
        <v>3</v>
      </c>
      <c r="I1108" s="9" t="str">
        <f aca="false">IF(H1108=0,"—",IF(H1108=1,"unison (1:1)",IF(H1108=2,"octave (2:1)",IF(H1108=3,"fifth (3:2)",IF(H1108=4,"fourth (4:3)","?")))))</f>
        <v>fifth (3:2)</v>
      </c>
      <c r="J1108" s="9" t="str">
        <f aca="false">IF(H1108=0,"—",IF(H1108=1,"ὁμώνυμον",IF(H1108=2,"διὰ πασῶν",IF(H1108=3,"διὰ πέντε",IF(H1108=4,"διὰ τεσσάρων","?")))))</f>
        <v>διὰ πέντε</v>
      </c>
      <c r="K1108" s="10"/>
      <c r="L1108" s="14"/>
      <c r="M1108" s="13"/>
    </row>
    <row r="1109" customFormat="false" ht="15.75" hidden="false" customHeight="true" outlineLevel="0" collapsed="false">
      <c r="A1109" s="8" t="n">
        <f aca="false">A1108+1</f>
        <v>1107</v>
      </c>
      <c r="B1109" s="9" t="n">
        <f aca="false">MOD(4*A1109^2,10)</f>
        <v>6</v>
      </c>
      <c r="C1109" s="9" t="n">
        <f aca="false">(26*B1109-5*B1109^2)/24</f>
        <v>-1</v>
      </c>
      <c r="D1109" s="9" t="n">
        <f aca="false">(A1109^2+4*C1109)/5</f>
        <v>245089</v>
      </c>
      <c r="E1109" s="9" t="n">
        <f aca="false">MOD(D1109,10)</f>
        <v>9</v>
      </c>
      <c r="F1109" s="9" t="n">
        <f aca="false">2*D1109</f>
        <v>490178</v>
      </c>
      <c r="G1109" s="9" t="n">
        <f aca="false">MOD(F1109,10)</f>
        <v>8</v>
      </c>
      <c r="H1109" s="9" t="n">
        <f aca="false">G1109/2</f>
        <v>4</v>
      </c>
      <c r="I1109" s="9" t="str">
        <f aca="false">IF(H1109=0,"—",IF(H1109=1,"unison (1:1)",IF(H1109=2,"octave (2:1)",IF(H1109=3,"fifth (3:2)",IF(H1109=4,"fourth (4:3)","?")))))</f>
        <v>fourth (4:3)</v>
      </c>
      <c r="J1109" s="9" t="str">
        <f aca="false">IF(H1109=0,"—",IF(H1109=1,"ὁμώνυμον",IF(H1109=2,"διὰ πασῶν",IF(H1109=3,"διὰ πέντε",IF(H1109=4,"διὰ τεσσάρων","?")))))</f>
        <v>διὰ τεσσάρων</v>
      </c>
      <c r="K1109" s="10"/>
      <c r="L1109" s="14"/>
      <c r="M1109" s="13"/>
    </row>
    <row r="1110" customFormat="false" ht="15.75" hidden="false" customHeight="true" outlineLevel="0" collapsed="false">
      <c r="A1110" s="8" t="n">
        <f aca="false">A1109+1</f>
        <v>1108</v>
      </c>
      <c r="B1110" s="9" t="n">
        <f aca="false">MOD(4*A1110^2,10)</f>
        <v>6</v>
      </c>
      <c r="C1110" s="9" t="n">
        <f aca="false">(26*B1110-5*B1110^2)/24</f>
        <v>-1</v>
      </c>
      <c r="D1110" s="9" t="n">
        <f aca="false">(A1110^2+4*C1110)/5</f>
        <v>245532</v>
      </c>
      <c r="E1110" s="9" t="n">
        <f aca="false">MOD(D1110,10)</f>
        <v>2</v>
      </c>
      <c r="F1110" s="9" t="n">
        <f aca="false">2*D1110</f>
        <v>491064</v>
      </c>
      <c r="G1110" s="9" t="n">
        <f aca="false">MOD(F1110,10)</f>
        <v>4</v>
      </c>
      <c r="H1110" s="9" t="n">
        <f aca="false">G1110/2</f>
        <v>2</v>
      </c>
      <c r="I1110" s="9" t="str">
        <f aca="false">IF(H1110=0,"—",IF(H1110=1,"unison (1:1)",IF(H1110=2,"octave (2:1)",IF(H1110=3,"fifth (3:2)",IF(H1110=4,"fourth (4:3)","?")))))</f>
        <v>octave (2:1)</v>
      </c>
      <c r="J1110" s="9" t="str">
        <f aca="false">IF(H1110=0,"—",IF(H1110=1,"ὁμώνυμον",IF(H1110=2,"διὰ πασῶν",IF(H1110=3,"διὰ πέντε",IF(H1110=4,"διὰ τεσσάρων","?")))))</f>
        <v>διὰ πασῶν</v>
      </c>
      <c r="K1110" s="10"/>
      <c r="L1110" s="14"/>
      <c r="M1110" s="13"/>
    </row>
    <row r="1111" customFormat="false" ht="15.75" hidden="false" customHeight="true" outlineLevel="0" collapsed="false">
      <c r="A1111" s="8" t="n">
        <f aca="false">A1110+1</f>
        <v>1109</v>
      </c>
      <c r="B1111" s="9" t="n">
        <f aca="false">MOD(4*A1111^2,10)</f>
        <v>4</v>
      </c>
      <c r="C1111" s="9" t="n">
        <f aca="false">(26*B1111-5*B1111^2)/24</f>
        <v>1</v>
      </c>
      <c r="D1111" s="9" t="n">
        <f aca="false">(A1111^2+4*C1111)/5</f>
        <v>245977</v>
      </c>
      <c r="E1111" s="9" t="n">
        <f aca="false">MOD(D1111,10)</f>
        <v>7</v>
      </c>
      <c r="F1111" s="9" t="n">
        <f aca="false">2*D1111</f>
        <v>491954</v>
      </c>
      <c r="G1111" s="9" t="n">
        <f aca="false">MOD(F1111,10)</f>
        <v>4</v>
      </c>
      <c r="H1111" s="9" t="n">
        <f aca="false">G1111/2</f>
        <v>2</v>
      </c>
      <c r="I1111" s="9" t="str">
        <f aca="false">IF(H1111=0,"—",IF(H1111=1,"unison (1:1)",IF(H1111=2,"octave (2:1)",IF(H1111=3,"fifth (3:2)",IF(H1111=4,"fourth (4:3)","?")))))</f>
        <v>octave (2:1)</v>
      </c>
      <c r="J1111" s="9" t="str">
        <f aca="false">IF(H1111=0,"—",IF(H1111=1,"ὁμώνυμον",IF(H1111=2,"διὰ πασῶν",IF(H1111=3,"διὰ πέντε",IF(H1111=4,"διὰ τεσσάρων","?")))))</f>
        <v>διὰ πασῶν</v>
      </c>
      <c r="K1111" s="10"/>
      <c r="L1111" s="14"/>
      <c r="M1111" s="13"/>
    </row>
    <row r="1112" customFormat="false" ht="15.75" hidden="false" customHeight="true" outlineLevel="0" collapsed="false">
      <c r="A1112" s="8" t="n">
        <f aca="false">A1111+1</f>
        <v>1110</v>
      </c>
      <c r="B1112" s="9" t="n">
        <f aca="false">MOD(4*A1112^2,10)</f>
        <v>0</v>
      </c>
      <c r="C1112" s="9" t="n">
        <f aca="false">(26*B1112-5*B1112^2)/24</f>
        <v>0</v>
      </c>
      <c r="D1112" s="9" t="n">
        <f aca="false">(A1112^2+4*C1112)/5</f>
        <v>246420</v>
      </c>
      <c r="E1112" s="9" t="n">
        <f aca="false">MOD(D1112,10)</f>
        <v>0</v>
      </c>
      <c r="F1112" s="9" t="n">
        <f aca="false">2*D1112</f>
        <v>492840</v>
      </c>
      <c r="G1112" s="9" t="n">
        <f aca="false">MOD(F1112,10)</f>
        <v>0</v>
      </c>
      <c r="H1112" s="9" t="n">
        <f aca="false">G1112/2</f>
        <v>0</v>
      </c>
      <c r="I1112" s="9" t="str">
        <f aca="false">IF(H1112=0,"—",IF(H1112=1,"unison (1:1)",IF(H1112=2,"octave (2:1)",IF(H1112=3,"fifth (3:2)",IF(H1112=4,"fourth (4:3)","?")))))</f>
        <v>—</v>
      </c>
      <c r="J1112" s="9" t="str">
        <f aca="false">IF(H1112=0,"—",IF(H1112=1,"ὁμώνυμον",IF(H1112=2,"διὰ πασῶν",IF(H1112=3,"διὰ πέντε",IF(H1112=4,"διὰ τεσσάρων","?")))))</f>
        <v>—</v>
      </c>
      <c r="K1112" s="10"/>
      <c r="L1112" s="14"/>
      <c r="M1112" s="13"/>
    </row>
    <row r="1113" customFormat="false" ht="15.75" hidden="false" customHeight="true" outlineLevel="0" collapsed="false">
      <c r="A1113" s="8" t="n">
        <f aca="false">A1112+1</f>
        <v>1111</v>
      </c>
      <c r="B1113" s="9" t="n">
        <f aca="false">MOD(4*A1113^2,10)</f>
        <v>4</v>
      </c>
      <c r="C1113" s="9" t="n">
        <f aca="false">(26*B1113-5*B1113^2)/24</f>
        <v>1</v>
      </c>
      <c r="D1113" s="9" t="n">
        <f aca="false">(A1113^2+4*C1113)/5</f>
        <v>246865</v>
      </c>
      <c r="E1113" s="9" t="n">
        <f aca="false">MOD(D1113,10)</f>
        <v>5</v>
      </c>
      <c r="F1113" s="9" t="n">
        <f aca="false">2*D1113</f>
        <v>493730</v>
      </c>
      <c r="G1113" s="9" t="n">
        <f aca="false">MOD(F1113,10)</f>
        <v>0</v>
      </c>
      <c r="H1113" s="9" t="n">
        <f aca="false">G1113/2</f>
        <v>0</v>
      </c>
      <c r="I1113" s="9" t="str">
        <f aca="false">IF(H1113=0,"—",IF(H1113=1,"unison (1:1)",IF(H1113=2,"octave (2:1)",IF(H1113=3,"fifth (3:2)",IF(H1113=4,"fourth (4:3)","?")))))</f>
        <v>—</v>
      </c>
      <c r="J1113" s="9" t="str">
        <f aca="false">IF(H1113=0,"—",IF(H1113=1,"ὁμώνυμον",IF(H1113=2,"διὰ πασῶν",IF(H1113=3,"διὰ πέντε",IF(H1113=4,"διὰ τεσσάρων","?")))))</f>
        <v>—</v>
      </c>
      <c r="K1113" s="10"/>
      <c r="L1113" s="14"/>
      <c r="M1113" s="13"/>
    </row>
    <row r="1114" customFormat="false" ht="15.75" hidden="false" customHeight="true" outlineLevel="0" collapsed="false">
      <c r="A1114" s="8" t="n">
        <f aca="false">A1113+1</f>
        <v>1112</v>
      </c>
      <c r="B1114" s="9" t="n">
        <f aca="false">MOD(4*A1114^2,10)</f>
        <v>6</v>
      </c>
      <c r="C1114" s="9" t="n">
        <f aca="false">(26*B1114-5*B1114^2)/24</f>
        <v>-1</v>
      </c>
      <c r="D1114" s="9" t="n">
        <f aca="false">(A1114^2+4*C1114)/5</f>
        <v>247308</v>
      </c>
      <c r="E1114" s="9" t="n">
        <f aca="false">MOD(D1114,10)</f>
        <v>8</v>
      </c>
      <c r="F1114" s="9" t="n">
        <f aca="false">2*D1114</f>
        <v>494616</v>
      </c>
      <c r="G1114" s="9" t="n">
        <f aca="false">MOD(F1114,10)</f>
        <v>6</v>
      </c>
      <c r="H1114" s="9" t="n">
        <f aca="false">G1114/2</f>
        <v>3</v>
      </c>
      <c r="I1114" s="9" t="str">
        <f aca="false">IF(H1114=0,"—",IF(H1114=1,"unison (1:1)",IF(H1114=2,"octave (2:1)",IF(H1114=3,"fifth (3:2)",IF(H1114=4,"fourth (4:3)","?")))))</f>
        <v>fifth (3:2)</v>
      </c>
      <c r="J1114" s="9" t="str">
        <f aca="false">IF(H1114=0,"—",IF(H1114=1,"ὁμώνυμον",IF(H1114=2,"διὰ πασῶν",IF(H1114=3,"διὰ πέντε",IF(H1114=4,"διὰ τεσσάρων","?")))))</f>
        <v>διὰ πέντε</v>
      </c>
      <c r="K1114" s="10"/>
      <c r="L1114" s="14"/>
      <c r="M1114" s="13"/>
    </row>
    <row r="1115" customFormat="false" ht="15.75" hidden="false" customHeight="true" outlineLevel="0" collapsed="false">
      <c r="A1115" s="8" t="n">
        <f aca="false">A1114+1</f>
        <v>1113</v>
      </c>
      <c r="B1115" s="9" t="n">
        <f aca="false">MOD(4*A1115^2,10)</f>
        <v>6</v>
      </c>
      <c r="C1115" s="9" t="n">
        <f aca="false">(26*B1115-5*B1115^2)/24</f>
        <v>-1</v>
      </c>
      <c r="D1115" s="9" t="n">
        <f aca="false">(A1115^2+4*C1115)/5</f>
        <v>247753</v>
      </c>
      <c r="E1115" s="9" t="n">
        <f aca="false">MOD(D1115,10)</f>
        <v>3</v>
      </c>
      <c r="F1115" s="9" t="n">
        <f aca="false">2*D1115</f>
        <v>495506</v>
      </c>
      <c r="G1115" s="9" t="n">
        <f aca="false">MOD(F1115,10)</f>
        <v>6</v>
      </c>
      <c r="H1115" s="9" t="n">
        <f aca="false">G1115/2</f>
        <v>3</v>
      </c>
      <c r="I1115" s="9" t="str">
        <f aca="false">IF(H1115=0,"—",IF(H1115=1,"unison (1:1)",IF(H1115=2,"octave (2:1)",IF(H1115=3,"fifth (3:2)",IF(H1115=4,"fourth (4:3)","?")))))</f>
        <v>fifth (3:2)</v>
      </c>
      <c r="J1115" s="9" t="str">
        <f aca="false">IF(H1115=0,"—",IF(H1115=1,"ὁμώνυμον",IF(H1115=2,"διὰ πασῶν",IF(H1115=3,"διὰ πέντε",IF(H1115=4,"διὰ τεσσάρων","?")))))</f>
        <v>διὰ πέντε</v>
      </c>
      <c r="K1115" s="10"/>
      <c r="L1115" s="14"/>
      <c r="M1115" s="13"/>
    </row>
    <row r="1116" customFormat="false" ht="15.75" hidden="false" customHeight="true" outlineLevel="0" collapsed="false">
      <c r="A1116" s="8" t="n">
        <f aca="false">A1115+1</f>
        <v>1114</v>
      </c>
      <c r="B1116" s="9" t="n">
        <f aca="false">MOD(4*A1116^2,10)</f>
        <v>4</v>
      </c>
      <c r="C1116" s="9" t="n">
        <f aca="false">(26*B1116-5*B1116^2)/24</f>
        <v>1</v>
      </c>
      <c r="D1116" s="9" t="n">
        <f aca="false">(A1116^2+4*C1116)/5</f>
        <v>248200</v>
      </c>
      <c r="E1116" s="9" t="n">
        <f aca="false">MOD(D1116,10)</f>
        <v>0</v>
      </c>
      <c r="F1116" s="9" t="n">
        <f aca="false">2*D1116</f>
        <v>496400</v>
      </c>
      <c r="G1116" s="9" t="n">
        <f aca="false">MOD(F1116,10)</f>
        <v>0</v>
      </c>
      <c r="H1116" s="9" t="n">
        <f aca="false">G1116/2</f>
        <v>0</v>
      </c>
      <c r="I1116" s="9" t="str">
        <f aca="false">IF(H1116=0,"—",IF(H1116=1,"unison (1:1)",IF(H1116=2,"octave (2:1)",IF(H1116=3,"fifth (3:2)",IF(H1116=4,"fourth (4:3)","?")))))</f>
        <v>—</v>
      </c>
      <c r="J1116" s="9" t="str">
        <f aca="false">IF(H1116=0,"—",IF(H1116=1,"ὁμώνυμον",IF(H1116=2,"διὰ πασῶν",IF(H1116=3,"διὰ πέντε",IF(H1116=4,"διὰ τεσσάρων","?")))))</f>
        <v>—</v>
      </c>
      <c r="K1116" s="10"/>
      <c r="L1116" s="14"/>
      <c r="M1116" s="13"/>
    </row>
    <row r="1117" customFormat="false" ht="15.75" hidden="false" customHeight="true" outlineLevel="0" collapsed="false">
      <c r="A1117" s="8" t="n">
        <f aca="false">A1116+1</f>
        <v>1115</v>
      </c>
      <c r="B1117" s="9" t="n">
        <f aca="false">MOD(4*A1117^2,10)</f>
        <v>0</v>
      </c>
      <c r="C1117" s="9" t="n">
        <f aca="false">(26*B1117-5*B1117^2)/24</f>
        <v>0</v>
      </c>
      <c r="D1117" s="9" t="n">
        <f aca="false">(A1117^2+4*C1117)/5</f>
        <v>248645</v>
      </c>
      <c r="E1117" s="9" t="n">
        <f aca="false">MOD(D1117,10)</f>
        <v>5</v>
      </c>
      <c r="F1117" s="9" t="n">
        <f aca="false">2*D1117</f>
        <v>497290</v>
      </c>
      <c r="G1117" s="9" t="n">
        <f aca="false">MOD(F1117,10)</f>
        <v>0</v>
      </c>
      <c r="H1117" s="9" t="n">
        <f aca="false">G1117/2</f>
        <v>0</v>
      </c>
      <c r="I1117" s="9" t="str">
        <f aca="false">IF(H1117=0,"—",IF(H1117=1,"unison (1:1)",IF(H1117=2,"octave (2:1)",IF(H1117=3,"fifth (3:2)",IF(H1117=4,"fourth (4:3)","?")))))</f>
        <v>—</v>
      </c>
      <c r="J1117" s="9" t="str">
        <f aca="false">IF(H1117=0,"—",IF(H1117=1,"ὁμώνυμον",IF(H1117=2,"διὰ πασῶν",IF(H1117=3,"διὰ πέντε",IF(H1117=4,"διὰ τεσσάρων","?")))))</f>
        <v>—</v>
      </c>
      <c r="K1117" s="10"/>
      <c r="L1117" s="14"/>
      <c r="M1117" s="13"/>
    </row>
    <row r="1118" customFormat="false" ht="15.75" hidden="false" customHeight="true" outlineLevel="0" collapsed="false">
      <c r="A1118" s="8" t="n">
        <f aca="false">A1117+1</f>
        <v>1116</v>
      </c>
      <c r="B1118" s="9" t="n">
        <f aca="false">MOD(4*A1118^2,10)</f>
        <v>4</v>
      </c>
      <c r="C1118" s="9" t="n">
        <f aca="false">(26*B1118-5*B1118^2)/24</f>
        <v>1</v>
      </c>
      <c r="D1118" s="9" t="n">
        <f aca="false">(A1118^2+4*C1118)/5</f>
        <v>249092</v>
      </c>
      <c r="E1118" s="9" t="n">
        <f aca="false">MOD(D1118,10)</f>
        <v>2</v>
      </c>
      <c r="F1118" s="9" t="n">
        <f aca="false">2*D1118</f>
        <v>498184</v>
      </c>
      <c r="G1118" s="9" t="n">
        <f aca="false">MOD(F1118,10)</f>
        <v>4</v>
      </c>
      <c r="H1118" s="9" t="n">
        <f aca="false">G1118/2</f>
        <v>2</v>
      </c>
      <c r="I1118" s="9" t="str">
        <f aca="false">IF(H1118=0,"—",IF(H1118=1,"unison (1:1)",IF(H1118=2,"octave (2:1)",IF(H1118=3,"fifth (3:2)",IF(H1118=4,"fourth (4:3)","?")))))</f>
        <v>octave (2:1)</v>
      </c>
      <c r="J1118" s="9" t="str">
        <f aca="false">IF(H1118=0,"—",IF(H1118=1,"ὁμώνυμον",IF(H1118=2,"διὰ πασῶν",IF(H1118=3,"διὰ πέντε",IF(H1118=4,"διὰ τεσσάρων","?")))))</f>
        <v>διὰ πασῶν</v>
      </c>
      <c r="K1118" s="10"/>
      <c r="L1118" s="14"/>
      <c r="M1118" s="13"/>
    </row>
    <row r="1119" customFormat="false" ht="15.75" hidden="false" customHeight="true" outlineLevel="0" collapsed="false">
      <c r="A1119" s="8" t="n">
        <f aca="false">A1118+1</f>
        <v>1117</v>
      </c>
      <c r="B1119" s="9" t="n">
        <f aca="false">MOD(4*A1119^2,10)</f>
        <v>6</v>
      </c>
      <c r="C1119" s="9" t="n">
        <f aca="false">(26*B1119-5*B1119^2)/24</f>
        <v>-1</v>
      </c>
      <c r="D1119" s="9" t="n">
        <f aca="false">(A1119^2+4*C1119)/5</f>
        <v>249537</v>
      </c>
      <c r="E1119" s="9" t="n">
        <f aca="false">MOD(D1119,10)</f>
        <v>7</v>
      </c>
      <c r="F1119" s="9" t="n">
        <f aca="false">2*D1119</f>
        <v>499074</v>
      </c>
      <c r="G1119" s="9" t="n">
        <f aca="false">MOD(F1119,10)</f>
        <v>4</v>
      </c>
      <c r="H1119" s="9" t="n">
        <f aca="false">G1119/2</f>
        <v>2</v>
      </c>
      <c r="I1119" s="9" t="str">
        <f aca="false">IF(H1119=0,"—",IF(H1119=1,"unison (1:1)",IF(H1119=2,"octave (2:1)",IF(H1119=3,"fifth (3:2)",IF(H1119=4,"fourth (4:3)","?")))))</f>
        <v>octave (2:1)</v>
      </c>
      <c r="J1119" s="9" t="str">
        <f aca="false">IF(H1119=0,"—",IF(H1119=1,"ὁμώνυμον",IF(H1119=2,"διὰ πασῶν",IF(H1119=3,"διὰ πέντε",IF(H1119=4,"διὰ τεσσάρων","?")))))</f>
        <v>διὰ πασῶν</v>
      </c>
      <c r="K1119" s="10"/>
      <c r="L1119" s="14"/>
      <c r="M1119" s="13"/>
    </row>
    <row r="1120" customFormat="false" ht="15.75" hidden="false" customHeight="true" outlineLevel="0" collapsed="false">
      <c r="A1120" s="8" t="n">
        <f aca="false">A1119+1</f>
        <v>1118</v>
      </c>
      <c r="B1120" s="9" t="n">
        <f aca="false">MOD(4*A1120^2,10)</f>
        <v>6</v>
      </c>
      <c r="C1120" s="9" t="n">
        <f aca="false">(26*B1120-5*B1120^2)/24</f>
        <v>-1</v>
      </c>
      <c r="D1120" s="9" t="n">
        <f aca="false">(A1120^2+4*C1120)/5</f>
        <v>249984</v>
      </c>
      <c r="E1120" s="9" t="n">
        <f aca="false">MOD(D1120,10)</f>
        <v>4</v>
      </c>
      <c r="F1120" s="9" t="n">
        <f aca="false">2*D1120</f>
        <v>499968</v>
      </c>
      <c r="G1120" s="9" t="n">
        <f aca="false">MOD(F1120,10)</f>
        <v>8</v>
      </c>
      <c r="H1120" s="9" t="n">
        <f aca="false">G1120/2</f>
        <v>4</v>
      </c>
      <c r="I1120" s="9" t="str">
        <f aca="false">IF(H1120=0,"—",IF(H1120=1,"unison (1:1)",IF(H1120=2,"octave (2:1)",IF(H1120=3,"fifth (3:2)",IF(H1120=4,"fourth (4:3)","?")))))</f>
        <v>fourth (4:3)</v>
      </c>
      <c r="J1120" s="9" t="str">
        <f aca="false">IF(H1120=0,"—",IF(H1120=1,"ὁμώνυμον",IF(H1120=2,"διὰ πασῶν",IF(H1120=3,"διὰ πέντε",IF(H1120=4,"διὰ τεσσάρων","?")))))</f>
        <v>διὰ τεσσάρων</v>
      </c>
      <c r="K1120" s="10"/>
      <c r="L1120" s="14"/>
      <c r="M1120" s="13"/>
    </row>
    <row r="1121" customFormat="false" ht="15.75" hidden="false" customHeight="true" outlineLevel="0" collapsed="false">
      <c r="A1121" s="8" t="n">
        <f aca="false">A1120+1</f>
        <v>1119</v>
      </c>
      <c r="B1121" s="9" t="n">
        <f aca="false">MOD(4*A1121^2,10)</f>
        <v>4</v>
      </c>
      <c r="C1121" s="9" t="n">
        <f aca="false">(26*B1121-5*B1121^2)/24</f>
        <v>1</v>
      </c>
      <c r="D1121" s="9" t="n">
        <f aca="false">(A1121^2+4*C1121)/5</f>
        <v>250433</v>
      </c>
      <c r="E1121" s="9" t="n">
        <f aca="false">MOD(D1121,10)</f>
        <v>3</v>
      </c>
      <c r="F1121" s="9" t="n">
        <f aca="false">2*D1121</f>
        <v>500866</v>
      </c>
      <c r="G1121" s="9" t="n">
        <f aca="false">MOD(F1121,10)</f>
        <v>6</v>
      </c>
      <c r="H1121" s="9" t="n">
        <f aca="false">G1121/2</f>
        <v>3</v>
      </c>
      <c r="I1121" s="9" t="str">
        <f aca="false">IF(H1121=0,"—",IF(H1121=1,"unison (1:1)",IF(H1121=2,"octave (2:1)",IF(H1121=3,"fifth (3:2)",IF(H1121=4,"fourth (4:3)","?")))))</f>
        <v>fifth (3:2)</v>
      </c>
      <c r="J1121" s="9" t="str">
        <f aca="false">IF(H1121=0,"—",IF(H1121=1,"ὁμώνυμον",IF(H1121=2,"διὰ πασῶν",IF(H1121=3,"διὰ πέντε",IF(H1121=4,"διὰ τεσσάρων","?")))))</f>
        <v>διὰ πέντε</v>
      </c>
      <c r="K1121" s="10"/>
      <c r="L1121" s="14"/>
      <c r="M1121" s="13"/>
    </row>
    <row r="1122" customFormat="false" ht="15.75" hidden="false" customHeight="true" outlineLevel="0" collapsed="false">
      <c r="A1122" s="8" t="n">
        <f aca="false">A1121+1</f>
        <v>1120</v>
      </c>
      <c r="B1122" s="9" t="n">
        <f aca="false">MOD(4*A1122^2,10)</f>
        <v>0</v>
      </c>
      <c r="C1122" s="9" t="n">
        <f aca="false">(26*B1122-5*B1122^2)/24</f>
        <v>0</v>
      </c>
      <c r="D1122" s="9" t="n">
        <f aca="false">(A1122^2+4*C1122)/5</f>
        <v>250880</v>
      </c>
      <c r="E1122" s="9" t="n">
        <f aca="false">MOD(D1122,10)</f>
        <v>0</v>
      </c>
      <c r="F1122" s="9" t="n">
        <f aca="false">2*D1122</f>
        <v>501760</v>
      </c>
      <c r="G1122" s="9" t="n">
        <f aca="false">MOD(F1122,10)</f>
        <v>0</v>
      </c>
      <c r="H1122" s="9" t="n">
        <f aca="false">G1122/2</f>
        <v>0</v>
      </c>
      <c r="I1122" s="9" t="str">
        <f aca="false">IF(H1122=0,"—",IF(H1122=1,"unison (1:1)",IF(H1122=2,"octave (2:1)",IF(H1122=3,"fifth (3:2)",IF(H1122=4,"fourth (4:3)","?")))))</f>
        <v>—</v>
      </c>
      <c r="J1122" s="9" t="str">
        <f aca="false">IF(H1122=0,"—",IF(H1122=1,"ὁμώνυμον",IF(H1122=2,"διὰ πασῶν",IF(H1122=3,"διὰ πέντε",IF(H1122=4,"διὰ τεσσάρων","?")))))</f>
        <v>—</v>
      </c>
      <c r="K1122" s="10"/>
      <c r="L1122" s="14"/>
      <c r="M1122" s="13"/>
    </row>
    <row r="1123" customFormat="false" ht="15.75" hidden="false" customHeight="true" outlineLevel="0" collapsed="false">
      <c r="A1123" s="8" t="n">
        <f aca="false">A1122+1</f>
        <v>1121</v>
      </c>
      <c r="B1123" s="9" t="n">
        <f aca="false">MOD(4*A1123^2,10)</f>
        <v>4</v>
      </c>
      <c r="C1123" s="9" t="n">
        <f aca="false">(26*B1123-5*B1123^2)/24</f>
        <v>1</v>
      </c>
      <c r="D1123" s="9" t="n">
        <f aca="false">(A1123^2+4*C1123)/5</f>
        <v>251329</v>
      </c>
      <c r="E1123" s="9" t="n">
        <f aca="false">MOD(D1123,10)</f>
        <v>9</v>
      </c>
      <c r="F1123" s="9" t="n">
        <f aca="false">2*D1123</f>
        <v>502658</v>
      </c>
      <c r="G1123" s="9" t="n">
        <f aca="false">MOD(F1123,10)</f>
        <v>8</v>
      </c>
      <c r="H1123" s="9" t="n">
        <f aca="false">G1123/2</f>
        <v>4</v>
      </c>
      <c r="I1123" s="9" t="str">
        <f aca="false">IF(H1123=0,"—",IF(H1123=1,"unison (1:1)",IF(H1123=2,"octave (2:1)",IF(H1123=3,"fifth (3:2)",IF(H1123=4,"fourth (4:3)","?")))))</f>
        <v>fourth (4:3)</v>
      </c>
      <c r="J1123" s="9" t="str">
        <f aca="false">IF(H1123=0,"—",IF(H1123=1,"ὁμώνυμον",IF(H1123=2,"διὰ πασῶν",IF(H1123=3,"διὰ πέντε",IF(H1123=4,"διὰ τεσσάρων","?")))))</f>
        <v>διὰ τεσσάρων</v>
      </c>
      <c r="K1123" s="10"/>
      <c r="L1123" s="14"/>
      <c r="M1123" s="13"/>
    </row>
    <row r="1124" customFormat="false" ht="15.75" hidden="false" customHeight="true" outlineLevel="0" collapsed="false">
      <c r="A1124" s="8" t="n">
        <f aca="false">A1123+1</f>
        <v>1122</v>
      </c>
      <c r="B1124" s="9" t="n">
        <f aca="false">MOD(4*A1124^2,10)</f>
        <v>6</v>
      </c>
      <c r="C1124" s="9" t="n">
        <f aca="false">(26*B1124-5*B1124^2)/24</f>
        <v>-1</v>
      </c>
      <c r="D1124" s="9" t="n">
        <f aca="false">(A1124^2+4*C1124)/5</f>
        <v>251776</v>
      </c>
      <c r="E1124" s="9" t="n">
        <f aca="false">MOD(D1124,10)</f>
        <v>6</v>
      </c>
      <c r="F1124" s="9" t="n">
        <f aca="false">2*D1124</f>
        <v>503552</v>
      </c>
      <c r="G1124" s="9" t="n">
        <f aca="false">MOD(F1124,10)</f>
        <v>2</v>
      </c>
      <c r="H1124" s="9" t="n">
        <f aca="false">G1124/2</f>
        <v>1</v>
      </c>
      <c r="I1124" s="9" t="str">
        <f aca="false">IF(H1124=0,"—",IF(H1124=1,"unison (1:1)",IF(H1124=2,"octave (2:1)",IF(H1124=3,"fifth (3:2)",IF(H1124=4,"fourth (4:3)","?")))))</f>
        <v>unison (1:1)</v>
      </c>
      <c r="J1124" s="9" t="str">
        <f aca="false">IF(H1124=0,"—",IF(H1124=1,"ὁμώνυμον",IF(H1124=2,"διὰ πασῶν",IF(H1124=3,"διὰ πέντε",IF(H1124=4,"διὰ τεσσάρων","?")))))</f>
        <v>ὁμώνυμον</v>
      </c>
      <c r="K1124" s="10"/>
      <c r="L1124" s="14"/>
      <c r="M1124" s="13"/>
    </row>
    <row r="1125" customFormat="false" ht="15.75" hidden="false" customHeight="true" outlineLevel="0" collapsed="false">
      <c r="A1125" s="8" t="n">
        <f aca="false">A1124+1</f>
        <v>1123</v>
      </c>
      <c r="B1125" s="9" t="n">
        <f aca="false">MOD(4*A1125^2,10)</f>
        <v>6</v>
      </c>
      <c r="C1125" s="9" t="n">
        <f aca="false">(26*B1125-5*B1125^2)/24</f>
        <v>-1</v>
      </c>
      <c r="D1125" s="9" t="n">
        <f aca="false">(A1125^2+4*C1125)/5</f>
        <v>252225</v>
      </c>
      <c r="E1125" s="9" t="n">
        <f aca="false">MOD(D1125,10)</f>
        <v>5</v>
      </c>
      <c r="F1125" s="9" t="n">
        <f aca="false">2*D1125</f>
        <v>504450</v>
      </c>
      <c r="G1125" s="9" t="n">
        <f aca="false">MOD(F1125,10)</f>
        <v>0</v>
      </c>
      <c r="H1125" s="9" t="n">
        <f aca="false">G1125/2</f>
        <v>0</v>
      </c>
      <c r="I1125" s="9" t="str">
        <f aca="false">IF(H1125=0,"—",IF(H1125=1,"unison (1:1)",IF(H1125=2,"octave (2:1)",IF(H1125=3,"fifth (3:2)",IF(H1125=4,"fourth (4:3)","?")))))</f>
        <v>—</v>
      </c>
      <c r="J1125" s="9" t="str">
        <f aca="false">IF(H1125=0,"—",IF(H1125=1,"ὁμώνυμον",IF(H1125=2,"διὰ πασῶν",IF(H1125=3,"διὰ πέντε",IF(H1125=4,"διὰ τεσσάρων","?")))))</f>
        <v>—</v>
      </c>
      <c r="K1125" s="10"/>
      <c r="L1125" s="14"/>
      <c r="M1125" s="13"/>
    </row>
    <row r="1126" customFormat="false" ht="15.75" hidden="false" customHeight="true" outlineLevel="0" collapsed="false">
      <c r="A1126" s="8" t="n">
        <f aca="false">A1125+1</f>
        <v>1124</v>
      </c>
      <c r="B1126" s="9" t="n">
        <f aca="false">MOD(4*A1126^2,10)</f>
        <v>4</v>
      </c>
      <c r="C1126" s="9" t="n">
        <f aca="false">(26*B1126-5*B1126^2)/24</f>
        <v>1</v>
      </c>
      <c r="D1126" s="9" t="n">
        <f aca="false">(A1126^2+4*C1126)/5</f>
        <v>252676</v>
      </c>
      <c r="E1126" s="9" t="n">
        <f aca="false">MOD(D1126,10)</f>
        <v>6</v>
      </c>
      <c r="F1126" s="9" t="n">
        <f aca="false">2*D1126</f>
        <v>505352</v>
      </c>
      <c r="G1126" s="9" t="n">
        <f aca="false">MOD(F1126,10)</f>
        <v>2</v>
      </c>
      <c r="H1126" s="9" t="n">
        <f aca="false">G1126/2</f>
        <v>1</v>
      </c>
      <c r="I1126" s="9" t="str">
        <f aca="false">IF(H1126=0,"—",IF(H1126=1,"unison (1:1)",IF(H1126=2,"octave (2:1)",IF(H1126=3,"fifth (3:2)",IF(H1126=4,"fourth (4:3)","?")))))</f>
        <v>unison (1:1)</v>
      </c>
      <c r="J1126" s="9" t="str">
        <f aca="false">IF(H1126=0,"—",IF(H1126=1,"ὁμώνυμον",IF(H1126=2,"διὰ πασῶν",IF(H1126=3,"διὰ πέντε",IF(H1126=4,"διὰ τεσσάρων","?")))))</f>
        <v>ὁμώνυμον</v>
      </c>
      <c r="K1126" s="10"/>
      <c r="L1126" s="14"/>
      <c r="M1126" s="13"/>
    </row>
    <row r="1127" customFormat="false" ht="15.75" hidden="false" customHeight="true" outlineLevel="0" collapsed="false">
      <c r="A1127" s="8" t="n">
        <f aca="false">A1126+1</f>
        <v>1125</v>
      </c>
      <c r="B1127" s="9" t="n">
        <f aca="false">MOD(4*A1127^2,10)</f>
        <v>0</v>
      </c>
      <c r="C1127" s="9" t="n">
        <f aca="false">(26*B1127-5*B1127^2)/24</f>
        <v>0</v>
      </c>
      <c r="D1127" s="9" t="n">
        <f aca="false">(A1127^2+4*C1127)/5</f>
        <v>253125</v>
      </c>
      <c r="E1127" s="9" t="n">
        <f aca="false">MOD(D1127,10)</f>
        <v>5</v>
      </c>
      <c r="F1127" s="9" t="n">
        <f aca="false">2*D1127</f>
        <v>506250</v>
      </c>
      <c r="G1127" s="9" t="n">
        <f aca="false">MOD(F1127,10)</f>
        <v>0</v>
      </c>
      <c r="H1127" s="9" t="n">
        <f aca="false">G1127/2</f>
        <v>0</v>
      </c>
      <c r="I1127" s="9" t="str">
        <f aca="false">IF(H1127=0,"—",IF(H1127=1,"unison (1:1)",IF(H1127=2,"octave (2:1)",IF(H1127=3,"fifth (3:2)",IF(H1127=4,"fourth (4:3)","?")))))</f>
        <v>—</v>
      </c>
      <c r="J1127" s="9" t="str">
        <f aca="false">IF(H1127=0,"—",IF(H1127=1,"ὁμώνυμον",IF(H1127=2,"διὰ πασῶν",IF(H1127=3,"διὰ πέντε",IF(H1127=4,"διὰ τεσσάρων","?")))))</f>
        <v>—</v>
      </c>
      <c r="K1127" s="10"/>
      <c r="L1127" s="14"/>
      <c r="M1127" s="13"/>
    </row>
    <row r="1128" customFormat="false" ht="15.75" hidden="false" customHeight="true" outlineLevel="0" collapsed="false">
      <c r="A1128" s="8" t="n">
        <f aca="false">A1127+1</f>
        <v>1126</v>
      </c>
      <c r="B1128" s="9" t="n">
        <f aca="false">MOD(4*A1128^2,10)</f>
        <v>4</v>
      </c>
      <c r="C1128" s="9" t="n">
        <f aca="false">(26*B1128-5*B1128^2)/24</f>
        <v>1</v>
      </c>
      <c r="D1128" s="9" t="n">
        <f aca="false">(A1128^2+4*C1128)/5</f>
        <v>253576</v>
      </c>
      <c r="E1128" s="9" t="n">
        <f aca="false">MOD(D1128,10)</f>
        <v>6</v>
      </c>
      <c r="F1128" s="9" t="n">
        <f aca="false">2*D1128</f>
        <v>507152</v>
      </c>
      <c r="G1128" s="9" t="n">
        <f aca="false">MOD(F1128,10)</f>
        <v>2</v>
      </c>
      <c r="H1128" s="9" t="n">
        <f aca="false">G1128/2</f>
        <v>1</v>
      </c>
      <c r="I1128" s="9" t="str">
        <f aca="false">IF(H1128=0,"—",IF(H1128=1,"unison (1:1)",IF(H1128=2,"octave (2:1)",IF(H1128=3,"fifth (3:2)",IF(H1128=4,"fourth (4:3)","?")))))</f>
        <v>unison (1:1)</v>
      </c>
      <c r="J1128" s="9" t="str">
        <f aca="false">IF(H1128=0,"—",IF(H1128=1,"ὁμώνυμον",IF(H1128=2,"διὰ πασῶν",IF(H1128=3,"διὰ πέντε",IF(H1128=4,"διὰ τεσσάρων","?")))))</f>
        <v>ὁμώνυμον</v>
      </c>
      <c r="K1128" s="10"/>
      <c r="L1128" s="14"/>
      <c r="M1128" s="13"/>
    </row>
    <row r="1129" customFormat="false" ht="15.75" hidden="false" customHeight="true" outlineLevel="0" collapsed="false">
      <c r="A1129" s="8" t="n">
        <f aca="false">A1128+1</f>
        <v>1127</v>
      </c>
      <c r="B1129" s="9" t="n">
        <f aca="false">MOD(4*A1129^2,10)</f>
        <v>6</v>
      </c>
      <c r="C1129" s="9" t="n">
        <f aca="false">(26*B1129-5*B1129^2)/24</f>
        <v>-1</v>
      </c>
      <c r="D1129" s="9" t="n">
        <f aca="false">(A1129^2+4*C1129)/5</f>
        <v>254025</v>
      </c>
      <c r="E1129" s="9" t="n">
        <f aca="false">MOD(D1129,10)</f>
        <v>5</v>
      </c>
      <c r="F1129" s="9" t="n">
        <f aca="false">2*D1129</f>
        <v>508050</v>
      </c>
      <c r="G1129" s="9" t="n">
        <f aca="false">MOD(F1129,10)</f>
        <v>0</v>
      </c>
      <c r="H1129" s="9" t="n">
        <f aca="false">G1129/2</f>
        <v>0</v>
      </c>
      <c r="I1129" s="9" t="str">
        <f aca="false">IF(H1129=0,"—",IF(H1129=1,"unison (1:1)",IF(H1129=2,"octave (2:1)",IF(H1129=3,"fifth (3:2)",IF(H1129=4,"fourth (4:3)","?")))))</f>
        <v>—</v>
      </c>
      <c r="J1129" s="9" t="str">
        <f aca="false">IF(H1129=0,"—",IF(H1129=1,"ὁμώνυμον",IF(H1129=2,"διὰ πασῶν",IF(H1129=3,"διὰ πέντε",IF(H1129=4,"διὰ τεσσάρων","?")))))</f>
        <v>—</v>
      </c>
      <c r="K1129" s="10"/>
      <c r="L1129" s="14"/>
      <c r="M1129" s="13"/>
    </row>
    <row r="1130" customFormat="false" ht="15.75" hidden="false" customHeight="true" outlineLevel="0" collapsed="false">
      <c r="A1130" s="8" t="n">
        <f aca="false">A1129+1</f>
        <v>1128</v>
      </c>
      <c r="B1130" s="9" t="n">
        <f aca="false">MOD(4*A1130^2,10)</f>
        <v>6</v>
      </c>
      <c r="C1130" s="9" t="n">
        <f aca="false">(26*B1130-5*B1130^2)/24</f>
        <v>-1</v>
      </c>
      <c r="D1130" s="9" t="n">
        <f aca="false">(A1130^2+4*C1130)/5</f>
        <v>254476</v>
      </c>
      <c r="E1130" s="9" t="n">
        <f aca="false">MOD(D1130,10)</f>
        <v>6</v>
      </c>
      <c r="F1130" s="9" t="n">
        <f aca="false">2*D1130</f>
        <v>508952</v>
      </c>
      <c r="G1130" s="9" t="n">
        <f aca="false">MOD(F1130,10)</f>
        <v>2</v>
      </c>
      <c r="H1130" s="9" t="n">
        <f aca="false">G1130/2</f>
        <v>1</v>
      </c>
      <c r="I1130" s="9" t="str">
        <f aca="false">IF(H1130=0,"—",IF(H1130=1,"unison (1:1)",IF(H1130=2,"octave (2:1)",IF(H1130=3,"fifth (3:2)",IF(H1130=4,"fourth (4:3)","?")))))</f>
        <v>unison (1:1)</v>
      </c>
      <c r="J1130" s="9" t="str">
        <f aca="false">IF(H1130=0,"—",IF(H1130=1,"ὁμώνυμον",IF(H1130=2,"διὰ πασῶν",IF(H1130=3,"διὰ πέντε",IF(H1130=4,"διὰ τεσσάρων","?")))))</f>
        <v>ὁμώνυμον</v>
      </c>
      <c r="K1130" s="10"/>
      <c r="L1130" s="14"/>
      <c r="M1130" s="13"/>
    </row>
    <row r="1131" customFormat="false" ht="15.75" hidden="false" customHeight="true" outlineLevel="0" collapsed="false">
      <c r="A1131" s="8" t="n">
        <f aca="false">A1130+1</f>
        <v>1129</v>
      </c>
      <c r="B1131" s="9" t="n">
        <f aca="false">MOD(4*A1131^2,10)</f>
        <v>4</v>
      </c>
      <c r="C1131" s="9" t="n">
        <f aca="false">(26*B1131-5*B1131^2)/24</f>
        <v>1</v>
      </c>
      <c r="D1131" s="9" t="n">
        <f aca="false">(A1131^2+4*C1131)/5</f>
        <v>254929</v>
      </c>
      <c r="E1131" s="9" t="n">
        <f aca="false">MOD(D1131,10)</f>
        <v>9</v>
      </c>
      <c r="F1131" s="9" t="n">
        <f aca="false">2*D1131</f>
        <v>509858</v>
      </c>
      <c r="G1131" s="9" t="n">
        <f aca="false">MOD(F1131,10)</f>
        <v>8</v>
      </c>
      <c r="H1131" s="9" t="n">
        <f aca="false">G1131/2</f>
        <v>4</v>
      </c>
      <c r="I1131" s="9" t="str">
        <f aca="false">IF(H1131=0,"—",IF(H1131=1,"unison (1:1)",IF(H1131=2,"octave (2:1)",IF(H1131=3,"fifth (3:2)",IF(H1131=4,"fourth (4:3)","?")))))</f>
        <v>fourth (4:3)</v>
      </c>
      <c r="J1131" s="9" t="str">
        <f aca="false">IF(H1131=0,"—",IF(H1131=1,"ὁμώνυμον",IF(H1131=2,"διὰ πασῶν",IF(H1131=3,"διὰ πέντε",IF(H1131=4,"διὰ τεσσάρων","?")))))</f>
        <v>διὰ τεσσάρων</v>
      </c>
      <c r="K1131" s="10"/>
      <c r="L1131" s="14"/>
      <c r="M1131" s="13"/>
    </row>
    <row r="1132" customFormat="false" ht="15.75" hidden="false" customHeight="true" outlineLevel="0" collapsed="false">
      <c r="A1132" s="8" t="n">
        <f aca="false">A1131+1</f>
        <v>1130</v>
      </c>
      <c r="B1132" s="9" t="n">
        <f aca="false">MOD(4*A1132^2,10)</f>
        <v>0</v>
      </c>
      <c r="C1132" s="9" t="n">
        <f aca="false">(26*B1132-5*B1132^2)/24</f>
        <v>0</v>
      </c>
      <c r="D1132" s="9" t="n">
        <f aca="false">(A1132^2+4*C1132)/5</f>
        <v>255380</v>
      </c>
      <c r="E1132" s="9" t="n">
        <f aca="false">MOD(D1132,10)</f>
        <v>0</v>
      </c>
      <c r="F1132" s="9" t="n">
        <f aca="false">2*D1132</f>
        <v>510760</v>
      </c>
      <c r="G1132" s="9" t="n">
        <f aca="false">MOD(F1132,10)</f>
        <v>0</v>
      </c>
      <c r="H1132" s="9" t="n">
        <f aca="false">G1132/2</f>
        <v>0</v>
      </c>
      <c r="I1132" s="9" t="str">
        <f aca="false">IF(H1132=0,"—",IF(H1132=1,"unison (1:1)",IF(H1132=2,"octave (2:1)",IF(H1132=3,"fifth (3:2)",IF(H1132=4,"fourth (4:3)","?")))))</f>
        <v>—</v>
      </c>
      <c r="J1132" s="9" t="str">
        <f aca="false">IF(H1132=0,"—",IF(H1132=1,"ὁμώνυμον",IF(H1132=2,"διὰ πασῶν",IF(H1132=3,"διὰ πέντε",IF(H1132=4,"διὰ τεσσάρων","?")))))</f>
        <v>—</v>
      </c>
      <c r="K1132" s="10"/>
      <c r="L1132" s="14"/>
      <c r="M1132" s="13"/>
    </row>
    <row r="1133" customFormat="false" ht="15.75" hidden="false" customHeight="true" outlineLevel="0" collapsed="false">
      <c r="A1133" s="8" t="n">
        <f aca="false">A1132+1</f>
        <v>1131</v>
      </c>
      <c r="B1133" s="9" t="n">
        <f aca="false">MOD(4*A1133^2,10)</f>
        <v>4</v>
      </c>
      <c r="C1133" s="9" t="n">
        <f aca="false">(26*B1133-5*B1133^2)/24</f>
        <v>1</v>
      </c>
      <c r="D1133" s="9" t="n">
        <f aca="false">(A1133^2+4*C1133)/5</f>
        <v>255833</v>
      </c>
      <c r="E1133" s="9" t="n">
        <f aca="false">MOD(D1133,10)</f>
        <v>3</v>
      </c>
      <c r="F1133" s="9" t="n">
        <f aca="false">2*D1133</f>
        <v>511666</v>
      </c>
      <c r="G1133" s="9" t="n">
        <f aca="false">MOD(F1133,10)</f>
        <v>6</v>
      </c>
      <c r="H1133" s="9" t="n">
        <f aca="false">G1133/2</f>
        <v>3</v>
      </c>
      <c r="I1133" s="9" t="str">
        <f aca="false">IF(H1133=0,"—",IF(H1133=1,"unison (1:1)",IF(H1133=2,"octave (2:1)",IF(H1133=3,"fifth (3:2)",IF(H1133=4,"fourth (4:3)","?")))))</f>
        <v>fifth (3:2)</v>
      </c>
      <c r="J1133" s="9" t="str">
        <f aca="false">IF(H1133=0,"—",IF(H1133=1,"ὁμώνυμον",IF(H1133=2,"διὰ πασῶν",IF(H1133=3,"διὰ πέντε",IF(H1133=4,"διὰ τεσσάρων","?")))))</f>
        <v>διὰ πέντε</v>
      </c>
      <c r="K1133" s="10"/>
      <c r="L1133" s="14"/>
      <c r="M1133" s="13"/>
    </row>
    <row r="1134" customFormat="false" ht="15.75" hidden="false" customHeight="true" outlineLevel="0" collapsed="false">
      <c r="A1134" s="8" t="n">
        <f aca="false">A1133+1</f>
        <v>1132</v>
      </c>
      <c r="B1134" s="9" t="n">
        <f aca="false">MOD(4*A1134^2,10)</f>
        <v>6</v>
      </c>
      <c r="C1134" s="9" t="n">
        <f aca="false">(26*B1134-5*B1134^2)/24</f>
        <v>-1</v>
      </c>
      <c r="D1134" s="9" t="n">
        <f aca="false">(A1134^2+4*C1134)/5</f>
        <v>256284</v>
      </c>
      <c r="E1134" s="9" t="n">
        <f aca="false">MOD(D1134,10)</f>
        <v>4</v>
      </c>
      <c r="F1134" s="9" t="n">
        <f aca="false">2*D1134</f>
        <v>512568</v>
      </c>
      <c r="G1134" s="9" t="n">
        <f aca="false">MOD(F1134,10)</f>
        <v>8</v>
      </c>
      <c r="H1134" s="9" t="n">
        <f aca="false">G1134/2</f>
        <v>4</v>
      </c>
      <c r="I1134" s="9" t="str">
        <f aca="false">IF(H1134=0,"—",IF(H1134=1,"unison (1:1)",IF(H1134=2,"octave (2:1)",IF(H1134=3,"fifth (3:2)",IF(H1134=4,"fourth (4:3)","?")))))</f>
        <v>fourth (4:3)</v>
      </c>
      <c r="J1134" s="9" t="str">
        <f aca="false">IF(H1134=0,"—",IF(H1134=1,"ὁμώνυμον",IF(H1134=2,"διὰ πασῶν",IF(H1134=3,"διὰ πέντε",IF(H1134=4,"διὰ τεσσάρων","?")))))</f>
        <v>διὰ τεσσάρων</v>
      </c>
      <c r="K1134" s="10"/>
      <c r="L1134" s="14"/>
      <c r="M1134" s="13"/>
    </row>
    <row r="1135" customFormat="false" ht="15.75" hidden="false" customHeight="true" outlineLevel="0" collapsed="false">
      <c r="A1135" s="8" t="n">
        <f aca="false">A1134+1</f>
        <v>1133</v>
      </c>
      <c r="B1135" s="9" t="n">
        <f aca="false">MOD(4*A1135^2,10)</f>
        <v>6</v>
      </c>
      <c r="C1135" s="9" t="n">
        <f aca="false">(26*B1135-5*B1135^2)/24</f>
        <v>-1</v>
      </c>
      <c r="D1135" s="9" t="n">
        <f aca="false">(A1135^2+4*C1135)/5</f>
        <v>256737</v>
      </c>
      <c r="E1135" s="9" t="n">
        <f aca="false">MOD(D1135,10)</f>
        <v>7</v>
      </c>
      <c r="F1135" s="9" t="n">
        <f aca="false">2*D1135</f>
        <v>513474</v>
      </c>
      <c r="G1135" s="9" t="n">
        <f aca="false">MOD(F1135,10)</f>
        <v>4</v>
      </c>
      <c r="H1135" s="9" t="n">
        <f aca="false">G1135/2</f>
        <v>2</v>
      </c>
      <c r="I1135" s="9" t="str">
        <f aca="false">IF(H1135=0,"—",IF(H1135=1,"unison (1:1)",IF(H1135=2,"octave (2:1)",IF(H1135=3,"fifth (3:2)",IF(H1135=4,"fourth (4:3)","?")))))</f>
        <v>octave (2:1)</v>
      </c>
      <c r="J1135" s="9" t="str">
        <f aca="false">IF(H1135=0,"—",IF(H1135=1,"ὁμώνυμον",IF(H1135=2,"διὰ πασῶν",IF(H1135=3,"διὰ πέντε",IF(H1135=4,"διὰ τεσσάρων","?")))))</f>
        <v>διὰ πασῶν</v>
      </c>
      <c r="K1135" s="10"/>
      <c r="L1135" s="14"/>
      <c r="M1135" s="13"/>
    </row>
    <row r="1136" customFormat="false" ht="15.75" hidden="false" customHeight="true" outlineLevel="0" collapsed="false">
      <c r="A1136" s="8" t="n">
        <f aca="false">A1135+1</f>
        <v>1134</v>
      </c>
      <c r="B1136" s="9" t="n">
        <f aca="false">MOD(4*A1136^2,10)</f>
        <v>4</v>
      </c>
      <c r="C1136" s="9" t="n">
        <f aca="false">(26*B1136-5*B1136^2)/24</f>
        <v>1</v>
      </c>
      <c r="D1136" s="9" t="n">
        <f aca="false">(A1136^2+4*C1136)/5</f>
        <v>257192</v>
      </c>
      <c r="E1136" s="9" t="n">
        <f aca="false">MOD(D1136,10)</f>
        <v>2</v>
      </c>
      <c r="F1136" s="9" t="n">
        <f aca="false">2*D1136</f>
        <v>514384</v>
      </c>
      <c r="G1136" s="9" t="n">
        <f aca="false">MOD(F1136,10)</f>
        <v>4</v>
      </c>
      <c r="H1136" s="9" t="n">
        <f aca="false">G1136/2</f>
        <v>2</v>
      </c>
      <c r="I1136" s="9" t="str">
        <f aca="false">IF(H1136=0,"—",IF(H1136=1,"unison (1:1)",IF(H1136=2,"octave (2:1)",IF(H1136=3,"fifth (3:2)",IF(H1136=4,"fourth (4:3)","?")))))</f>
        <v>octave (2:1)</v>
      </c>
      <c r="J1136" s="9" t="str">
        <f aca="false">IF(H1136=0,"—",IF(H1136=1,"ὁμώνυμον",IF(H1136=2,"διὰ πασῶν",IF(H1136=3,"διὰ πέντε",IF(H1136=4,"διὰ τεσσάρων","?")))))</f>
        <v>διὰ πασῶν</v>
      </c>
      <c r="K1136" s="10"/>
      <c r="L1136" s="14"/>
      <c r="M1136" s="13"/>
    </row>
    <row r="1137" customFormat="false" ht="15.75" hidden="false" customHeight="true" outlineLevel="0" collapsed="false">
      <c r="A1137" s="8" t="n">
        <f aca="false">A1136+1</f>
        <v>1135</v>
      </c>
      <c r="B1137" s="9" t="n">
        <f aca="false">MOD(4*A1137^2,10)</f>
        <v>0</v>
      </c>
      <c r="C1137" s="9" t="n">
        <f aca="false">(26*B1137-5*B1137^2)/24</f>
        <v>0</v>
      </c>
      <c r="D1137" s="9" t="n">
        <f aca="false">(A1137^2+4*C1137)/5</f>
        <v>257645</v>
      </c>
      <c r="E1137" s="9" t="n">
        <f aca="false">MOD(D1137,10)</f>
        <v>5</v>
      </c>
      <c r="F1137" s="9" t="n">
        <f aca="false">2*D1137</f>
        <v>515290</v>
      </c>
      <c r="G1137" s="9" t="n">
        <f aca="false">MOD(F1137,10)</f>
        <v>0</v>
      </c>
      <c r="H1137" s="9" t="n">
        <f aca="false">G1137/2</f>
        <v>0</v>
      </c>
      <c r="I1137" s="9" t="str">
        <f aca="false">IF(H1137=0,"—",IF(H1137=1,"unison (1:1)",IF(H1137=2,"octave (2:1)",IF(H1137=3,"fifth (3:2)",IF(H1137=4,"fourth (4:3)","?")))))</f>
        <v>—</v>
      </c>
      <c r="J1137" s="9" t="str">
        <f aca="false">IF(H1137=0,"—",IF(H1137=1,"ὁμώνυμον",IF(H1137=2,"διὰ πασῶν",IF(H1137=3,"διὰ πέντε",IF(H1137=4,"διὰ τεσσάρων","?")))))</f>
        <v>—</v>
      </c>
      <c r="K1137" s="10"/>
      <c r="L1137" s="14"/>
      <c r="M1137" s="13"/>
    </row>
    <row r="1138" customFormat="false" ht="15.75" hidden="false" customHeight="true" outlineLevel="0" collapsed="false">
      <c r="A1138" s="8" t="n">
        <f aca="false">A1137+1</f>
        <v>1136</v>
      </c>
      <c r="B1138" s="9" t="n">
        <f aca="false">MOD(4*A1138^2,10)</f>
        <v>4</v>
      </c>
      <c r="C1138" s="9" t="n">
        <f aca="false">(26*B1138-5*B1138^2)/24</f>
        <v>1</v>
      </c>
      <c r="D1138" s="9" t="n">
        <f aca="false">(A1138^2+4*C1138)/5</f>
        <v>258100</v>
      </c>
      <c r="E1138" s="9" t="n">
        <f aca="false">MOD(D1138,10)</f>
        <v>0</v>
      </c>
      <c r="F1138" s="9" t="n">
        <f aca="false">2*D1138</f>
        <v>516200</v>
      </c>
      <c r="G1138" s="9" t="n">
        <f aca="false">MOD(F1138,10)</f>
        <v>0</v>
      </c>
      <c r="H1138" s="9" t="n">
        <f aca="false">G1138/2</f>
        <v>0</v>
      </c>
      <c r="I1138" s="9" t="str">
        <f aca="false">IF(H1138=0,"—",IF(H1138=1,"unison (1:1)",IF(H1138=2,"octave (2:1)",IF(H1138=3,"fifth (3:2)",IF(H1138=4,"fourth (4:3)","?")))))</f>
        <v>—</v>
      </c>
      <c r="J1138" s="9" t="str">
        <f aca="false">IF(H1138=0,"—",IF(H1138=1,"ὁμώνυμον",IF(H1138=2,"διὰ πασῶν",IF(H1138=3,"διὰ πέντε",IF(H1138=4,"διὰ τεσσάρων","?")))))</f>
        <v>—</v>
      </c>
      <c r="K1138" s="10"/>
      <c r="L1138" s="14"/>
      <c r="M1138" s="13"/>
    </row>
    <row r="1139" customFormat="false" ht="15.75" hidden="false" customHeight="true" outlineLevel="0" collapsed="false">
      <c r="A1139" s="8" t="n">
        <f aca="false">A1138+1</f>
        <v>1137</v>
      </c>
      <c r="B1139" s="9" t="n">
        <f aca="false">MOD(4*A1139^2,10)</f>
        <v>6</v>
      </c>
      <c r="C1139" s="9" t="n">
        <f aca="false">(26*B1139-5*B1139^2)/24</f>
        <v>-1</v>
      </c>
      <c r="D1139" s="9" t="n">
        <f aca="false">(A1139^2+4*C1139)/5</f>
        <v>258553</v>
      </c>
      <c r="E1139" s="9" t="n">
        <f aca="false">MOD(D1139,10)</f>
        <v>3</v>
      </c>
      <c r="F1139" s="9" t="n">
        <f aca="false">2*D1139</f>
        <v>517106</v>
      </c>
      <c r="G1139" s="9" t="n">
        <f aca="false">MOD(F1139,10)</f>
        <v>6</v>
      </c>
      <c r="H1139" s="9" t="n">
        <f aca="false">G1139/2</f>
        <v>3</v>
      </c>
      <c r="I1139" s="9" t="str">
        <f aca="false">IF(H1139=0,"—",IF(H1139=1,"unison (1:1)",IF(H1139=2,"octave (2:1)",IF(H1139=3,"fifth (3:2)",IF(H1139=4,"fourth (4:3)","?")))))</f>
        <v>fifth (3:2)</v>
      </c>
      <c r="J1139" s="9" t="str">
        <f aca="false">IF(H1139=0,"—",IF(H1139=1,"ὁμώνυμον",IF(H1139=2,"διὰ πασῶν",IF(H1139=3,"διὰ πέντε",IF(H1139=4,"διὰ τεσσάρων","?")))))</f>
        <v>διὰ πέντε</v>
      </c>
      <c r="K1139" s="10"/>
      <c r="L1139" s="14"/>
      <c r="M1139" s="13"/>
    </row>
    <row r="1140" customFormat="false" ht="15.75" hidden="false" customHeight="true" outlineLevel="0" collapsed="false">
      <c r="A1140" s="8" t="n">
        <f aca="false">A1139+1</f>
        <v>1138</v>
      </c>
      <c r="B1140" s="9" t="n">
        <f aca="false">MOD(4*A1140^2,10)</f>
        <v>6</v>
      </c>
      <c r="C1140" s="9" t="n">
        <f aca="false">(26*B1140-5*B1140^2)/24</f>
        <v>-1</v>
      </c>
      <c r="D1140" s="9" t="n">
        <f aca="false">(A1140^2+4*C1140)/5</f>
        <v>259008</v>
      </c>
      <c r="E1140" s="9" t="n">
        <f aca="false">MOD(D1140,10)</f>
        <v>8</v>
      </c>
      <c r="F1140" s="9" t="n">
        <f aca="false">2*D1140</f>
        <v>518016</v>
      </c>
      <c r="G1140" s="9" t="n">
        <f aca="false">MOD(F1140,10)</f>
        <v>6</v>
      </c>
      <c r="H1140" s="9" t="n">
        <f aca="false">G1140/2</f>
        <v>3</v>
      </c>
      <c r="I1140" s="9" t="str">
        <f aca="false">IF(H1140=0,"—",IF(H1140=1,"unison (1:1)",IF(H1140=2,"octave (2:1)",IF(H1140=3,"fifth (3:2)",IF(H1140=4,"fourth (4:3)","?")))))</f>
        <v>fifth (3:2)</v>
      </c>
      <c r="J1140" s="9" t="str">
        <f aca="false">IF(H1140=0,"—",IF(H1140=1,"ὁμώνυμον",IF(H1140=2,"διὰ πασῶν",IF(H1140=3,"διὰ πέντε",IF(H1140=4,"διὰ τεσσάρων","?")))))</f>
        <v>διὰ πέντε</v>
      </c>
      <c r="K1140" s="10"/>
      <c r="L1140" s="14"/>
      <c r="M1140" s="13"/>
    </row>
    <row r="1141" customFormat="false" ht="15.75" hidden="false" customHeight="true" outlineLevel="0" collapsed="false">
      <c r="A1141" s="8" t="n">
        <f aca="false">A1140+1</f>
        <v>1139</v>
      </c>
      <c r="B1141" s="9" t="n">
        <f aca="false">MOD(4*A1141^2,10)</f>
        <v>4</v>
      </c>
      <c r="C1141" s="9" t="n">
        <f aca="false">(26*B1141-5*B1141^2)/24</f>
        <v>1</v>
      </c>
      <c r="D1141" s="9" t="n">
        <f aca="false">(A1141^2+4*C1141)/5</f>
        <v>259465</v>
      </c>
      <c r="E1141" s="9" t="n">
        <f aca="false">MOD(D1141,10)</f>
        <v>5</v>
      </c>
      <c r="F1141" s="9" t="n">
        <f aca="false">2*D1141</f>
        <v>518930</v>
      </c>
      <c r="G1141" s="9" t="n">
        <f aca="false">MOD(F1141,10)</f>
        <v>0</v>
      </c>
      <c r="H1141" s="9" t="n">
        <f aca="false">G1141/2</f>
        <v>0</v>
      </c>
      <c r="I1141" s="9" t="str">
        <f aca="false">IF(H1141=0,"—",IF(H1141=1,"unison (1:1)",IF(H1141=2,"octave (2:1)",IF(H1141=3,"fifth (3:2)",IF(H1141=4,"fourth (4:3)","?")))))</f>
        <v>—</v>
      </c>
      <c r="J1141" s="9" t="str">
        <f aca="false">IF(H1141=0,"—",IF(H1141=1,"ὁμώνυμον",IF(H1141=2,"διὰ πασῶν",IF(H1141=3,"διὰ πέντε",IF(H1141=4,"διὰ τεσσάρων","?")))))</f>
        <v>—</v>
      </c>
      <c r="K1141" s="10"/>
      <c r="L1141" s="14"/>
      <c r="M1141" s="13"/>
    </row>
    <row r="1142" customFormat="false" ht="15.75" hidden="false" customHeight="true" outlineLevel="0" collapsed="false">
      <c r="A1142" s="8" t="n">
        <f aca="false">A1141+1</f>
        <v>1140</v>
      </c>
      <c r="B1142" s="9" t="n">
        <f aca="false">MOD(4*A1142^2,10)</f>
        <v>0</v>
      </c>
      <c r="C1142" s="9" t="n">
        <f aca="false">(26*B1142-5*B1142^2)/24</f>
        <v>0</v>
      </c>
      <c r="D1142" s="9" t="n">
        <f aca="false">(A1142^2+4*C1142)/5</f>
        <v>259920</v>
      </c>
      <c r="E1142" s="9" t="n">
        <f aca="false">MOD(D1142,10)</f>
        <v>0</v>
      </c>
      <c r="F1142" s="9" t="n">
        <f aca="false">2*D1142</f>
        <v>519840</v>
      </c>
      <c r="G1142" s="9" t="n">
        <f aca="false">MOD(F1142,10)</f>
        <v>0</v>
      </c>
      <c r="H1142" s="9" t="n">
        <f aca="false">G1142/2</f>
        <v>0</v>
      </c>
      <c r="I1142" s="9" t="str">
        <f aca="false">IF(H1142=0,"—",IF(H1142=1,"unison (1:1)",IF(H1142=2,"octave (2:1)",IF(H1142=3,"fifth (3:2)",IF(H1142=4,"fourth (4:3)","?")))))</f>
        <v>—</v>
      </c>
      <c r="J1142" s="9" t="str">
        <f aca="false">IF(H1142=0,"—",IF(H1142=1,"ὁμώνυμον",IF(H1142=2,"διὰ πασῶν",IF(H1142=3,"διὰ πέντε",IF(H1142=4,"διὰ τεσσάρων","?")))))</f>
        <v>—</v>
      </c>
      <c r="K1142" s="10"/>
      <c r="L1142" s="14"/>
      <c r="M1142" s="13"/>
    </row>
    <row r="1143" customFormat="false" ht="15.75" hidden="false" customHeight="true" outlineLevel="0" collapsed="false">
      <c r="A1143" s="8" t="n">
        <f aca="false">A1142+1</f>
        <v>1141</v>
      </c>
      <c r="B1143" s="9" t="n">
        <f aca="false">MOD(4*A1143^2,10)</f>
        <v>4</v>
      </c>
      <c r="C1143" s="9" t="n">
        <f aca="false">(26*B1143-5*B1143^2)/24</f>
        <v>1</v>
      </c>
      <c r="D1143" s="9" t="n">
        <f aca="false">(A1143^2+4*C1143)/5</f>
        <v>260377</v>
      </c>
      <c r="E1143" s="9" t="n">
        <f aca="false">MOD(D1143,10)</f>
        <v>7</v>
      </c>
      <c r="F1143" s="9" t="n">
        <f aca="false">2*D1143</f>
        <v>520754</v>
      </c>
      <c r="G1143" s="9" t="n">
        <f aca="false">MOD(F1143,10)</f>
        <v>4</v>
      </c>
      <c r="H1143" s="9" t="n">
        <f aca="false">G1143/2</f>
        <v>2</v>
      </c>
      <c r="I1143" s="9" t="str">
        <f aca="false">IF(H1143=0,"—",IF(H1143=1,"unison (1:1)",IF(H1143=2,"octave (2:1)",IF(H1143=3,"fifth (3:2)",IF(H1143=4,"fourth (4:3)","?")))))</f>
        <v>octave (2:1)</v>
      </c>
      <c r="J1143" s="9" t="str">
        <f aca="false">IF(H1143=0,"—",IF(H1143=1,"ὁμώνυμον",IF(H1143=2,"διὰ πασῶν",IF(H1143=3,"διὰ πέντε",IF(H1143=4,"διὰ τεσσάρων","?")))))</f>
        <v>διὰ πασῶν</v>
      </c>
      <c r="K1143" s="10"/>
      <c r="L1143" s="14"/>
      <c r="M1143" s="13"/>
    </row>
    <row r="1144" customFormat="false" ht="15.75" hidden="false" customHeight="true" outlineLevel="0" collapsed="false">
      <c r="A1144" s="8" t="n">
        <f aca="false">A1143+1</f>
        <v>1142</v>
      </c>
      <c r="B1144" s="9" t="n">
        <f aca="false">MOD(4*A1144^2,10)</f>
        <v>6</v>
      </c>
      <c r="C1144" s="9" t="n">
        <f aca="false">(26*B1144-5*B1144^2)/24</f>
        <v>-1</v>
      </c>
      <c r="D1144" s="9" t="n">
        <f aca="false">(A1144^2+4*C1144)/5</f>
        <v>260832</v>
      </c>
      <c r="E1144" s="9" t="n">
        <f aca="false">MOD(D1144,10)</f>
        <v>2</v>
      </c>
      <c r="F1144" s="9" t="n">
        <f aca="false">2*D1144</f>
        <v>521664</v>
      </c>
      <c r="G1144" s="9" t="n">
        <f aca="false">MOD(F1144,10)</f>
        <v>4</v>
      </c>
      <c r="H1144" s="9" t="n">
        <f aca="false">G1144/2</f>
        <v>2</v>
      </c>
      <c r="I1144" s="9" t="str">
        <f aca="false">IF(H1144=0,"—",IF(H1144=1,"unison (1:1)",IF(H1144=2,"octave (2:1)",IF(H1144=3,"fifth (3:2)",IF(H1144=4,"fourth (4:3)","?")))))</f>
        <v>octave (2:1)</v>
      </c>
      <c r="J1144" s="9" t="str">
        <f aca="false">IF(H1144=0,"—",IF(H1144=1,"ὁμώνυμον",IF(H1144=2,"διὰ πασῶν",IF(H1144=3,"διὰ πέντε",IF(H1144=4,"διὰ τεσσάρων","?")))))</f>
        <v>διὰ πασῶν</v>
      </c>
      <c r="K1144" s="10"/>
      <c r="L1144" s="14"/>
      <c r="M1144" s="13"/>
    </row>
    <row r="1145" customFormat="false" ht="15.75" hidden="false" customHeight="true" outlineLevel="0" collapsed="false">
      <c r="A1145" s="8" t="n">
        <f aca="false">A1144+1</f>
        <v>1143</v>
      </c>
      <c r="B1145" s="9" t="n">
        <f aca="false">MOD(4*A1145^2,10)</f>
        <v>6</v>
      </c>
      <c r="C1145" s="9" t="n">
        <f aca="false">(26*B1145-5*B1145^2)/24</f>
        <v>-1</v>
      </c>
      <c r="D1145" s="9" t="n">
        <f aca="false">(A1145^2+4*C1145)/5</f>
        <v>261289</v>
      </c>
      <c r="E1145" s="9" t="n">
        <f aca="false">MOD(D1145,10)</f>
        <v>9</v>
      </c>
      <c r="F1145" s="9" t="n">
        <f aca="false">2*D1145</f>
        <v>522578</v>
      </c>
      <c r="G1145" s="9" t="n">
        <f aca="false">MOD(F1145,10)</f>
        <v>8</v>
      </c>
      <c r="H1145" s="9" t="n">
        <f aca="false">G1145/2</f>
        <v>4</v>
      </c>
      <c r="I1145" s="9" t="str">
        <f aca="false">IF(H1145=0,"—",IF(H1145=1,"unison (1:1)",IF(H1145=2,"octave (2:1)",IF(H1145=3,"fifth (3:2)",IF(H1145=4,"fourth (4:3)","?")))))</f>
        <v>fourth (4:3)</v>
      </c>
      <c r="J1145" s="9" t="str">
        <f aca="false">IF(H1145=0,"—",IF(H1145=1,"ὁμώνυμον",IF(H1145=2,"διὰ πασῶν",IF(H1145=3,"διὰ πέντε",IF(H1145=4,"διὰ τεσσάρων","?")))))</f>
        <v>διὰ τεσσάρων</v>
      </c>
      <c r="K1145" s="10"/>
      <c r="L1145" s="14"/>
      <c r="M1145" s="13"/>
    </row>
    <row r="1146" customFormat="false" ht="15.75" hidden="false" customHeight="true" outlineLevel="0" collapsed="false">
      <c r="A1146" s="8" t="n">
        <f aca="false">A1145+1</f>
        <v>1144</v>
      </c>
      <c r="B1146" s="9" t="n">
        <f aca="false">MOD(4*A1146^2,10)</f>
        <v>4</v>
      </c>
      <c r="C1146" s="9" t="n">
        <f aca="false">(26*B1146-5*B1146^2)/24</f>
        <v>1</v>
      </c>
      <c r="D1146" s="9" t="n">
        <f aca="false">(A1146^2+4*C1146)/5</f>
        <v>261748</v>
      </c>
      <c r="E1146" s="9" t="n">
        <f aca="false">MOD(D1146,10)</f>
        <v>8</v>
      </c>
      <c r="F1146" s="9" t="n">
        <f aca="false">2*D1146</f>
        <v>523496</v>
      </c>
      <c r="G1146" s="9" t="n">
        <f aca="false">MOD(F1146,10)</f>
        <v>6</v>
      </c>
      <c r="H1146" s="9" t="n">
        <f aca="false">G1146/2</f>
        <v>3</v>
      </c>
      <c r="I1146" s="9" t="str">
        <f aca="false">IF(H1146=0,"—",IF(H1146=1,"unison (1:1)",IF(H1146=2,"octave (2:1)",IF(H1146=3,"fifth (3:2)",IF(H1146=4,"fourth (4:3)","?")))))</f>
        <v>fifth (3:2)</v>
      </c>
      <c r="J1146" s="9" t="str">
        <f aca="false">IF(H1146=0,"—",IF(H1146=1,"ὁμώνυμον",IF(H1146=2,"διὰ πασῶν",IF(H1146=3,"διὰ πέντε",IF(H1146=4,"διὰ τεσσάρων","?")))))</f>
        <v>διὰ πέντε</v>
      </c>
      <c r="K1146" s="10"/>
      <c r="L1146" s="14"/>
      <c r="M1146" s="13"/>
    </row>
    <row r="1147" customFormat="false" ht="15.75" hidden="false" customHeight="true" outlineLevel="0" collapsed="false">
      <c r="A1147" s="8" t="n">
        <f aca="false">A1146+1</f>
        <v>1145</v>
      </c>
      <c r="B1147" s="9" t="n">
        <f aca="false">MOD(4*A1147^2,10)</f>
        <v>0</v>
      </c>
      <c r="C1147" s="9" t="n">
        <f aca="false">(26*B1147-5*B1147^2)/24</f>
        <v>0</v>
      </c>
      <c r="D1147" s="9" t="n">
        <f aca="false">(A1147^2+4*C1147)/5</f>
        <v>262205</v>
      </c>
      <c r="E1147" s="9" t="n">
        <f aca="false">MOD(D1147,10)</f>
        <v>5</v>
      </c>
      <c r="F1147" s="9" t="n">
        <f aca="false">2*D1147</f>
        <v>524410</v>
      </c>
      <c r="G1147" s="9" t="n">
        <f aca="false">MOD(F1147,10)</f>
        <v>0</v>
      </c>
      <c r="H1147" s="9" t="n">
        <f aca="false">G1147/2</f>
        <v>0</v>
      </c>
      <c r="I1147" s="9" t="str">
        <f aca="false">IF(H1147=0,"—",IF(H1147=1,"unison (1:1)",IF(H1147=2,"octave (2:1)",IF(H1147=3,"fifth (3:2)",IF(H1147=4,"fourth (4:3)","?")))))</f>
        <v>—</v>
      </c>
      <c r="J1147" s="9" t="str">
        <f aca="false">IF(H1147=0,"—",IF(H1147=1,"ὁμώνυμον",IF(H1147=2,"διὰ πασῶν",IF(H1147=3,"διὰ πέντε",IF(H1147=4,"διὰ τεσσάρων","?")))))</f>
        <v>—</v>
      </c>
      <c r="K1147" s="10"/>
      <c r="L1147" s="14"/>
      <c r="M1147" s="13"/>
    </row>
    <row r="1148" customFormat="false" ht="15.75" hidden="false" customHeight="true" outlineLevel="0" collapsed="false">
      <c r="A1148" s="8" t="n">
        <f aca="false">A1147+1</f>
        <v>1146</v>
      </c>
      <c r="B1148" s="9" t="n">
        <f aca="false">MOD(4*A1148^2,10)</f>
        <v>4</v>
      </c>
      <c r="C1148" s="9" t="n">
        <f aca="false">(26*B1148-5*B1148^2)/24</f>
        <v>1</v>
      </c>
      <c r="D1148" s="9" t="n">
        <f aca="false">(A1148^2+4*C1148)/5</f>
        <v>262664</v>
      </c>
      <c r="E1148" s="9" t="n">
        <f aca="false">MOD(D1148,10)</f>
        <v>4</v>
      </c>
      <c r="F1148" s="9" t="n">
        <f aca="false">2*D1148</f>
        <v>525328</v>
      </c>
      <c r="G1148" s="9" t="n">
        <f aca="false">MOD(F1148,10)</f>
        <v>8</v>
      </c>
      <c r="H1148" s="9" t="n">
        <f aca="false">G1148/2</f>
        <v>4</v>
      </c>
      <c r="I1148" s="9" t="str">
        <f aca="false">IF(H1148=0,"—",IF(H1148=1,"unison (1:1)",IF(H1148=2,"octave (2:1)",IF(H1148=3,"fifth (3:2)",IF(H1148=4,"fourth (4:3)","?")))))</f>
        <v>fourth (4:3)</v>
      </c>
      <c r="J1148" s="9" t="str">
        <f aca="false">IF(H1148=0,"—",IF(H1148=1,"ὁμώνυμον",IF(H1148=2,"διὰ πασῶν",IF(H1148=3,"διὰ πέντε",IF(H1148=4,"διὰ τεσσάρων","?")))))</f>
        <v>διὰ τεσσάρων</v>
      </c>
      <c r="K1148" s="10"/>
      <c r="L1148" s="14"/>
      <c r="M1148" s="13"/>
    </row>
    <row r="1149" customFormat="false" ht="15.75" hidden="false" customHeight="true" outlineLevel="0" collapsed="false">
      <c r="A1149" s="8" t="n">
        <f aca="false">A1148+1</f>
        <v>1147</v>
      </c>
      <c r="B1149" s="9" t="n">
        <f aca="false">MOD(4*A1149^2,10)</f>
        <v>6</v>
      </c>
      <c r="C1149" s="9" t="n">
        <f aca="false">(26*B1149-5*B1149^2)/24</f>
        <v>-1</v>
      </c>
      <c r="D1149" s="9" t="n">
        <f aca="false">(A1149^2+4*C1149)/5</f>
        <v>263121</v>
      </c>
      <c r="E1149" s="9" t="n">
        <f aca="false">MOD(D1149,10)</f>
        <v>1</v>
      </c>
      <c r="F1149" s="9" t="n">
        <f aca="false">2*D1149</f>
        <v>526242</v>
      </c>
      <c r="G1149" s="9" t="n">
        <f aca="false">MOD(F1149,10)</f>
        <v>2</v>
      </c>
      <c r="H1149" s="9" t="n">
        <f aca="false">G1149/2</f>
        <v>1</v>
      </c>
      <c r="I1149" s="9" t="str">
        <f aca="false">IF(H1149=0,"—",IF(H1149=1,"unison (1:1)",IF(H1149=2,"octave (2:1)",IF(H1149=3,"fifth (3:2)",IF(H1149=4,"fourth (4:3)","?")))))</f>
        <v>unison (1:1)</v>
      </c>
      <c r="J1149" s="9" t="str">
        <f aca="false">IF(H1149=0,"—",IF(H1149=1,"ὁμώνυμον",IF(H1149=2,"διὰ πασῶν",IF(H1149=3,"διὰ πέντε",IF(H1149=4,"διὰ τεσσάρων","?")))))</f>
        <v>ὁμώνυμον</v>
      </c>
      <c r="K1149" s="10"/>
      <c r="L1149" s="14"/>
      <c r="M1149" s="13"/>
    </row>
    <row r="1150" customFormat="false" ht="15.75" hidden="false" customHeight="true" outlineLevel="0" collapsed="false">
      <c r="A1150" s="8" t="n">
        <f aca="false">A1149+1</f>
        <v>1148</v>
      </c>
      <c r="B1150" s="9" t="n">
        <f aca="false">MOD(4*A1150^2,10)</f>
        <v>6</v>
      </c>
      <c r="C1150" s="9" t="n">
        <f aca="false">(26*B1150-5*B1150^2)/24</f>
        <v>-1</v>
      </c>
      <c r="D1150" s="9" t="n">
        <f aca="false">(A1150^2+4*C1150)/5</f>
        <v>263580</v>
      </c>
      <c r="E1150" s="9" t="n">
        <f aca="false">MOD(D1150,10)</f>
        <v>0</v>
      </c>
      <c r="F1150" s="9" t="n">
        <f aca="false">2*D1150</f>
        <v>527160</v>
      </c>
      <c r="G1150" s="9" t="n">
        <f aca="false">MOD(F1150,10)</f>
        <v>0</v>
      </c>
      <c r="H1150" s="9" t="n">
        <f aca="false">G1150/2</f>
        <v>0</v>
      </c>
      <c r="I1150" s="9" t="str">
        <f aca="false">IF(H1150=0,"—",IF(H1150=1,"unison (1:1)",IF(H1150=2,"octave (2:1)",IF(H1150=3,"fifth (3:2)",IF(H1150=4,"fourth (4:3)","?")))))</f>
        <v>—</v>
      </c>
      <c r="J1150" s="9" t="str">
        <f aca="false">IF(H1150=0,"—",IF(H1150=1,"ὁμώνυμον",IF(H1150=2,"διὰ πασῶν",IF(H1150=3,"διὰ πέντε",IF(H1150=4,"διὰ τεσσάρων","?")))))</f>
        <v>—</v>
      </c>
      <c r="K1150" s="10"/>
      <c r="L1150" s="14"/>
      <c r="M1150" s="13"/>
    </row>
    <row r="1151" customFormat="false" ht="15.75" hidden="false" customHeight="true" outlineLevel="0" collapsed="false">
      <c r="A1151" s="8" t="n">
        <f aca="false">A1150+1</f>
        <v>1149</v>
      </c>
      <c r="B1151" s="9" t="n">
        <f aca="false">MOD(4*A1151^2,10)</f>
        <v>4</v>
      </c>
      <c r="C1151" s="9" t="n">
        <f aca="false">(26*B1151-5*B1151^2)/24</f>
        <v>1</v>
      </c>
      <c r="D1151" s="9" t="n">
        <f aca="false">(A1151^2+4*C1151)/5</f>
        <v>264041</v>
      </c>
      <c r="E1151" s="9" t="n">
        <f aca="false">MOD(D1151,10)</f>
        <v>1</v>
      </c>
      <c r="F1151" s="9" t="n">
        <f aca="false">2*D1151</f>
        <v>528082</v>
      </c>
      <c r="G1151" s="9" t="n">
        <f aca="false">MOD(F1151,10)</f>
        <v>2</v>
      </c>
      <c r="H1151" s="9" t="n">
        <f aca="false">G1151/2</f>
        <v>1</v>
      </c>
      <c r="I1151" s="9" t="str">
        <f aca="false">IF(H1151=0,"—",IF(H1151=1,"unison (1:1)",IF(H1151=2,"octave (2:1)",IF(H1151=3,"fifth (3:2)",IF(H1151=4,"fourth (4:3)","?")))))</f>
        <v>unison (1:1)</v>
      </c>
      <c r="J1151" s="9" t="str">
        <f aca="false">IF(H1151=0,"—",IF(H1151=1,"ὁμώνυμον",IF(H1151=2,"διὰ πασῶν",IF(H1151=3,"διὰ πέντε",IF(H1151=4,"διὰ τεσσάρων","?")))))</f>
        <v>ὁμώνυμον</v>
      </c>
      <c r="K1151" s="10"/>
      <c r="L1151" s="14"/>
      <c r="M1151" s="13"/>
    </row>
    <row r="1152" customFormat="false" ht="15.75" hidden="false" customHeight="true" outlineLevel="0" collapsed="false">
      <c r="A1152" s="8" t="n">
        <f aca="false">A1151+1</f>
        <v>1150</v>
      </c>
      <c r="B1152" s="9" t="n">
        <f aca="false">MOD(4*A1152^2,10)</f>
        <v>0</v>
      </c>
      <c r="C1152" s="9" t="n">
        <f aca="false">(26*B1152-5*B1152^2)/24</f>
        <v>0</v>
      </c>
      <c r="D1152" s="9" t="n">
        <f aca="false">(A1152^2+4*C1152)/5</f>
        <v>264500</v>
      </c>
      <c r="E1152" s="9" t="n">
        <f aca="false">MOD(D1152,10)</f>
        <v>0</v>
      </c>
      <c r="F1152" s="9" t="n">
        <f aca="false">2*D1152</f>
        <v>529000</v>
      </c>
      <c r="G1152" s="9" t="n">
        <f aca="false">MOD(F1152,10)</f>
        <v>0</v>
      </c>
      <c r="H1152" s="9" t="n">
        <f aca="false">G1152/2</f>
        <v>0</v>
      </c>
      <c r="I1152" s="9" t="str">
        <f aca="false">IF(H1152=0,"—",IF(H1152=1,"unison (1:1)",IF(H1152=2,"octave (2:1)",IF(H1152=3,"fifth (3:2)",IF(H1152=4,"fourth (4:3)","?")))))</f>
        <v>—</v>
      </c>
      <c r="J1152" s="9" t="str">
        <f aca="false">IF(H1152=0,"—",IF(H1152=1,"ὁμώνυμον",IF(H1152=2,"διὰ πασῶν",IF(H1152=3,"διὰ πέντε",IF(H1152=4,"διὰ τεσσάρων","?")))))</f>
        <v>—</v>
      </c>
      <c r="K1152" s="10"/>
      <c r="L1152" s="14"/>
      <c r="M1152" s="13"/>
    </row>
    <row r="1153" customFormat="false" ht="15.75" hidden="false" customHeight="true" outlineLevel="0" collapsed="false">
      <c r="A1153" s="8" t="n">
        <f aca="false">A1152+1</f>
        <v>1151</v>
      </c>
      <c r="B1153" s="9" t="n">
        <f aca="false">MOD(4*A1153^2,10)</f>
        <v>4</v>
      </c>
      <c r="C1153" s="9" t="n">
        <f aca="false">(26*B1153-5*B1153^2)/24</f>
        <v>1</v>
      </c>
      <c r="D1153" s="9" t="n">
        <f aca="false">(A1153^2+4*C1153)/5</f>
        <v>264961</v>
      </c>
      <c r="E1153" s="9" t="n">
        <f aca="false">MOD(D1153,10)</f>
        <v>1</v>
      </c>
      <c r="F1153" s="9" t="n">
        <f aca="false">2*D1153</f>
        <v>529922</v>
      </c>
      <c r="G1153" s="9" t="n">
        <f aca="false">MOD(F1153,10)</f>
        <v>2</v>
      </c>
      <c r="H1153" s="9" t="n">
        <f aca="false">G1153/2</f>
        <v>1</v>
      </c>
      <c r="I1153" s="9" t="str">
        <f aca="false">IF(H1153=0,"—",IF(H1153=1,"unison (1:1)",IF(H1153=2,"octave (2:1)",IF(H1153=3,"fifth (3:2)",IF(H1153=4,"fourth (4:3)","?")))))</f>
        <v>unison (1:1)</v>
      </c>
      <c r="J1153" s="9" t="str">
        <f aca="false">IF(H1153=0,"—",IF(H1153=1,"ὁμώνυμον",IF(H1153=2,"διὰ πασῶν",IF(H1153=3,"διὰ πέντε",IF(H1153=4,"διὰ τεσσάρων","?")))))</f>
        <v>ὁμώνυμον</v>
      </c>
      <c r="K1153" s="10"/>
      <c r="L1153" s="14"/>
      <c r="M1153" s="13"/>
    </row>
    <row r="1154" customFormat="false" ht="15.75" hidden="false" customHeight="true" outlineLevel="0" collapsed="false">
      <c r="A1154" s="8" t="n">
        <f aca="false">A1153+1</f>
        <v>1152</v>
      </c>
      <c r="B1154" s="9" t="n">
        <f aca="false">MOD(4*A1154^2,10)</f>
        <v>6</v>
      </c>
      <c r="C1154" s="9" t="n">
        <f aca="false">(26*B1154-5*B1154^2)/24</f>
        <v>-1</v>
      </c>
      <c r="D1154" s="9" t="n">
        <f aca="false">(A1154^2+4*C1154)/5</f>
        <v>265420</v>
      </c>
      <c r="E1154" s="9" t="n">
        <f aca="false">MOD(D1154,10)</f>
        <v>0</v>
      </c>
      <c r="F1154" s="9" t="n">
        <f aca="false">2*D1154</f>
        <v>530840</v>
      </c>
      <c r="G1154" s="9" t="n">
        <f aca="false">MOD(F1154,10)</f>
        <v>0</v>
      </c>
      <c r="H1154" s="9" t="n">
        <f aca="false">G1154/2</f>
        <v>0</v>
      </c>
      <c r="I1154" s="9" t="str">
        <f aca="false">IF(H1154=0,"—",IF(H1154=1,"unison (1:1)",IF(H1154=2,"octave (2:1)",IF(H1154=3,"fifth (3:2)",IF(H1154=4,"fourth (4:3)","?")))))</f>
        <v>—</v>
      </c>
      <c r="J1154" s="9" t="str">
        <f aca="false">IF(H1154=0,"—",IF(H1154=1,"ὁμώνυμον",IF(H1154=2,"διὰ πασῶν",IF(H1154=3,"διὰ πέντε",IF(H1154=4,"διὰ τεσσάρων","?")))))</f>
        <v>—</v>
      </c>
      <c r="K1154" s="10"/>
      <c r="L1154" s="14"/>
      <c r="M1154" s="13"/>
    </row>
    <row r="1155" customFormat="false" ht="15.75" hidden="false" customHeight="true" outlineLevel="0" collapsed="false">
      <c r="A1155" s="8" t="n">
        <f aca="false">A1154+1</f>
        <v>1153</v>
      </c>
      <c r="B1155" s="9" t="n">
        <f aca="false">MOD(4*A1155^2,10)</f>
        <v>6</v>
      </c>
      <c r="C1155" s="9" t="n">
        <f aca="false">(26*B1155-5*B1155^2)/24</f>
        <v>-1</v>
      </c>
      <c r="D1155" s="9" t="n">
        <f aca="false">(A1155^2+4*C1155)/5</f>
        <v>265881</v>
      </c>
      <c r="E1155" s="9" t="n">
        <f aca="false">MOD(D1155,10)</f>
        <v>1</v>
      </c>
      <c r="F1155" s="9" t="n">
        <f aca="false">2*D1155</f>
        <v>531762</v>
      </c>
      <c r="G1155" s="9" t="n">
        <f aca="false">MOD(F1155,10)</f>
        <v>2</v>
      </c>
      <c r="H1155" s="9" t="n">
        <f aca="false">G1155/2</f>
        <v>1</v>
      </c>
      <c r="I1155" s="9" t="str">
        <f aca="false">IF(H1155=0,"—",IF(H1155=1,"unison (1:1)",IF(H1155=2,"octave (2:1)",IF(H1155=3,"fifth (3:2)",IF(H1155=4,"fourth (4:3)","?")))))</f>
        <v>unison (1:1)</v>
      </c>
      <c r="J1155" s="9" t="str">
        <f aca="false">IF(H1155=0,"—",IF(H1155=1,"ὁμώνυμον",IF(H1155=2,"διὰ πασῶν",IF(H1155=3,"διὰ πέντε",IF(H1155=4,"διὰ τεσσάρων","?")))))</f>
        <v>ὁμώνυμον</v>
      </c>
      <c r="K1155" s="10"/>
      <c r="L1155" s="14"/>
      <c r="M1155" s="13"/>
    </row>
    <row r="1156" customFormat="false" ht="15.75" hidden="false" customHeight="true" outlineLevel="0" collapsed="false">
      <c r="A1156" s="8" t="n">
        <f aca="false">A1155+1</f>
        <v>1154</v>
      </c>
      <c r="B1156" s="9" t="n">
        <f aca="false">MOD(4*A1156^2,10)</f>
        <v>4</v>
      </c>
      <c r="C1156" s="9" t="n">
        <f aca="false">(26*B1156-5*B1156^2)/24</f>
        <v>1</v>
      </c>
      <c r="D1156" s="9" t="n">
        <f aca="false">(A1156^2+4*C1156)/5</f>
        <v>266344</v>
      </c>
      <c r="E1156" s="9" t="n">
        <f aca="false">MOD(D1156,10)</f>
        <v>4</v>
      </c>
      <c r="F1156" s="9" t="n">
        <f aca="false">2*D1156</f>
        <v>532688</v>
      </c>
      <c r="G1156" s="9" t="n">
        <f aca="false">MOD(F1156,10)</f>
        <v>8</v>
      </c>
      <c r="H1156" s="9" t="n">
        <f aca="false">G1156/2</f>
        <v>4</v>
      </c>
      <c r="I1156" s="9" t="str">
        <f aca="false">IF(H1156=0,"—",IF(H1156=1,"unison (1:1)",IF(H1156=2,"octave (2:1)",IF(H1156=3,"fifth (3:2)",IF(H1156=4,"fourth (4:3)","?")))))</f>
        <v>fourth (4:3)</v>
      </c>
      <c r="J1156" s="9" t="str">
        <f aca="false">IF(H1156=0,"—",IF(H1156=1,"ὁμώνυμον",IF(H1156=2,"διὰ πασῶν",IF(H1156=3,"διὰ πέντε",IF(H1156=4,"διὰ τεσσάρων","?")))))</f>
        <v>διὰ τεσσάρων</v>
      </c>
      <c r="K1156" s="10"/>
      <c r="L1156" s="14"/>
      <c r="M1156" s="13"/>
    </row>
    <row r="1157" customFormat="false" ht="15.75" hidden="false" customHeight="true" outlineLevel="0" collapsed="false">
      <c r="A1157" s="8" t="n">
        <f aca="false">A1156+1</f>
        <v>1155</v>
      </c>
      <c r="B1157" s="9" t="n">
        <f aca="false">MOD(4*A1157^2,10)</f>
        <v>0</v>
      </c>
      <c r="C1157" s="9" t="n">
        <f aca="false">(26*B1157-5*B1157^2)/24</f>
        <v>0</v>
      </c>
      <c r="D1157" s="9" t="n">
        <f aca="false">(A1157^2+4*C1157)/5</f>
        <v>266805</v>
      </c>
      <c r="E1157" s="9" t="n">
        <f aca="false">MOD(D1157,10)</f>
        <v>5</v>
      </c>
      <c r="F1157" s="9" t="n">
        <f aca="false">2*D1157</f>
        <v>533610</v>
      </c>
      <c r="G1157" s="9" t="n">
        <f aca="false">MOD(F1157,10)</f>
        <v>0</v>
      </c>
      <c r="H1157" s="9" t="n">
        <f aca="false">G1157/2</f>
        <v>0</v>
      </c>
      <c r="I1157" s="9" t="str">
        <f aca="false">IF(H1157=0,"—",IF(H1157=1,"unison (1:1)",IF(H1157=2,"octave (2:1)",IF(H1157=3,"fifth (3:2)",IF(H1157=4,"fourth (4:3)","?")))))</f>
        <v>—</v>
      </c>
      <c r="J1157" s="9" t="str">
        <f aca="false">IF(H1157=0,"—",IF(H1157=1,"ὁμώνυμον",IF(H1157=2,"διὰ πασῶν",IF(H1157=3,"διὰ πέντε",IF(H1157=4,"διὰ τεσσάρων","?")))))</f>
        <v>—</v>
      </c>
      <c r="K1157" s="10"/>
      <c r="L1157" s="14"/>
      <c r="M1157" s="13"/>
    </row>
    <row r="1158" customFormat="false" ht="15.75" hidden="false" customHeight="true" outlineLevel="0" collapsed="false">
      <c r="A1158" s="8" t="n">
        <f aca="false">A1157+1</f>
        <v>1156</v>
      </c>
      <c r="B1158" s="9" t="n">
        <f aca="false">MOD(4*A1158^2,10)</f>
        <v>4</v>
      </c>
      <c r="C1158" s="9" t="n">
        <f aca="false">(26*B1158-5*B1158^2)/24</f>
        <v>1</v>
      </c>
      <c r="D1158" s="9" t="n">
        <f aca="false">(A1158^2+4*C1158)/5</f>
        <v>267268</v>
      </c>
      <c r="E1158" s="9" t="n">
        <f aca="false">MOD(D1158,10)</f>
        <v>8</v>
      </c>
      <c r="F1158" s="9" t="n">
        <f aca="false">2*D1158</f>
        <v>534536</v>
      </c>
      <c r="G1158" s="9" t="n">
        <f aca="false">MOD(F1158,10)</f>
        <v>6</v>
      </c>
      <c r="H1158" s="9" t="n">
        <f aca="false">G1158/2</f>
        <v>3</v>
      </c>
      <c r="I1158" s="9" t="str">
        <f aca="false">IF(H1158=0,"—",IF(H1158=1,"unison (1:1)",IF(H1158=2,"octave (2:1)",IF(H1158=3,"fifth (3:2)",IF(H1158=4,"fourth (4:3)","?")))))</f>
        <v>fifth (3:2)</v>
      </c>
      <c r="J1158" s="9" t="str">
        <f aca="false">IF(H1158=0,"—",IF(H1158=1,"ὁμώνυμον",IF(H1158=2,"διὰ πασῶν",IF(H1158=3,"διὰ πέντε",IF(H1158=4,"διὰ τεσσάρων","?")))))</f>
        <v>διὰ πέντε</v>
      </c>
      <c r="K1158" s="10"/>
      <c r="L1158" s="14"/>
      <c r="M1158" s="13"/>
    </row>
    <row r="1159" customFormat="false" ht="15.75" hidden="false" customHeight="true" outlineLevel="0" collapsed="false">
      <c r="A1159" s="8" t="n">
        <f aca="false">A1158+1</f>
        <v>1157</v>
      </c>
      <c r="B1159" s="9" t="n">
        <f aca="false">MOD(4*A1159^2,10)</f>
        <v>6</v>
      </c>
      <c r="C1159" s="9" t="n">
        <f aca="false">(26*B1159-5*B1159^2)/24</f>
        <v>-1</v>
      </c>
      <c r="D1159" s="9" t="n">
        <f aca="false">(A1159^2+4*C1159)/5</f>
        <v>267729</v>
      </c>
      <c r="E1159" s="9" t="n">
        <f aca="false">MOD(D1159,10)</f>
        <v>9</v>
      </c>
      <c r="F1159" s="9" t="n">
        <f aca="false">2*D1159</f>
        <v>535458</v>
      </c>
      <c r="G1159" s="9" t="n">
        <f aca="false">MOD(F1159,10)</f>
        <v>8</v>
      </c>
      <c r="H1159" s="9" t="n">
        <f aca="false">G1159/2</f>
        <v>4</v>
      </c>
      <c r="I1159" s="9" t="str">
        <f aca="false">IF(H1159=0,"—",IF(H1159=1,"unison (1:1)",IF(H1159=2,"octave (2:1)",IF(H1159=3,"fifth (3:2)",IF(H1159=4,"fourth (4:3)","?")))))</f>
        <v>fourth (4:3)</v>
      </c>
      <c r="J1159" s="9" t="str">
        <f aca="false">IF(H1159=0,"—",IF(H1159=1,"ὁμώνυμον",IF(H1159=2,"διὰ πασῶν",IF(H1159=3,"διὰ πέντε",IF(H1159=4,"διὰ τεσσάρων","?")))))</f>
        <v>διὰ τεσσάρων</v>
      </c>
      <c r="K1159" s="10"/>
      <c r="L1159" s="14"/>
      <c r="M1159" s="13"/>
    </row>
    <row r="1160" customFormat="false" ht="15.75" hidden="false" customHeight="true" outlineLevel="0" collapsed="false">
      <c r="A1160" s="8" t="n">
        <f aca="false">A1159+1</f>
        <v>1158</v>
      </c>
      <c r="B1160" s="9" t="n">
        <f aca="false">MOD(4*A1160^2,10)</f>
        <v>6</v>
      </c>
      <c r="C1160" s="9" t="n">
        <f aca="false">(26*B1160-5*B1160^2)/24</f>
        <v>-1</v>
      </c>
      <c r="D1160" s="9" t="n">
        <f aca="false">(A1160^2+4*C1160)/5</f>
        <v>268192</v>
      </c>
      <c r="E1160" s="9" t="n">
        <f aca="false">MOD(D1160,10)</f>
        <v>2</v>
      </c>
      <c r="F1160" s="9" t="n">
        <f aca="false">2*D1160</f>
        <v>536384</v>
      </c>
      <c r="G1160" s="9" t="n">
        <f aca="false">MOD(F1160,10)</f>
        <v>4</v>
      </c>
      <c r="H1160" s="9" t="n">
        <f aca="false">G1160/2</f>
        <v>2</v>
      </c>
      <c r="I1160" s="9" t="str">
        <f aca="false">IF(H1160=0,"—",IF(H1160=1,"unison (1:1)",IF(H1160=2,"octave (2:1)",IF(H1160=3,"fifth (3:2)",IF(H1160=4,"fourth (4:3)","?")))))</f>
        <v>octave (2:1)</v>
      </c>
      <c r="J1160" s="9" t="str">
        <f aca="false">IF(H1160=0,"—",IF(H1160=1,"ὁμώνυμον",IF(H1160=2,"διὰ πασῶν",IF(H1160=3,"διὰ πέντε",IF(H1160=4,"διὰ τεσσάρων","?")))))</f>
        <v>διὰ πασῶν</v>
      </c>
      <c r="K1160" s="10"/>
      <c r="L1160" s="14"/>
      <c r="M1160" s="13"/>
    </row>
    <row r="1161" customFormat="false" ht="15.75" hidden="false" customHeight="true" outlineLevel="0" collapsed="false">
      <c r="A1161" s="8" t="n">
        <f aca="false">A1160+1</f>
        <v>1159</v>
      </c>
      <c r="B1161" s="9" t="n">
        <f aca="false">MOD(4*A1161^2,10)</f>
        <v>4</v>
      </c>
      <c r="C1161" s="9" t="n">
        <f aca="false">(26*B1161-5*B1161^2)/24</f>
        <v>1</v>
      </c>
      <c r="D1161" s="9" t="n">
        <f aca="false">(A1161^2+4*C1161)/5</f>
        <v>268657</v>
      </c>
      <c r="E1161" s="9" t="n">
        <f aca="false">MOD(D1161,10)</f>
        <v>7</v>
      </c>
      <c r="F1161" s="9" t="n">
        <f aca="false">2*D1161</f>
        <v>537314</v>
      </c>
      <c r="G1161" s="9" t="n">
        <f aca="false">MOD(F1161,10)</f>
        <v>4</v>
      </c>
      <c r="H1161" s="9" t="n">
        <f aca="false">G1161/2</f>
        <v>2</v>
      </c>
      <c r="I1161" s="9" t="str">
        <f aca="false">IF(H1161=0,"—",IF(H1161=1,"unison (1:1)",IF(H1161=2,"octave (2:1)",IF(H1161=3,"fifth (3:2)",IF(H1161=4,"fourth (4:3)","?")))))</f>
        <v>octave (2:1)</v>
      </c>
      <c r="J1161" s="9" t="str">
        <f aca="false">IF(H1161=0,"—",IF(H1161=1,"ὁμώνυμον",IF(H1161=2,"διὰ πασῶν",IF(H1161=3,"διὰ πέντε",IF(H1161=4,"διὰ τεσσάρων","?")))))</f>
        <v>διὰ πασῶν</v>
      </c>
      <c r="K1161" s="10"/>
      <c r="L1161" s="14"/>
      <c r="M1161" s="13"/>
    </row>
    <row r="1162" customFormat="false" ht="15.75" hidden="false" customHeight="true" outlineLevel="0" collapsed="false">
      <c r="A1162" s="8" t="n">
        <f aca="false">A1161+1</f>
        <v>1160</v>
      </c>
      <c r="B1162" s="9" t="n">
        <f aca="false">MOD(4*A1162^2,10)</f>
        <v>0</v>
      </c>
      <c r="C1162" s="9" t="n">
        <f aca="false">(26*B1162-5*B1162^2)/24</f>
        <v>0</v>
      </c>
      <c r="D1162" s="9" t="n">
        <f aca="false">(A1162^2+4*C1162)/5</f>
        <v>269120</v>
      </c>
      <c r="E1162" s="9" t="n">
        <f aca="false">MOD(D1162,10)</f>
        <v>0</v>
      </c>
      <c r="F1162" s="9" t="n">
        <f aca="false">2*D1162</f>
        <v>538240</v>
      </c>
      <c r="G1162" s="9" t="n">
        <f aca="false">MOD(F1162,10)</f>
        <v>0</v>
      </c>
      <c r="H1162" s="9" t="n">
        <f aca="false">G1162/2</f>
        <v>0</v>
      </c>
      <c r="I1162" s="9" t="str">
        <f aca="false">IF(H1162=0,"—",IF(H1162=1,"unison (1:1)",IF(H1162=2,"octave (2:1)",IF(H1162=3,"fifth (3:2)",IF(H1162=4,"fourth (4:3)","?")))))</f>
        <v>—</v>
      </c>
      <c r="J1162" s="9" t="str">
        <f aca="false">IF(H1162=0,"—",IF(H1162=1,"ὁμώνυμον",IF(H1162=2,"διὰ πασῶν",IF(H1162=3,"διὰ πέντε",IF(H1162=4,"διὰ τεσσάρων","?")))))</f>
        <v>—</v>
      </c>
      <c r="K1162" s="10"/>
      <c r="L1162" s="14"/>
      <c r="M1162" s="13"/>
    </row>
    <row r="1163" customFormat="false" ht="15.75" hidden="false" customHeight="true" outlineLevel="0" collapsed="false">
      <c r="A1163" s="8" t="n">
        <f aca="false">A1162+1</f>
        <v>1161</v>
      </c>
      <c r="B1163" s="9" t="n">
        <f aca="false">MOD(4*A1163^2,10)</f>
        <v>4</v>
      </c>
      <c r="C1163" s="9" t="n">
        <f aca="false">(26*B1163-5*B1163^2)/24</f>
        <v>1</v>
      </c>
      <c r="D1163" s="9" t="n">
        <f aca="false">(A1163^2+4*C1163)/5</f>
        <v>269585</v>
      </c>
      <c r="E1163" s="9" t="n">
        <f aca="false">MOD(D1163,10)</f>
        <v>5</v>
      </c>
      <c r="F1163" s="9" t="n">
        <f aca="false">2*D1163</f>
        <v>539170</v>
      </c>
      <c r="G1163" s="9" t="n">
        <f aca="false">MOD(F1163,10)</f>
        <v>0</v>
      </c>
      <c r="H1163" s="9" t="n">
        <f aca="false">G1163/2</f>
        <v>0</v>
      </c>
      <c r="I1163" s="9" t="str">
        <f aca="false">IF(H1163=0,"—",IF(H1163=1,"unison (1:1)",IF(H1163=2,"octave (2:1)",IF(H1163=3,"fifth (3:2)",IF(H1163=4,"fourth (4:3)","?")))))</f>
        <v>—</v>
      </c>
      <c r="J1163" s="9" t="str">
        <f aca="false">IF(H1163=0,"—",IF(H1163=1,"ὁμώνυμον",IF(H1163=2,"διὰ πασῶν",IF(H1163=3,"διὰ πέντε",IF(H1163=4,"διὰ τεσσάρων","?")))))</f>
        <v>—</v>
      </c>
      <c r="K1163" s="10"/>
      <c r="L1163" s="14"/>
      <c r="M1163" s="13"/>
    </row>
    <row r="1164" customFormat="false" ht="15.75" hidden="false" customHeight="true" outlineLevel="0" collapsed="false">
      <c r="A1164" s="8" t="n">
        <f aca="false">A1163+1</f>
        <v>1162</v>
      </c>
      <c r="B1164" s="9" t="n">
        <f aca="false">MOD(4*A1164^2,10)</f>
        <v>6</v>
      </c>
      <c r="C1164" s="9" t="n">
        <f aca="false">(26*B1164-5*B1164^2)/24</f>
        <v>-1</v>
      </c>
      <c r="D1164" s="9" t="n">
        <f aca="false">(A1164^2+4*C1164)/5</f>
        <v>270048</v>
      </c>
      <c r="E1164" s="9" t="n">
        <f aca="false">MOD(D1164,10)</f>
        <v>8</v>
      </c>
      <c r="F1164" s="9" t="n">
        <f aca="false">2*D1164</f>
        <v>540096</v>
      </c>
      <c r="G1164" s="9" t="n">
        <f aca="false">MOD(F1164,10)</f>
        <v>6</v>
      </c>
      <c r="H1164" s="9" t="n">
        <f aca="false">G1164/2</f>
        <v>3</v>
      </c>
      <c r="I1164" s="9" t="str">
        <f aca="false">IF(H1164=0,"—",IF(H1164=1,"unison (1:1)",IF(H1164=2,"octave (2:1)",IF(H1164=3,"fifth (3:2)",IF(H1164=4,"fourth (4:3)","?")))))</f>
        <v>fifth (3:2)</v>
      </c>
      <c r="J1164" s="9" t="str">
        <f aca="false">IF(H1164=0,"—",IF(H1164=1,"ὁμώνυμον",IF(H1164=2,"διὰ πασῶν",IF(H1164=3,"διὰ πέντε",IF(H1164=4,"διὰ τεσσάρων","?")))))</f>
        <v>διὰ πέντε</v>
      </c>
      <c r="K1164" s="10"/>
      <c r="L1164" s="14"/>
      <c r="M1164" s="13"/>
    </row>
    <row r="1165" customFormat="false" ht="15.75" hidden="false" customHeight="true" outlineLevel="0" collapsed="false">
      <c r="A1165" s="8" t="n">
        <f aca="false">A1164+1</f>
        <v>1163</v>
      </c>
      <c r="B1165" s="9" t="n">
        <f aca="false">MOD(4*A1165^2,10)</f>
        <v>6</v>
      </c>
      <c r="C1165" s="9" t="n">
        <f aca="false">(26*B1165-5*B1165^2)/24</f>
        <v>-1</v>
      </c>
      <c r="D1165" s="9" t="n">
        <f aca="false">(A1165^2+4*C1165)/5</f>
        <v>270513</v>
      </c>
      <c r="E1165" s="9" t="n">
        <f aca="false">MOD(D1165,10)</f>
        <v>3</v>
      </c>
      <c r="F1165" s="9" t="n">
        <f aca="false">2*D1165</f>
        <v>541026</v>
      </c>
      <c r="G1165" s="9" t="n">
        <f aca="false">MOD(F1165,10)</f>
        <v>6</v>
      </c>
      <c r="H1165" s="9" t="n">
        <f aca="false">G1165/2</f>
        <v>3</v>
      </c>
      <c r="I1165" s="9" t="str">
        <f aca="false">IF(H1165=0,"—",IF(H1165=1,"unison (1:1)",IF(H1165=2,"octave (2:1)",IF(H1165=3,"fifth (3:2)",IF(H1165=4,"fourth (4:3)","?")))))</f>
        <v>fifth (3:2)</v>
      </c>
      <c r="J1165" s="9" t="str">
        <f aca="false">IF(H1165=0,"—",IF(H1165=1,"ὁμώνυμον",IF(H1165=2,"διὰ πασῶν",IF(H1165=3,"διὰ πέντε",IF(H1165=4,"διὰ τεσσάρων","?")))))</f>
        <v>διὰ πέντε</v>
      </c>
      <c r="K1165" s="10"/>
      <c r="L1165" s="14"/>
      <c r="M1165" s="13"/>
    </row>
    <row r="1166" customFormat="false" ht="15.75" hidden="false" customHeight="true" outlineLevel="0" collapsed="false">
      <c r="A1166" s="8" t="n">
        <f aca="false">A1165+1</f>
        <v>1164</v>
      </c>
      <c r="B1166" s="9" t="n">
        <f aca="false">MOD(4*A1166^2,10)</f>
        <v>4</v>
      </c>
      <c r="C1166" s="9" t="n">
        <f aca="false">(26*B1166-5*B1166^2)/24</f>
        <v>1</v>
      </c>
      <c r="D1166" s="9" t="n">
        <f aca="false">(A1166^2+4*C1166)/5</f>
        <v>270980</v>
      </c>
      <c r="E1166" s="9" t="n">
        <f aca="false">MOD(D1166,10)</f>
        <v>0</v>
      </c>
      <c r="F1166" s="9" t="n">
        <f aca="false">2*D1166</f>
        <v>541960</v>
      </c>
      <c r="G1166" s="9" t="n">
        <f aca="false">MOD(F1166,10)</f>
        <v>0</v>
      </c>
      <c r="H1166" s="9" t="n">
        <f aca="false">G1166/2</f>
        <v>0</v>
      </c>
      <c r="I1166" s="9" t="str">
        <f aca="false">IF(H1166=0,"—",IF(H1166=1,"unison (1:1)",IF(H1166=2,"octave (2:1)",IF(H1166=3,"fifth (3:2)",IF(H1166=4,"fourth (4:3)","?")))))</f>
        <v>—</v>
      </c>
      <c r="J1166" s="9" t="str">
        <f aca="false">IF(H1166=0,"—",IF(H1166=1,"ὁμώνυμον",IF(H1166=2,"διὰ πασῶν",IF(H1166=3,"διὰ πέντε",IF(H1166=4,"διὰ τεσσάρων","?")))))</f>
        <v>—</v>
      </c>
      <c r="K1166" s="10"/>
      <c r="L1166" s="14"/>
      <c r="M1166" s="13"/>
    </row>
    <row r="1167" customFormat="false" ht="15.75" hidden="false" customHeight="true" outlineLevel="0" collapsed="false">
      <c r="A1167" s="8" t="n">
        <f aca="false">A1166+1</f>
        <v>1165</v>
      </c>
      <c r="B1167" s="9" t="n">
        <f aca="false">MOD(4*A1167^2,10)</f>
        <v>0</v>
      </c>
      <c r="C1167" s="9" t="n">
        <f aca="false">(26*B1167-5*B1167^2)/24</f>
        <v>0</v>
      </c>
      <c r="D1167" s="9" t="n">
        <f aca="false">(A1167^2+4*C1167)/5</f>
        <v>271445</v>
      </c>
      <c r="E1167" s="9" t="n">
        <f aca="false">MOD(D1167,10)</f>
        <v>5</v>
      </c>
      <c r="F1167" s="9" t="n">
        <f aca="false">2*D1167</f>
        <v>542890</v>
      </c>
      <c r="G1167" s="9" t="n">
        <f aca="false">MOD(F1167,10)</f>
        <v>0</v>
      </c>
      <c r="H1167" s="9" t="n">
        <f aca="false">G1167/2</f>
        <v>0</v>
      </c>
      <c r="I1167" s="9" t="str">
        <f aca="false">IF(H1167=0,"—",IF(H1167=1,"unison (1:1)",IF(H1167=2,"octave (2:1)",IF(H1167=3,"fifth (3:2)",IF(H1167=4,"fourth (4:3)","?")))))</f>
        <v>—</v>
      </c>
      <c r="J1167" s="9" t="str">
        <f aca="false">IF(H1167=0,"—",IF(H1167=1,"ὁμώνυμον",IF(H1167=2,"διὰ πασῶν",IF(H1167=3,"διὰ πέντε",IF(H1167=4,"διὰ τεσσάρων","?")))))</f>
        <v>—</v>
      </c>
      <c r="K1167" s="10"/>
      <c r="L1167" s="14"/>
      <c r="M1167" s="13"/>
    </row>
    <row r="1168" customFormat="false" ht="15.75" hidden="false" customHeight="true" outlineLevel="0" collapsed="false">
      <c r="A1168" s="8" t="n">
        <f aca="false">A1167+1</f>
        <v>1166</v>
      </c>
      <c r="B1168" s="9" t="n">
        <f aca="false">MOD(4*A1168^2,10)</f>
        <v>4</v>
      </c>
      <c r="C1168" s="9" t="n">
        <f aca="false">(26*B1168-5*B1168^2)/24</f>
        <v>1</v>
      </c>
      <c r="D1168" s="9" t="n">
        <f aca="false">(A1168^2+4*C1168)/5</f>
        <v>271912</v>
      </c>
      <c r="E1168" s="9" t="n">
        <f aca="false">MOD(D1168,10)</f>
        <v>2</v>
      </c>
      <c r="F1168" s="9" t="n">
        <f aca="false">2*D1168</f>
        <v>543824</v>
      </c>
      <c r="G1168" s="9" t="n">
        <f aca="false">MOD(F1168,10)</f>
        <v>4</v>
      </c>
      <c r="H1168" s="9" t="n">
        <f aca="false">G1168/2</f>
        <v>2</v>
      </c>
      <c r="I1168" s="9" t="str">
        <f aca="false">IF(H1168=0,"—",IF(H1168=1,"unison (1:1)",IF(H1168=2,"octave (2:1)",IF(H1168=3,"fifth (3:2)",IF(H1168=4,"fourth (4:3)","?")))))</f>
        <v>octave (2:1)</v>
      </c>
      <c r="J1168" s="9" t="str">
        <f aca="false">IF(H1168=0,"—",IF(H1168=1,"ὁμώνυμον",IF(H1168=2,"διὰ πασῶν",IF(H1168=3,"διὰ πέντε",IF(H1168=4,"διὰ τεσσάρων","?")))))</f>
        <v>διὰ πασῶν</v>
      </c>
      <c r="K1168" s="10"/>
      <c r="L1168" s="14"/>
      <c r="M1168" s="13"/>
    </row>
    <row r="1169" customFormat="false" ht="15.75" hidden="false" customHeight="true" outlineLevel="0" collapsed="false">
      <c r="A1169" s="8" t="n">
        <f aca="false">A1168+1</f>
        <v>1167</v>
      </c>
      <c r="B1169" s="9" t="n">
        <f aca="false">MOD(4*A1169^2,10)</f>
        <v>6</v>
      </c>
      <c r="C1169" s="9" t="n">
        <f aca="false">(26*B1169-5*B1169^2)/24</f>
        <v>-1</v>
      </c>
      <c r="D1169" s="9" t="n">
        <f aca="false">(A1169^2+4*C1169)/5</f>
        <v>272377</v>
      </c>
      <c r="E1169" s="9" t="n">
        <f aca="false">MOD(D1169,10)</f>
        <v>7</v>
      </c>
      <c r="F1169" s="9" t="n">
        <f aca="false">2*D1169</f>
        <v>544754</v>
      </c>
      <c r="G1169" s="9" t="n">
        <f aca="false">MOD(F1169,10)</f>
        <v>4</v>
      </c>
      <c r="H1169" s="9" t="n">
        <f aca="false">G1169/2</f>
        <v>2</v>
      </c>
      <c r="I1169" s="9" t="str">
        <f aca="false">IF(H1169=0,"—",IF(H1169=1,"unison (1:1)",IF(H1169=2,"octave (2:1)",IF(H1169=3,"fifth (3:2)",IF(H1169=4,"fourth (4:3)","?")))))</f>
        <v>octave (2:1)</v>
      </c>
      <c r="J1169" s="9" t="str">
        <f aca="false">IF(H1169=0,"—",IF(H1169=1,"ὁμώνυμον",IF(H1169=2,"διὰ πασῶν",IF(H1169=3,"διὰ πέντε",IF(H1169=4,"διὰ τεσσάρων","?")))))</f>
        <v>διὰ πασῶν</v>
      </c>
      <c r="K1169" s="10"/>
      <c r="L1169" s="14"/>
      <c r="M1169" s="13"/>
    </row>
    <row r="1170" customFormat="false" ht="15.75" hidden="false" customHeight="true" outlineLevel="0" collapsed="false">
      <c r="A1170" s="8" t="n">
        <f aca="false">A1169+1</f>
        <v>1168</v>
      </c>
      <c r="B1170" s="9" t="n">
        <f aca="false">MOD(4*A1170^2,10)</f>
        <v>6</v>
      </c>
      <c r="C1170" s="9" t="n">
        <f aca="false">(26*B1170-5*B1170^2)/24</f>
        <v>-1</v>
      </c>
      <c r="D1170" s="9" t="n">
        <f aca="false">(A1170^2+4*C1170)/5</f>
        <v>272844</v>
      </c>
      <c r="E1170" s="9" t="n">
        <f aca="false">MOD(D1170,10)</f>
        <v>4</v>
      </c>
      <c r="F1170" s="9" t="n">
        <f aca="false">2*D1170</f>
        <v>545688</v>
      </c>
      <c r="G1170" s="9" t="n">
        <f aca="false">MOD(F1170,10)</f>
        <v>8</v>
      </c>
      <c r="H1170" s="9" t="n">
        <f aca="false">G1170/2</f>
        <v>4</v>
      </c>
      <c r="I1170" s="9" t="str">
        <f aca="false">IF(H1170=0,"—",IF(H1170=1,"unison (1:1)",IF(H1170=2,"octave (2:1)",IF(H1170=3,"fifth (3:2)",IF(H1170=4,"fourth (4:3)","?")))))</f>
        <v>fourth (4:3)</v>
      </c>
      <c r="J1170" s="9" t="str">
        <f aca="false">IF(H1170=0,"—",IF(H1170=1,"ὁμώνυμον",IF(H1170=2,"διὰ πασῶν",IF(H1170=3,"διὰ πέντε",IF(H1170=4,"διὰ τεσσάρων","?")))))</f>
        <v>διὰ τεσσάρων</v>
      </c>
      <c r="K1170" s="10"/>
      <c r="L1170" s="14"/>
      <c r="M1170" s="13"/>
    </row>
    <row r="1171" customFormat="false" ht="15.75" hidden="false" customHeight="true" outlineLevel="0" collapsed="false">
      <c r="A1171" s="8" t="n">
        <f aca="false">A1170+1</f>
        <v>1169</v>
      </c>
      <c r="B1171" s="9" t="n">
        <f aca="false">MOD(4*A1171^2,10)</f>
        <v>4</v>
      </c>
      <c r="C1171" s="9" t="n">
        <f aca="false">(26*B1171-5*B1171^2)/24</f>
        <v>1</v>
      </c>
      <c r="D1171" s="9" t="n">
        <f aca="false">(A1171^2+4*C1171)/5</f>
        <v>273313</v>
      </c>
      <c r="E1171" s="9" t="n">
        <f aca="false">MOD(D1171,10)</f>
        <v>3</v>
      </c>
      <c r="F1171" s="9" t="n">
        <f aca="false">2*D1171</f>
        <v>546626</v>
      </c>
      <c r="G1171" s="9" t="n">
        <f aca="false">MOD(F1171,10)</f>
        <v>6</v>
      </c>
      <c r="H1171" s="9" t="n">
        <f aca="false">G1171/2</f>
        <v>3</v>
      </c>
      <c r="I1171" s="9" t="str">
        <f aca="false">IF(H1171=0,"—",IF(H1171=1,"unison (1:1)",IF(H1171=2,"octave (2:1)",IF(H1171=3,"fifth (3:2)",IF(H1171=4,"fourth (4:3)","?")))))</f>
        <v>fifth (3:2)</v>
      </c>
      <c r="J1171" s="9" t="str">
        <f aca="false">IF(H1171=0,"—",IF(H1171=1,"ὁμώνυμον",IF(H1171=2,"διὰ πασῶν",IF(H1171=3,"διὰ πέντε",IF(H1171=4,"διὰ τεσσάρων","?")))))</f>
        <v>διὰ πέντε</v>
      </c>
      <c r="K1171" s="10"/>
      <c r="L1171" s="14"/>
      <c r="M1171" s="13"/>
    </row>
    <row r="1172" customFormat="false" ht="15.75" hidden="false" customHeight="true" outlineLevel="0" collapsed="false">
      <c r="A1172" s="8" t="n">
        <f aca="false">A1171+1</f>
        <v>1170</v>
      </c>
      <c r="B1172" s="9" t="n">
        <f aca="false">MOD(4*A1172^2,10)</f>
        <v>0</v>
      </c>
      <c r="C1172" s="9" t="n">
        <f aca="false">(26*B1172-5*B1172^2)/24</f>
        <v>0</v>
      </c>
      <c r="D1172" s="9" t="n">
        <f aca="false">(A1172^2+4*C1172)/5</f>
        <v>273780</v>
      </c>
      <c r="E1172" s="9" t="n">
        <f aca="false">MOD(D1172,10)</f>
        <v>0</v>
      </c>
      <c r="F1172" s="9" t="n">
        <f aca="false">2*D1172</f>
        <v>547560</v>
      </c>
      <c r="G1172" s="9" t="n">
        <f aca="false">MOD(F1172,10)</f>
        <v>0</v>
      </c>
      <c r="H1172" s="9" t="n">
        <f aca="false">G1172/2</f>
        <v>0</v>
      </c>
      <c r="I1172" s="9" t="str">
        <f aca="false">IF(H1172=0,"—",IF(H1172=1,"unison (1:1)",IF(H1172=2,"octave (2:1)",IF(H1172=3,"fifth (3:2)",IF(H1172=4,"fourth (4:3)","?")))))</f>
        <v>—</v>
      </c>
      <c r="J1172" s="9" t="str">
        <f aca="false">IF(H1172=0,"—",IF(H1172=1,"ὁμώνυμον",IF(H1172=2,"διὰ πασῶν",IF(H1172=3,"διὰ πέντε",IF(H1172=4,"διὰ τεσσάρων","?")))))</f>
        <v>—</v>
      </c>
      <c r="K1172" s="10"/>
      <c r="L1172" s="14"/>
      <c r="M1172" s="13"/>
    </row>
    <row r="1173" customFormat="false" ht="15.75" hidden="false" customHeight="true" outlineLevel="0" collapsed="false">
      <c r="A1173" s="8" t="n">
        <f aca="false">A1172+1</f>
        <v>1171</v>
      </c>
      <c r="B1173" s="9" t="n">
        <f aca="false">MOD(4*A1173^2,10)</f>
        <v>4</v>
      </c>
      <c r="C1173" s="9" t="n">
        <f aca="false">(26*B1173-5*B1173^2)/24</f>
        <v>1</v>
      </c>
      <c r="D1173" s="9" t="n">
        <f aca="false">(A1173^2+4*C1173)/5</f>
        <v>274249</v>
      </c>
      <c r="E1173" s="9" t="n">
        <f aca="false">MOD(D1173,10)</f>
        <v>9</v>
      </c>
      <c r="F1173" s="9" t="n">
        <f aca="false">2*D1173</f>
        <v>548498</v>
      </c>
      <c r="G1173" s="9" t="n">
        <f aca="false">MOD(F1173,10)</f>
        <v>8</v>
      </c>
      <c r="H1173" s="9" t="n">
        <f aca="false">G1173/2</f>
        <v>4</v>
      </c>
      <c r="I1173" s="9" t="str">
        <f aca="false">IF(H1173=0,"—",IF(H1173=1,"unison (1:1)",IF(H1173=2,"octave (2:1)",IF(H1173=3,"fifth (3:2)",IF(H1173=4,"fourth (4:3)","?")))))</f>
        <v>fourth (4:3)</v>
      </c>
      <c r="J1173" s="9" t="str">
        <f aca="false">IF(H1173=0,"—",IF(H1173=1,"ὁμώνυμον",IF(H1173=2,"διὰ πασῶν",IF(H1173=3,"διὰ πέντε",IF(H1173=4,"διὰ τεσσάρων","?")))))</f>
        <v>διὰ τεσσάρων</v>
      </c>
      <c r="K1173" s="10"/>
      <c r="L1173" s="14"/>
      <c r="M1173" s="13"/>
    </row>
    <row r="1174" customFormat="false" ht="15.75" hidden="false" customHeight="true" outlineLevel="0" collapsed="false">
      <c r="A1174" s="8" t="n">
        <f aca="false">A1173+1</f>
        <v>1172</v>
      </c>
      <c r="B1174" s="9" t="n">
        <f aca="false">MOD(4*A1174^2,10)</f>
        <v>6</v>
      </c>
      <c r="C1174" s="9" t="n">
        <f aca="false">(26*B1174-5*B1174^2)/24</f>
        <v>-1</v>
      </c>
      <c r="D1174" s="9" t="n">
        <f aca="false">(A1174^2+4*C1174)/5</f>
        <v>274716</v>
      </c>
      <c r="E1174" s="9" t="n">
        <f aca="false">MOD(D1174,10)</f>
        <v>6</v>
      </c>
      <c r="F1174" s="9" t="n">
        <f aca="false">2*D1174</f>
        <v>549432</v>
      </c>
      <c r="G1174" s="9" t="n">
        <f aca="false">MOD(F1174,10)</f>
        <v>2</v>
      </c>
      <c r="H1174" s="9" t="n">
        <f aca="false">G1174/2</f>
        <v>1</v>
      </c>
      <c r="I1174" s="9" t="str">
        <f aca="false">IF(H1174=0,"—",IF(H1174=1,"unison (1:1)",IF(H1174=2,"octave (2:1)",IF(H1174=3,"fifth (3:2)",IF(H1174=4,"fourth (4:3)","?")))))</f>
        <v>unison (1:1)</v>
      </c>
      <c r="J1174" s="9" t="str">
        <f aca="false">IF(H1174=0,"—",IF(H1174=1,"ὁμώνυμον",IF(H1174=2,"διὰ πασῶν",IF(H1174=3,"διὰ πέντε",IF(H1174=4,"διὰ τεσσάρων","?")))))</f>
        <v>ὁμώνυμον</v>
      </c>
      <c r="K1174" s="10"/>
      <c r="L1174" s="14"/>
      <c r="M1174" s="13"/>
    </row>
    <row r="1175" customFormat="false" ht="15.75" hidden="false" customHeight="true" outlineLevel="0" collapsed="false">
      <c r="A1175" s="8" t="n">
        <f aca="false">A1174+1</f>
        <v>1173</v>
      </c>
      <c r="B1175" s="9" t="n">
        <f aca="false">MOD(4*A1175^2,10)</f>
        <v>6</v>
      </c>
      <c r="C1175" s="9" t="n">
        <f aca="false">(26*B1175-5*B1175^2)/24</f>
        <v>-1</v>
      </c>
      <c r="D1175" s="9" t="n">
        <f aca="false">(A1175^2+4*C1175)/5</f>
        <v>275185</v>
      </c>
      <c r="E1175" s="9" t="n">
        <f aca="false">MOD(D1175,10)</f>
        <v>5</v>
      </c>
      <c r="F1175" s="9" t="n">
        <f aca="false">2*D1175</f>
        <v>550370</v>
      </c>
      <c r="G1175" s="9" t="n">
        <f aca="false">MOD(F1175,10)</f>
        <v>0</v>
      </c>
      <c r="H1175" s="9" t="n">
        <f aca="false">G1175/2</f>
        <v>0</v>
      </c>
      <c r="I1175" s="9" t="str">
        <f aca="false">IF(H1175=0,"—",IF(H1175=1,"unison (1:1)",IF(H1175=2,"octave (2:1)",IF(H1175=3,"fifth (3:2)",IF(H1175=4,"fourth (4:3)","?")))))</f>
        <v>—</v>
      </c>
      <c r="J1175" s="9" t="str">
        <f aca="false">IF(H1175=0,"—",IF(H1175=1,"ὁμώνυμον",IF(H1175=2,"διὰ πασῶν",IF(H1175=3,"διὰ πέντε",IF(H1175=4,"διὰ τεσσάρων","?")))))</f>
        <v>—</v>
      </c>
      <c r="K1175" s="10"/>
      <c r="L1175" s="14"/>
      <c r="M1175" s="13"/>
    </row>
    <row r="1176" customFormat="false" ht="15.75" hidden="false" customHeight="true" outlineLevel="0" collapsed="false">
      <c r="A1176" s="8" t="n">
        <f aca="false">A1175+1</f>
        <v>1174</v>
      </c>
      <c r="B1176" s="9" t="n">
        <f aca="false">MOD(4*A1176^2,10)</f>
        <v>4</v>
      </c>
      <c r="C1176" s="9" t="n">
        <f aca="false">(26*B1176-5*B1176^2)/24</f>
        <v>1</v>
      </c>
      <c r="D1176" s="9" t="n">
        <f aca="false">(A1176^2+4*C1176)/5</f>
        <v>275656</v>
      </c>
      <c r="E1176" s="9" t="n">
        <f aca="false">MOD(D1176,10)</f>
        <v>6</v>
      </c>
      <c r="F1176" s="9" t="n">
        <f aca="false">2*D1176</f>
        <v>551312</v>
      </c>
      <c r="G1176" s="9" t="n">
        <f aca="false">MOD(F1176,10)</f>
        <v>2</v>
      </c>
      <c r="H1176" s="9" t="n">
        <f aca="false">G1176/2</f>
        <v>1</v>
      </c>
      <c r="I1176" s="9" t="str">
        <f aca="false">IF(H1176=0,"—",IF(H1176=1,"unison (1:1)",IF(H1176=2,"octave (2:1)",IF(H1176=3,"fifth (3:2)",IF(H1176=4,"fourth (4:3)","?")))))</f>
        <v>unison (1:1)</v>
      </c>
      <c r="J1176" s="9" t="str">
        <f aca="false">IF(H1176=0,"—",IF(H1176=1,"ὁμώνυμον",IF(H1176=2,"διὰ πασῶν",IF(H1176=3,"διὰ πέντε",IF(H1176=4,"διὰ τεσσάρων","?")))))</f>
        <v>ὁμώνυμον</v>
      </c>
      <c r="K1176" s="10"/>
      <c r="L1176" s="14"/>
      <c r="M1176" s="13"/>
    </row>
    <row r="1177" customFormat="false" ht="15.75" hidden="false" customHeight="true" outlineLevel="0" collapsed="false">
      <c r="A1177" s="8" t="n">
        <f aca="false">A1176+1</f>
        <v>1175</v>
      </c>
      <c r="B1177" s="9" t="n">
        <f aca="false">MOD(4*A1177^2,10)</f>
        <v>0</v>
      </c>
      <c r="C1177" s="9" t="n">
        <f aca="false">(26*B1177-5*B1177^2)/24</f>
        <v>0</v>
      </c>
      <c r="D1177" s="9" t="n">
        <f aca="false">(A1177^2+4*C1177)/5</f>
        <v>276125</v>
      </c>
      <c r="E1177" s="9" t="n">
        <f aca="false">MOD(D1177,10)</f>
        <v>5</v>
      </c>
      <c r="F1177" s="9" t="n">
        <f aca="false">2*D1177</f>
        <v>552250</v>
      </c>
      <c r="G1177" s="9" t="n">
        <f aca="false">MOD(F1177,10)</f>
        <v>0</v>
      </c>
      <c r="H1177" s="9" t="n">
        <f aca="false">G1177/2</f>
        <v>0</v>
      </c>
      <c r="I1177" s="9" t="str">
        <f aca="false">IF(H1177=0,"—",IF(H1177=1,"unison (1:1)",IF(H1177=2,"octave (2:1)",IF(H1177=3,"fifth (3:2)",IF(H1177=4,"fourth (4:3)","?")))))</f>
        <v>—</v>
      </c>
      <c r="J1177" s="9" t="str">
        <f aca="false">IF(H1177=0,"—",IF(H1177=1,"ὁμώνυμον",IF(H1177=2,"διὰ πασῶν",IF(H1177=3,"διὰ πέντε",IF(H1177=4,"διὰ τεσσάρων","?")))))</f>
        <v>—</v>
      </c>
      <c r="K1177" s="10"/>
      <c r="L1177" s="14"/>
      <c r="M1177" s="13"/>
    </row>
    <row r="1178" customFormat="false" ht="15.75" hidden="false" customHeight="true" outlineLevel="0" collapsed="false">
      <c r="A1178" s="8" t="n">
        <f aca="false">A1177+1</f>
        <v>1176</v>
      </c>
      <c r="B1178" s="9" t="n">
        <f aca="false">MOD(4*A1178^2,10)</f>
        <v>4</v>
      </c>
      <c r="C1178" s="9" t="n">
        <f aca="false">(26*B1178-5*B1178^2)/24</f>
        <v>1</v>
      </c>
      <c r="D1178" s="9" t="n">
        <f aca="false">(A1178^2+4*C1178)/5</f>
        <v>276596</v>
      </c>
      <c r="E1178" s="9" t="n">
        <f aca="false">MOD(D1178,10)</f>
        <v>6</v>
      </c>
      <c r="F1178" s="9" t="n">
        <f aca="false">2*D1178</f>
        <v>553192</v>
      </c>
      <c r="G1178" s="9" t="n">
        <f aca="false">MOD(F1178,10)</f>
        <v>2</v>
      </c>
      <c r="H1178" s="9" t="n">
        <f aca="false">G1178/2</f>
        <v>1</v>
      </c>
      <c r="I1178" s="9" t="str">
        <f aca="false">IF(H1178=0,"—",IF(H1178=1,"unison (1:1)",IF(H1178=2,"octave (2:1)",IF(H1178=3,"fifth (3:2)",IF(H1178=4,"fourth (4:3)","?")))))</f>
        <v>unison (1:1)</v>
      </c>
      <c r="J1178" s="9" t="str">
        <f aca="false">IF(H1178=0,"—",IF(H1178=1,"ὁμώνυμον",IF(H1178=2,"διὰ πασῶν",IF(H1178=3,"διὰ πέντε",IF(H1178=4,"διὰ τεσσάρων","?")))))</f>
        <v>ὁμώνυμον</v>
      </c>
      <c r="K1178" s="10"/>
      <c r="L1178" s="14"/>
      <c r="M1178" s="13"/>
    </row>
    <row r="1179" customFormat="false" ht="15.75" hidden="false" customHeight="true" outlineLevel="0" collapsed="false">
      <c r="A1179" s="8" t="n">
        <f aca="false">A1178+1</f>
        <v>1177</v>
      </c>
      <c r="B1179" s="9" t="n">
        <f aca="false">MOD(4*A1179^2,10)</f>
        <v>6</v>
      </c>
      <c r="C1179" s="9" t="n">
        <f aca="false">(26*B1179-5*B1179^2)/24</f>
        <v>-1</v>
      </c>
      <c r="D1179" s="9" t="n">
        <f aca="false">(A1179^2+4*C1179)/5</f>
        <v>277065</v>
      </c>
      <c r="E1179" s="9" t="n">
        <f aca="false">MOD(D1179,10)</f>
        <v>5</v>
      </c>
      <c r="F1179" s="9" t="n">
        <f aca="false">2*D1179</f>
        <v>554130</v>
      </c>
      <c r="G1179" s="9" t="n">
        <f aca="false">MOD(F1179,10)</f>
        <v>0</v>
      </c>
      <c r="H1179" s="9" t="n">
        <f aca="false">G1179/2</f>
        <v>0</v>
      </c>
      <c r="I1179" s="9" t="str">
        <f aca="false">IF(H1179=0,"—",IF(H1179=1,"unison (1:1)",IF(H1179=2,"octave (2:1)",IF(H1179=3,"fifth (3:2)",IF(H1179=4,"fourth (4:3)","?")))))</f>
        <v>—</v>
      </c>
      <c r="J1179" s="9" t="str">
        <f aca="false">IF(H1179=0,"—",IF(H1179=1,"ὁμώνυμον",IF(H1179=2,"διὰ πασῶν",IF(H1179=3,"διὰ πέντε",IF(H1179=4,"διὰ τεσσάρων","?")))))</f>
        <v>—</v>
      </c>
      <c r="K1179" s="10"/>
      <c r="L1179" s="14"/>
      <c r="M1179" s="13"/>
    </row>
    <row r="1180" customFormat="false" ht="15.75" hidden="false" customHeight="true" outlineLevel="0" collapsed="false">
      <c r="A1180" s="8" t="n">
        <f aca="false">A1179+1</f>
        <v>1178</v>
      </c>
      <c r="B1180" s="9" t="n">
        <f aca="false">MOD(4*A1180^2,10)</f>
        <v>6</v>
      </c>
      <c r="C1180" s="9" t="n">
        <f aca="false">(26*B1180-5*B1180^2)/24</f>
        <v>-1</v>
      </c>
      <c r="D1180" s="9" t="n">
        <f aca="false">(A1180^2+4*C1180)/5</f>
        <v>277536</v>
      </c>
      <c r="E1180" s="9" t="n">
        <f aca="false">MOD(D1180,10)</f>
        <v>6</v>
      </c>
      <c r="F1180" s="9" t="n">
        <f aca="false">2*D1180</f>
        <v>555072</v>
      </c>
      <c r="G1180" s="9" t="n">
        <f aca="false">MOD(F1180,10)</f>
        <v>2</v>
      </c>
      <c r="H1180" s="9" t="n">
        <f aca="false">G1180/2</f>
        <v>1</v>
      </c>
      <c r="I1180" s="9" t="str">
        <f aca="false">IF(H1180=0,"—",IF(H1180=1,"unison (1:1)",IF(H1180=2,"octave (2:1)",IF(H1180=3,"fifth (3:2)",IF(H1180=4,"fourth (4:3)","?")))))</f>
        <v>unison (1:1)</v>
      </c>
      <c r="J1180" s="9" t="str">
        <f aca="false">IF(H1180=0,"—",IF(H1180=1,"ὁμώνυμον",IF(H1180=2,"διὰ πασῶν",IF(H1180=3,"διὰ πέντε",IF(H1180=4,"διὰ τεσσάρων","?")))))</f>
        <v>ὁμώνυμον</v>
      </c>
      <c r="K1180" s="10"/>
      <c r="L1180" s="14"/>
      <c r="M1180" s="13"/>
    </row>
    <row r="1181" customFormat="false" ht="15.75" hidden="false" customHeight="true" outlineLevel="0" collapsed="false">
      <c r="A1181" s="8" t="n">
        <f aca="false">A1180+1</f>
        <v>1179</v>
      </c>
      <c r="B1181" s="9" t="n">
        <f aca="false">MOD(4*A1181^2,10)</f>
        <v>4</v>
      </c>
      <c r="C1181" s="9" t="n">
        <f aca="false">(26*B1181-5*B1181^2)/24</f>
        <v>1</v>
      </c>
      <c r="D1181" s="9" t="n">
        <f aca="false">(A1181^2+4*C1181)/5</f>
        <v>278009</v>
      </c>
      <c r="E1181" s="9" t="n">
        <f aca="false">MOD(D1181,10)</f>
        <v>9</v>
      </c>
      <c r="F1181" s="9" t="n">
        <f aca="false">2*D1181</f>
        <v>556018</v>
      </c>
      <c r="G1181" s="9" t="n">
        <f aca="false">MOD(F1181,10)</f>
        <v>8</v>
      </c>
      <c r="H1181" s="9" t="n">
        <f aca="false">G1181/2</f>
        <v>4</v>
      </c>
      <c r="I1181" s="9" t="str">
        <f aca="false">IF(H1181=0,"—",IF(H1181=1,"unison (1:1)",IF(H1181=2,"octave (2:1)",IF(H1181=3,"fifth (3:2)",IF(H1181=4,"fourth (4:3)","?")))))</f>
        <v>fourth (4:3)</v>
      </c>
      <c r="J1181" s="9" t="str">
        <f aca="false">IF(H1181=0,"—",IF(H1181=1,"ὁμώνυμον",IF(H1181=2,"διὰ πασῶν",IF(H1181=3,"διὰ πέντε",IF(H1181=4,"διὰ τεσσάρων","?")))))</f>
        <v>διὰ τεσσάρων</v>
      </c>
      <c r="K1181" s="10"/>
      <c r="L1181" s="14"/>
      <c r="M1181" s="13"/>
    </row>
    <row r="1182" customFormat="false" ht="15.75" hidden="false" customHeight="true" outlineLevel="0" collapsed="false">
      <c r="A1182" s="8" t="n">
        <f aca="false">A1181+1</f>
        <v>1180</v>
      </c>
      <c r="B1182" s="9" t="n">
        <f aca="false">MOD(4*A1182^2,10)</f>
        <v>0</v>
      </c>
      <c r="C1182" s="9" t="n">
        <f aca="false">(26*B1182-5*B1182^2)/24</f>
        <v>0</v>
      </c>
      <c r="D1182" s="9" t="n">
        <f aca="false">(A1182^2+4*C1182)/5</f>
        <v>278480</v>
      </c>
      <c r="E1182" s="9" t="n">
        <f aca="false">MOD(D1182,10)</f>
        <v>0</v>
      </c>
      <c r="F1182" s="9" t="n">
        <f aca="false">2*D1182</f>
        <v>556960</v>
      </c>
      <c r="G1182" s="9" t="n">
        <f aca="false">MOD(F1182,10)</f>
        <v>0</v>
      </c>
      <c r="H1182" s="9" t="n">
        <f aca="false">G1182/2</f>
        <v>0</v>
      </c>
      <c r="I1182" s="9" t="str">
        <f aca="false">IF(H1182=0,"—",IF(H1182=1,"unison (1:1)",IF(H1182=2,"octave (2:1)",IF(H1182=3,"fifth (3:2)",IF(H1182=4,"fourth (4:3)","?")))))</f>
        <v>—</v>
      </c>
      <c r="J1182" s="9" t="str">
        <f aca="false">IF(H1182=0,"—",IF(H1182=1,"ὁμώνυμον",IF(H1182=2,"διὰ πασῶν",IF(H1182=3,"διὰ πέντε",IF(H1182=4,"διὰ τεσσάρων","?")))))</f>
        <v>—</v>
      </c>
      <c r="K1182" s="10"/>
      <c r="L1182" s="14"/>
      <c r="M1182" s="13"/>
    </row>
    <row r="1183" customFormat="false" ht="15.75" hidden="false" customHeight="true" outlineLevel="0" collapsed="false">
      <c r="A1183" s="8" t="n">
        <f aca="false">A1182+1</f>
        <v>1181</v>
      </c>
      <c r="B1183" s="9" t="n">
        <f aca="false">MOD(4*A1183^2,10)</f>
        <v>4</v>
      </c>
      <c r="C1183" s="9" t="n">
        <f aca="false">(26*B1183-5*B1183^2)/24</f>
        <v>1</v>
      </c>
      <c r="D1183" s="9" t="n">
        <f aca="false">(A1183^2+4*C1183)/5</f>
        <v>278953</v>
      </c>
      <c r="E1183" s="9" t="n">
        <f aca="false">MOD(D1183,10)</f>
        <v>3</v>
      </c>
      <c r="F1183" s="9" t="n">
        <f aca="false">2*D1183</f>
        <v>557906</v>
      </c>
      <c r="G1183" s="9" t="n">
        <f aca="false">MOD(F1183,10)</f>
        <v>6</v>
      </c>
      <c r="H1183" s="9" t="n">
        <f aca="false">G1183/2</f>
        <v>3</v>
      </c>
      <c r="I1183" s="9" t="str">
        <f aca="false">IF(H1183=0,"—",IF(H1183=1,"unison (1:1)",IF(H1183=2,"octave (2:1)",IF(H1183=3,"fifth (3:2)",IF(H1183=4,"fourth (4:3)","?")))))</f>
        <v>fifth (3:2)</v>
      </c>
      <c r="J1183" s="9" t="str">
        <f aca="false">IF(H1183=0,"—",IF(H1183=1,"ὁμώνυμον",IF(H1183=2,"διὰ πασῶν",IF(H1183=3,"διὰ πέντε",IF(H1183=4,"διὰ τεσσάρων","?")))))</f>
        <v>διὰ πέντε</v>
      </c>
      <c r="K1183" s="10"/>
      <c r="L1183" s="14"/>
      <c r="M1183" s="13"/>
    </row>
    <row r="1184" customFormat="false" ht="15.75" hidden="false" customHeight="true" outlineLevel="0" collapsed="false">
      <c r="A1184" s="8" t="n">
        <f aca="false">A1183+1</f>
        <v>1182</v>
      </c>
      <c r="B1184" s="9" t="n">
        <f aca="false">MOD(4*A1184^2,10)</f>
        <v>6</v>
      </c>
      <c r="C1184" s="9" t="n">
        <f aca="false">(26*B1184-5*B1184^2)/24</f>
        <v>-1</v>
      </c>
      <c r="D1184" s="9" t="n">
        <f aca="false">(A1184^2+4*C1184)/5</f>
        <v>279424</v>
      </c>
      <c r="E1184" s="9" t="n">
        <f aca="false">MOD(D1184,10)</f>
        <v>4</v>
      </c>
      <c r="F1184" s="9" t="n">
        <f aca="false">2*D1184</f>
        <v>558848</v>
      </c>
      <c r="G1184" s="9" t="n">
        <f aca="false">MOD(F1184,10)</f>
        <v>8</v>
      </c>
      <c r="H1184" s="9" t="n">
        <f aca="false">G1184/2</f>
        <v>4</v>
      </c>
      <c r="I1184" s="9" t="str">
        <f aca="false">IF(H1184=0,"—",IF(H1184=1,"unison (1:1)",IF(H1184=2,"octave (2:1)",IF(H1184=3,"fifth (3:2)",IF(H1184=4,"fourth (4:3)","?")))))</f>
        <v>fourth (4:3)</v>
      </c>
      <c r="J1184" s="9" t="str">
        <f aca="false">IF(H1184=0,"—",IF(H1184=1,"ὁμώνυμον",IF(H1184=2,"διὰ πασῶν",IF(H1184=3,"διὰ πέντε",IF(H1184=4,"διὰ τεσσάρων","?")))))</f>
        <v>διὰ τεσσάρων</v>
      </c>
      <c r="K1184" s="10"/>
      <c r="L1184" s="14"/>
      <c r="M1184" s="13"/>
    </row>
    <row r="1185" customFormat="false" ht="15.75" hidden="false" customHeight="true" outlineLevel="0" collapsed="false">
      <c r="A1185" s="8" t="n">
        <f aca="false">A1184+1</f>
        <v>1183</v>
      </c>
      <c r="B1185" s="9" t="n">
        <f aca="false">MOD(4*A1185^2,10)</f>
        <v>6</v>
      </c>
      <c r="C1185" s="9" t="n">
        <f aca="false">(26*B1185-5*B1185^2)/24</f>
        <v>-1</v>
      </c>
      <c r="D1185" s="9" t="n">
        <f aca="false">(A1185^2+4*C1185)/5</f>
        <v>279897</v>
      </c>
      <c r="E1185" s="9" t="n">
        <f aca="false">MOD(D1185,10)</f>
        <v>7</v>
      </c>
      <c r="F1185" s="9" t="n">
        <f aca="false">2*D1185</f>
        <v>559794</v>
      </c>
      <c r="G1185" s="9" t="n">
        <f aca="false">MOD(F1185,10)</f>
        <v>4</v>
      </c>
      <c r="H1185" s="9" t="n">
        <f aca="false">G1185/2</f>
        <v>2</v>
      </c>
      <c r="I1185" s="9" t="str">
        <f aca="false">IF(H1185=0,"—",IF(H1185=1,"unison (1:1)",IF(H1185=2,"octave (2:1)",IF(H1185=3,"fifth (3:2)",IF(H1185=4,"fourth (4:3)","?")))))</f>
        <v>octave (2:1)</v>
      </c>
      <c r="J1185" s="9" t="str">
        <f aca="false">IF(H1185=0,"—",IF(H1185=1,"ὁμώνυμον",IF(H1185=2,"διὰ πασῶν",IF(H1185=3,"διὰ πέντε",IF(H1185=4,"διὰ τεσσάρων","?")))))</f>
        <v>διὰ πασῶν</v>
      </c>
      <c r="K1185" s="10"/>
      <c r="L1185" s="14"/>
      <c r="M1185" s="13"/>
    </row>
    <row r="1186" customFormat="false" ht="15.75" hidden="false" customHeight="true" outlineLevel="0" collapsed="false">
      <c r="A1186" s="8" t="n">
        <f aca="false">A1185+1</f>
        <v>1184</v>
      </c>
      <c r="B1186" s="9" t="n">
        <f aca="false">MOD(4*A1186^2,10)</f>
        <v>4</v>
      </c>
      <c r="C1186" s="9" t="n">
        <f aca="false">(26*B1186-5*B1186^2)/24</f>
        <v>1</v>
      </c>
      <c r="D1186" s="9" t="n">
        <f aca="false">(A1186^2+4*C1186)/5</f>
        <v>280372</v>
      </c>
      <c r="E1186" s="9" t="n">
        <f aca="false">MOD(D1186,10)</f>
        <v>2</v>
      </c>
      <c r="F1186" s="9" t="n">
        <f aca="false">2*D1186</f>
        <v>560744</v>
      </c>
      <c r="G1186" s="9" t="n">
        <f aca="false">MOD(F1186,10)</f>
        <v>4</v>
      </c>
      <c r="H1186" s="9" t="n">
        <f aca="false">G1186/2</f>
        <v>2</v>
      </c>
      <c r="I1186" s="9" t="str">
        <f aca="false">IF(H1186=0,"—",IF(H1186=1,"unison (1:1)",IF(H1186=2,"octave (2:1)",IF(H1186=3,"fifth (3:2)",IF(H1186=4,"fourth (4:3)","?")))))</f>
        <v>octave (2:1)</v>
      </c>
      <c r="J1186" s="9" t="str">
        <f aca="false">IF(H1186=0,"—",IF(H1186=1,"ὁμώνυμον",IF(H1186=2,"διὰ πασῶν",IF(H1186=3,"διὰ πέντε",IF(H1186=4,"διὰ τεσσάρων","?")))))</f>
        <v>διὰ πασῶν</v>
      </c>
      <c r="K1186" s="10"/>
      <c r="L1186" s="14"/>
      <c r="M1186" s="13"/>
    </row>
    <row r="1187" customFormat="false" ht="15.75" hidden="false" customHeight="true" outlineLevel="0" collapsed="false">
      <c r="A1187" s="8" t="n">
        <f aca="false">A1186+1</f>
        <v>1185</v>
      </c>
      <c r="B1187" s="9" t="n">
        <f aca="false">MOD(4*A1187^2,10)</f>
        <v>0</v>
      </c>
      <c r="C1187" s="9" t="n">
        <f aca="false">(26*B1187-5*B1187^2)/24</f>
        <v>0</v>
      </c>
      <c r="D1187" s="9" t="n">
        <f aca="false">(A1187^2+4*C1187)/5</f>
        <v>280845</v>
      </c>
      <c r="E1187" s="9" t="n">
        <f aca="false">MOD(D1187,10)</f>
        <v>5</v>
      </c>
      <c r="F1187" s="9" t="n">
        <f aca="false">2*D1187</f>
        <v>561690</v>
      </c>
      <c r="G1187" s="9" t="n">
        <f aca="false">MOD(F1187,10)</f>
        <v>0</v>
      </c>
      <c r="H1187" s="9" t="n">
        <f aca="false">G1187/2</f>
        <v>0</v>
      </c>
      <c r="I1187" s="9" t="str">
        <f aca="false">IF(H1187=0,"—",IF(H1187=1,"unison (1:1)",IF(H1187=2,"octave (2:1)",IF(H1187=3,"fifth (3:2)",IF(H1187=4,"fourth (4:3)","?")))))</f>
        <v>—</v>
      </c>
      <c r="J1187" s="9" t="str">
        <f aca="false">IF(H1187=0,"—",IF(H1187=1,"ὁμώνυμον",IF(H1187=2,"διὰ πασῶν",IF(H1187=3,"διὰ πέντε",IF(H1187=4,"διὰ τεσσάρων","?")))))</f>
        <v>—</v>
      </c>
      <c r="K1187" s="10"/>
      <c r="L1187" s="14"/>
      <c r="M1187" s="13"/>
    </row>
    <row r="1188" customFormat="false" ht="15.75" hidden="false" customHeight="true" outlineLevel="0" collapsed="false">
      <c r="A1188" s="8" t="n">
        <f aca="false">A1187+1</f>
        <v>1186</v>
      </c>
      <c r="B1188" s="9" t="n">
        <f aca="false">MOD(4*A1188^2,10)</f>
        <v>4</v>
      </c>
      <c r="C1188" s="9" t="n">
        <f aca="false">(26*B1188-5*B1188^2)/24</f>
        <v>1</v>
      </c>
      <c r="D1188" s="9" t="n">
        <f aca="false">(A1188^2+4*C1188)/5</f>
        <v>281320</v>
      </c>
      <c r="E1188" s="9" t="n">
        <f aca="false">MOD(D1188,10)</f>
        <v>0</v>
      </c>
      <c r="F1188" s="9" t="n">
        <f aca="false">2*D1188</f>
        <v>562640</v>
      </c>
      <c r="G1188" s="9" t="n">
        <f aca="false">MOD(F1188,10)</f>
        <v>0</v>
      </c>
      <c r="H1188" s="9" t="n">
        <f aca="false">G1188/2</f>
        <v>0</v>
      </c>
      <c r="I1188" s="9" t="str">
        <f aca="false">IF(H1188=0,"—",IF(H1188=1,"unison (1:1)",IF(H1188=2,"octave (2:1)",IF(H1188=3,"fifth (3:2)",IF(H1188=4,"fourth (4:3)","?")))))</f>
        <v>—</v>
      </c>
      <c r="J1188" s="9" t="str">
        <f aca="false">IF(H1188=0,"—",IF(H1188=1,"ὁμώνυμον",IF(H1188=2,"διὰ πασῶν",IF(H1188=3,"διὰ πέντε",IF(H1188=4,"διὰ τεσσάρων","?")))))</f>
        <v>—</v>
      </c>
      <c r="K1188" s="10"/>
      <c r="L1188" s="14"/>
      <c r="M1188" s="13"/>
    </row>
    <row r="1189" customFormat="false" ht="15.75" hidden="false" customHeight="true" outlineLevel="0" collapsed="false">
      <c r="A1189" s="8" t="n">
        <f aca="false">A1188+1</f>
        <v>1187</v>
      </c>
      <c r="B1189" s="9" t="n">
        <f aca="false">MOD(4*A1189^2,10)</f>
        <v>6</v>
      </c>
      <c r="C1189" s="9" t="n">
        <f aca="false">(26*B1189-5*B1189^2)/24</f>
        <v>-1</v>
      </c>
      <c r="D1189" s="9" t="n">
        <f aca="false">(A1189^2+4*C1189)/5</f>
        <v>281793</v>
      </c>
      <c r="E1189" s="9" t="n">
        <f aca="false">MOD(D1189,10)</f>
        <v>3</v>
      </c>
      <c r="F1189" s="9" t="n">
        <f aca="false">2*D1189</f>
        <v>563586</v>
      </c>
      <c r="G1189" s="9" t="n">
        <f aca="false">MOD(F1189,10)</f>
        <v>6</v>
      </c>
      <c r="H1189" s="9" t="n">
        <f aca="false">G1189/2</f>
        <v>3</v>
      </c>
      <c r="I1189" s="9" t="str">
        <f aca="false">IF(H1189=0,"—",IF(H1189=1,"unison (1:1)",IF(H1189=2,"octave (2:1)",IF(H1189=3,"fifth (3:2)",IF(H1189=4,"fourth (4:3)","?")))))</f>
        <v>fifth (3:2)</v>
      </c>
      <c r="J1189" s="9" t="str">
        <f aca="false">IF(H1189=0,"—",IF(H1189=1,"ὁμώνυμον",IF(H1189=2,"διὰ πασῶν",IF(H1189=3,"διὰ πέντε",IF(H1189=4,"διὰ τεσσάρων","?")))))</f>
        <v>διὰ πέντε</v>
      </c>
      <c r="K1189" s="10"/>
      <c r="L1189" s="14"/>
      <c r="M1189" s="13"/>
    </row>
    <row r="1190" customFormat="false" ht="15.75" hidden="false" customHeight="true" outlineLevel="0" collapsed="false">
      <c r="A1190" s="8" t="n">
        <f aca="false">A1189+1</f>
        <v>1188</v>
      </c>
      <c r="B1190" s="9" t="n">
        <f aca="false">MOD(4*A1190^2,10)</f>
        <v>6</v>
      </c>
      <c r="C1190" s="9" t="n">
        <f aca="false">(26*B1190-5*B1190^2)/24</f>
        <v>-1</v>
      </c>
      <c r="D1190" s="9" t="n">
        <f aca="false">(A1190^2+4*C1190)/5</f>
        <v>282268</v>
      </c>
      <c r="E1190" s="9" t="n">
        <f aca="false">MOD(D1190,10)</f>
        <v>8</v>
      </c>
      <c r="F1190" s="9" t="n">
        <f aca="false">2*D1190</f>
        <v>564536</v>
      </c>
      <c r="G1190" s="9" t="n">
        <f aca="false">MOD(F1190,10)</f>
        <v>6</v>
      </c>
      <c r="H1190" s="9" t="n">
        <f aca="false">G1190/2</f>
        <v>3</v>
      </c>
      <c r="I1190" s="9" t="str">
        <f aca="false">IF(H1190=0,"—",IF(H1190=1,"unison (1:1)",IF(H1190=2,"octave (2:1)",IF(H1190=3,"fifth (3:2)",IF(H1190=4,"fourth (4:3)","?")))))</f>
        <v>fifth (3:2)</v>
      </c>
      <c r="J1190" s="9" t="str">
        <f aca="false">IF(H1190=0,"—",IF(H1190=1,"ὁμώνυμον",IF(H1190=2,"διὰ πασῶν",IF(H1190=3,"διὰ πέντε",IF(H1190=4,"διὰ τεσσάρων","?")))))</f>
        <v>διὰ πέντε</v>
      </c>
      <c r="K1190" s="10"/>
      <c r="L1190" s="14"/>
      <c r="M1190" s="13"/>
    </row>
    <row r="1191" customFormat="false" ht="15.75" hidden="false" customHeight="true" outlineLevel="0" collapsed="false">
      <c r="A1191" s="8" t="n">
        <f aca="false">A1190+1</f>
        <v>1189</v>
      </c>
      <c r="B1191" s="9" t="n">
        <f aca="false">MOD(4*A1191^2,10)</f>
        <v>4</v>
      </c>
      <c r="C1191" s="9" t="n">
        <f aca="false">(26*B1191-5*B1191^2)/24</f>
        <v>1</v>
      </c>
      <c r="D1191" s="9" t="n">
        <f aca="false">(A1191^2+4*C1191)/5</f>
        <v>282745</v>
      </c>
      <c r="E1191" s="9" t="n">
        <f aca="false">MOD(D1191,10)</f>
        <v>5</v>
      </c>
      <c r="F1191" s="9" t="n">
        <f aca="false">2*D1191</f>
        <v>565490</v>
      </c>
      <c r="G1191" s="9" t="n">
        <f aca="false">MOD(F1191,10)</f>
        <v>0</v>
      </c>
      <c r="H1191" s="9" t="n">
        <f aca="false">G1191/2</f>
        <v>0</v>
      </c>
      <c r="I1191" s="9" t="str">
        <f aca="false">IF(H1191=0,"—",IF(H1191=1,"unison (1:1)",IF(H1191=2,"octave (2:1)",IF(H1191=3,"fifth (3:2)",IF(H1191=4,"fourth (4:3)","?")))))</f>
        <v>—</v>
      </c>
      <c r="J1191" s="9" t="str">
        <f aca="false">IF(H1191=0,"—",IF(H1191=1,"ὁμώνυμον",IF(H1191=2,"διὰ πασῶν",IF(H1191=3,"διὰ πέντε",IF(H1191=4,"διὰ τεσσάρων","?")))))</f>
        <v>—</v>
      </c>
      <c r="K1191" s="10"/>
      <c r="L1191" s="14"/>
      <c r="M1191" s="13"/>
    </row>
    <row r="1192" customFormat="false" ht="15.75" hidden="false" customHeight="true" outlineLevel="0" collapsed="false">
      <c r="A1192" s="8" t="n">
        <f aca="false">A1191+1</f>
        <v>1190</v>
      </c>
      <c r="B1192" s="9" t="n">
        <f aca="false">MOD(4*A1192^2,10)</f>
        <v>0</v>
      </c>
      <c r="C1192" s="9" t="n">
        <f aca="false">(26*B1192-5*B1192^2)/24</f>
        <v>0</v>
      </c>
      <c r="D1192" s="9" t="n">
        <f aca="false">(A1192^2+4*C1192)/5</f>
        <v>283220</v>
      </c>
      <c r="E1192" s="9" t="n">
        <f aca="false">MOD(D1192,10)</f>
        <v>0</v>
      </c>
      <c r="F1192" s="9" t="n">
        <f aca="false">2*D1192</f>
        <v>566440</v>
      </c>
      <c r="G1192" s="9" t="n">
        <f aca="false">MOD(F1192,10)</f>
        <v>0</v>
      </c>
      <c r="H1192" s="9" t="n">
        <f aca="false">G1192/2</f>
        <v>0</v>
      </c>
      <c r="I1192" s="9" t="str">
        <f aca="false">IF(H1192=0,"—",IF(H1192=1,"unison (1:1)",IF(H1192=2,"octave (2:1)",IF(H1192=3,"fifth (3:2)",IF(H1192=4,"fourth (4:3)","?")))))</f>
        <v>—</v>
      </c>
      <c r="J1192" s="9" t="str">
        <f aca="false">IF(H1192=0,"—",IF(H1192=1,"ὁμώνυμον",IF(H1192=2,"διὰ πασῶν",IF(H1192=3,"διὰ πέντε",IF(H1192=4,"διὰ τεσσάρων","?")))))</f>
        <v>—</v>
      </c>
      <c r="K1192" s="10"/>
      <c r="L1192" s="14"/>
      <c r="M1192" s="13"/>
    </row>
    <row r="1193" customFormat="false" ht="15.75" hidden="false" customHeight="true" outlineLevel="0" collapsed="false">
      <c r="A1193" s="8" t="n">
        <f aca="false">A1192+1</f>
        <v>1191</v>
      </c>
      <c r="B1193" s="9" t="n">
        <f aca="false">MOD(4*A1193^2,10)</f>
        <v>4</v>
      </c>
      <c r="C1193" s="9" t="n">
        <f aca="false">(26*B1193-5*B1193^2)/24</f>
        <v>1</v>
      </c>
      <c r="D1193" s="9" t="n">
        <f aca="false">(A1193^2+4*C1193)/5</f>
        <v>283697</v>
      </c>
      <c r="E1193" s="9" t="n">
        <f aca="false">MOD(D1193,10)</f>
        <v>7</v>
      </c>
      <c r="F1193" s="9" t="n">
        <f aca="false">2*D1193</f>
        <v>567394</v>
      </c>
      <c r="G1193" s="9" t="n">
        <f aca="false">MOD(F1193,10)</f>
        <v>4</v>
      </c>
      <c r="H1193" s="9" t="n">
        <f aca="false">G1193/2</f>
        <v>2</v>
      </c>
      <c r="I1193" s="9" t="str">
        <f aca="false">IF(H1193=0,"—",IF(H1193=1,"unison (1:1)",IF(H1193=2,"octave (2:1)",IF(H1193=3,"fifth (3:2)",IF(H1193=4,"fourth (4:3)","?")))))</f>
        <v>octave (2:1)</v>
      </c>
      <c r="J1193" s="9" t="str">
        <f aca="false">IF(H1193=0,"—",IF(H1193=1,"ὁμώνυμον",IF(H1193=2,"διὰ πασῶν",IF(H1193=3,"διὰ πέντε",IF(H1193=4,"διὰ τεσσάρων","?")))))</f>
        <v>διὰ πασῶν</v>
      </c>
      <c r="K1193" s="10"/>
      <c r="L1193" s="14"/>
      <c r="M1193" s="13"/>
    </row>
    <row r="1194" customFormat="false" ht="15.75" hidden="false" customHeight="true" outlineLevel="0" collapsed="false">
      <c r="A1194" s="8" t="n">
        <f aca="false">A1193+1</f>
        <v>1192</v>
      </c>
      <c r="B1194" s="9" t="n">
        <f aca="false">MOD(4*A1194^2,10)</f>
        <v>6</v>
      </c>
      <c r="C1194" s="9" t="n">
        <f aca="false">(26*B1194-5*B1194^2)/24</f>
        <v>-1</v>
      </c>
      <c r="D1194" s="9" t="n">
        <f aca="false">(A1194^2+4*C1194)/5</f>
        <v>284172</v>
      </c>
      <c r="E1194" s="9" t="n">
        <f aca="false">MOD(D1194,10)</f>
        <v>2</v>
      </c>
      <c r="F1194" s="9" t="n">
        <f aca="false">2*D1194</f>
        <v>568344</v>
      </c>
      <c r="G1194" s="9" t="n">
        <f aca="false">MOD(F1194,10)</f>
        <v>4</v>
      </c>
      <c r="H1194" s="9" t="n">
        <f aca="false">G1194/2</f>
        <v>2</v>
      </c>
      <c r="I1194" s="9" t="str">
        <f aca="false">IF(H1194=0,"—",IF(H1194=1,"unison (1:1)",IF(H1194=2,"octave (2:1)",IF(H1194=3,"fifth (3:2)",IF(H1194=4,"fourth (4:3)","?")))))</f>
        <v>octave (2:1)</v>
      </c>
      <c r="J1194" s="9" t="str">
        <f aca="false">IF(H1194=0,"—",IF(H1194=1,"ὁμώνυμον",IF(H1194=2,"διὰ πασῶν",IF(H1194=3,"διὰ πέντε",IF(H1194=4,"διὰ τεσσάρων","?")))))</f>
        <v>διὰ πασῶν</v>
      </c>
      <c r="K1194" s="10"/>
      <c r="L1194" s="14"/>
      <c r="M1194" s="13"/>
    </row>
    <row r="1195" customFormat="false" ht="15.75" hidden="false" customHeight="true" outlineLevel="0" collapsed="false">
      <c r="A1195" s="8" t="n">
        <f aca="false">A1194+1</f>
        <v>1193</v>
      </c>
      <c r="B1195" s="9" t="n">
        <f aca="false">MOD(4*A1195^2,10)</f>
        <v>6</v>
      </c>
      <c r="C1195" s="9" t="n">
        <f aca="false">(26*B1195-5*B1195^2)/24</f>
        <v>-1</v>
      </c>
      <c r="D1195" s="9" t="n">
        <f aca="false">(A1195^2+4*C1195)/5</f>
        <v>284649</v>
      </c>
      <c r="E1195" s="9" t="n">
        <f aca="false">MOD(D1195,10)</f>
        <v>9</v>
      </c>
      <c r="F1195" s="9" t="n">
        <f aca="false">2*D1195</f>
        <v>569298</v>
      </c>
      <c r="G1195" s="9" t="n">
        <f aca="false">MOD(F1195,10)</f>
        <v>8</v>
      </c>
      <c r="H1195" s="9" t="n">
        <f aca="false">G1195/2</f>
        <v>4</v>
      </c>
      <c r="I1195" s="9" t="str">
        <f aca="false">IF(H1195=0,"—",IF(H1195=1,"unison (1:1)",IF(H1195=2,"octave (2:1)",IF(H1195=3,"fifth (3:2)",IF(H1195=4,"fourth (4:3)","?")))))</f>
        <v>fourth (4:3)</v>
      </c>
      <c r="J1195" s="9" t="str">
        <f aca="false">IF(H1195=0,"—",IF(H1195=1,"ὁμώνυμον",IF(H1195=2,"διὰ πασῶν",IF(H1195=3,"διὰ πέντε",IF(H1195=4,"διὰ τεσσάρων","?")))))</f>
        <v>διὰ τεσσάρων</v>
      </c>
      <c r="K1195" s="10"/>
      <c r="L1195" s="14"/>
      <c r="M1195" s="13"/>
    </row>
    <row r="1196" customFormat="false" ht="15.75" hidden="false" customHeight="true" outlineLevel="0" collapsed="false">
      <c r="A1196" s="8" t="n">
        <f aca="false">A1195+1</f>
        <v>1194</v>
      </c>
      <c r="B1196" s="9" t="n">
        <f aca="false">MOD(4*A1196^2,10)</f>
        <v>4</v>
      </c>
      <c r="C1196" s="9" t="n">
        <f aca="false">(26*B1196-5*B1196^2)/24</f>
        <v>1</v>
      </c>
      <c r="D1196" s="9" t="n">
        <f aca="false">(A1196^2+4*C1196)/5</f>
        <v>285128</v>
      </c>
      <c r="E1196" s="9" t="n">
        <f aca="false">MOD(D1196,10)</f>
        <v>8</v>
      </c>
      <c r="F1196" s="9" t="n">
        <f aca="false">2*D1196</f>
        <v>570256</v>
      </c>
      <c r="G1196" s="9" t="n">
        <f aca="false">MOD(F1196,10)</f>
        <v>6</v>
      </c>
      <c r="H1196" s="9" t="n">
        <f aca="false">G1196/2</f>
        <v>3</v>
      </c>
      <c r="I1196" s="9" t="str">
        <f aca="false">IF(H1196=0,"—",IF(H1196=1,"unison (1:1)",IF(H1196=2,"octave (2:1)",IF(H1196=3,"fifth (3:2)",IF(H1196=4,"fourth (4:3)","?")))))</f>
        <v>fifth (3:2)</v>
      </c>
      <c r="J1196" s="9" t="str">
        <f aca="false">IF(H1196=0,"—",IF(H1196=1,"ὁμώνυμον",IF(H1196=2,"διὰ πασῶν",IF(H1196=3,"διὰ πέντε",IF(H1196=4,"διὰ τεσσάρων","?")))))</f>
        <v>διὰ πέντε</v>
      </c>
      <c r="K1196" s="10"/>
      <c r="L1196" s="14"/>
      <c r="M1196" s="13"/>
    </row>
    <row r="1197" customFormat="false" ht="15.75" hidden="false" customHeight="true" outlineLevel="0" collapsed="false">
      <c r="A1197" s="8" t="n">
        <f aca="false">A1196+1</f>
        <v>1195</v>
      </c>
      <c r="B1197" s="9" t="n">
        <f aca="false">MOD(4*A1197^2,10)</f>
        <v>0</v>
      </c>
      <c r="C1197" s="9" t="n">
        <f aca="false">(26*B1197-5*B1197^2)/24</f>
        <v>0</v>
      </c>
      <c r="D1197" s="9" t="n">
        <f aca="false">(A1197^2+4*C1197)/5</f>
        <v>285605</v>
      </c>
      <c r="E1197" s="9" t="n">
        <f aca="false">MOD(D1197,10)</f>
        <v>5</v>
      </c>
      <c r="F1197" s="9" t="n">
        <f aca="false">2*D1197</f>
        <v>571210</v>
      </c>
      <c r="G1197" s="9" t="n">
        <f aca="false">MOD(F1197,10)</f>
        <v>0</v>
      </c>
      <c r="H1197" s="9" t="n">
        <f aca="false">G1197/2</f>
        <v>0</v>
      </c>
      <c r="I1197" s="9" t="str">
        <f aca="false">IF(H1197=0,"—",IF(H1197=1,"unison (1:1)",IF(H1197=2,"octave (2:1)",IF(H1197=3,"fifth (3:2)",IF(H1197=4,"fourth (4:3)","?")))))</f>
        <v>—</v>
      </c>
      <c r="J1197" s="9" t="str">
        <f aca="false">IF(H1197=0,"—",IF(H1197=1,"ὁμώνυμον",IF(H1197=2,"διὰ πασῶν",IF(H1197=3,"διὰ πέντε",IF(H1197=4,"διὰ τεσσάρων","?")))))</f>
        <v>—</v>
      </c>
      <c r="K1197" s="10"/>
      <c r="L1197" s="14"/>
      <c r="M1197" s="13"/>
    </row>
    <row r="1198" customFormat="false" ht="15.75" hidden="false" customHeight="true" outlineLevel="0" collapsed="false">
      <c r="A1198" s="8" t="n">
        <f aca="false">A1197+1</f>
        <v>1196</v>
      </c>
      <c r="B1198" s="9" t="n">
        <f aca="false">MOD(4*A1198^2,10)</f>
        <v>4</v>
      </c>
      <c r="C1198" s="9" t="n">
        <f aca="false">(26*B1198-5*B1198^2)/24</f>
        <v>1</v>
      </c>
      <c r="D1198" s="9" t="n">
        <f aca="false">(A1198^2+4*C1198)/5</f>
        <v>286084</v>
      </c>
      <c r="E1198" s="9" t="n">
        <f aca="false">MOD(D1198,10)</f>
        <v>4</v>
      </c>
      <c r="F1198" s="9" t="n">
        <f aca="false">2*D1198</f>
        <v>572168</v>
      </c>
      <c r="G1198" s="9" t="n">
        <f aca="false">MOD(F1198,10)</f>
        <v>8</v>
      </c>
      <c r="H1198" s="9" t="n">
        <f aca="false">G1198/2</f>
        <v>4</v>
      </c>
      <c r="I1198" s="9" t="str">
        <f aca="false">IF(H1198=0,"—",IF(H1198=1,"unison (1:1)",IF(H1198=2,"octave (2:1)",IF(H1198=3,"fifth (3:2)",IF(H1198=4,"fourth (4:3)","?")))))</f>
        <v>fourth (4:3)</v>
      </c>
      <c r="J1198" s="9" t="str">
        <f aca="false">IF(H1198=0,"—",IF(H1198=1,"ὁμώνυμον",IF(H1198=2,"διὰ πασῶν",IF(H1198=3,"διὰ πέντε",IF(H1198=4,"διὰ τεσσάρων","?")))))</f>
        <v>διὰ τεσσάρων</v>
      </c>
      <c r="K1198" s="10"/>
      <c r="L1198" s="14"/>
      <c r="M1198" s="13"/>
    </row>
    <row r="1199" customFormat="false" ht="15.75" hidden="false" customHeight="true" outlineLevel="0" collapsed="false">
      <c r="A1199" s="8" t="n">
        <f aca="false">A1198+1</f>
        <v>1197</v>
      </c>
      <c r="B1199" s="9" t="n">
        <f aca="false">MOD(4*A1199^2,10)</f>
        <v>6</v>
      </c>
      <c r="C1199" s="9" t="n">
        <f aca="false">(26*B1199-5*B1199^2)/24</f>
        <v>-1</v>
      </c>
      <c r="D1199" s="9" t="n">
        <f aca="false">(A1199^2+4*C1199)/5</f>
        <v>286561</v>
      </c>
      <c r="E1199" s="9" t="n">
        <f aca="false">MOD(D1199,10)</f>
        <v>1</v>
      </c>
      <c r="F1199" s="9" t="n">
        <f aca="false">2*D1199</f>
        <v>573122</v>
      </c>
      <c r="G1199" s="9" t="n">
        <f aca="false">MOD(F1199,10)</f>
        <v>2</v>
      </c>
      <c r="H1199" s="9" t="n">
        <f aca="false">G1199/2</f>
        <v>1</v>
      </c>
      <c r="I1199" s="9" t="str">
        <f aca="false">IF(H1199=0,"—",IF(H1199=1,"unison (1:1)",IF(H1199=2,"octave (2:1)",IF(H1199=3,"fifth (3:2)",IF(H1199=4,"fourth (4:3)","?")))))</f>
        <v>unison (1:1)</v>
      </c>
      <c r="J1199" s="9" t="str">
        <f aca="false">IF(H1199=0,"—",IF(H1199=1,"ὁμώνυμον",IF(H1199=2,"διὰ πασῶν",IF(H1199=3,"διὰ πέντε",IF(H1199=4,"διὰ τεσσάρων","?")))))</f>
        <v>ὁμώνυμον</v>
      </c>
      <c r="K1199" s="10"/>
      <c r="L1199" s="14"/>
      <c r="M1199" s="13"/>
    </row>
    <row r="1200" customFormat="false" ht="15.75" hidden="false" customHeight="true" outlineLevel="0" collapsed="false">
      <c r="A1200" s="8" t="n">
        <f aca="false">A1199+1</f>
        <v>1198</v>
      </c>
      <c r="B1200" s="9" t="n">
        <f aca="false">MOD(4*A1200^2,10)</f>
        <v>6</v>
      </c>
      <c r="C1200" s="9" t="n">
        <f aca="false">(26*B1200-5*B1200^2)/24</f>
        <v>-1</v>
      </c>
      <c r="D1200" s="9" t="n">
        <f aca="false">(A1200^2+4*C1200)/5</f>
        <v>287040</v>
      </c>
      <c r="E1200" s="9" t="n">
        <f aca="false">MOD(D1200,10)</f>
        <v>0</v>
      </c>
      <c r="F1200" s="9" t="n">
        <f aca="false">2*D1200</f>
        <v>574080</v>
      </c>
      <c r="G1200" s="9" t="n">
        <f aca="false">MOD(F1200,10)</f>
        <v>0</v>
      </c>
      <c r="H1200" s="9" t="n">
        <f aca="false">G1200/2</f>
        <v>0</v>
      </c>
      <c r="I1200" s="9" t="str">
        <f aca="false">IF(H1200=0,"—",IF(H1200=1,"unison (1:1)",IF(H1200=2,"octave (2:1)",IF(H1200=3,"fifth (3:2)",IF(H1200=4,"fourth (4:3)","?")))))</f>
        <v>—</v>
      </c>
      <c r="J1200" s="9" t="str">
        <f aca="false">IF(H1200=0,"—",IF(H1200=1,"ὁμώνυμον",IF(H1200=2,"διὰ πασῶν",IF(H1200=3,"διὰ πέντε",IF(H1200=4,"διὰ τεσσάρων","?")))))</f>
        <v>—</v>
      </c>
      <c r="K1200" s="10"/>
      <c r="L1200" s="14"/>
      <c r="M1200" s="13"/>
    </row>
    <row r="1201" customFormat="false" ht="15.75" hidden="false" customHeight="true" outlineLevel="0" collapsed="false">
      <c r="A1201" s="8" t="n">
        <f aca="false">A1200+1</f>
        <v>1199</v>
      </c>
      <c r="B1201" s="9" t="n">
        <f aca="false">MOD(4*A1201^2,10)</f>
        <v>4</v>
      </c>
      <c r="C1201" s="9" t="n">
        <f aca="false">(26*B1201-5*B1201^2)/24</f>
        <v>1</v>
      </c>
      <c r="D1201" s="9" t="n">
        <f aca="false">(A1201^2+4*C1201)/5</f>
        <v>287521</v>
      </c>
      <c r="E1201" s="9" t="n">
        <f aca="false">MOD(D1201,10)</f>
        <v>1</v>
      </c>
      <c r="F1201" s="9" t="n">
        <f aca="false">2*D1201</f>
        <v>575042</v>
      </c>
      <c r="G1201" s="9" t="n">
        <f aca="false">MOD(F1201,10)</f>
        <v>2</v>
      </c>
      <c r="H1201" s="9" t="n">
        <f aca="false">G1201/2</f>
        <v>1</v>
      </c>
      <c r="I1201" s="9" t="str">
        <f aca="false">IF(H1201=0,"—",IF(H1201=1,"unison (1:1)",IF(H1201=2,"octave (2:1)",IF(H1201=3,"fifth (3:2)",IF(H1201=4,"fourth (4:3)","?")))))</f>
        <v>unison (1:1)</v>
      </c>
      <c r="J1201" s="9" t="str">
        <f aca="false">IF(H1201=0,"—",IF(H1201=1,"ὁμώνυμον",IF(H1201=2,"διὰ πασῶν",IF(H1201=3,"διὰ πέντε",IF(H1201=4,"διὰ τεσσάρων","?")))))</f>
        <v>ὁμώνυμον</v>
      </c>
      <c r="K1201" s="10"/>
      <c r="L1201" s="14"/>
      <c r="M1201" s="13"/>
    </row>
    <row r="1202" customFormat="false" ht="15.75" hidden="false" customHeight="true" outlineLevel="0" collapsed="false">
      <c r="A1202" s="8" t="n">
        <f aca="false">A1201+1</f>
        <v>1200</v>
      </c>
      <c r="B1202" s="9" t="n">
        <f aca="false">MOD(4*A1202^2,10)</f>
        <v>0</v>
      </c>
      <c r="C1202" s="9" t="n">
        <f aca="false">(26*B1202-5*B1202^2)/24</f>
        <v>0</v>
      </c>
      <c r="D1202" s="9" t="n">
        <f aca="false">(A1202^2+4*C1202)/5</f>
        <v>288000</v>
      </c>
      <c r="E1202" s="9" t="n">
        <f aca="false">MOD(D1202,10)</f>
        <v>0</v>
      </c>
      <c r="F1202" s="9" t="n">
        <f aca="false">2*D1202</f>
        <v>576000</v>
      </c>
      <c r="G1202" s="9" t="n">
        <f aca="false">MOD(F1202,10)</f>
        <v>0</v>
      </c>
      <c r="H1202" s="9" t="n">
        <f aca="false">G1202/2</f>
        <v>0</v>
      </c>
      <c r="I1202" s="9" t="str">
        <f aca="false">IF(H1202=0,"—",IF(H1202=1,"unison (1:1)",IF(H1202=2,"octave (2:1)",IF(H1202=3,"fifth (3:2)",IF(H1202=4,"fourth (4:3)","?")))))</f>
        <v>—</v>
      </c>
      <c r="J1202" s="9" t="str">
        <f aca="false">IF(H1202=0,"—",IF(H1202=1,"ὁμώνυμον",IF(H1202=2,"διὰ πασῶν",IF(H1202=3,"διὰ πέντε",IF(H1202=4,"διὰ τεσσάρων","?")))))</f>
        <v>—</v>
      </c>
      <c r="K1202" s="10"/>
      <c r="L1202" s="14"/>
      <c r="M1202" s="13"/>
    </row>
    <row r="1203" customFormat="false" ht="15.75" hidden="false" customHeight="true" outlineLevel="0" collapsed="false">
      <c r="A1203" s="8" t="n">
        <f aca="false">A1202+1</f>
        <v>1201</v>
      </c>
      <c r="B1203" s="9" t="n">
        <f aca="false">MOD(4*A1203^2,10)</f>
        <v>4</v>
      </c>
      <c r="C1203" s="9" t="n">
        <f aca="false">(26*B1203-5*B1203^2)/24</f>
        <v>1</v>
      </c>
      <c r="D1203" s="9" t="n">
        <f aca="false">(A1203^2+4*C1203)/5</f>
        <v>288481</v>
      </c>
      <c r="E1203" s="9" t="n">
        <f aca="false">MOD(D1203,10)</f>
        <v>1</v>
      </c>
      <c r="F1203" s="9" t="n">
        <f aca="false">2*D1203</f>
        <v>576962</v>
      </c>
      <c r="G1203" s="9" t="n">
        <f aca="false">MOD(F1203,10)</f>
        <v>2</v>
      </c>
      <c r="H1203" s="9" t="n">
        <f aca="false">G1203/2</f>
        <v>1</v>
      </c>
      <c r="I1203" s="9" t="str">
        <f aca="false">IF(H1203=0,"—",IF(H1203=1,"unison (1:1)",IF(H1203=2,"octave (2:1)",IF(H1203=3,"fifth (3:2)",IF(H1203=4,"fourth (4:3)","?")))))</f>
        <v>unison (1:1)</v>
      </c>
      <c r="J1203" s="9" t="str">
        <f aca="false">IF(H1203=0,"—",IF(H1203=1,"ὁμώνυμον",IF(H1203=2,"διὰ πασῶν",IF(H1203=3,"διὰ πέντε",IF(H1203=4,"διὰ τεσσάρων","?")))))</f>
        <v>ὁμώνυμον</v>
      </c>
      <c r="K1203" s="10"/>
      <c r="L1203" s="14"/>
      <c r="M1203" s="13"/>
    </row>
    <row r="1204" customFormat="false" ht="15.75" hidden="false" customHeight="true" outlineLevel="0" collapsed="false">
      <c r="A1204" s="8" t="n">
        <f aca="false">A1203+1</f>
        <v>1202</v>
      </c>
      <c r="B1204" s="9" t="n">
        <f aca="false">MOD(4*A1204^2,10)</f>
        <v>6</v>
      </c>
      <c r="C1204" s="9" t="n">
        <f aca="false">(26*B1204-5*B1204^2)/24</f>
        <v>-1</v>
      </c>
      <c r="D1204" s="9" t="n">
        <f aca="false">(A1204^2+4*C1204)/5</f>
        <v>288960</v>
      </c>
      <c r="E1204" s="9" t="n">
        <f aca="false">MOD(D1204,10)</f>
        <v>0</v>
      </c>
      <c r="F1204" s="9" t="n">
        <f aca="false">2*D1204</f>
        <v>577920</v>
      </c>
      <c r="G1204" s="9" t="n">
        <f aca="false">MOD(F1204,10)</f>
        <v>0</v>
      </c>
      <c r="H1204" s="9" t="n">
        <f aca="false">G1204/2</f>
        <v>0</v>
      </c>
      <c r="I1204" s="9" t="str">
        <f aca="false">IF(H1204=0,"—",IF(H1204=1,"unison (1:1)",IF(H1204=2,"octave (2:1)",IF(H1204=3,"fifth (3:2)",IF(H1204=4,"fourth (4:3)","?")))))</f>
        <v>—</v>
      </c>
      <c r="J1204" s="9" t="str">
        <f aca="false">IF(H1204=0,"—",IF(H1204=1,"ὁμώνυμον",IF(H1204=2,"διὰ πασῶν",IF(H1204=3,"διὰ πέντε",IF(H1204=4,"διὰ τεσσάρων","?")))))</f>
        <v>—</v>
      </c>
      <c r="K1204" s="10"/>
      <c r="L1204" s="14"/>
      <c r="M1204" s="13"/>
    </row>
    <row r="1205" customFormat="false" ht="15.75" hidden="false" customHeight="true" outlineLevel="0" collapsed="false">
      <c r="A1205" s="8" t="n">
        <f aca="false">A1204+1</f>
        <v>1203</v>
      </c>
      <c r="B1205" s="9" t="n">
        <f aca="false">MOD(4*A1205^2,10)</f>
        <v>6</v>
      </c>
      <c r="C1205" s="9" t="n">
        <f aca="false">(26*B1205-5*B1205^2)/24</f>
        <v>-1</v>
      </c>
      <c r="D1205" s="9" t="n">
        <f aca="false">(A1205^2+4*C1205)/5</f>
        <v>289441</v>
      </c>
      <c r="E1205" s="9" t="n">
        <f aca="false">MOD(D1205,10)</f>
        <v>1</v>
      </c>
      <c r="F1205" s="9" t="n">
        <f aca="false">2*D1205</f>
        <v>578882</v>
      </c>
      <c r="G1205" s="9" t="n">
        <f aca="false">MOD(F1205,10)</f>
        <v>2</v>
      </c>
      <c r="H1205" s="9" t="n">
        <f aca="false">G1205/2</f>
        <v>1</v>
      </c>
      <c r="I1205" s="9" t="str">
        <f aca="false">IF(H1205=0,"—",IF(H1205=1,"unison (1:1)",IF(H1205=2,"octave (2:1)",IF(H1205=3,"fifth (3:2)",IF(H1205=4,"fourth (4:3)","?")))))</f>
        <v>unison (1:1)</v>
      </c>
      <c r="J1205" s="9" t="str">
        <f aca="false">IF(H1205=0,"—",IF(H1205=1,"ὁμώνυμον",IF(H1205=2,"διὰ πασῶν",IF(H1205=3,"διὰ πέντε",IF(H1205=4,"διὰ τεσσάρων","?")))))</f>
        <v>ὁμώνυμον</v>
      </c>
      <c r="K1205" s="10"/>
      <c r="L1205" s="14"/>
      <c r="M1205" s="13"/>
    </row>
    <row r="1206" customFormat="false" ht="15.75" hidden="false" customHeight="true" outlineLevel="0" collapsed="false">
      <c r="A1206" s="8" t="n">
        <f aca="false">A1205+1</f>
        <v>1204</v>
      </c>
      <c r="B1206" s="9" t="n">
        <f aca="false">MOD(4*A1206^2,10)</f>
        <v>4</v>
      </c>
      <c r="C1206" s="9" t="n">
        <f aca="false">(26*B1206-5*B1206^2)/24</f>
        <v>1</v>
      </c>
      <c r="D1206" s="9" t="n">
        <f aca="false">(A1206^2+4*C1206)/5</f>
        <v>289924</v>
      </c>
      <c r="E1206" s="9" t="n">
        <f aca="false">MOD(D1206,10)</f>
        <v>4</v>
      </c>
      <c r="F1206" s="9" t="n">
        <f aca="false">2*D1206</f>
        <v>579848</v>
      </c>
      <c r="G1206" s="9" t="n">
        <f aca="false">MOD(F1206,10)</f>
        <v>8</v>
      </c>
      <c r="H1206" s="9" t="n">
        <f aca="false">G1206/2</f>
        <v>4</v>
      </c>
      <c r="I1206" s="9" t="str">
        <f aca="false">IF(H1206=0,"—",IF(H1206=1,"unison (1:1)",IF(H1206=2,"octave (2:1)",IF(H1206=3,"fifth (3:2)",IF(H1206=4,"fourth (4:3)","?")))))</f>
        <v>fourth (4:3)</v>
      </c>
      <c r="J1206" s="9" t="str">
        <f aca="false">IF(H1206=0,"—",IF(H1206=1,"ὁμώνυμον",IF(H1206=2,"διὰ πασῶν",IF(H1206=3,"διὰ πέντε",IF(H1206=4,"διὰ τεσσάρων","?")))))</f>
        <v>διὰ τεσσάρων</v>
      </c>
      <c r="K1206" s="10"/>
      <c r="L1206" s="14"/>
      <c r="M1206" s="13"/>
    </row>
    <row r="1207" customFormat="false" ht="15.75" hidden="false" customHeight="true" outlineLevel="0" collapsed="false">
      <c r="A1207" s="8" t="n">
        <f aca="false">A1206+1</f>
        <v>1205</v>
      </c>
      <c r="B1207" s="9" t="n">
        <f aca="false">MOD(4*A1207^2,10)</f>
        <v>0</v>
      </c>
      <c r="C1207" s="9" t="n">
        <f aca="false">(26*B1207-5*B1207^2)/24</f>
        <v>0</v>
      </c>
      <c r="D1207" s="9" t="n">
        <f aca="false">(A1207^2+4*C1207)/5</f>
        <v>290405</v>
      </c>
      <c r="E1207" s="9" t="n">
        <f aca="false">MOD(D1207,10)</f>
        <v>5</v>
      </c>
      <c r="F1207" s="9" t="n">
        <f aca="false">2*D1207</f>
        <v>580810</v>
      </c>
      <c r="G1207" s="9" t="n">
        <f aca="false">MOD(F1207,10)</f>
        <v>0</v>
      </c>
      <c r="H1207" s="9" t="n">
        <f aca="false">G1207/2</f>
        <v>0</v>
      </c>
      <c r="I1207" s="9" t="str">
        <f aca="false">IF(H1207=0,"—",IF(H1207=1,"unison (1:1)",IF(H1207=2,"octave (2:1)",IF(H1207=3,"fifth (3:2)",IF(H1207=4,"fourth (4:3)","?")))))</f>
        <v>—</v>
      </c>
      <c r="J1207" s="9" t="str">
        <f aca="false">IF(H1207=0,"—",IF(H1207=1,"ὁμώνυμον",IF(H1207=2,"διὰ πασῶν",IF(H1207=3,"διὰ πέντε",IF(H1207=4,"διὰ τεσσάρων","?")))))</f>
        <v>—</v>
      </c>
      <c r="K1207" s="10"/>
      <c r="L1207" s="14"/>
      <c r="M1207" s="13"/>
    </row>
    <row r="1208" customFormat="false" ht="15.75" hidden="false" customHeight="true" outlineLevel="0" collapsed="false">
      <c r="A1208" s="8" t="n">
        <f aca="false">A1207+1</f>
        <v>1206</v>
      </c>
      <c r="B1208" s="9" t="n">
        <f aca="false">MOD(4*A1208^2,10)</f>
        <v>4</v>
      </c>
      <c r="C1208" s="9" t="n">
        <f aca="false">(26*B1208-5*B1208^2)/24</f>
        <v>1</v>
      </c>
      <c r="D1208" s="9" t="n">
        <f aca="false">(A1208^2+4*C1208)/5</f>
        <v>290888</v>
      </c>
      <c r="E1208" s="9" t="n">
        <f aca="false">MOD(D1208,10)</f>
        <v>8</v>
      </c>
      <c r="F1208" s="9" t="n">
        <f aca="false">2*D1208</f>
        <v>581776</v>
      </c>
      <c r="G1208" s="9" t="n">
        <f aca="false">MOD(F1208,10)</f>
        <v>6</v>
      </c>
      <c r="H1208" s="9" t="n">
        <f aca="false">G1208/2</f>
        <v>3</v>
      </c>
      <c r="I1208" s="9" t="str">
        <f aca="false">IF(H1208=0,"—",IF(H1208=1,"unison (1:1)",IF(H1208=2,"octave (2:1)",IF(H1208=3,"fifth (3:2)",IF(H1208=4,"fourth (4:3)","?")))))</f>
        <v>fifth (3:2)</v>
      </c>
      <c r="J1208" s="9" t="str">
        <f aca="false">IF(H1208=0,"—",IF(H1208=1,"ὁμώνυμον",IF(H1208=2,"διὰ πασῶν",IF(H1208=3,"διὰ πέντε",IF(H1208=4,"διὰ τεσσάρων","?")))))</f>
        <v>διὰ πέντε</v>
      </c>
      <c r="K1208" s="10"/>
      <c r="L1208" s="14"/>
      <c r="M1208" s="13"/>
    </row>
    <row r="1209" customFormat="false" ht="15.75" hidden="false" customHeight="true" outlineLevel="0" collapsed="false">
      <c r="A1209" s="8" t="n">
        <f aca="false">A1208+1</f>
        <v>1207</v>
      </c>
      <c r="B1209" s="9" t="n">
        <f aca="false">MOD(4*A1209^2,10)</f>
        <v>6</v>
      </c>
      <c r="C1209" s="9" t="n">
        <f aca="false">(26*B1209-5*B1209^2)/24</f>
        <v>-1</v>
      </c>
      <c r="D1209" s="9" t="n">
        <f aca="false">(A1209^2+4*C1209)/5</f>
        <v>291369</v>
      </c>
      <c r="E1209" s="9" t="n">
        <f aca="false">MOD(D1209,10)</f>
        <v>9</v>
      </c>
      <c r="F1209" s="9" t="n">
        <f aca="false">2*D1209</f>
        <v>582738</v>
      </c>
      <c r="G1209" s="9" t="n">
        <f aca="false">MOD(F1209,10)</f>
        <v>8</v>
      </c>
      <c r="H1209" s="9" t="n">
        <f aca="false">G1209/2</f>
        <v>4</v>
      </c>
      <c r="I1209" s="9" t="str">
        <f aca="false">IF(H1209=0,"—",IF(H1209=1,"unison (1:1)",IF(H1209=2,"octave (2:1)",IF(H1209=3,"fifth (3:2)",IF(H1209=4,"fourth (4:3)","?")))))</f>
        <v>fourth (4:3)</v>
      </c>
      <c r="J1209" s="9" t="str">
        <f aca="false">IF(H1209=0,"—",IF(H1209=1,"ὁμώνυμον",IF(H1209=2,"διὰ πασῶν",IF(H1209=3,"διὰ πέντε",IF(H1209=4,"διὰ τεσσάρων","?")))))</f>
        <v>διὰ τεσσάρων</v>
      </c>
      <c r="K1209" s="10"/>
      <c r="L1209" s="14"/>
      <c r="M1209" s="13"/>
    </row>
    <row r="1210" customFormat="false" ht="15.75" hidden="false" customHeight="true" outlineLevel="0" collapsed="false">
      <c r="A1210" s="8" t="n">
        <f aca="false">A1209+1</f>
        <v>1208</v>
      </c>
      <c r="B1210" s="9" t="n">
        <f aca="false">MOD(4*A1210^2,10)</f>
        <v>6</v>
      </c>
      <c r="C1210" s="9" t="n">
        <f aca="false">(26*B1210-5*B1210^2)/24</f>
        <v>-1</v>
      </c>
      <c r="D1210" s="9" t="n">
        <f aca="false">(A1210^2+4*C1210)/5</f>
        <v>291852</v>
      </c>
      <c r="E1210" s="9" t="n">
        <f aca="false">MOD(D1210,10)</f>
        <v>2</v>
      </c>
      <c r="F1210" s="9" t="n">
        <f aca="false">2*D1210</f>
        <v>583704</v>
      </c>
      <c r="G1210" s="9" t="n">
        <f aca="false">MOD(F1210,10)</f>
        <v>4</v>
      </c>
      <c r="H1210" s="9" t="n">
        <f aca="false">G1210/2</f>
        <v>2</v>
      </c>
      <c r="I1210" s="9" t="str">
        <f aca="false">IF(H1210=0,"—",IF(H1210=1,"unison (1:1)",IF(H1210=2,"octave (2:1)",IF(H1210=3,"fifth (3:2)",IF(H1210=4,"fourth (4:3)","?")))))</f>
        <v>octave (2:1)</v>
      </c>
      <c r="J1210" s="9" t="str">
        <f aca="false">IF(H1210=0,"—",IF(H1210=1,"ὁμώνυμον",IF(H1210=2,"διὰ πασῶν",IF(H1210=3,"διὰ πέντε",IF(H1210=4,"διὰ τεσσάρων","?")))))</f>
        <v>διὰ πασῶν</v>
      </c>
      <c r="K1210" s="10"/>
      <c r="L1210" s="14"/>
      <c r="M1210" s="13"/>
    </row>
    <row r="1211" customFormat="false" ht="15.75" hidden="false" customHeight="true" outlineLevel="0" collapsed="false">
      <c r="A1211" s="8" t="n">
        <f aca="false">A1210+1</f>
        <v>1209</v>
      </c>
      <c r="B1211" s="9" t="n">
        <f aca="false">MOD(4*A1211^2,10)</f>
        <v>4</v>
      </c>
      <c r="C1211" s="9" t="n">
        <f aca="false">(26*B1211-5*B1211^2)/24</f>
        <v>1</v>
      </c>
      <c r="D1211" s="9" t="n">
        <f aca="false">(A1211^2+4*C1211)/5</f>
        <v>292337</v>
      </c>
      <c r="E1211" s="9" t="n">
        <f aca="false">MOD(D1211,10)</f>
        <v>7</v>
      </c>
      <c r="F1211" s="9" t="n">
        <f aca="false">2*D1211</f>
        <v>584674</v>
      </c>
      <c r="G1211" s="9" t="n">
        <f aca="false">MOD(F1211,10)</f>
        <v>4</v>
      </c>
      <c r="H1211" s="9" t="n">
        <f aca="false">G1211/2</f>
        <v>2</v>
      </c>
      <c r="I1211" s="9" t="str">
        <f aca="false">IF(H1211=0,"—",IF(H1211=1,"unison (1:1)",IF(H1211=2,"octave (2:1)",IF(H1211=3,"fifth (3:2)",IF(H1211=4,"fourth (4:3)","?")))))</f>
        <v>octave (2:1)</v>
      </c>
      <c r="J1211" s="9" t="str">
        <f aca="false">IF(H1211=0,"—",IF(H1211=1,"ὁμώνυμον",IF(H1211=2,"διὰ πασῶν",IF(H1211=3,"διὰ πέντε",IF(H1211=4,"διὰ τεσσάρων","?")))))</f>
        <v>διὰ πασῶν</v>
      </c>
      <c r="K1211" s="10"/>
      <c r="L1211" s="14"/>
      <c r="M1211" s="13"/>
    </row>
    <row r="1212" customFormat="false" ht="15.75" hidden="false" customHeight="true" outlineLevel="0" collapsed="false">
      <c r="A1212" s="8" t="n">
        <f aca="false">A1211+1</f>
        <v>1210</v>
      </c>
      <c r="B1212" s="9" t="n">
        <f aca="false">MOD(4*A1212^2,10)</f>
        <v>0</v>
      </c>
      <c r="C1212" s="9" t="n">
        <f aca="false">(26*B1212-5*B1212^2)/24</f>
        <v>0</v>
      </c>
      <c r="D1212" s="9" t="n">
        <f aca="false">(A1212^2+4*C1212)/5</f>
        <v>292820</v>
      </c>
      <c r="E1212" s="9" t="n">
        <f aca="false">MOD(D1212,10)</f>
        <v>0</v>
      </c>
      <c r="F1212" s="9" t="n">
        <f aca="false">2*D1212</f>
        <v>585640</v>
      </c>
      <c r="G1212" s="9" t="n">
        <f aca="false">MOD(F1212,10)</f>
        <v>0</v>
      </c>
      <c r="H1212" s="9" t="n">
        <f aca="false">G1212/2</f>
        <v>0</v>
      </c>
      <c r="I1212" s="9" t="str">
        <f aca="false">IF(H1212=0,"—",IF(H1212=1,"unison (1:1)",IF(H1212=2,"octave (2:1)",IF(H1212=3,"fifth (3:2)",IF(H1212=4,"fourth (4:3)","?")))))</f>
        <v>—</v>
      </c>
      <c r="J1212" s="9" t="str">
        <f aca="false">IF(H1212=0,"—",IF(H1212=1,"ὁμώνυμον",IF(H1212=2,"διὰ πασῶν",IF(H1212=3,"διὰ πέντε",IF(H1212=4,"διὰ τεσσάρων","?")))))</f>
        <v>—</v>
      </c>
      <c r="K1212" s="10"/>
      <c r="L1212" s="14"/>
      <c r="M1212" s="13"/>
    </row>
    <row r="1213" customFormat="false" ht="15.75" hidden="false" customHeight="true" outlineLevel="0" collapsed="false">
      <c r="A1213" s="8" t="n">
        <f aca="false">A1212+1</f>
        <v>1211</v>
      </c>
      <c r="B1213" s="9" t="n">
        <f aca="false">MOD(4*A1213^2,10)</f>
        <v>4</v>
      </c>
      <c r="C1213" s="9" t="n">
        <f aca="false">(26*B1213-5*B1213^2)/24</f>
        <v>1</v>
      </c>
      <c r="D1213" s="9" t="n">
        <f aca="false">(A1213^2+4*C1213)/5</f>
        <v>293305</v>
      </c>
      <c r="E1213" s="9" t="n">
        <f aca="false">MOD(D1213,10)</f>
        <v>5</v>
      </c>
      <c r="F1213" s="9" t="n">
        <f aca="false">2*D1213</f>
        <v>586610</v>
      </c>
      <c r="G1213" s="9" t="n">
        <f aca="false">MOD(F1213,10)</f>
        <v>0</v>
      </c>
      <c r="H1213" s="9" t="n">
        <f aca="false">G1213/2</f>
        <v>0</v>
      </c>
      <c r="I1213" s="9" t="str">
        <f aca="false">IF(H1213=0,"—",IF(H1213=1,"unison (1:1)",IF(H1213=2,"octave (2:1)",IF(H1213=3,"fifth (3:2)",IF(H1213=4,"fourth (4:3)","?")))))</f>
        <v>—</v>
      </c>
      <c r="J1213" s="9" t="str">
        <f aca="false">IF(H1213=0,"—",IF(H1213=1,"ὁμώνυμον",IF(H1213=2,"διὰ πασῶν",IF(H1213=3,"διὰ πέντε",IF(H1213=4,"διὰ τεσσάρων","?")))))</f>
        <v>—</v>
      </c>
      <c r="K1213" s="10"/>
      <c r="L1213" s="14"/>
      <c r="M1213" s="13"/>
    </row>
    <row r="1214" customFormat="false" ht="15.75" hidden="false" customHeight="true" outlineLevel="0" collapsed="false">
      <c r="A1214" s="8" t="n">
        <f aca="false">A1213+1</f>
        <v>1212</v>
      </c>
      <c r="B1214" s="9" t="n">
        <f aca="false">MOD(4*A1214^2,10)</f>
        <v>6</v>
      </c>
      <c r="C1214" s="9" t="n">
        <f aca="false">(26*B1214-5*B1214^2)/24</f>
        <v>-1</v>
      </c>
      <c r="D1214" s="9" t="n">
        <f aca="false">(A1214^2+4*C1214)/5</f>
        <v>293788</v>
      </c>
      <c r="E1214" s="9" t="n">
        <f aca="false">MOD(D1214,10)</f>
        <v>8</v>
      </c>
      <c r="F1214" s="9" t="n">
        <f aca="false">2*D1214</f>
        <v>587576</v>
      </c>
      <c r="G1214" s="9" t="n">
        <f aca="false">MOD(F1214,10)</f>
        <v>6</v>
      </c>
      <c r="H1214" s="9" t="n">
        <f aca="false">G1214/2</f>
        <v>3</v>
      </c>
      <c r="I1214" s="9" t="str">
        <f aca="false">IF(H1214=0,"—",IF(H1214=1,"unison (1:1)",IF(H1214=2,"octave (2:1)",IF(H1214=3,"fifth (3:2)",IF(H1214=4,"fourth (4:3)","?")))))</f>
        <v>fifth (3:2)</v>
      </c>
      <c r="J1214" s="9" t="str">
        <f aca="false">IF(H1214=0,"—",IF(H1214=1,"ὁμώνυμον",IF(H1214=2,"διὰ πασῶν",IF(H1214=3,"διὰ πέντε",IF(H1214=4,"διὰ τεσσάρων","?")))))</f>
        <v>διὰ πέντε</v>
      </c>
      <c r="K1214" s="10"/>
      <c r="L1214" s="14"/>
      <c r="M1214" s="13"/>
    </row>
    <row r="1215" customFormat="false" ht="15.75" hidden="false" customHeight="true" outlineLevel="0" collapsed="false">
      <c r="A1215" s="8" t="n">
        <f aca="false">A1214+1</f>
        <v>1213</v>
      </c>
      <c r="B1215" s="9" t="n">
        <f aca="false">MOD(4*A1215^2,10)</f>
        <v>6</v>
      </c>
      <c r="C1215" s="9" t="n">
        <f aca="false">(26*B1215-5*B1215^2)/24</f>
        <v>-1</v>
      </c>
      <c r="D1215" s="9" t="n">
        <f aca="false">(A1215^2+4*C1215)/5</f>
        <v>294273</v>
      </c>
      <c r="E1215" s="9" t="n">
        <f aca="false">MOD(D1215,10)</f>
        <v>3</v>
      </c>
      <c r="F1215" s="9" t="n">
        <f aca="false">2*D1215</f>
        <v>588546</v>
      </c>
      <c r="G1215" s="9" t="n">
        <f aca="false">MOD(F1215,10)</f>
        <v>6</v>
      </c>
      <c r="H1215" s="9" t="n">
        <f aca="false">G1215/2</f>
        <v>3</v>
      </c>
      <c r="I1215" s="9" t="str">
        <f aca="false">IF(H1215=0,"—",IF(H1215=1,"unison (1:1)",IF(H1215=2,"octave (2:1)",IF(H1215=3,"fifth (3:2)",IF(H1215=4,"fourth (4:3)","?")))))</f>
        <v>fifth (3:2)</v>
      </c>
      <c r="J1215" s="9" t="str">
        <f aca="false">IF(H1215=0,"—",IF(H1215=1,"ὁμώνυμον",IF(H1215=2,"διὰ πασῶν",IF(H1215=3,"διὰ πέντε",IF(H1215=4,"διὰ τεσσάρων","?")))))</f>
        <v>διὰ πέντε</v>
      </c>
      <c r="K1215" s="10"/>
      <c r="L1215" s="14"/>
      <c r="M1215" s="13"/>
    </row>
    <row r="1216" customFormat="false" ht="15.75" hidden="false" customHeight="true" outlineLevel="0" collapsed="false">
      <c r="A1216" s="8" t="n">
        <f aca="false">A1215+1</f>
        <v>1214</v>
      </c>
      <c r="B1216" s="9" t="n">
        <f aca="false">MOD(4*A1216^2,10)</f>
        <v>4</v>
      </c>
      <c r="C1216" s="9" t="n">
        <f aca="false">(26*B1216-5*B1216^2)/24</f>
        <v>1</v>
      </c>
      <c r="D1216" s="9" t="n">
        <f aca="false">(A1216^2+4*C1216)/5</f>
        <v>294760</v>
      </c>
      <c r="E1216" s="9" t="n">
        <f aca="false">MOD(D1216,10)</f>
        <v>0</v>
      </c>
      <c r="F1216" s="9" t="n">
        <f aca="false">2*D1216</f>
        <v>589520</v>
      </c>
      <c r="G1216" s="9" t="n">
        <f aca="false">MOD(F1216,10)</f>
        <v>0</v>
      </c>
      <c r="H1216" s="9" t="n">
        <f aca="false">G1216/2</f>
        <v>0</v>
      </c>
      <c r="I1216" s="9" t="str">
        <f aca="false">IF(H1216=0,"—",IF(H1216=1,"unison (1:1)",IF(H1216=2,"octave (2:1)",IF(H1216=3,"fifth (3:2)",IF(H1216=4,"fourth (4:3)","?")))))</f>
        <v>—</v>
      </c>
      <c r="J1216" s="9" t="str">
        <f aca="false">IF(H1216=0,"—",IF(H1216=1,"ὁμώνυμον",IF(H1216=2,"διὰ πασῶν",IF(H1216=3,"διὰ πέντε",IF(H1216=4,"διὰ τεσσάρων","?")))))</f>
        <v>—</v>
      </c>
      <c r="K1216" s="10"/>
      <c r="L1216" s="14"/>
      <c r="M1216" s="13"/>
    </row>
    <row r="1217" customFormat="false" ht="15.75" hidden="false" customHeight="true" outlineLevel="0" collapsed="false">
      <c r="A1217" s="8" t="n">
        <f aca="false">A1216+1</f>
        <v>1215</v>
      </c>
      <c r="B1217" s="9" t="n">
        <f aca="false">MOD(4*A1217^2,10)</f>
        <v>0</v>
      </c>
      <c r="C1217" s="9" t="n">
        <f aca="false">(26*B1217-5*B1217^2)/24</f>
        <v>0</v>
      </c>
      <c r="D1217" s="9" t="n">
        <f aca="false">(A1217^2+4*C1217)/5</f>
        <v>295245</v>
      </c>
      <c r="E1217" s="9" t="n">
        <f aca="false">MOD(D1217,10)</f>
        <v>5</v>
      </c>
      <c r="F1217" s="9" t="n">
        <f aca="false">2*D1217</f>
        <v>590490</v>
      </c>
      <c r="G1217" s="9" t="n">
        <f aca="false">MOD(F1217,10)</f>
        <v>0</v>
      </c>
      <c r="H1217" s="9" t="n">
        <f aca="false">G1217/2</f>
        <v>0</v>
      </c>
      <c r="I1217" s="9" t="str">
        <f aca="false">IF(H1217=0,"—",IF(H1217=1,"unison (1:1)",IF(H1217=2,"octave (2:1)",IF(H1217=3,"fifth (3:2)",IF(H1217=4,"fourth (4:3)","?")))))</f>
        <v>—</v>
      </c>
      <c r="J1217" s="9" t="str">
        <f aca="false">IF(H1217=0,"—",IF(H1217=1,"ὁμώνυμον",IF(H1217=2,"διὰ πασῶν",IF(H1217=3,"διὰ πέντε",IF(H1217=4,"διὰ τεσσάρων","?")))))</f>
        <v>—</v>
      </c>
      <c r="K1217" s="10"/>
      <c r="L1217" s="14"/>
      <c r="M1217" s="13"/>
    </row>
    <row r="1218" customFormat="false" ht="15.75" hidden="false" customHeight="true" outlineLevel="0" collapsed="false">
      <c r="A1218" s="8" t="n">
        <f aca="false">A1217+1</f>
        <v>1216</v>
      </c>
      <c r="B1218" s="9" t="n">
        <f aca="false">MOD(4*A1218^2,10)</f>
        <v>4</v>
      </c>
      <c r="C1218" s="9" t="n">
        <f aca="false">(26*B1218-5*B1218^2)/24</f>
        <v>1</v>
      </c>
      <c r="D1218" s="9" t="n">
        <f aca="false">(A1218^2+4*C1218)/5</f>
        <v>295732</v>
      </c>
      <c r="E1218" s="9" t="n">
        <f aca="false">MOD(D1218,10)</f>
        <v>2</v>
      </c>
      <c r="F1218" s="9" t="n">
        <f aca="false">2*D1218</f>
        <v>591464</v>
      </c>
      <c r="G1218" s="9" t="n">
        <f aca="false">MOD(F1218,10)</f>
        <v>4</v>
      </c>
      <c r="H1218" s="9" t="n">
        <f aca="false">G1218/2</f>
        <v>2</v>
      </c>
      <c r="I1218" s="9" t="str">
        <f aca="false">IF(H1218=0,"—",IF(H1218=1,"unison (1:1)",IF(H1218=2,"octave (2:1)",IF(H1218=3,"fifth (3:2)",IF(H1218=4,"fourth (4:3)","?")))))</f>
        <v>octave (2:1)</v>
      </c>
      <c r="J1218" s="9" t="str">
        <f aca="false">IF(H1218=0,"—",IF(H1218=1,"ὁμώνυμον",IF(H1218=2,"διὰ πασῶν",IF(H1218=3,"διὰ πέντε",IF(H1218=4,"διὰ τεσσάρων","?")))))</f>
        <v>διὰ πασῶν</v>
      </c>
      <c r="K1218" s="10"/>
      <c r="L1218" s="14"/>
      <c r="M1218" s="13"/>
    </row>
    <row r="1219" customFormat="false" ht="15.75" hidden="false" customHeight="true" outlineLevel="0" collapsed="false">
      <c r="A1219" s="8" t="n">
        <f aca="false">A1218+1</f>
        <v>1217</v>
      </c>
      <c r="B1219" s="9" t="n">
        <f aca="false">MOD(4*A1219^2,10)</f>
        <v>6</v>
      </c>
      <c r="C1219" s="9" t="n">
        <f aca="false">(26*B1219-5*B1219^2)/24</f>
        <v>-1</v>
      </c>
      <c r="D1219" s="9" t="n">
        <f aca="false">(A1219^2+4*C1219)/5</f>
        <v>296217</v>
      </c>
      <c r="E1219" s="9" t="n">
        <f aca="false">MOD(D1219,10)</f>
        <v>7</v>
      </c>
      <c r="F1219" s="9" t="n">
        <f aca="false">2*D1219</f>
        <v>592434</v>
      </c>
      <c r="G1219" s="9" t="n">
        <f aca="false">MOD(F1219,10)</f>
        <v>4</v>
      </c>
      <c r="H1219" s="9" t="n">
        <f aca="false">G1219/2</f>
        <v>2</v>
      </c>
      <c r="I1219" s="9" t="str">
        <f aca="false">IF(H1219=0,"—",IF(H1219=1,"unison (1:1)",IF(H1219=2,"octave (2:1)",IF(H1219=3,"fifth (3:2)",IF(H1219=4,"fourth (4:3)","?")))))</f>
        <v>octave (2:1)</v>
      </c>
      <c r="J1219" s="9" t="str">
        <f aca="false">IF(H1219=0,"—",IF(H1219=1,"ὁμώνυμον",IF(H1219=2,"διὰ πασῶν",IF(H1219=3,"διὰ πέντε",IF(H1219=4,"διὰ τεσσάρων","?")))))</f>
        <v>διὰ πασῶν</v>
      </c>
      <c r="K1219" s="10"/>
      <c r="L1219" s="14"/>
      <c r="M1219" s="13"/>
    </row>
    <row r="1220" customFormat="false" ht="15.75" hidden="false" customHeight="true" outlineLevel="0" collapsed="false">
      <c r="A1220" s="8" t="n">
        <f aca="false">A1219+1</f>
        <v>1218</v>
      </c>
      <c r="B1220" s="9" t="n">
        <f aca="false">MOD(4*A1220^2,10)</f>
        <v>6</v>
      </c>
      <c r="C1220" s="9" t="n">
        <f aca="false">(26*B1220-5*B1220^2)/24</f>
        <v>-1</v>
      </c>
      <c r="D1220" s="9" t="n">
        <f aca="false">(A1220^2+4*C1220)/5</f>
        <v>296704</v>
      </c>
      <c r="E1220" s="9" t="n">
        <f aca="false">MOD(D1220,10)</f>
        <v>4</v>
      </c>
      <c r="F1220" s="9" t="n">
        <f aca="false">2*D1220</f>
        <v>593408</v>
      </c>
      <c r="G1220" s="9" t="n">
        <f aca="false">MOD(F1220,10)</f>
        <v>8</v>
      </c>
      <c r="H1220" s="9" t="n">
        <f aca="false">G1220/2</f>
        <v>4</v>
      </c>
      <c r="I1220" s="9" t="str">
        <f aca="false">IF(H1220=0,"—",IF(H1220=1,"unison (1:1)",IF(H1220=2,"octave (2:1)",IF(H1220=3,"fifth (3:2)",IF(H1220=4,"fourth (4:3)","?")))))</f>
        <v>fourth (4:3)</v>
      </c>
      <c r="J1220" s="9" t="str">
        <f aca="false">IF(H1220=0,"—",IF(H1220=1,"ὁμώνυμον",IF(H1220=2,"διὰ πασῶν",IF(H1220=3,"διὰ πέντε",IF(H1220=4,"διὰ τεσσάρων","?")))))</f>
        <v>διὰ τεσσάρων</v>
      </c>
      <c r="K1220" s="10"/>
      <c r="L1220" s="14"/>
      <c r="M1220" s="13"/>
    </row>
    <row r="1221" customFormat="false" ht="15.75" hidden="false" customHeight="true" outlineLevel="0" collapsed="false">
      <c r="A1221" s="8" t="n">
        <f aca="false">A1220+1</f>
        <v>1219</v>
      </c>
      <c r="B1221" s="9" t="n">
        <f aca="false">MOD(4*A1221^2,10)</f>
        <v>4</v>
      </c>
      <c r="C1221" s="9" t="n">
        <f aca="false">(26*B1221-5*B1221^2)/24</f>
        <v>1</v>
      </c>
      <c r="D1221" s="9" t="n">
        <f aca="false">(A1221^2+4*C1221)/5</f>
        <v>297193</v>
      </c>
      <c r="E1221" s="9" t="n">
        <f aca="false">MOD(D1221,10)</f>
        <v>3</v>
      </c>
      <c r="F1221" s="9" t="n">
        <f aca="false">2*D1221</f>
        <v>594386</v>
      </c>
      <c r="G1221" s="9" t="n">
        <f aca="false">MOD(F1221,10)</f>
        <v>6</v>
      </c>
      <c r="H1221" s="9" t="n">
        <f aca="false">G1221/2</f>
        <v>3</v>
      </c>
      <c r="I1221" s="9" t="str">
        <f aca="false">IF(H1221=0,"—",IF(H1221=1,"unison (1:1)",IF(H1221=2,"octave (2:1)",IF(H1221=3,"fifth (3:2)",IF(H1221=4,"fourth (4:3)","?")))))</f>
        <v>fifth (3:2)</v>
      </c>
      <c r="J1221" s="9" t="str">
        <f aca="false">IF(H1221=0,"—",IF(H1221=1,"ὁμώνυμον",IF(H1221=2,"διὰ πασῶν",IF(H1221=3,"διὰ πέντε",IF(H1221=4,"διὰ τεσσάρων","?")))))</f>
        <v>διὰ πέντε</v>
      </c>
      <c r="K1221" s="10"/>
      <c r="L1221" s="14"/>
      <c r="M1221" s="13"/>
    </row>
    <row r="1222" customFormat="false" ht="15.75" hidden="false" customHeight="true" outlineLevel="0" collapsed="false">
      <c r="A1222" s="8" t="n">
        <f aca="false">A1221+1</f>
        <v>1220</v>
      </c>
      <c r="B1222" s="9" t="n">
        <f aca="false">MOD(4*A1222^2,10)</f>
        <v>0</v>
      </c>
      <c r="C1222" s="9" t="n">
        <f aca="false">(26*B1222-5*B1222^2)/24</f>
        <v>0</v>
      </c>
      <c r="D1222" s="9" t="n">
        <f aca="false">(A1222^2+4*C1222)/5</f>
        <v>297680</v>
      </c>
      <c r="E1222" s="9" t="n">
        <f aca="false">MOD(D1222,10)</f>
        <v>0</v>
      </c>
      <c r="F1222" s="9" t="n">
        <f aca="false">2*D1222</f>
        <v>595360</v>
      </c>
      <c r="G1222" s="9" t="n">
        <f aca="false">MOD(F1222,10)</f>
        <v>0</v>
      </c>
      <c r="H1222" s="9" t="n">
        <f aca="false">G1222/2</f>
        <v>0</v>
      </c>
      <c r="I1222" s="9" t="str">
        <f aca="false">IF(H1222=0,"—",IF(H1222=1,"unison (1:1)",IF(H1222=2,"octave (2:1)",IF(H1222=3,"fifth (3:2)",IF(H1222=4,"fourth (4:3)","?")))))</f>
        <v>—</v>
      </c>
      <c r="J1222" s="9" t="str">
        <f aca="false">IF(H1222=0,"—",IF(H1222=1,"ὁμώνυμον",IF(H1222=2,"διὰ πασῶν",IF(H1222=3,"διὰ πέντε",IF(H1222=4,"διὰ τεσσάρων","?")))))</f>
        <v>—</v>
      </c>
      <c r="K1222" s="10"/>
      <c r="L1222" s="14"/>
      <c r="M1222" s="13"/>
    </row>
    <row r="1223" customFormat="false" ht="15.75" hidden="false" customHeight="true" outlineLevel="0" collapsed="false">
      <c r="A1223" s="8" t="n">
        <f aca="false">A1222+1</f>
        <v>1221</v>
      </c>
      <c r="B1223" s="9" t="n">
        <f aca="false">MOD(4*A1223^2,10)</f>
        <v>4</v>
      </c>
      <c r="C1223" s="9" t="n">
        <f aca="false">(26*B1223-5*B1223^2)/24</f>
        <v>1</v>
      </c>
      <c r="D1223" s="9" t="n">
        <f aca="false">(A1223^2+4*C1223)/5</f>
        <v>298169</v>
      </c>
      <c r="E1223" s="9" t="n">
        <f aca="false">MOD(D1223,10)</f>
        <v>9</v>
      </c>
      <c r="F1223" s="9" t="n">
        <f aca="false">2*D1223</f>
        <v>596338</v>
      </c>
      <c r="G1223" s="9" t="n">
        <f aca="false">MOD(F1223,10)</f>
        <v>8</v>
      </c>
      <c r="H1223" s="9" t="n">
        <f aca="false">G1223/2</f>
        <v>4</v>
      </c>
      <c r="I1223" s="9" t="str">
        <f aca="false">IF(H1223=0,"—",IF(H1223=1,"unison (1:1)",IF(H1223=2,"octave (2:1)",IF(H1223=3,"fifth (3:2)",IF(H1223=4,"fourth (4:3)","?")))))</f>
        <v>fourth (4:3)</v>
      </c>
      <c r="J1223" s="9" t="str">
        <f aca="false">IF(H1223=0,"—",IF(H1223=1,"ὁμώνυμον",IF(H1223=2,"διὰ πασῶν",IF(H1223=3,"διὰ πέντε",IF(H1223=4,"διὰ τεσσάρων","?")))))</f>
        <v>διὰ τεσσάρων</v>
      </c>
      <c r="K1223" s="10"/>
      <c r="L1223" s="14"/>
      <c r="M1223" s="13"/>
    </row>
    <row r="1224" customFormat="false" ht="15.75" hidden="false" customHeight="true" outlineLevel="0" collapsed="false">
      <c r="A1224" s="8" t="n">
        <f aca="false">A1223+1</f>
        <v>1222</v>
      </c>
      <c r="B1224" s="9" t="n">
        <f aca="false">MOD(4*A1224^2,10)</f>
        <v>6</v>
      </c>
      <c r="C1224" s="9" t="n">
        <f aca="false">(26*B1224-5*B1224^2)/24</f>
        <v>-1</v>
      </c>
      <c r="D1224" s="9" t="n">
        <f aca="false">(A1224^2+4*C1224)/5</f>
        <v>298656</v>
      </c>
      <c r="E1224" s="9" t="n">
        <f aca="false">MOD(D1224,10)</f>
        <v>6</v>
      </c>
      <c r="F1224" s="9" t="n">
        <f aca="false">2*D1224</f>
        <v>597312</v>
      </c>
      <c r="G1224" s="9" t="n">
        <f aca="false">MOD(F1224,10)</f>
        <v>2</v>
      </c>
      <c r="H1224" s="9" t="n">
        <f aca="false">G1224/2</f>
        <v>1</v>
      </c>
      <c r="I1224" s="9" t="str">
        <f aca="false">IF(H1224=0,"—",IF(H1224=1,"unison (1:1)",IF(H1224=2,"octave (2:1)",IF(H1224=3,"fifth (3:2)",IF(H1224=4,"fourth (4:3)","?")))))</f>
        <v>unison (1:1)</v>
      </c>
      <c r="J1224" s="9" t="str">
        <f aca="false">IF(H1224=0,"—",IF(H1224=1,"ὁμώνυμον",IF(H1224=2,"διὰ πασῶν",IF(H1224=3,"διὰ πέντε",IF(H1224=4,"διὰ τεσσάρων","?")))))</f>
        <v>ὁμώνυμον</v>
      </c>
      <c r="K1224" s="10"/>
      <c r="L1224" s="14"/>
      <c r="M1224" s="13"/>
    </row>
    <row r="1225" customFormat="false" ht="15.75" hidden="false" customHeight="true" outlineLevel="0" collapsed="false">
      <c r="A1225" s="8" t="n">
        <f aca="false">A1224+1</f>
        <v>1223</v>
      </c>
      <c r="B1225" s="9" t="n">
        <f aca="false">MOD(4*A1225^2,10)</f>
        <v>6</v>
      </c>
      <c r="C1225" s="9" t="n">
        <f aca="false">(26*B1225-5*B1225^2)/24</f>
        <v>-1</v>
      </c>
      <c r="D1225" s="9" t="n">
        <f aca="false">(A1225^2+4*C1225)/5</f>
        <v>299145</v>
      </c>
      <c r="E1225" s="9" t="n">
        <f aca="false">MOD(D1225,10)</f>
        <v>5</v>
      </c>
      <c r="F1225" s="9" t="n">
        <f aca="false">2*D1225</f>
        <v>598290</v>
      </c>
      <c r="G1225" s="9" t="n">
        <f aca="false">MOD(F1225,10)</f>
        <v>0</v>
      </c>
      <c r="H1225" s="9" t="n">
        <f aca="false">G1225/2</f>
        <v>0</v>
      </c>
      <c r="I1225" s="9" t="str">
        <f aca="false">IF(H1225=0,"—",IF(H1225=1,"unison (1:1)",IF(H1225=2,"octave (2:1)",IF(H1225=3,"fifth (3:2)",IF(H1225=4,"fourth (4:3)","?")))))</f>
        <v>—</v>
      </c>
      <c r="J1225" s="9" t="str">
        <f aca="false">IF(H1225=0,"—",IF(H1225=1,"ὁμώνυμον",IF(H1225=2,"διὰ πασῶν",IF(H1225=3,"διὰ πέντε",IF(H1225=4,"διὰ τεσσάρων","?")))))</f>
        <v>—</v>
      </c>
      <c r="K1225" s="10"/>
      <c r="L1225" s="14"/>
      <c r="M1225" s="13"/>
    </row>
    <row r="1226" customFormat="false" ht="15.75" hidden="false" customHeight="true" outlineLevel="0" collapsed="false">
      <c r="A1226" s="8" t="n">
        <f aca="false">A1225+1</f>
        <v>1224</v>
      </c>
      <c r="B1226" s="9" t="n">
        <f aca="false">MOD(4*A1226^2,10)</f>
        <v>4</v>
      </c>
      <c r="C1226" s="9" t="n">
        <f aca="false">(26*B1226-5*B1226^2)/24</f>
        <v>1</v>
      </c>
      <c r="D1226" s="9" t="n">
        <f aca="false">(A1226^2+4*C1226)/5</f>
        <v>299636</v>
      </c>
      <c r="E1226" s="9" t="n">
        <f aca="false">MOD(D1226,10)</f>
        <v>6</v>
      </c>
      <c r="F1226" s="9" t="n">
        <f aca="false">2*D1226</f>
        <v>599272</v>
      </c>
      <c r="G1226" s="9" t="n">
        <f aca="false">MOD(F1226,10)</f>
        <v>2</v>
      </c>
      <c r="H1226" s="9" t="n">
        <f aca="false">G1226/2</f>
        <v>1</v>
      </c>
      <c r="I1226" s="9" t="str">
        <f aca="false">IF(H1226=0,"—",IF(H1226=1,"unison (1:1)",IF(H1226=2,"octave (2:1)",IF(H1226=3,"fifth (3:2)",IF(H1226=4,"fourth (4:3)","?")))))</f>
        <v>unison (1:1)</v>
      </c>
      <c r="J1226" s="9" t="str">
        <f aca="false">IF(H1226=0,"—",IF(H1226=1,"ὁμώνυμον",IF(H1226=2,"διὰ πασῶν",IF(H1226=3,"διὰ πέντε",IF(H1226=4,"διὰ τεσσάρων","?")))))</f>
        <v>ὁμώνυμον</v>
      </c>
      <c r="K1226" s="10"/>
      <c r="L1226" s="14"/>
      <c r="M1226" s="13"/>
    </row>
    <row r="1227" customFormat="false" ht="15.75" hidden="false" customHeight="true" outlineLevel="0" collapsed="false">
      <c r="A1227" s="8" t="n">
        <f aca="false">A1226+1</f>
        <v>1225</v>
      </c>
      <c r="B1227" s="9" t="n">
        <f aca="false">MOD(4*A1227^2,10)</f>
        <v>0</v>
      </c>
      <c r="C1227" s="9" t="n">
        <f aca="false">(26*B1227-5*B1227^2)/24</f>
        <v>0</v>
      </c>
      <c r="D1227" s="9" t="n">
        <f aca="false">(A1227^2+4*C1227)/5</f>
        <v>300125</v>
      </c>
      <c r="E1227" s="9" t="n">
        <f aca="false">MOD(D1227,10)</f>
        <v>5</v>
      </c>
      <c r="F1227" s="9" t="n">
        <f aca="false">2*D1227</f>
        <v>600250</v>
      </c>
      <c r="G1227" s="9" t="n">
        <f aca="false">MOD(F1227,10)</f>
        <v>0</v>
      </c>
      <c r="H1227" s="9" t="n">
        <f aca="false">G1227/2</f>
        <v>0</v>
      </c>
      <c r="I1227" s="9" t="str">
        <f aca="false">IF(H1227=0,"—",IF(H1227=1,"unison (1:1)",IF(H1227=2,"octave (2:1)",IF(H1227=3,"fifth (3:2)",IF(H1227=4,"fourth (4:3)","?")))))</f>
        <v>—</v>
      </c>
      <c r="J1227" s="9" t="str">
        <f aca="false">IF(H1227=0,"—",IF(H1227=1,"ὁμώνυμον",IF(H1227=2,"διὰ πασῶν",IF(H1227=3,"διὰ πέντε",IF(H1227=4,"διὰ τεσσάρων","?")))))</f>
        <v>—</v>
      </c>
      <c r="K1227" s="10"/>
      <c r="L1227" s="14"/>
      <c r="M1227" s="13"/>
    </row>
    <row r="1228" customFormat="false" ht="15.75" hidden="false" customHeight="true" outlineLevel="0" collapsed="false">
      <c r="A1228" s="8" t="n">
        <f aca="false">A1227+1</f>
        <v>1226</v>
      </c>
      <c r="B1228" s="9" t="n">
        <f aca="false">MOD(4*A1228^2,10)</f>
        <v>4</v>
      </c>
      <c r="C1228" s="9" t="n">
        <f aca="false">(26*B1228-5*B1228^2)/24</f>
        <v>1</v>
      </c>
      <c r="D1228" s="9" t="n">
        <f aca="false">(A1228^2+4*C1228)/5</f>
        <v>300616</v>
      </c>
      <c r="E1228" s="9" t="n">
        <f aca="false">MOD(D1228,10)</f>
        <v>6</v>
      </c>
      <c r="F1228" s="9" t="n">
        <f aca="false">2*D1228</f>
        <v>601232</v>
      </c>
      <c r="G1228" s="9" t="n">
        <f aca="false">MOD(F1228,10)</f>
        <v>2</v>
      </c>
      <c r="H1228" s="9" t="n">
        <f aca="false">G1228/2</f>
        <v>1</v>
      </c>
      <c r="I1228" s="9" t="str">
        <f aca="false">IF(H1228=0,"—",IF(H1228=1,"unison (1:1)",IF(H1228=2,"octave (2:1)",IF(H1228=3,"fifth (3:2)",IF(H1228=4,"fourth (4:3)","?")))))</f>
        <v>unison (1:1)</v>
      </c>
      <c r="J1228" s="9" t="str">
        <f aca="false">IF(H1228=0,"—",IF(H1228=1,"ὁμώνυμον",IF(H1228=2,"διὰ πασῶν",IF(H1228=3,"διὰ πέντε",IF(H1228=4,"διὰ τεσσάρων","?")))))</f>
        <v>ὁμώνυμον</v>
      </c>
      <c r="K1228" s="10"/>
      <c r="L1228" s="14"/>
      <c r="M1228" s="13"/>
    </row>
    <row r="1229" customFormat="false" ht="15.75" hidden="false" customHeight="true" outlineLevel="0" collapsed="false">
      <c r="A1229" s="8" t="n">
        <f aca="false">A1228+1</f>
        <v>1227</v>
      </c>
      <c r="B1229" s="9" t="n">
        <f aca="false">MOD(4*A1229^2,10)</f>
        <v>6</v>
      </c>
      <c r="C1229" s="9" t="n">
        <f aca="false">(26*B1229-5*B1229^2)/24</f>
        <v>-1</v>
      </c>
      <c r="D1229" s="9" t="n">
        <f aca="false">(A1229^2+4*C1229)/5</f>
        <v>301105</v>
      </c>
      <c r="E1229" s="9" t="n">
        <f aca="false">MOD(D1229,10)</f>
        <v>5</v>
      </c>
      <c r="F1229" s="9" t="n">
        <f aca="false">2*D1229</f>
        <v>602210</v>
      </c>
      <c r="G1229" s="9" t="n">
        <f aca="false">MOD(F1229,10)</f>
        <v>0</v>
      </c>
      <c r="H1229" s="9" t="n">
        <f aca="false">G1229/2</f>
        <v>0</v>
      </c>
      <c r="I1229" s="9" t="str">
        <f aca="false">IF(H1229=0,"—",IF(H1229=1,"unison (1:1)",IF(H1229=2,"octave (2:1)",IF(H1229=3,"fifth (3:2)",IF(H1229=4,"fourth (4:3)","?")))))</f>
        <v>—</v>
      </c>
      <c r="J1229" s="9" t="str">
        <f aca="false">IF(H1229=0,"—",IF(H1229=1,"ὁμώνυμον",IF(H1229=2,"διὰ πασῶν",IF(H1229=3,"διὰ πέντε",IF(H1229=4,"διὰ τεσσάρων","?")))))</f>
        <v>—</v>
      </c>
      <c r="K1229" s="10"/>
      <c r="L1229" s="14"/>
      <c r="M1229" s="13"/>
    </row>
    <row r="1230" customFormat="false" ht="15.75" hidden="false" customHeight="true" outlineLevel="0" collapsed="false">
      <c r="A1230" s="8" t="n">
        <f aca="false">A1229+1</f>
        <v>1228</v>
      </c>
      <c r="B1230" s="9" t="n">
        <f aca="false">MOD(4*A1230^2,10)</f>
        <v>6</v>
      </c>
      <c r="C1230" s="9" t="n">
        <f aca="false">(26*B1230-5*B1230^2)/24</f>
        <v>-1</v>
      </c>
      <c r="D1230" s="9" t="n">
        <f aca="false">(A1230^2+4*C1230)/5</f>
        <v>301596</v>
      </c>
      <c r="E1230" s="9" t="n">
        <f aca="false">MOD(D1230,10)</f>
        <v>6</v>
      </c>
      <c r="F1230" s="9" t="n">
        <f aca="false">2*D1230</f>
        <v>603192</v>
      </c>
      <c r="G1230" s="9" t="n">
        <f aca="false">MOD(F1230,10)</f>
        <v>2</v>
      </c>
      <c r="H1230" s="9" t="n">
        <f aca="false">G1230/2</f>
        <v>1</v>
      </c>
      <c r="I1230" s="9" t="str">
        <f aca="false">IF(H1230=0,"—",IF(H1230=1,"unison (1:1)",IF(H1230=2,"octave (2:1)",IF(H1230=3,"fifth (3:2)",IF(H1230=4,"fourth (4:3)","?")))))</f>
        <v>unison (1:1)</v>
      </c>
      <c r="J1230" s="9" t="str">
        <f aca="false">IF(H1230=0,"—",IF(H1230=1,"ὁμώνυμον",IF(H1230=2,"διὰ πασῶν",IF(H1230=3,"διὰ πέντε",IF(H1230=4,"διὰ τεσσάρων","?")))))</f>
        <v>ὁμώνυμον</v>
      </c>
      <c r="K1230" s="10"/>
      <c r="L1230" s="14"/>
      <c r="M1230" s="13"/>
    </row>
    <row r="1231" customFormat="false" ht="15.75" hidden="false" customHeight="true" outlineLevel="0" collapsed="false">
      <c r="A1231" s="8" t="n">
        <f aca="false">A1230+1</f>
        <v>1229</v>
      </c>
      <c r="B1231" s="9" t="n">
        <f aca="false">MOD(4*A1231^2,10)</f>
        <v>4</v>
      </c>
      <c r="C1231" s="9" t="n">
        <f aca="false">(26*B1231-5*B1231^2)/24</f>
        <v>1</v>
      </c>
      <c r="D1231" s="9" t="n">
        <f aca="false">(A1231^2+4*C1231)/5</f>
        <v>302089</v>
      </c>
      <c r="E1231" s="9" t="n">
        <f aca="false">MOD(D1231,10)</f>
        <v>9</v>
      </c>
      <c r="F1231" s="9" t="n">
        <f aca="false">2*D1231</f>
        <v>604178</v>
      </c>
      <c r="G1231" s="9" t="n">
        <f aca="false">MOD(F1231,10)</f>
        <v>8</v>
      </c>
      <c r="H1231" s="9" t="n">
        <f aca="false">G1231/2</f>
        <v>4</v>
      </c>
      <c r="I1231" s="9" t="str">
        <f aca="false">IF(H1231=0,"—",IF(H1231=1,"unison (1:1)",IF(H1231=2,"octave (2:1)",IF(H1231=3,"fifth (3:2)",IF(H1231=4,"fourth (4:3)","?")))))</f>
        <v>fourth (4:3)</v>
      </c>
      <c r="J1231" s="9" t="str">
        <f aca="false">IF(H1231=0,"—",IF(H1231=1,"ὁμώνυμον",IF(H1231=2,"διὰ πασῶν",IF(H1231=3,"διὰ πέντε",IF(H1231=4,"διὰ τεσσάρων","?")))))</f>
        <v>διὰ τεσσάρων</v>
      </c>
      <c r="K1231" s="10"/>
      <c r="L1231" s="14"/>
      <c r="M1231" s="13"/>
    </row>
    <row r="1232" customFormat="false" ht="15.75" hidden="false" customHeight="true" outlineLevel="0" collapsed="false">
      <c r="A1232" s="8" t="n">
        <f aca="false">A1231+1</f>
        <v>1230</v>
      </c>
      <c r="B1232" s="9" t="n">
        <f aca="false">MOD(4*A1232^2,10)</f>
        <v>0</v>
      </c>
      <c r="C1232" s="9" t="n">
        <f aca="false">(26*B1232-5*B1232^2)/24</f>
        <v>0</v>
      </c>
      <c r="D1232" s="9" t="n">
        <f aca="false">(A1232^2+4*C1232)/5</f>
        <v>302580</v>
      </c>
      <c r="E1232" s="9" t="n">
        <f aca="false">MOD(D1232,10)</f>
        <v>0</v>
      </c>
      <c r="F1232" s="9" t="n">
        <f aca="false">2*D1232</f>
        <v>605160</v>
      </c>
      <c r="G1232" s="9" t="n">
        <f aca="false">MOD(F1232,10)</f>
        <v>0</v>
      </c>
      <c r="H1232" s="9" t="n">
        <f aca="false">G1232/2</f>
        <v>0</v>
      </c>
      <c r="I1232" s="9" t="str">
        <f aca="false">IF(H1232=0,"—",IF(H1232=1,"unison (1:1)",IF(H1232=2,"octave (2:1)",IF(H1232=3,"fifth (3:2)",IF(H1232=4,"fourth (4:3)","?")))))</f>
        <v>—</v>
      </c>
      <c r="J1232" s="9" t="str">
        <f aca="false">IF(H1232=0,"—",IF(H1232=1,"ὁμώνυμον",IF(H1232=2,"διὰ πασῶν",IF(H1232=3,"διὰ πέντε",IF(H1232=4,"διὰ τεσσάρων","?")))))</f>
        <v>—</v>
      </c>
      <c r="K1232" s="10"/>
      <c r="L1232" s="14"/>
      <c r="M1232" s="13"/>
    </row>
    <row r="1233" customFormat="false" ht="15.75" hidden="false" customHeight="true" outlineLevel="0" collapsed="false">
      <c r="A1233" s="8" t="n">
        <f aca="false">A1232+1</f>
        <v>1231</v>
      </c>
      <c r="B1233" s="9" t="n">
        <f aca="false">MOD(4*A1233^2,10)</f>
        <v>4</v>
      </c>
      <c r="C1233" s="9" t="n">
        <f aca="false">(26*B1233-5*B1233^2)/24</f>
        <v>1</v>
      </c>
      <c r="D1233" s="9" t="n">
        <f aca="false">(A1233^2+4*C1233)/5</f>
        <v>303073</v>
      </c>
      <c r="E1233" s="9" t="n">
        <f aca="false">MOD(D1233,10)</f>
        <v>3</v>
      </c>
      <c r="F1233" s="9" t="n">
        <f aca="false">2*D1233</f>
        <v>606146</v>
      </c>
      <c r="G1233" s="9" t="n">
        <f aca="false">MOD(F1233,10)</f>
        <v>6</v>
      </c>
      <c r="H1233" s="9" t="n">
        <f aca="false">G1233/2</f>
        <v>3</v>
      </c>
      <c r="I1233" s="9" t="str">
        <f aca="false">IF(H1233=0,"—",IF(H1233=1,"unison (1:1)",IF(H1233=2,"octave (2:1)",IF(H1233=3,"fifth (3:2)",IF(H1233=4,"fourth (4:3)","?")))))</f>
        <v>fifth (3:2)</v>
      </c>
      <c r="J1233" s="9" t="str">
        <f aca="false">IF(H1233=0,"—",IF(H1233=1,"ὁμώνυμον",IF(H1233=2,"διὰ πασῶν",IF(H1233=3,"διὰ πέντε",IF(H1233=4,"διὰ τεσσάρων","?")))))</f>
        <v>διὰ πέντε</v>
      </c>
      <c r="K1233" s="10"/>
      <c r="L1233" s="14"/>
      <c r="M1233" s="13"/>
    </row>
    <row r="1234" customFormat="false" ht="15.75" hidden="false" customHeight="true" outlineLevel="0" collapsed="false">
      <c r="A1234" s="8" t="n">
        <f aca="false">A1233+1</f>
        <v>1232</v>
      </c>
      <c r="B1234" s="9" t="n">
        <f aca="false">MOD(4*A1234^2,10)</f>
        <v>6</v>
      </c>
      <c r="C1234" s="9" t="n">
        <f aca="false">(26*B1234-5*B1234^2)/24</f>
        <v>-1</v>
      </c>
      <c r="D1234" s="9" t="n">
        <f aca="false">(A1234^2+4*C1234)/5</f>
        <v>303564</v>
      </c>
      <c r="E1234" s="9" t="n">
        <f aca="false">MOD(D1234,10)</f>
        <v>4</v>
      </c>
      <c r="F1234" s="9" t="n">
        <f aca="false">2*D1234</f>
        <v>607128</v>
      </c>
      <c r="G1234" s="9" t="n">
        <f aca="false">MOD(F1234,10)</f>
        <v>8</v>
      </c>
      <c r="H1234" s="9" t="n">
        <f aca="false">G1234/2</f>
        <v>4</v>
      </c>
      <c r="I1234" s="9" t="str">
        <f aca="false">IF(H1234=0,"—",IF(H1234=1,"unison (1:1)",IF(H1234=2,"octave (2:1)",IF(H1234=3,"fifth (3:2)",IF(H1234=4,"fourth (4:3)","?")))))</f>
        <v>fourth (4:3)</v>
      </c>
      <c r="J1234" s="9" t="str">
        <f aca="false">IF(H1234=0,"—",IF(H1234=1,"ὁμώνυμον",IF(H1234=2,"διὰ πασῶν",IF(H1234=3,"διὰ πέντε",IF(H1234=4,"διὰ τεσσάρων","?")))))</f>
        <v>διὰ τεσσάρων</v>
      </c>
      <c r="K1234" s="10"/>
      <c r="L1234" s="14"/>
      <c r="M1234" s="13"/>
    </row>
    <row r="1235" customFormat="false" ht="15.75" hidden="false" customHeight="true" outlineLevel="0" collapsed="false">
      <c r="A1235" s="8" t="n">
        <f aca="false">A1234+1</f>
        <v>1233</v>
      </c>
      <c r="B1235" s="9" t="n">
        <f aca="false">MOD(4*A1235^2,10)</f>
        <v>6</v>
      </c>
      <c r="C1235" s="9" t="n">
        <f aca="false">(26*B1235-5*B1235^2)/24</f>
        <v>-1</v>
      </c>
      <c r="D1235" s="9" t="n">
        <f aca="false">(A1235^2+4*C1235)/5</f>
        <v>304057</v>
      </c>
      <c r="E1235" s="9" t="n">
        <f aca="false">MOD(D1235,10)</f>
        <v>7</v>
      </c>
      <c r="F1235" s="9" t="n">
        <f aca="false">2*D1235</f>
        <v>608114</v>
      </c>
      <c r="G1235" s="9" t="n">
        <f aca="false">MOD(F1235,10)</f>
        <v>4</v>
      </c>
      <c r="H1235" s="9" t="n">
        <f aca="false">G1235/2</f>
        <v>2</v>
      </c>
      <c r="I1235" s="9" t="str">
        <f aca="false">IF(H1235=0,"—",IF(H1235=1,"unison (1:1)",IF(H1235=2,"octave (2:1)",IF(H1235=3,"fifth (3:2)",IF(H1235=4,"fourth (4:3)","?")))))</f>
        <v>octave (2:1)</v>
      </c>
      <c r="J1235" s="9" t="str">
        <f aca="false">IF(H1235=0,"—",IF(H1235=1,"ὁμώνυμον",IF(H1235=2,"διὰ πασῶν",IF(H1235=3,"διὰ πέντε",IF(H1235=4,"διὰ τεσσάρων","?")))))</f>
        <v>διὰ πασῶν</v>
      </c>
      <c r="K1235" s="10"/>
      <c r="L1235" s="14"/>
      <c r="M1235" s="13"/>
    </row>
    <row r="1236" customFormat="false" ht="15.75" hidden="false" customHeight="true" outlineLevel="0" collapsed="false">
      <c r="A1236" s="8" t="n">
        <f aca="false">A1235+1</f>
        <v>1234</v>
      </c>
      <c r="B1236" s="9" t="n">
        <f aca="false">MOD(4*A1236^2,10)</f>
        <v>4</v>
      </c>
      <c r="C1236" s="9" t="n">
        <f aca="false">(26*B1236-5*B1236^2)/24</f>
        <v>1</v>
      </c>
      <c r="D1236" s="9" t="n">
        <f aca="false">(A1236^2+4*C1236)/5</f>
        <v>304552</v>
      </c>
      <c r="E1236" s="9" t="n">
        <f aca="false">MOD(D1236,10)</f>
        <v>2</v>
      </c>
      <c r="F1236" s="9" t="n">
        <f aca="false">2*D1236</f>
        <v>609104</v>
      </c>
      <c r="G1236" s="9" t="n">
        <f aca="false">MOD(F1236,10)</f>
        <v>4</v>
      </c>
      <c r="H1236" s="9" t="n">
        <f aca="false">G1236/2</f>
        <v>2</v>
      </c>
      <c r="I1236" s="9" t="str">
        <f aca="false">IF(H1236=0,"—",IF(H1236=1,"unison (1:1)",IF(H1236=2,"octave (2:1)",IF(H1236=3,"fifth (3:2)",IF(H1236=4,"fourth (4:3)","?")))))</f>
        <v>octave (2:1)</v>
      </c>
      <c r="J1236" s="9" t="str">
        <f aca="false">IF(H1236=0,"—",IF(H1236=1,"ὁμώνυμον",IF(H1236=2,"διὰ πασῶν",IF(H1236=3,"διὰ πέντε",IF(H1236=4,"διὰ τεσσάρων","?")))))</f>
        <v>διὰ πασῶν</v>
      </c>
      <c r="K1236" s="10"/>
      <c r="L1236" s="14"/>
      <c r="M1236" s="13"/>
    </row>
    <row r="1237" customFormat="false" ht="15.75" hidden="false" customHeight="true" outlineLevel="0" collapsed="false">
      <c r="A1237" s="8" t="n">
        <f aca="false">A1236+1</f>
        <v>1235</v>
      </c>
      <c r="B1237" s="9" t="n">
        <f aca="false">MOD(4*A1237^2,10)</f>
        <v>0</v>
      </c>
      <c r="C1237" s="9" t="n">
        <f aca="false">(26*B1237-5*B1237^2)/24</f>
        <v>0</v>
      </c>
      <c r="D1237" s="9" t="n">
        <f aca="false">(A1237^2+4*C1237)/5</f>
        <v>305045</v>
      </c>
      <c r="E1237" s="9" t="n">
        <f aca="false">MOD(D1237,10)</f>
        <v>5</v>
      </c>
      <c r="F1237" s="9" t="n">
        <f aca="false">2*D1237</f>
        <v>610090</v>
      </c>
      <c r="G1237" s="9" t="n">
        <f aca="false">MOD(F1237,10)</f>
        <v>0</v>
      </c>
      <c r="H1237" s="9" t="n">
        <f aca="false">G1237/2</f>
        <v>0</v>
      </c>
      <c r="I1237" s="9" t="str">
        <f aca="false">IF(H1237=0,"—",IF(H1237=1,"unison (1:1)",IF(H1237=2,"octave (2:1)",IF(H1237=3,"fifth (3:2)",IF(H1237=4,"fourth (4:3)","?")))))</f>
        <v>—</v>
      </c>
      <c r="J1237" s="9" t="str">
        <f aca="false">IF(H1237=0,"—",IF(H1237=1,"ὁμώνυμον",IF(H1237=2,"διὰ πασῶν",IF(H1237=3,"διὰ πέντε",IF(H1237=4,"διὰ τεσσάρων","?")))))</f>
        <v>—</v>
      </c>
      <c r="K1237" s="10"/>
      <c r="L1237" s="14"/>
      <c r="M1237" s="13"/>
    </row>
    <row r="1238" customFormat="false" ht="15.75" hidden="false" customHeight="true" outlineLevel="0" collapsed="false">
      <c r="A1238" s="8" t="n">
        <f aca="false">A1237+1</f>
        <v>1236</v>
      </c>
      <c r="B1238" s="9" t="n">
        <f aca="false">MOD(4*A1238^2,10)</f>
        <v>4</v>
      </c>
      <c r="C1238" s="9" t="n">
        <f aca="false">(26*B1238-5*B1238^2)/24</f>
        <v>1</v>
      </c>
      <c r="D1238" s="9" t="n">
        <f aca="false">(A1238^2+4*C1238)/5</f>
        <v>305540</v>
      </c>
      <c r="E1238" s="9" t="n">
        <f aca="false">MOD(D1238,10)</f>
        <v>0</v>
      </c>
      <c r="F1238" s="9" t="n">
        <f aca="false">2*D1238</f>
        <v>611080</v>
      </c>
      <c r="G1238" s="9" t="n">
        <f aca="false">MOD(F1238,10)</f>
        <v>0</v>
      </c>
      <c r="H1238" s="9" t="n">
        <f aca="false">G1238/2</f>
        <v>0</v>
      </c>
      <c r="I1238" s="9" t="str">
        <f aca="false">IF(H1238=0,"—",IF(H1238=1,"unison (1:1)",IF(H1238=2,"octave (2:1)",IF(H1238=3,"fifth (3:2)",IF(H1238=4,"fourth (4:3)","?")))))</f>
        <v>—</v>
      </c>
      <c r="J1238" s="9" t="str">
        <f aca="false">IF(H1238=0,"—",IF(H1238=1,"ὁμώνυμον",IF(H1238=2,"διὰ πασῶν",IF(H1238=3,"διὰ πέντε",IF(H1238=4,"διὰ τεσσάρων","?")))))</f>
        <v>—</v>
      </c>
      <c r="K1238" s="10"/>
      <c r="L1238" s="14"/>
      <c r="M1238" s="13"/>
    </row>
    <row r="1239" customFormat="false" ht="15.75" hidden="false" customHeight="true" outlineLevel="0" collapsed="false">
      <c r="A1239" s="8" t="n">
        <f aca="false">A1238+1</f>
        <v>1237</v>
      </c>
      <c r="B1239" s="9" t="n">
        <f aca="false">MOD(4*A1239^2,10)</f>
        <v>6</v>
      </c>
      <c r="C1239" s="9" t="n">
        <f aca="false">(26*B1239-5*B1239^2)/24</f>
        <v>-1</v>
      </c>
      <c r="D1239" s="9" t="n">
        <f aca="false">(A1239^2+4*C1239)/5</f>
        <v>306033</v>
      </c>
      <c r="E1239" s="9" t="n">
        <f aca="false">MOD(D1239,10)</f>
        <v>3</v>
      </c>
      <c r="F1239" s="9" t="n">
        <f aca="false">2*D1239</f>
        <v>612066</v>
      </c>
      <c r="G1239" s="9" t="n">
        <f aca="false">MOD(F1239,10)</f>
        <v>6</v>
      </c>
      <c r="H1239" s="9" t="n">
        <f aca="false">G1239/2</f>
        <v>3</v>
      </c>
      <c r="I1239" s="9" t="str">
        <f aca="false">IF(H1239=0,"—",IF(H1239=1,"unison (1:1)",IF(H1239=2,"octave (2:1)",IF(H1239=3,"fifth (3:2)",IF(H1239=4,"fourth (4:3)","?")))))</f>
        <v>fifth (3:2)</v>
      </c>
      <c r="J1239" s="9" t="str">
        <f aca="false">IF(H1239=0,"—",IF(H1239=1,"ὁμώνυμον",IF(H1239=2,"διὰ πασῶν",IF(H1239=3,"διὰ πέντε",IF(H1239=4,"διὰ τεσσάρων","?")))))</f>
        <v>διὰ πέντε</v>
      </c>
      <c r="K1239" s="10"/>
      <c r="L1239" s="14"/>
      <c r="M1239" s="13"/>
    </row>
    <row r="1240" customFormat="false" ht="15.75" hidden="false" customHeight="true" outlineLevel="0" collapsed="false">
      <c r="A1240" s="8" t="n">
        <f aca="false">A1239+1</f>
        <v>1238</v>
      </c>
      <c r="B1240" s="9" t="n">
        <f aca="false">MOD(4*A1240^2,10)</f>
        <v>6</v>
      </c>
      <c r="C1240" s="9" t="n">
        <f aca="false">(26*B1240-5*B1240^2)/24</f>
        <v>-1</v>
      </c>
      <c r="D1240" s="9" t="n">
        <f aca="false">(A1240^2+4*C1240)/5</f>
        <v>306528</v>
      </c>
      <c r="E1240" s="9" t="n">
        <f aca="false">MOD(D1240,10)</f>
        <v>8</v>
      </c>
      <c r="F1240" s="9" t="n">
        <f aca="false">2*D1240</f>
        <v>613056</v>
      </c>
      <c r="G1240" s="9" t="n">
        <f aca="false">MOD(F1240,10)</f>
        <v>6</v>
      </c>
      <c r="H1240" s="9" t="n">
        <f aca="false">G1240/2</f>
        <v>3</v>
      </c>
      <c r="I1240" s="9" t="str">
        <f aca="false">IF(H1240=0,"—",IF(H1240=1,"unison (1:1)",IF(H1240=2,"octave (2:1)",IF(H1240=3,"fifth (3:2)",IF(H1240=4,"fourth (4:3)","?")))))</f>
        <v>fifth (3:2)</v>
      </c>
      <c r="J1240" s="9" t="str">
        <f aca="false">IF(H1240=0,"—",IF(H1240=1,"ὁμώνυμον",IF(H1240=2,"διὰ πασῶν",IF(H1240=3,"διὰ πέντε",IF(H1240=4,"διὰ τεσσάρων","?")))))</f>
        <v>διὰ πέντε</v>
      </c>
      <c r="K1240" s="10"/>
      <c r="L1240" s="14"/>
      <c r="M1240" s="13"/>
    </row>
    <row r="1241" customFormat="false" ht="15.75" hidden="false" customHeight="true" outlineLevel="0" collapsed="false">
      <c r="A1241" s="8" t="n">
        <f aca="false">A1240+1</f>
        <v>1239</v>
      </c>
      <c r="B1241" s="9" t="n">
        <f aca="false">MOD(4*A1241^2,10)</f>
        <v>4</v>
      </c>
      <c r="C1241" s="9" t="n">
        <f aca="false">(26*B1241-5*B1241^2)/24</f>
        <v>1</v>
      </c>
      <c r="D1241" s="9" t="n">
        <f aca="false">(A1241^2+4*C1241)/5</f>
        <v>307025</v>
      </c>
      <c r="E1241" s="9" t="n">
        <f aca="false">MOD(D1241,10)</f>
        <v>5</v>
      </c>
      <c r="F1241" s="9" t="n">
        <f aca="false">2*D1241</f>
        <v>614050</v>
      </c>
      <c r="G1241" s="9" t="n">
        <f aca="false">MOD(F1241,10)</f>
        <v>0</v>
      </c>
      <c r="H1241" s="9" t="n">
        <f aca="false">G1241/2</f>
        <v>0</v>
      </c>
      <c r="I1241" s="9" t="str">
        <f aca="false">IF(H1241=0,"—",IF(H1241=1,"unison (1:1)",IF(H1241=2,"octave (2:1)",IF(H1241=3,"fifth (3:2)",IF(H1241=4,"fourth (4:3)","?")))))</f>
        <v>—</v>
      </c>
      <c r="J1241" s="9" t="str">
        <f aca="false">IF(H1241=0,"—",IF(H1241=1,"ὁμώνυμον",IF(H1241=2,"διὰ πασῶν",IF(H1241=3,"διὰ πέντε",IF(H1241=4,"διὰ τεσσάρων","?")))))</f>
        <v>—</v>
      </c>
      <c r="K1241" s="10"/>
      <c r="L1241" s="14"/>
      <c r="M1241" s="13"/>
    </row>
    <row r="1242" customFormat="false" ht="15.75" hidden="false" customHeight="true" outlineLevel="0" collapsed="false">
      <c r="A1242" s="8" t="n">
        <f aca="false">A1241+1</f>
        <v>1240</v>
      </c>
      <c r="B1242" s="9" t="n">
        <f aca="false">MOD(4*A1242^2,10)</f>
        <v>0</v>
      </c>
      <c r="C1242" s="9" t="n">
        <f aca="false">(26*B1242-5*B1242^2)/24</f>
        <v>0</v>
      </c>
      <c r="D1242" s="9" t="n">
        <f aca="false">(A1242^2+4*C1242)/5</f>
        <v>307520</v>
      </c>
      <c r="E1242" s="9" t="n">
        <f aca="false">MOD(D1242,10)</f>
        <v>0</v>
      </c>
      <c r="F1242" s="9" t="n">
        <f aca="false">2*D1242</f>
        <v>615040</v>
      </c>
      <c r="G1242" s="9" t="n">
        <f aca="false">MOD(F1242,10)</f>
        <v>0</v>
      </c>
      <c r="H1242" s="9" t="n">
        <f aca="false">G1242/2</f>
        <v>0</v>
      </c>
      <c r="I1242" s="9" t="str">
        <f aca="false">IF(H1242=0,"—",IF(H1242=1,"unison (1:1)",IF(H1242=2,"octave (2:1)",IF(H1242=3,"fifth (3:2)",IF(H1242=4,"fourth (4:3)","?")))))</f>
        <v>—</v>
      </c>
      <c r="J1242" s="9" t="str">
        <f aca="false">IF(H1242=0,"—",IF(H1242=1,"ὁμώνυμον",IF(H1242=2,"διὰ πασῶν",IF(H1242=3,"διὰ πέντε",IF(H1242=4,"διὰ τεσσάρων","?")))))</f>
        <v>—</v>
      </c>
      <c r="K1242" s="10"/>
      <c r="L1242" s="14"/>
      <c r="M1242" s="13"/>
    </row>
    <row r="1243" customFormat="false" ht="15.75" hidden="false" customHeight="true" outlineLevel="0" collapsed="false">
      <c r="A1243" s="8" t="n">
        <f aca="false">A1242+1</f>
        <v>1241</v>
      </c>
      <c r="B1243" s="9" t="n">
        <f aca="false">MOD(4*A1243^2,10)</f>
        <v>4</v>
      </c>
      <c r="C1243" s="9" t="n">
        <f aca="false">(26*B1243-5*B1243^2)/24</f>
        <v>1</v>
      </c>
      <c r="D1243" s="9" t="n">
        <f aca="false">(A1243^2+4*C1243)/5</f>
        <v>308017</v>
      </c>
      <c r="E1243" s="9" t="n">
        <f aca="false">MOD(D1243,10)</f>
        <v>7</v>
      </c>
      <c r="F1243" s="9" t="n">
        <f aca="false">2*D1243</f>
        <v>616034</v>
      </c>
      <c r="G1243" s="9" t="n">
        <f aca="false">MOD(F1243,10)</f>
        <v>4</v>
      </c>
      <c r="H1243" s="9" t="n">
        <f aca="false">G1243/2</f>
        <v>2</v>
      </c>
      <c r="I1243" s="9" t="str">
        <f aca="false">IF(H1243=0,"—",IF(H1243=1,"unison (1:1)",IF(H1243=2,"octave (2:1)",IF(H1243=3,"fifth (3:2)",IF(H1243=4,"fourth (4:3)","?")))))</f>
        <v>octave (2:1)</v>
      </c>
      <c r="J1243" s="9" t="str">
        <f aca="false">IF(H1243=0,"—",IF(H1243=1,"ὁμώνυμον",IF(H1243=2,"διὰ πασῶν",IF(H1243=3,"διὰ πέντε",IF(H1243=4,"διὰ τεσσάρων","?")))))</f>
        <v>διὰ πασῶν</v>
      </c>
      <c r="K1243" s="10"/>
      <c r="L1243" s="14"/>
      <c r="M1243" s="13"/>
    </row>
    <row r="1244" customFormat="false" ht="15.75" hidden="false" customHeight="true" outlineLevel="0" collapsed="false">
      <c r="A1244" s="8" t="n">
        <f aca="false">A1243+1</f>
        <v>1242</v>
      </c>
      <c r="B1244" s="9" t="n">
        <f aca="false">MOD(4*A1244^2,10)</f>
        <v>6</v>
      </c>
      <c r="C1244" s="9" t="n">
        <f aca="false">(26*B1244-5*B1244^2)/24</f>
        <v>-1</v>
      </c>
      <c r="D1244" s="9" t="n">
        <f aca="false">(A1244^2+4*C1244)/5</f>
        <v>308512</v>
      </c>
      <c r="E1244" s="9" t="n">
        <f aca="false">MOD(D1244,10)</f>
        <v>2</v>
      </c>
      <c r="F1244" s="9" t="n">
        <f aca="false">2*D1244</f>
        <v>617024</v>
      </c>
      <c r="G1244" s="9" t="n">
        <f aca="false">MOD(F1244,10)</f>
        <v>4</v>
      </c>
      <c r="H1244" s="9" t="n">
        <f aca="false">G1244/2</f>
        <v>2</v>
      </c>
      <c r="I1244" s="9" t="str">
        <f aca="false">IF(H1244=0,"—",IF(H1244=1,"unison (1:1)",IF(H1244=2,"octave (2:1)",IF(H1244=3,"fifth (3:2)",IF(H1244=4,"fourth (4:3)","?")))))</f>
        <v>octave (2:1)</v>
      </c>
      <c r="J1244" s="9" t="str">
        <f aca="false">IF(H1244=0,"—",IF(H1244=1,"ὁμώνυμον",IF(H1244=2,"διὰ πασῶν",IF(H1244=3,"διὰ πέντε",IF(H1244=4,"διὰ τεσσάρων","?")))))</f>
        <v>διὰ πασῶν</v>
      </c>
      <c r="K1244" s="10"/>
      <c r="L1244" s="14"/>
      <c r="M1244" s="13"/>
    </row>
    <row r="1245" customFormat="false" ht="15.75" hidden="false" customHeight="true" outlineLevel="0" collapsed="false">
      <c r="A1245" s="8" t="n">
        <f aca="false">A1244+1</f>
        <v>1243</v>
      </c>
      <c r="B1245" s="9" t="n">
        <f aca="false">MOD(4*A1245^2,10)</f>
        <v>6</v>
      </c>
      <c r="C1245" s="9" t="n">
        <f aca="false">(26*B1245-5*B1245^2)/24</f>
        <v>-1</v>
      </c>
      <c r="D1245" s="9" t="n">
        <f aca="false">(A1245^2+4*C1245)/5</f>
        <v>309009</v>
      </c>
      <c r="E1245" s="9" t="n">
        <f aca="false">MOD(D1245,10)</f>
        <v>9</v>
      </c>
      <c r="F1245" s="9" t="n">
        <f aca="false">2*D1245</f>
        <v>618018</v>
      </c>
      <c r="G1245" s="9" t="n">
        <f aca="false">MOD(F1245,10)</f>
        <v>8</v>
      </c>
      <c r="H1245" s="9" t="n">
        <f aca="false">G1245/2</f>
        <v>4</v>
      </c>
      <c r="I1245" s="9" t="str">
        <f aca="false">IF(H1245=0,"—",IF(H1245=1,"unison (1:1)",IF(H1245=2,"octave (2:1)",IF(H1245=3,"fifth (3:2)",IF(H1245=4,"fourth (4:3)","?")))))</f>
        <v>fourth (4:3)</v>
      </c>
      <c r="J1245" s="9" t="str">
        <f aca="false">IF(H1245=0,"—",IF(H1245=1,"ὁμώνυμον",IF(H1245=2,"διὰ πασῶν",IF(H1245=3,"διὰ πέντε",IF(H1245=4,"διὰ τεσσάρων","?")))))</f>
        <v>διὰ τεσσάρων</v>
      </c>
      <c r="K1245" s="10"/>
      <c r="L1245" s="14"/>
      <c r="M1245" s="13"/>
    </row>
    <row r="1246" customFormat="false" ht="15.75" hidden="false" customHeight="true" outlineLevel="0" collapsed="false">
      <c r="A1246" s="8" t="n">
        <f aca="false">A1245+1</f>
        <v>1244</v>
      </c>
      <c r="B1246" s="9" t="n">
        <f aca="false">MOD(4*A1246^2,10)</f>
        <v>4</v>
      </c>
      <c r="C1246" s="9" t="n">
        <f aca="false">(26*B1246-5*B1246^2)/24</f>
        <v>1</v>
      </c>
      <c r="D1246" s="9" t="n">
        <f aca="false">(A1246^2+4*C1246)/5</f>
        <v>309508</v>
      </c>
      <c r="E1246" s="9" t="n">
        <f aca="false">MOD(D1246,10)</f>
        <v>8</v>
      </c>
      <c r="F1246" s="9" t="n">
        <f aca="false">2*D1246</f>
        <v>619016</v>
      </c>
      <c r="G1246" s="9" t="n">
        <f aca="false">MOD(F1246,10)</f>
        <v>6</v>
      </c>
      <c r="H1246" s="9" t="n">
        <f aca="false">G1246/2</f>
        <v>3</v>
      </c>
      <c r="I1246" s="9" t="str">
        <f aca="false">IF(H1246=0,"—",IF(H1246=1,"unison (1:1)",IF(H1246=2,"octave (2:1)",IF(H1246=3,"fifth (3:2)",IF(H1246=4,"fourth (4:3)","?")))))</f>
        <v>fifth (3:2)</v>
      </c>
      <c r="J1246" s="9" t="str">
        <f aca="false">IF(H1246=0,"—",IF(H1246=1,"ὁμώνυμον",IF(H1246=2,"διὰ πασῶν",IF(H1246=3,"διὰ πέντε",IF(H1246=4,"διὰ τεσσάρων","?")))))</f>
        <v>διὰ πέντε</v>
      </c>
      <c r="K1246" s="10"/>
      <c r="L1246" s="14"/>
      <c r="M1246" s="13"/>
    </row>
    <row r="1247" customFormat="false" ht="15.75" hidden="false" customHeight="true" outlineLevel="0" collapsed="false">
      <c r="A1247" s="8" t="n">
        <f aca="false">A1246+1</f>
        <v>1245</v>
      </c>
      <c r="B1247" s="9" t="n">
        <f aca="false">MOD(4*A1247^2,10)</f>
        <v>0</v>
      </c>
      <c r="C1247" s="9" t="n">
        <f aca="false">(26*B1247-5*B1247^2)/24</f>
        <v>0</v>
      </c>
      <c r="D1247" s="9" t="n">
        <f aca="false">(A1247^2+4*C1247)/5</f>
        <v>310005</v>
      </c>
      <c r="E1247" s="9" t="n">
        <f aca="false">MOD(D1247,10)</f>
        <v>5</v>
      </c>
      <c r="F1247" s="9" t="n">
        <f aca="false">2*D1247</f>
        <v>620010</v>
      </c>
      <c r="G1247" s="9" t="n">
        <f aca="false">MOD(F1247,10)</f>
        <v>0</v>
      </c>
      <c r="H1247" s="9" t="n">
        <f aca="false">G1247/2</f>
        <v>0</v>
      </c>
      <c r="I1247" s="9" t="str">
        <f aca="false">IF(H1247=0,"—",IF(H1247=1,"unison (1:1)",IF(H1247=2,"octave (2:1)",IF(H1247=3,"fifth (3:2)",IF(H1247=4,"fourth (4:3)","?")))))</f>
        <v>—</v>
      </c>
      <c r="J1247" s="9" t="str">
        <f aca="false">IF(H1247=0,"—",IF(H1247=1,"ὁμώνυμον",IF(H1247=2,"διὰ πασῶν",IF(H1247=3,"διὰ πέντε",IF(H1247=4,"διὰ τεσσάρων","?")))))</f>
        <v>—</v>
      </c>
      <c r="K1247" s="10"/>
      <c r="L1247" s="14"/>
      <c r="M1247" s="13"/>
    </row>
    <row r="1248" customFormat="false" ht="15.75" hidden="false" customHeight="true" outlineLevel="0" collapsed="false">
      <c r="A1248" s="8" t="n">
        <f aca="false">A1247+1</f>
        <v>1246</v>
      </c>
      <c r="B1248" s="9" t="n">
        <f aca="false">MOD(4*A1248^2,10)</f>
        <v>4</v>
      </c>
      <c r="C1248" s="9" t="n">
        <f aca="false">(26*B1248-5*B1248^2)/24</f>
        <v>1</v>
      </c>
      <c r="D1248" s="9" t="n">
        <f aca="false">(A1248^2+4*C1248)/5</f>
        <v>310504</v>
      </c>
      <c r="E1248" s="9" t="n">
        <f aca="false">MOD(D1248,10)</f>
        <v>4</v>
      </c>
      <c r="F1248" s="9" t="n">
        <f aca="false">2*D1248</f>
        <v>621008</v>
      </c>
      <c r="G1248" s="9" t="n">
        <f aca="false">MOD(F1248,10)</f>
        <v>8</v>
      </c>
      <c r="H1248" s="9" t="n">
        <f aca="false">G1248/2</f>
        <v>4</v>
      </c>
      <c r="I1248" s="9" t="str">
        <f aca="false">IF(H1248=0,"—",IF(H1248=1,"unison (1:1)",IF(H1248=2,"octave (2:1)",IF(H1248=3,"fifth (3:2)",IF(H1248=4,"fourth (4:3)","?")))))</f>
        <v>fourth (4:3)</v>
      </c>
      <c r="J1248" s="9" t="str">
        <f aca="false">IF(H1248=0,"—",IF(H1248=1,"ὁμώνυμον",IF(H1248=2,"διὰ πασῶν",IF(H1248=3,"διὰ πέντε",IF(H1248=4,"διὰ τεσσάρων","?")))))</f>
        <v>διὰ τεσσάρων</v>
      </c>
      <c r="K1248" s="10"/>
      <c r="L1248" s="14"/>
      <c r="M1248" s="13"/>
    </row>
    <row r="1249" customFormat="false" ht="15.75" hidden="false" customHeight="true" outlineLevel="0" collapsed="false">
      <c r="A1249" s="8" t="n">
        <f aca="false">A1248+1</f>
        <v>1247</v>
      </c>
      <c r="B1249" s="9" t="n">
        <f aca="false">MOD(4*A1249^2,10)</f>
        <v>6</v>
      </c>
      <c r="C1249" s="9" t="n">
        <f aca="false">(26*B1249-5*B1249^2)/24</f>
        <v>-1</v>
      </c>
      <c r="D1249" s="9" t="n">
        <f aca="false">(A1249^2+4*C1249)/5</f>
        <v>311001</v>
      </c>
      <c r="E1249" s="9" t="n">
        <f aca="false">MOD(D1249,10)</f>
        <v>1</v>
      </c>
      <c r="F1249" s="9" t="n">
        <f aca="false">2*D1249</f>
        <v>622002</v>
      </c>
      <c r="G1249" s="9" t="n">
        <f aca="false">MOD(F1249,10)</f>
        <v>2</v>
      </c>
      <c r="H1249" s="9" t="n">
        <f aca="false">G1249/2</f>
        <v>1</v>
      </c>
      <c r="I1249" s="9" t="str">
        <f aca="false">IF(H1249=0,"—",IF(H1249=1,"unison (1:1)",IF(H1249=2,"octave (2:1)",IF(H1249=3,"fifth (3:2)",IF(H1249=4,"fourth (4:3)","?")))))</f>
        <v>unison (1:1)</v>
      </c>
      <c r="J1249" s="9" t="str">
        <f aca="false">IF(H1249=0,"—",IF(H1249=1,"ὁμώνυμον",IF(H1249=2,"διὰ πασῶν",IF(H1249=3,"διὰ πέντε",IF(H1249=4,"διὰ τεσσάρων","?")))))</f>
        <v>ὁμώνυμον</v>
      </c>
      <c r="K1249" s="10"/>
      <c r="L1249" s="14"/>
      <c r="M1249" s="13"/>
    </row>
    <row r="1250" customFormat="false" ht="15.75" hidden="false" customHeight="true" outlineLevel="0" collapsed="false">
      <c r="A1250" s="8" t="n">
        <f aca="false">A1249+1</f>
        <v>1248</v>
      </c>
      <c r="B1250" s="9" t="n">
        <f aca="false">MOD(4*A1250^2,10)</f>
        <v>6</v>
      </c>
      <c r="C1250" s="9" t="n">
        <f aca="false">(26*B1250-5*B1250^2)/24</f>
        <v>-1</v>
      </c>
      <c r="D1250" s="9" t="n">
        <f aca="false">(A1250^2+4*C1250)/5</f>
        <v>311500</v>
      </c>
      <c r="E1250" s="9" t="n">
        <f aca="false">MOD(D1250,10)</f>
        <v>0</v>
      </c>
      <c r="F1250" s="9" t="n">
        <f aca="false">2*D1250</f>
        <v>623000</v>
      </c>
      <c r="G1250" s="9" t="n">
        <f aca="false">MOD(F1250,10)</f>
        <v>0</v>
      </c>
      <c r="H1250" s="9" t="n">
        <f aca="false">G1250/2</f>
        <v>0</v>
      </c>
      <c r="I1250" s="9" t="str">
        <f aca="false">IF(H1250=0,"—",IF(H1250=1,"unison (1:1)",IF(H1250=2,"octave (2:1)",IF(H1250=3,"fifth (3:2)",IF(H1250=4,"fourth (4:3)","?")))))</f>
        <v>—</v>
      </c>
      <c r="J1250" s="9" t="str">
        <f aca="false">IF(H1250=0,"—",IF(H1250=1,"ὁμώνυμον",IF(H1250=2,"διὰ πασῶν",IF(H1250=3,"διὰ πέντε",IF(H1250=4,"διὰ τεσσάρων","?")))))</f>
        <v>—</v>
      </c>
      <c r="K1250" s="10"/>
      <c r="L1250" s="14"/>
      <c r="M1250" s="13"/>
    </row>
    <row r="1251" customFormat="false" ht="15.75" hidden="false" customHeight="true" outlineLevel="0" collapsed="false">
      <c r="A1251" s="8" t="n">
        <f aca="false">A1250+1</f>
        <v>1249</v>
      </c>
      <c r="B1251" s="9" t="n">
        <f aca="false">MOD(4*A1251^2,10)</f>
        <v>4</v>
      </c>
      <c r="C1251" s="9" t="n">
        <f aca="false">(26*B1251-5*B1251^2)/24</f>
        <v>1</v>
      </c>
      <c r="D1251" s="9" t="n">
        <f aca="false">(A1251^2+4*C1251)/5</f>
        <v>312001</v>
      </c>
      <c r="E1251" s="9" t="n">
        <f aca="false">MOD(D1251,10)</f>
        <v>1</v>
      </c>
      <c r="F1251" s="9" t="n">
        <f aca="false">2*D1251</f>
        <v>624002</v>
      </c>
      <c r="G1251" s="9" t="n">
        <f aca="false">MOD(F1251,10)</f>
        <v>2</v>
      </c>
      <c r="H1251" s="9" t="n">
        <f aca="false">G1251/2</f>
        <v>1</v>
      </c>
      <c r="I1251" s="9" t="str">
        <f aca="false">IF(H1251=0,"—",IF(H1251=1,"unison (1:1)",IF(H1251=2,"octave (2:1)",IF(H1251=3,"fifth (3:2)",IF(H1251=4,"fourth (4:3)","?")))))</f>
        <v>unison (1:1)</v>
      </c>
      <c r="J1251" s="9" t="str">
        <f aca="false">IF(H1251=0,"—",IF(H1251=1,"ὁμώνυμον",IF(H1251=2,"διὰ πασῶν",IF(H1251=3,"διὰ πέντε",IF(H1251=4,"διὰ τεσσάρων","?")))))</f>
        <v>ὁμώνυμον</v>
      </c>
      <c r="K1251" s="10"/>
      <c r="L1251" s="14"/>
      <c r="M1251" s="13"/>
    </row>
    <row r="1252" customFormat="false" ht="15.75" hidden="false" customHeight="true" outlineLevel="0" collapsed="false">
      <c r="A1252" s="8" t="n">
        <f aca="false">A1251+1</f>
        <v>1250</v>
      </c>
      <c r="B1252" s="9" t="n">
        <f aca="false">MOD(4*A1252^2,10)</f>
        <v>0</v>
      </c>
      <c r="C1252" s="9" t="n">
        <f aca="false">(26*B1252-5*B1252^2)/24</f>
        <v>0</v>
      </c>
      <c r="D1252" s="9" t="n">
        <f aca="false">(A1252^2+4*C1252)/5</f>
        <v>312500</v>
      </c>
      <c r="E1252" s="9" t="n">
        <f aca="false">MOD(D1252,10)</f>
        <v>0</v>
      </c>
      <c r="F1252" s="9" t="n">
        <f aca="false">2*D1252</f>
        <v>625000</v>
      </c>
      <c r="G1252" s="9" t="n">
        <f aca="false">MOD(F1252,10)</f>
        <v>0</v>
      </c>
      <c r="H1252" s="9" t="n">
        <f aca="false">G1252/2</f>
        <v>0</v>
      </c>
      <c r="I1252" s="9" t="str">
        <f aca="false">IF(H1252=0,"—",IF(H1252=1,"unison (1:1)",IF(H1252=2,"octave (2:1)",IF(H1252=3,"fifth (3:2)",IF(H1252=4,"fourth (4:3)","?")))))</f>
        <v>—</v>
      </c>
      <c r="J1252" s="9" t="str">
        <f aca="false">IF(H1252=0,"—",IF(H1252=1,"ὁμώνυμον",IF(H1252=2,"διὰ πασῶν",IF(H1252=3,"διὰ πέντε",IF(H1252=4,"διὰ τεσσάρων","?")))))</f>
        <v>—</v>
      </c>
      <c r="K1252" s="10"/>
      <c r="L1252" s="14"/>
      <c r="M1252" s="13"/>
    </row>
    <row r="1253" customFormat="false" ht="15.75" hidden="false" customHeight="true" outlineLevel="0" collapsed="false">
      <c r="A1253" s="8" t="n">
        <f aca="false">A1252+1</f>
        <v>1251</v>
      </c>
      <c r="B1253" s="9" t="n">
        <f aca="false">MOD(4*A1253^2,10)</f>
        <v>4</v>
      </c>
      <c r="C1253" s="9" t="n">
        <f aca="false">(26*B1253-5*B1253^2)/24</f>
        <v>1</v>
      </c>
      <c r="D1253" s="9" t="n">
        <f aca="false">(A1253^2+4*C1253)/5</f>
        <v>313001</v>
      </c>
      <c r="E1253" s="9" t="n">
        <f aca="false">MOD(D1253,10)</f>
        <v>1</v>
      </c>
      <c r="F1253" s="9" t="n">
        <f aca="false">2*D1253</f>
        <v>626002</v>
      </c>
      <c r="G1253" s="9" t="n">
        <f aca="false">MOD(F1253,10)</f>
        <v>2</v>
      </c>
      <c r="H1253" s="9" t="n">
        <f aca="false">G1253/2</f>
        <v>1</v>
      </c>
      <c r="I1253" s="9" t="str">
        <f aca="false">IF(H1253=0,"—",IF(H1253=1,"unison (1:1)",IF(H1253=2,"octave (2:1)",IF(H1253=3,"fifth (3:2)",IF(H1253=4,"fourth (4:3)","?")))))</f>
        <v>unison (1:1)</v>
      </c>
      <c r="J1253" s="9" t="str">
        <f aca="false">IF(H1253=0,"—",IF(H1253=1,"ὁμώνυμον",IF(H1253=2,"διὰ πασῶν",IF(H1253=3,"διὰ πέντε",IF(H1253=4,"διὰ τεσσάρων","?")))))</f>
        <v>ὁμώνυμον</v>
      </c>
      <c r="K1253" s="10"/>
      <c r="L1253" s="14"/>
      <c r="M1253" s="13"/>
    </row>
    <row r="1254" customFormat="false" ht="15.75" hidden="false" customHeight="true" outlineLevel="0" collapsed="false">
      <c r="A1254" s="8" t="n">
        <f aca="false">A1253+1</f>
        <v>1252</v>
      </c>
      <c r="B1254" s="9" t="n">
        <f aca="false">MOD(4*A1254^2,10)</f>
        <v>6</v>
      </c>
      <c r="C1254" s="9" t="n">
        <f aca="false">(26*B1254-5*B1254^2)/24</f>
        <v>-1</v>
      </c>
      <c r="D1254" s="9" t="n">
        <f aca="false">(A1254^2+4*C1254)/5</f>
        <v>313500</v>
      </c>
      <c r="E1254" s="9" t="n">
        <f aca="false">MOD(D1254,10)</f>
        <v>0</v>
      </c>
      <c r="F1254" s="9" t="n">
        <f aca="false">2*D1254</f>
        <v>627000</v>
      </c>
      <c r="G1254" s="9" t="n">
        <f aca="false">MOD(F1254,10)</f>
        <v>0</v>
      </c>
      <c r="H1254" s="9" t="n">
        <f aca="false">G1254/2</f>
        <v>0</v>
      </c>
      <c r="I1254" s="9" t="str">
        <f aca="false">IF(H1254=0,"—",IF(H1254=1,"unison (1:1)",IF(H1254=2,"octave (2:1)",IF(H1254=3,"fifth (3:2)",IF(H1254=4,"fourth (4:3)","?")))))</f>
        <v>—</v>
      </c>
      <c r="J1254" s="9" t="str">
        <f aca="false">IF(H1254=0,"—",IF(H1254=1,"ὁμώνυμον",IF(H1254=2,"διὰ πασῶν",IF(H1254=3,"διὰ πέντε",IF(H1254=4,"διὰ τεσσάρων","?")))))</f>
        <v>—</v>
      </c>
      <c r="K1254" s="10"/>
      <c r="L1254" s="14"/>
      <c r="M1254" s="13"/>
    </row>
    <row r="1255" customFormat="false" ht="15.75" hidden="false" customHeight="true" outlineLevel="0" collapsed="false">
      <c r="A1255" s="8" t="n">
        <f aca="false">A1254+1</f>
        <v>1253</v>
      </c>
      <c r="B1255" s="9" t="n">
        <f aca="false">MOD(4*A1255^2,10)</f>
        <v>6</v>
      </c>
      <c r="C1255" s="9" t="n">
        <f aca="false">(26*B1255-5*B1255^2)/24</f>
        <v>-1</v>
      </c>
      <c r="D1255" s="9" t="n">
        <f aca="false">(A1255^2+4*C1255)/5</f>
        <v>314001</v>
      </c>
      <c r="E1255" s="9" t="n">
        <f aca="false">MOD(D1255,10)</f>
        <v>1</v>
      </c>
      <c r="F1255" s="9" t="n">
        <f aca="false">2*D1255</f>
        <v>628002</v>
      </c>
      <c r="G1255" s="9" t="n">
        <f aca="false">MOD(F1255,10)</f>
        <v>2</v>
      </c>
      <c r="H1255" s="9" t="n">
        <f aca="false">G1255/2</f>
        <v>1</v>
      </c>
      <c r="I1255" s="9" t="str">
        <f aca="false">IF(H1255=0,"—",IF(H1255=1,"unison (1:1)",IF(H1255=2,"octave (2:1)",IF(H1255=3,"fifth (3:2)",IF(H1255=4,"fourth (4:3)","?")))))</f>
        <v>unison (1:1)</v>
      </c>
      <c r="J1255" s="9" t="str">
        <f aca="false">IF(H1255=0,"—",IF(H1255=1,"ὁμώνυμον",IF(H1255=2,"διὰ πασῶν",IF(H1255=3,"διὰ πέντε",IF(H1255=4,"διὰ τεσσάρων","?")))))</f>
        <v>ὁμώνυμον</v>
      </c>
      <c r="K1255" s="10"/>
      <c r="L1255" s="14"/>
      <c r="M1255" s="13"/>
    </row>
    <row r="1256" customFormat="false" ht="15.75" hidden="false" customHeight="true" outlineLevel="0" collapsed="false">
      <c r="A1256" s="8" t="n">
        <f aca="false">A1255+1</f>
        <v>1254</v>
      </c>
      <c r="B1256" s="9" t="n">
        <f aca="false">MOD(4*A1256^2,10)</f>
        <v>4</v>
      </c>
      <c r="C1256" s="9" t="n">
        <f aca="false">(26*B1256-5*B1256^2)/24</f>
        <v>1</v>
      </c>
      <c r="D1256" s="9" t="n">
        <f aca="false">(A1256^2+4*C1256)/5</f>
        <v>314504</v>
      </c>
      <c r="E1256" s="9" t="n">
        <f aca="false">MOD(D1256,10)</f>
        <v>4</v>
      </c>
      <c r="F1256" s="9" t="n">
        <f aca="false">2*D1256</f>
        <v>629008</v>
      </c>
      <c r="G1256" s="9" t="n">
        <f aca="false">MOD(F1256,10)</f>
        <v>8</v>
      </c>
      <c r="H1256" s="9" t="n">
        <f aca="false">G1256/2</f>
        <v>4</v>
      </c>
      <c r="I1256" s="9" t="str">
        <f aca="false">IF(H1256=0,"—",IF(H1256=1,"unison (1:1)",IF(H1256=2,"octave (2:1)",IF(H1256=3,"fifth (3:2)",IF(H1256=4,"fourth (4:3)","?")))))</f>
        <v>fourth (4:3)</v>
      </c>
      <c r="J1256" s="9" t="str">
        <f aca="false">IF(H1256=0,"—",IF(H1256=1,"ὁμώνυμον",IF(H1256=2,"διὰ πασῶν",IF(H1256=3,"διὰ πέντε",IF(H1256=4,"διὰ τεσσάρων","?")))))</f>
        <v>διὰ τεσσάρων</v>
      </c>
      <c r="K1256" s="10"/>
      <c r="L1256" s="14"/>
      <c r="M1256" s="13"/>
    </row>
    <row r="1257" customFormat="false" ht="15.75" hidden="false" customHeight="true" outlineLevel="0" collapsed="false">
      <c r="A1257" s="8" t="n">
        <f aca="false">A1256+1</f>
        <v>1255</v>
      </c>
      <c r="B1257" s="9" t="n">
        <f aca="false">MOD(4*A1257^2,10)</f>
        <v>0</v>
      </c>
      <c r="C1257" s="9" t="n">
        <f aca="false">(26*B1257-5*B1257^2)/24</f>
        <v>0</v>
      </c>
      <c r="D1257" s="9" t="n">
        <f aca="false">(A1257^2+4*C1257)/5</f>
        <v>315005</v>
      </c>
      <c r="E1257" s="9" t="n">
        <f aca="false">MOD(D1257,10)</f>
        <v>5</v>
      </c>
      <c r="F1257" s="9" t="n">
        <f aca="false">2*D1257</f>
        <v>630010</v>
      </c>
      <c r="G1257" s="9" t="n">
        <f aca="false">MOD(F1257,10)</f>
        <v>0</v>
      </c>
      <c r="H1257" s="9" t="n">
        <f aca="false">G1257/2</f>
        <v>0</v>
      </c>
      <c r="I1257" s="9" t="str">
        <f aca="false">IF(H1257=0,"—",IF(H1257=1,"unison (1:1)",IF(H1257=2,"octave (2:1)",IF(H1257=3,"fifth (3:2)",IF(H1257=4,"fourth (4:3)","?")))))</f>
        <v>—</v>
      </c>
      <c r="J1257" s="9" t="str">
        <f aca="false">IF(H1257=0,"—",IF(H1257=1,"ὁμώνυμον",IF(H1257=2,"διὰ πασῶν",IF(H1257=3,"διὰ πέντε",IF(H1257=4,"διὰ τεσσάρων","?")))))</f>
        <v>—</v>
      </c>
      <c r="K1257" s="10"/>
      <c r="L1257" s="14"/>
      <c r="M1257" s="13"/>
    </row>
    <row r="1258" customFormat="false" ht="15.75" hidden="false" customHeight="true" outlineLevel="0" collapsed="false">
      <c r="A1258" s="8" t="n">
        <f aca="false">A1257+1</f>
        <v>1256</v>
      </c>
      <c r="B1258" s="9" t="n">
        <f aca="false">MOD(4*A1258^2,10)</f>
        <v>4</v>
      </c>
      <c r="C1258" s="9" t="n">
        <f aca="false">(26*B1258-5*B1258^2)/24</f>
        <v>1</v>
      </c>
      <c r="D1258" s="9" t="n">
        <f aca="false">(A1258^2+4*C1258)/5</f>
        <v>315508</v>
      </c>
      <c r="E1258" s="9" t="n">
        <f aca="false">MOD(D1258,10)</f>
        <v>8</v>
      </c>
      <c r="F1258" s="9" t="n">
        <f aca="false">2*D1258</f>
        <v>631016</v>
      </c>
      <c r="G1258" s="9" t="n">
        <f aca="false">MOD(F1258,10)</f>
        <v>6</v>
      </c>
      <c r="H1258" s="9" t="n">
        <f aca="false">G1258/2</f>
        <v>3</v>
      </c>
      <c r="I1258" s="9" t="str">
        <f aca="false">IF(H1258=0,"—",IF(H1258=1,"unison (1:1)",IF(H1258=2,"octave (2:1)",IF(H1258=3,"fifth (3:2)",IF(H1258=4,"fourth (4:3)","?")))))</f>
        <v>fifth (3:2)</v>
      </c>
      <c r="J1258" s="9" t="str">
        <f aca="false">IF(H1258=0,"—",IF(H1258=1,"ὁμώνυμον",IF(H1258=2,"διὰ πασῶν",IF(H1258=3,"διὰ πέντε",IF(H1258=4,"διὰ τεσσάρων","?")))))</f>
        <v>διὰ πέντε</v>
      </c>
      <c r="K1258" s="10"/>
      <c r="L1258" s="14"/>
      <c r="M1258" s="13"/>
    </row>
    <row r="1259" customFormat="false" ht="15.75" hidden="false" customHeight="true" outlineLevel="0" collapsed="false">
      <c r="A1259" s="8" t="n">
        <f aca="false">A1258+1</f>
        <v>1257</v>
      </c>
      <c r="B1259" s="9" t="n">
        <f aca="false">MOD(4*A1259^2,10)</f>
        <v>6</v>
      </c>
      <c r="C1259" s="9" t="n">
        <f aca="false">(26*B1259-5*B1259^2)/24</f>
        <v>-1</v>
      </c>
      <c r="D1259" s="9" t="n">
        <f aca="false">(A1259^2+4*C1259)/5</f>
        <v>316009</v>
      </c>
      <c r="E1259" s="9" t="n">
        <f aca="false">MOD(D1259,10)</f>
        <v>9</v>
      </c>
      <c r="F1259" s="9" t="n">
        <f aca="false">2*D1259</f>
        <v>632018</v>
      </c>
      <c r="G1259" s="9" t="n">
        <f aca="false">MOD(F1259,10)</f>
        <v>8</v>
      </c>
      <c r="H1259" s="9" t="n">
        <f aca="false">G1259/2</f>
        <v>4</v>
      </c>
      <c r="I1259" s="9" t="str">
        <f aca="false">IF(H1259=0,"—",IF(H1259=1,"unison (1:1)",IF(H1259=2,"octave (2:1)",IF(H1259=3,"fifth (3:2)",IF(H1259=4,"fourth (4:3)","?")))))</f>
        <v>fourth (4:3)</v>
      </c>
      <c r="J1259" s="9" t="str">
        <f aca="false">IF(H1259=0,"—",IF(H1259=1,"ὁμώνυμον",IF(H1259=2,"διὰ πασῶν",IF(H1259=3,"διὰ πέντε",IF(H1259=4,"διὰ τεσσάρων","?")))))</f>
        <v>διὰ τεσσάρων</v>
      </c>
      <c r="K1259" s="10"/>
      <c r="L1259" s="14"/>
      <c r="M1259" s="13"/>
    </row>
    <row r="1260" customFormat="false" ht="15.75" hidden="false" customHeight="true" outlineLevel="0" collapsed="false">
      <c r="A1260" s="8" t="n">
        <f aca="false">A1259+1</f>
        <v>1258</v>
      </c>
      <c r="B1260" s="9" t="n">
        <f aca="false">MOD(4*A1260^2,10)</f>
        <v>6</v>
      </c>
      <c r="C1260" s="9" t="n">
        <f aca="false">(26*B1260-5*B1260^2)/24</f>
        <v>-1</v>
      </c>
      <c r="D1260" s="9" t="n">
        <f aca="false">(A1260^2+4*C1260)/5</f>
        <v>316512</v>
      </c>
      <c r="E1260" s="9" t="n">
        <f aca="false">MOD(D1260,10)</f>
        <v>2</v>
      </c>
      <c r="F1260" s="9" t="n">
        <f aca="false">2*D1260</f>
        <v>633024</v>
      </c>
      <c r="G1260" s="9" t="n">
        <f aca="false">MOD(F1260,10)</f>
        <v>4</v>
      </c>
      <c r="H1260" s="9" t="n">
        <f aca="false">G1260/2</f>
        <v>2</v>
      </c>
      <c r="I1260" s="9" t="str">
        <f aca="false">IF(H1260=0,"—",IF(H1260=1,"unison (1:1)",IF(H1260=2,"octave (2:1)",IF(H1260=3,"fifth (3:2)",IF(H1260=4,"fourth (4:3)","?")))))</f>
        <v>octave (2:1)</v>
      </c>
      <c r="J1260" s="9" t="str">
        <f aca="false">IF(H1260=0,"—",IF(H1260=1,"ὁμώνυμον",IF(H1260=2,"διὰ πασῶν",IF(H1260=3,"διὰ πέντε",IF(H1260=4,"διὰ τεσσάρων","?")))))</f>
        <v>διὰ πασῶν</v>
      </c>
      <c r="K1260" s="10"/>
      <c r="L1260" s="14"/>
      <c r="M1260" s="13"/>
    </row>
    <row r="1261" customFormat="false" ht="15.75" hidden="false" customHeight="true" outlineLevel="0" collapsed="false">
      <c r="A1261" s="8" t="n">
        <f aca="false">A1260+1</f>
        <v>1259</v>
      </c>
      <c r="B1261" s="9" t="n">
        <f aca="false">MOD(4*A1261^2,10)</f>
        <v>4</v>
      </c>
      <c r="C1261" s="9" t="n">
        <f aca="false">(26*B1261-5*B1261^2)/24</f>
        <v>1</v>
      </c>
      <c r="D1261" s="9" t="n">
        <f aca="false">(A1261^2+4*C1261)/5</f>
        <v>317017</v>
      </c>
      <c r="E1261" s="9" t="n">
        <f aca="false">MOD(D1261,10)</f>
        <v>7</v>
      </c>
      <c r="F1261" s="9" t="n">
        <f aca="false">2*D1261</f>
        <v>634034</v>
      </c>
      <c r="G1261" s="9" t="n">
        <f aca="false">MOD(F1261,10)</f>
        <v>4</v>
      </c>
      <c r="H1261" s="9" t="n">
        <f aca="false">G1261/2</f>
        <v>2</v>
      </c>
      <c r="I1261" s="9" t="str">
        <f aca="false">IF(H1261=0,"—",IF(H1261=1,"unison (1:1)",IF(H1261=2,"octave (2:1)",IF(H1261=3,"fifth (3:2)",IF(H1261=4,"fourth (4:3)","?")))))</f>
        <v>octave (2:1)</v>
      </c>
      <c r="J1261" s="9" t="str">
        <f aca="false">IF(H1261=0,"—",IF(H1261=1,"ὁμώνυμον",IF(H1261=2,"διὰ πασῶν",IF(H1261=3,"διὰ πέντε",IF(H1261=4,"διὰ τεσσάρων","?")))))</f>
        <v>διὰ πασῶν</v>
      </c>
      <c r="K1261" s="10"/>
      <c r="L1261" s="14"/>
      <c r="M1261" s="13"/>
    </row>
    <row r="1262" customFormat="false" ht="15.75" hidden="false" customHeight="true" outlineLevel="0" collapsed="false">
      <c r="A1262" s="8" t="n">
        <f aca="false">A1261+1</f>
        <v>1260</v>
      </c>
      <c r="B1262" s="9" t="n">
        <f aca="false">MOD(4*A1262^2,10)</f>
        <v>0</v>
      </c>
      <c r="C1262" s="9" t="n">
        <f aca="false">(26*B1262-5*B1262^2)/24</f>
        <v>0</v>
      </c>
      <c r="D1262" s="9" t="n">
        <f aca="false">(A1262^2+4*C1262)/5</f>
        <v>317520</v>
      </c>
      <c r="E1262" s="9" t="n">
        <f aca="false">MOD(D1262,10)</f>
        <v>0</v>
      </c>
      <c r="F1262" s="9" t="n">
        <f aca="false">2*D1262</f>
        <v>635040</v>
      </c>
      <c r="G1262" s="9" t="n">
        <f aca="false">MOD(F1262,10)</f>
        <v>0</v>
      </c>
      <c r="H1262" s="9" t="n">
        <f aca="false">G1262/2</f>
        <v>0</v>
      </c>
      <c r="I1262" s="9" t="str">
        <f aca="false">IF(H1262=0,"—",IF(H1262=1,"unison (1:1)",IF(H1262=2,"octave (2:1)",IF(H1262=3,"fifth (3:2)",IF(H1262=4,"fourth (4:3)","?")))))</f>
        <v>—</v>
      </c>
      <c r="J1262" s="9" t="str">
        <f aca="false">IF(H1262=0,"—",IF(H1262=1,"ὁμώνυμον",IF(H1262=2,"διὰ πασῶν",IF(H1262=3,"διὰ πέντε",IF(H1262=4,"διὰ τεσσάρων","?")))))</f>
        <v>—</v>
      </c>
      <c r="K1262" s="10"/>
      <c r="L1262" s="14"/>
      <c r="M1262" s="13"/>
    </row>
    <row r="1263" customFormat="false" ht="15.75" hidden="false" customHeight="true" outlineLevel="0" collapsed="false">
      <c r="A1263" s="8" t="n">
        <f aca="false">A1262+1</f>
        <v>1261</v>
      </c>
      <c r="B1263" s="9" t="n">
        <f aca="false">MOD(4*A1263^2,10)</f>
        <v>4</v>
      </c>
      <c r="C1263" s="9" t="n">
        <f aca="false">(26*B1263-5*B1263^2)/24</f>
        <v>1</v>
      </c>
      <c r="D1263" s="9" t="n">
        <f aca="false">(A1263^2+4*C1263)/5</f>
        <v>318025</v>
      </c>
      <c r="E1263" s="9" t="n">
        <f aca="false">MOD(D1263,10)</f>
        <v>5</v>
      </c>
      <c r="F1263" s="9" t="n">
        <f aca="false">2*D1263</f>
        <v>636050</v>
      </c>
      <c r="G1263" s="9" t="n">
        <f aca="false">MOD(F1263,10)</f>
        <v>0</v>
      </c>
      <c r="H1263" s="9" t="n">
        <f aca="false">G1263/2</f>
        <v>0</v>
      </c>
      <c r="I1263" s="9" t="str">
        <f aca="false">IF(H1263=0,"—",IF(H1263=1,"unison (1:1)",IF(H1263=2,"octave (2:1)",IF(H1263=3,"fifth (3:2)",IF(H1263=4,"fourth (4:3)","?")))))</f>
        <v>—</v>
      </c>
      <c r="J1263" s="9" t="str">
        <f aca="false">IF(H1263=0,"—",IF(H1263=1,"ὁμώνυμον",IF(H1263=2,"διὰ πασῶν",IF(H1263=3,"διὰ πέντε",IF(H1263=4,"διὰ τεσσάρων","?")))))</f>
        <v>—</v>
      </c>
      <c r="K1263" s="10"/>
      <c r="L1263" s="14"/>
      <c r="M1263" s="13"/>
    </row>
    <row r="1264" customFormat="false" ht="15.75" hidden="false" customHeight="true" outlineLevel="0" collapsed="false">
      <c r="A1264" s="8" t="n">
        <f aca="false">A1263+1</f>
        <v>1262</v>
      </c>
      <c r="B1264" s="9" t="n">
        <f aca="false">MOD(4*A1264^2,10)</f>
        <v>6</v>
      </c>
      <c r="C1264" s="9" t="n">
        <f aca="false">(26*B1264-5*B1264^2)/24</f>
        <v>-1</v>
      </c>
      <c r="D1264" s="9" t="n">
        <f aca="false">(A1264^2+4*C1264)/5</f>
        <v>318528</v>
      </c>
      <c r="E1264" s="9" t="n">
        <f aca="false">MOD(D1264,10)</f>
        <v>8</v>
      </c>
      <c r="F1264" s="9" t="n">
        <f aca="false">2*D1264</f>
        <v>637056</v>
      </c>
      <c r="G1264" s="9" t="n">
        <f aca="false">MOD(F1264,10)</f>
        <v>6</v>
      </c>
      <c r="H1264" s="9" t="n">
        <f aca="false">G1264/2</f>
        <v>3</v>
      </c>
      <c r="I1264" s="9" t="str">
        <f aca="false">IF(H1264=0,"—",IF(H1264=1,"unison (1:1)",IF(H1264=2,"octave (2:1)",IF(H1264=3,"fifth (3:2)",IF(H1264=4,"fourth (4:3)","?")))))</f>
        <v>fifth (3:2)</v>
      </c>
      <c r="J1264" s="9" t="str">
        <f aca="false">IF(H1264=0,"—",IF(H1264=1,"ὁμώνυμον",IF(H1264=2,"διὰ πασῶν",IF(H1264=3,"διὰ πέντε",IF(H1264=4,"διὰ τεσσάρων","?")))))</f>
        <v>διὰ πέντε</v>
      </c>
      <c r="K1264" s="10"/>
      <c r="L1264" s="14"/>
      <c r="M1264" s="13"/>
    </row>
    <row r="1265" customFormat="false" ht="15.75" hidden="false" customHeight="true" outlineLevel="0" collapsed="false">
      <c r="A1265" s="8" t="n">
        <f aca="false">A1264+1</f>
        <v>1263</v>
      </c>
      <c r="B1265" s="9" t="n">
        <f aca="false">MOD(4*A1265^2,10)</f>
        <v>6</v>
      </c>
      <c r="C1265" s="9" t="n">
        <f aca="false">(26*B1265-5*B1265^2)/24</f>
        <v>-1</v>
      </c>
      <c r="D1265" s="9" t="n">
        <f aca="false">(A1265^2+4*C1265)/5</f>
        <v>319033</v>
      </c>
      <c r="E1265" s="9" t="n">
        <f aca="false">MOD(D1265,10)</f>
        <v>3</v>
      </c>
      <c r="F1265" s="9" t="n">
        <f aca="false">2*D1265</f>
        <v>638066</v>
      </c>
      <c r="G1265" s="9" t="n">
        <f aca="false">MOD(F1265,10)</f>
        <v>6</v>
      </c>
      <c r="H1265" s="9" t="n">
        <f aca="false">G1265/2</f>
        <v>3</v>
      </c>
      <c r="I1265" s="9" t="str">
        <f aca="false">IF(H1265=0,"—",IF(H1265=1,"unison (1:1)",IF(H1265=2,"octave (2:1)",IF(H1265=3,"fifth (3:2)",IF(H1265=4,"fourth (4:3)","?")))))</f>
        <v>fifth (3:2)</v>
      </c>
      <c r="J1265" s="9" t="str">
        <f aca="false">IF(H1265=0,"—",IF(H1265=1,"ὁμώνυμον",IF(H1265=2,"διὰ πασῶν",IF(H1265=3,"διὰ πέντε",IF(H1265=4,"διὰ τεσσάρων","?")))))</f>
        <v>διὰ πέντε</v>
      </c>
      <c r="K1265" s="10"/>
      <c r="L1265" s="14"/>
      <c r="M1265" s="13"/>
    </row>
    <row r="1266" customFormat="false" ht="15.75" hidden="false" customHeight="true" outlineLevel="0" collapsed="false">
      <c r="A1266" s="8" t="n">
        <f aca="false">A1265+1</f>
        <v>1264</v>
      </c>
      <c r="B1266" s="9" t="n">
        <f aca="false">MOD(4*A1266^2,10)</f>
        <v>4</v>
      </c>
      <c r="C1266" s="9" t="n">
        <f aca="false">(26*B1266-5*B1266^2)/24</f>
        <v>1</v>
      </c>
      <c r="D1266" s="9" t="n">
        <f aca="false">(A1266^2+4*C1266)/5</f>
        <v>319540</v>
      </c>
      <c r="E1266" s="9" t="n">
        <f aca="false">MOD(D1266,10)</f>
        <v>0</v>
      </c>
      <c r="F1266" s="9" t="n">
        <f aca="false">2*D1266</f>
        <v>639080</v>
      </c>
      <c r="G1266" s="9" t="n">
        <f aca="false">MOD(F1266,10)</f>
        <v>0</v>
      </c>
      <c r="H1266" s="9" t="n">
        <f aca="false">G1266/2</f>
        <v>0</v>
      </c>
      <c r="I1266" s="9" t="str">
        <f aca="false">IF(H1266=0,"—",IF(H1266=1,"unison (1:1)",IF(H1266=2,"octave (2:1)",IF(H1266=3,"fifth (3:2)",IF(H1266=4,"fourth (4:3)","?")))))</f>
        <v>—</v>
      </c>
      <c r="J1266" s="9" t="str">
        <f aca="false">IF(H1266=0,"—",IF(H1266=1,"ὁμώνυμον",IF(H1266=2,"διὰ πασῶν",IF(H1266=3,"διὰ πέντε",IF(H1266=4,"διὰ τεσσάρων","?")))))</f>
        <v>—</v>
      </c>
      <c r="K1266" s="10"/>
      <c r="L1266" s="14"/>
      <c r="M1266" s="13"/>
    </row>
    <row r="1267" customFormat="false" ht="15.75" hidden="false" customHeight="true" outlineLevel="0" collapsed="false">
      <c r="A1267" s="8" t="n">
        <f aca="false">A1266+1</f>
        <v>1265</v>
      </c>
      <c r="B1267" s="9" t="n">
        <f aca="false">MOD(4*A1267^2,10)</f>
        <v>0</v>
      </c>
      <c r="C1267" s="9" t="n">
        <f aca="false">(26*B1267-5*B1267^2)/24</f>
        <v>0</v>
      </c>
      <c r="D1267" s="9" t="n">
        <f aca="false">(A1267^2+4*C1267)/5</f>
        <v>320045</v>
      </c>
      <c r="E1267" s="9" t="n">
        <f aca="false">MOD(D1267,10)</f>
        <v>5</v>
      </c>
      <c r="F1267" s="9" t="n">
        <f aca="false">2*D1267</f>
        <v>640090</v>
      </c>
      <c r="G1267" s="9" t="n">
        <f aca="false">MOD(F1267,10)</f>
        <v>0</v>
      </c>
      <c r="H1267" s="9" t="n">
        <f aca="false">G1267/2</f>
        <v>0</v>
      </c>
      <c r="I1267" s="9" t="str">
        <f aca="false">IF(H1267=0,"—",IF(H1267=1,"unison (1:1)",IF(H1267=2,"octave (2:1)",IF(H1267=3,"fifth (3:2)",IF(H1267=4,"fourth (4:3)","?")))))</f>
        <v>—</v>
      </c>
      <c r="J1267" s="9" t="str">
        <f aca="false">IF(H1267=0,"—",IF(H1267=1,"ὁμώνυμον",IF(H1267=2,"διὰ πασῶν",IF(H1267=3,"διὰ πέντε",IF(H1267=4,"διὰ τεσσάρων","?")))))</f>
        <v>—</v>
      </c>
      <c r="K1267" s="10"/>
      <c r="L1267" s="14"/>
      <c r="M1267" s="13"/>
    </row>
    <row r="1268" customFormat="false" ht="15.75" hidden="false" customHeight="true" outlineLevel="0" collapsed="false">
      <c r="A1268" s="8" t="n">
        <f aca="false">A1267+1</f>
        <v>1266</v>
      </c>
      <c r="B1268" s="9" t="n">
        <f aca="false">MOD(4*A1268^2,10)</f>
        <v>4</v>
      </c>
      <c r="C1268" s="9" t="n">
        <f aca="false">(26*B1268-5*B1268^2)/24</f>
        <v>1</v>
      </c>
      <c r="D1268" s="9" t="n">
        <f aca="false">(A1268^2+4*C1268)/5</f>
        <v>320552</v>
      </c>
      <c r="E1268" s="9" t="n">
        <f aca="false">MOD(D1268,10)</f>
        <v>2</v>
      </c>
      <c r="F1268" s="9" t="n">
        <f aca="false">2*D1268</f>
        <v>641104</v>
      </c>
      <c r="G1268" s="9" t="n">
        <f aca="false">MOD(F1268,10)</f>
        <v>4</v>
      </c>
      <c r="H1268" s="9" t="n">
        <f aca="false">G1268/2</f>
        <v>2</v>
      </c>
      <c r="I1268" s="9" t="str">
        <f aca="false">IF(H1268=0,"—",IF(H1268=1,"unison (1:1)",IF(H1268=2,"octave (2:1)",IF(H1268=3,"fifth (3:2)",IF(H1268=4,"fourth (4:3)","?")))))</f>
        <v>octave (2:1)</v>
      </c>
      <c r="J1268" s="9" t="str">
        <f aca="false">IF(H1268=0,"—",IF(H1268=1,"ὁμώνυμον",IF(H1268=2,"διὰ πασῶν",IF(H1268=3,"διὰ πέντε",IF(H1268=4,"διὰ τεσσάρων","?")))))</f>
        <v>διὰ πασῶν</v>
      </c>
      <c r="K1268" s="10"/>
      <c r="L1268" s="14"/>
      <c r="M1268" s="13"/>
    </row>
    <row r="1269" customFormat="false" ht="15.75" hidden="false" customHeight="true" outlineLevel="0" collapsed="false">
      <c r="A1269" s="8" t="n">
        <f aca="false">A1268+1</f>
        <v>1267</v>
      </c>
      <c r="B1269" s="9" t="n">
        <f aca="false">MOD(4*A1269^2,10)</f>
        <v>6</v>
      </c>
      <c r="C1269" s="9" t="n">
        <f aca="false">(26*B1269-5*B1269^2)/24</f>
        <v>-1</v>
      </c>
      <c r="D1269" s="9" t="n">
        <f aca="false">(A1269^2+4*C1269)/5</f>
        <v>321057</v>
      </c>
      <c r="E1269" s="9" t="n">
        <f aca="false">MOD(D1269,10)</f>
        <v>7</v>
      </c>
      <c r="F1269" s="9" t="n">
        <f aca="false">2*D1269</f>
        <v>642114</v>
      </c>
      <c r="G1269" s="9" t="n">
        <f aca="false">MOD(F1269,10)</f>
        <v>4</v>
      </c>
      <c r="H1269" s="9" t="n">
        <f aca="false">G1269/2</f>
        <v>2</v>
      </c>
      <c r="I1269" s="9" t="str">
        <f aca="false">IF(H1269=0,"—",IF(H1269=1,"unison (1:1)",IF(H1269=2,"octave (2:1)",IF(H1269=3,"fifth (3:2)",IF(H1269=4,"fourth (4:3)","?")))))</f>
        <v>octave (2:1)</v>
      </c>
      <c r="J1269" s="9" t="str">
        <f aca="false">IF(H1269=0,"—",IF(H1269=1,"ὁμώνυμον",IF(H1269=2,"διὰ πασῶν",IF(H1269=3,"διὰ πέντε",IF(H1269=4,"διὰ τεσσάρων","?")))))</f>
        <v>διὰ πασῶν</v>
      </c>
      <c r="K1269" s="10"/>
      <c r="L1269" s="14"/>
      <c r="M1269" s="13"/>
    </row>
    <row r="1270" customFormat="false" ht="15.75" hidden="false" customHeight="true" outlineLevel="0" collapsed="false">
      <c r="A1270" s="8" t="n">
        <f aca="false">A1269+1</f>
        <v>1268</v>
      </c>
      <c r="B1270" s="9" t="n">
        <f aca="false">MOD(4*A1270^2,10)</f>
        <v>6</v>
      </c>
      <c r="C1270" s="9" t="n">
        <f aca="false">(26*B1270-5*B1270^2)/24</f>
        <v>-1</v>
      </c>
      <c r="D1270" s="9" t="n">
        <f aca="false">(A1270^2+4*C1270)/5</f>
        <v>321564</v>
      </c>
      <c r="E1270" s="9" t="n">
        <f aca="false">MOD(D1270,10)</f>
        <v>4</v>
      </c>
      <c r="F1270" s="9" t="n">
        <f aca="false">2*D1270</f>
        <v>643128</v>
      </c>
      <c r="G1270" s="9" t="n">
        <f aca="false">MOD(F1270,10)</f>
        <v>8</v>
      </c>
      <c r="H1270" s="9" t="n">
        <f aca="false">G1270/2</f>
        <v>4</v>
      </c>
      <c r="I1270" s="9" t="str">
        <f aca="false">IF(H1270=0,"—",IF(H1270=1,"unison (1:1)",IF(H1270=2,"octave (2:1)",IF(H1270=3,"fifth (3:2)",IF(H1270=4,"fourth (4:3)","?")))))</f>
        <v>fourth (4:3)</v>
      </c>
      <c r="J1270" s="9" t="str">
        <f aca="false">IF(H1270=0,"—",IF(H1270=1,"ὁμώνυμον",IF(H1270=2,"διὰ πασῶν",IF(H1270=3,"διὰ πέντε",IF(H1270=4,"διὰ τεσσάρων","?")))))</f>
        <v>διὰ τεσσάρων</v>
      </c>
      <c r="K1270" s="10"/>
      <c r="L1270" s="14"/>
      <c r="M1270" s="13"/>
    </row>
    <row r="1271" customFormat="false" ht="15.75" hidden="false" customHeight="true" outlineLevel="0" collapsed="false">
      <c r="A1271" s="8" t="n">
        <f aca="false">A1270+1</f>
        <v>1269</v>
      </c>
      <c r="B1271" s="9" t="n">
        <f aca="false">MOD(4*A1271^2,10)</f>
        <v>4</v>
      </c>
      <c r="C1271" s="9" t="n">
        <f aca="false">(26*B1271-5*B1271^2)/24</f>
        <v>1</v>
      </c>
      <c r="D1271" s="9" t="n">
        <f aca="false">(A1271^2+4*C1271)/5</f>
        <v>322073</v>
      </c>
      <c r="E1271" s="9" t="n">
        <f aca="false">MOD(D1271,10)</f>
        <v>3</v>
      </c>
      <c r="F1271" s="9" t="n">
        <f aca="false">2*D1271</f>
        <v>644146</v>
      </c>
      <c r="G1271" s="9" t="n">
        <f aca="false">MOD(F1271,10)</f>
        <v>6</v>
      </c>
      <c r="H1271" s="9" t="n">
        <f aca="false">G1271/2</f>
        <v>3</v>
      </c>
      <c r="I1271" s="9" t="str">
        <f aca="false">IF(H1271=0,"—",IF(H1271=1,"unison (1:1)",IF(H1271=2,"octave (2:1)",IF(H1271=3,"fifth (3:2)",IF(H1271=4,"fourth (4:3)","?")))))</f>
        <v>fifth (3:2)</v>
      </c>
      <c r="J1271" s="9" t="str">
        <f aca="false">IF(H1271=0,"—",IF(H1271=1,"ὁμώνυμον",IF(H1271=2,"διὰ πασῶν",IF(H1271=3,"διὰ πέντε",IF(H1271=4,"διὰ τεσσάρων","?")))))</f>
        <v>διὰ πέντε</v>
      </c>
      <c r="K1271" s="10"/>
      <c r="L1271" s="14"/>
      <c r="M1271" s="13"/>
    </row>
    <row r="1272" customFormat="false" ht="15.75" hidden="false" customHeight="true" outlineLevel="0" collapsed="false">
      <c r="A1272" s="8" t="n">
        <f aca="false">A1271+1</f>
        <v>1270</v>
      </c>
      <c r="B1272" s="9" t="n">
        <f aca="false">MOD(4*A1272^2,10)</f>
        <v>0</v>
      </c>
      <c r="C1272" s="9" t="n">
        <f aca="false">(26*B1272-5*B1272^2)/24</f>
        <v>0</v>
      </c>
      <c r="D1272" s="9" t="n">
        <f aca="false">(A1272^2+4*C1272)/5</f>
        <v>322580</v>
      </c>
      <c r="E1272" s="9" t="n">
        <f aca="false">MOD(D1272,10)</f>
        <v>0</v>
      </c>
      <c r="F1272" s="9" t="n">
        <f aca="false">2*D1272</f>
        <v>645160</v>
      </c>
      <c r="G1272" s="9" t="n">
        <f aca="false">MOD(F1272,10)</f>
        <v>0</v>
      </c>
      <c r="H1272" s="9" t="n">
        <f aca="false">G1272/2</f>
        <v>0</v>
      </c>
      <c r="I1272" s="9" t="str">
        <f aca="false">IF(H1272=0,"—",IF(H1272=1,"unison (1:1)",IF(H1272=2,"octave (2:1)",IF(H1272=3,"fifth (3:2)",IF(H1272=4,"fourth (4:3)","?")))))</f>
        <v>—</v>
      </c>
      <c r="J1272" s="9" t="str">
        <f aca="false">IF(H1272=0,"—",IF(H1272=1,"ὁμώνυμον",IF(H1272=2,"διὰ πασῶν",IF(H1272=3,"διὰ πέντε",IF(H1272=4,"διὰ τεσσάρων","?")))))</f>
        <v>—</v>
      </c>
      <c r="K1272" s="10"/>
      <c r="L1272" s="14"/>
      <c r="M1272" s="13"/>
    </row>
    <row r="1273" customFormat="false" ht="15.75" hidden="false" customHeight="true" outlineLevel="0" collapsed="false">
      <c r="A1273" s="8" t="n">
        <f aca="false">A1272+1</f>
        <v>1271</v>
      </c>
      <c r="B1273" s="9" t="n">
        <f aca="false">MOD(4*A1273^2,10)</f>
        <v>4</v>
      </c>
      <c r="C1273" s="9" t="n">
        <f aca="false">(26*B1273-5*B1273^2)/24</f>
        <v>1</v>
      </c>
      <c r="D1273" s="9" t="n">
        <f aca="false">(A1273^2+4*C1273)/5</f>
        <v>323089</v>
      </c>
      <c r="E1273" s="9" t="n">
        <f aca="false">MOD(D1273,10)</f>
        <v>9</v>
      </c>
      <c r="F1273" s="9" t="n">
        <f aca="false">2*D1273</f>
        <v>646178</v>
      </c>
      <c r="G1273" s="9" t="n">
        <f aca="false">MOD(F1273,10)</f>
        <v>8</v>
      </c>
      <c r="H1273" s="9" t="n">
        <f aca="false">G1273/2</f>
        <v>4</v>
      </c>
      <c r="I1273" s="9" t="str">
        <f aca="false">IF(H1273=0,"—",IF(H1273=1,"unison (1:1)",IF(H1273=2,"octave (2:1)",IF(H1273=3,"fifth (3:2)",IF(H1273=4,"fourth (4:3)","?")))))</f>
        <v>fourth (4:3)</v>
      </c>
      <c r="J1273" s="9" t="str">
        <f aca="false">IF(H1273=0,"—",IF(H1273=1,"ὁμώνυμον",IF(H1273=2,"διὰ πασῶν",IF(H1273=3,"διὰ πέντε",IF(H1273=4,"διὰ τεσσάρων","?")))))</f>
        <v>διὰ τεσσάρων</v>
      </c>
      <c r="K1273" s="10"/>
      <c r="L1273" s="14"/>
      <c r="M1273" s="13"/>
    </row>
    <row r="1274" customFormat="false" ht="15.75" hidden="false" customHeight="true" outlineLevel="0" collapsed="false">
      <c r="A1274" s="8" t="n">
        <f aca="false">A1273+1</f>
        <v>1272</v>
      </c>
      <c r="B1274" s="9" t="n">
        <f aca="false">MOD(4*A1274^2,10)</f>
        <v>6</v>
      </c>
      <c r="C1274" s="9" t="n">
        <f aca="false">(26*B1274-5*B1274^2)/24</f>
        <v>-1</v>
      </c>
      <c r="D1274" s="9" t="n">
        <f aca="false">(A1274^2+4*C1274)/5</f>
        <v>323596</v>
      </c>
      <c r="E1274" s="9" t="n">
        <f aca="false">MOD(D1274,10)</f>
        <v>6</v>
      </c>
      <c r="F1274" s="9" t="n">
        <f aca="false">2*D1274</f>
        <v>647192</v>
      </c>
      <c r="G1274" s="9" t="n">
        <f aca="false">MOD(F1274,10)</f>
        <v>2</v>
      </c>
      <c r="H1274" s="9" t="n">
        <f aca="false">G1274/2</f>
        <v>1</v>
      </c>
      <c r="I1274" s="9" t="str">
        <f aca="false">IF(H1274=0,"—",IF(H1274=1,"unison (1:1)",IF(H1274=2,"octave (2:1)",IF(H1274=3,"fifth (3:2)",IF(H1274=4,"fourth (4:3)","?")))))</f>
        <v>unison (1:1)</v>
      </c>
      <c r="J1274" s="9" t="str">
        <f aca="false">IF(H1274=0,"—",IF(H1274=1,"ὁμώνυμον",IF(H1274=2,"διὰ πασῶν",IF(H1274=3,"διὰ πέντε",IF(H1274=4,"διὰ τεσσάρων","?")))))</f>
        <v>ὁμώνυμον</v>
      </c>
      <c r="K1274" s="10"/>
      <c r="L1274" s="14"/>
      <c r="M1274" s="13"/>
    </row>
    <row r="1275" customFormat="false" ht="15.75" hidden="false" customHeight="true" outlineLevel="0" collapsed="false">
      <c r="A1275" s="8" t="n">
        <f aca="false">A1274+1</f>
        <v>1273</v>
      </c>
      <c r="B1275" s="9" t="n">
        <f aca="false">MOD(4*A1275^2,10)</f>
        <v>6</v>
      </c>
      <c r="C1275" s="9" t="n">
        <f aca="false">(26*B1275-5*B1275^2)/24</f>
        <v>-1</v>
      </c>
      <c r="D1275" s="9" t="n">
        <f aca="false">(A1275^2+4*C1275)/5</f>
        <v>324105</v>
      </c>
      <c r="E1275" s="9" t="n">
        <f aca="false">MOD(D1275,10)</f>
        <v>5</v>
      </c>
      <c r="F1275" s="9" t="n">
        <f aca="false">2*D1275</f>
        <v>648210</v>
      </c>
      <c r="G1275" s="9" t="n">
        <f aca="false">MOD(F1275,10)</f>
        <v>0</v>
      </c>
      <c r="H1275" s="9" t="n">
        <f aca="false">G1275/2</f>
        <v>0</v>
      </c>
      <c r="I1275" s="9" t="str">
        <f aca="false">IF(H1275=0,"—",IF(H1275=1,"unison (1:1)",IF(H1275=2,"octave (2:1)",IF(H1275=3,"fifth (3:2)",IF(H1275=4,"fourth (4:3)","?")))))</f>
        <v>—</v>
      </c>
      <c r="J1275" s="9" t="str">
        <f aca="false">IF(H1275=0,"—",IF(H1275=1,"ὁμώνυμον",IF(H1275=2,"διὰ πασῶν",IF(H1275=3,"διὰ πέντε",IF(H1275=4,"διὰ τεσσάρων","?")))))</f>
        <v>—</v>
      </c>
      <c r="K1275" s="10"/>
      <c r="L1275" s="14"/>
      <c r="M1275" s="13"/>
    </row>
    <row r="1276" customFormat="false" ht="15.75" hidden="false" customHeight="true" outlineLevel="0" collapsed="false">
      <c r="A1276" s="8" t="n">
        <f aca="false">A1275+1</f>
        <v>1274</v>
      </c>
      <c r="B1276" s="9" t="n">
        <f aca="false">MOD(4*A1276^2,10)</f>
        <v>4</v>
      </c>
      <c r="C1276" s="9" t="n">
        <f aca="false">(26*B1276-5*B1276^2)/24</f>
        <v>1</v>
      </c>
      <c r="D1276" s="9" t="n">
        <f aca="false">(A1276^2+4*C1276)/5</f>
        <v>324616</v>
      </c>
      <c r="E1276" s="9" t="n">
        <f aca="false">MOD(D1276,10)</f>
        <v>6</v>
      </c>
      <c r="F1276" s="9" t="n">
        <f aca="false">2*D1276</f>
        <v>649232</v>
      </c>
      <c r="G1276" s="9" t="n">
        <f aca="false">MOD(F1276,10)</f>
        <v>2</v>
      </c>
      <c r="H1276" s="9" t="n">
        <f aca="false">G1276/2</f>
        <v>1</v>
      </c>
      <c r="I1276" s="9" t="str">
        <f aca="false">IF(H1276=0,"—",IF(H1276=1,"unison (1:1)",IF(H1276=2,"octave (2:1)",IF(H1276=3,"fifth (3:2)",IF(H1276=4,"fourth (4:3)","?")))))</f>
        <v>unison (1:1)</v>
      </c>
      <c r="J1276" s="9" t="str">
        <f aca="false">IF(H1276=0,"—",IF(H1276=1,"ὁμώνυμον",IF(H1276=2,"διὰ πασῶν",IF(H1276=3,"διὰ πέντε",IF(H1276=4,"διὰ τεσσάρων","?")))))</f>
        <v>ὁμώνυμον</v>
      </c>
      <c r="K1276" s="10"/>
      <c r="L1276" s="14"/>
      <c r="M1276" s="13"/>
    </row>
    <row r="1277" customFormat="false" ht="15.75" hidden="false" customHeight="true" outlineLevel="0" collapsed="false">
      <c r="A1277" s="8" t="n">
        <f aca="false">A1276+1</f>
        <v>1275</v>
      </c>
      <c r="B1277" s="9" t="n">
        <f aca="false">MOD(4*A1277^2,10)</f>
        <v>0</v>
      </c>
      <c r="C1277" s="9" t="n">
        <f aca="false">(26*B1277-5*B1277^2)/24</f>
        <v>0</v>
      </c>
      <c r="D1277" s="9" t="n">
        <f aca="false">(A1277^2+4*C1277)/5</f>
        <v>325125</v>
      </c>
      <c r="E1277" s="9" t="n">
        <f aca="false">MOD(D1277,10)</f>
        <v>5</v>
      </c>
      <c r="F1277" s="9" t="n">
        <f aca="false">2*D1277</f>
        <v>650250</v>
      </c>
      <c r="G1277" s="9" t="n">
        <f aca="false">MOD(F1277,10)</f>
        <v>0</v>
      </c>
      <c r="H1277" s="9" t="n">
        <f aca="false">G1277/2</f>
        <v>0</v>
      </c>
      <c r="I1277" s="9" t="str">
        <f aca="false">IF(H1277=0,"—",IF(H1277=1,"unison (1:1)",IF(H1277=2,"octave (2:1)",IF(H1277=3,"fifth (3:2)",IF(H1277=4,"fourth (4:3)","?")))))</f>
        <v>—</v>
      </c>
      <c r="J1277" s="9" t="str">
        <f aca="false">IF(H1277=0,"—",IF(H1277=1,"ὁμώνυμον",IF(H1277=2,"διὰ πασῶν",IF(H1277=3,"διὰ πέντε",IF(H1277=4,"διὰ τεσσάρων","?")))))</f>
        <v>—</v>
      </c>
      <c r="K1277" s="10"/>
      <c r="L1277" s="14"/>
      <c r="M1277" s="13"/>
    </row>
    <row r="1278" customFormat="false" ht="15.75" hidden="false" customHeight="true" outlineLevel="0" collapsed="false">
      <c r="A1278" s="8" t="n">
        <f aca="false">A1277+1</f>
        <v>1276</v>
      </c>
      <c r="B1278" s="9" t="n">
        <f aca="false">MOD(4*A1278^2,10)</f>
        <v>4</v>
      </c>
      <c r="C1278" s="9" t="n">
        <f aca="false">(26*B1278-5*B1278^2)/24</f>
        <v>1</v>
      </c>
      <c r="D1278" s="9" t="n">
        <f aca="false">(A1278^2+4*C1278)/5</f>
        <v>325636</v>
      </c>
      <c r="E1278" s="9" t="n">
        <f aca="false">MOD(D1278,10)</f>
        <v>6</v>
      </c>
      <c r="F1278" s="9" t="n">
        <f aca="false">2*D1278</f>
        <v>651272</v>
      </c>
      <c r="G1278" s="9" t="n">
        <f aca="false">MOD(F1278,10)</f>
        <v>2</v>
      </c>
      <c r="H1278" s="9" t="n">
        <f aca="false">G1278/2</f>
        <v>1</v>
      </c>
      <c r="I1278" s="9" t="str">
        <f aca="false">IF(H1278=0,"—",IF(H1278=1,"unison (1:1)",IF(H1278=2,"octave (2:1)",IF(H1278=3,"fifth (3:2)",IF(H1278=4,"fourth (4:3)","?")))))</f>
        <v>unison (1:1)</v>
      </c>
      <c r="J1278" s="9" t="str">
        <f aca="false">IF(H1278=0,"—",IF(H1278=1,"ὁμώνυμον",IF(H1278=2,"διὰ πασῶν",IF(H1278=3,"διὰ πέντε",IF(H1278=4,"διὰ τεσσάρων","?")))))</f>
        <v>ὁμώνυμον</v>
      </c>
      <c r="K1278" s="10"/>
      <c r="L1278" s="14"/>
      <c r="M1278" s="13"/>
    </row>
    <row r="1279" customFormat="false" ht="15.75" hidden="false" customHeight="true" outlineLevel="0" collapsed="false">
      <c r="A1279" s="8" t="n">
        <f aca="false">A1278+1</f>
        <v>1277</v>
      </c>
      <c r="B1279" s="9" t="n">
        <f aca="false">MOD(4*A1279^2,10)</f>
        <v>6</v>
      </c>
      <c r="C1279" s="9" t="n">
        <f aca="false">(26*B1279-5*B1279^2)/24</f>
        <v>-1</v>
      </c>
      <c r="D1279" s="9" t="n">
        <f aca="false">(A1279^2+4*C1279)/5</f>
        <v>326145</v>
      </c>
      <c r="E1279" s="9" t="n">
        <f aca="false">MOD(D1279,10)</f>
        <v>5</v>
      </c>
      <c r="F1279" s="9" t="n">
        <f aca="false">2*D1279</f>
        <v>652290</v>
      </c>
      <c r="G1279" s="9" t="n">
        <f aca="false">MOD(F1279,10)</f>
        <v>0</v>
      </c>
      <c r="H1279" s="9" t="n">
        <f aca="false">G1279/2</f>
        <v>0</v>
      </c>
      <c r="I1279" s="9" t="str">
        <f aca="false">IF(H1279=0,"—",IF(H1279=1,"unison (1:1)",IF(H1279=2,"octave (2:1)",IF(H1279=3,"fifth (3:2)",IF(H1279=4,"fourth (4:3)","?")))))</f>
        <v>—</v>
      </c>
      <c r="J1279" s="9" t="str">
        <f aca="false">IF(H1279=0,"—",IF(H1279=1,"ὁμώνυμον",IF(H1279=2,"διὰ πασῶν",IF(H1279=3,"διὰ πέντε",IF(H1279=4,"διὰ τεσσάρων","?")))))</f>
        <v>—</v>
      </c>
      <c r="K1279" s="10"/>
      <c r="L1279" s="14"/>
      <c r="M1279" s="13"/>
    </row>
    <row r="1280" customFormat="false" ht="15.75" hidden="false" customHeight="true" outlineLevel="0" collapsed="false">
      <c r="A1280" s="8" t="n">
        <f aca="false">A1279+1</f>
        <v>1278</v>
      </c>
      <c r="B1280" s="9" t="n">
        <f aca="false">MOD(4*A1280^2,10)</f>
        <v>6</v>
      </c>
      <c r="C1280" s="9" t="n">
        <f aca="false">(26*B1280-5*B1280^2)/24</f>
        <v>-1</v>
      </c>
      <c r="D1280" s="9" t="n">
        <f aca="false">(A1280^2+4*C1280)/5</f>
        <v>326656</v>
      </c>
      <c r="E1280" s="9" t="n">
        <f aca="false">MOD(D1280,10)</f>
        <v>6</v>
      </c>
      <c r="F1280" s="9" t="n">
        <f aca="false">2*D1280</f>
        <v>653312</v>
      </c>
      <c r="G1280" s="9" t="n">
        <f aca="false">MOD(F1280,10)</f>
        <v>2</v>
      </c>
      <c r="H1280" s="9" t="n">
        <f aca="false">G1280/2</f>
        <v>1</v>
      </c>
      <c r="I1280" s="9" t="str">
        <f aca="false">IF(H1280=0,"—",IF(H1280=1,"unison (1:1)",IF(H1280=2,"octave (2:1)",IF(H1280=3,"fifth (3:2)",IF(H1280=4,"fourth (4:3)","?")))))</f>
        <v>unison (1:1)</v>
      </c>
      <c r="J1280" s="9" t="str">
        <f aca="false">IF(H1280=0,"—",IF(H1280=1,"ὁμώνυμον",IF(H1280=2,"διὰ πασῶν",IF(H1280=3,"διὰ πέντε",IF(H1280=4,"διὰ τεσσάρων","?")))))</f>
        <v>ὁμώνυμον</v>
      </c>
      <c r="K1280" s="10"/>
      <c r="L1280" s="14"/>
      <c r="M1280" s="13"/>
    </row>
    <row r="1281" customFormat="false" ht="15.75" hidden="false" customHeight="true" outlineLevel="0" collapsed="false">
      <c r="A1281" s="8" t="n">
        <f aca="false">A1280+1</f>
        <v>1279</v>
      </c>
      <c r="B1281" s="9" t="n">
        <f aca="false">MOD(4*A1281^2,10)</f>
        <v>4</v>
      </c>
      <c r="C1281" s="9" t="n">
        <f aca="false">(26*B1281-5*B1281^2)/24</f>
        <v>1</v>
      </c>
      <c r="D1281" s="9" t="n">
        <f aca="false">(A1281^2+4*C1281)/5</f>
        <v>327169</v>
      </c>
      <c r="E1281" s="9" t="n">
        <f aca="false">MOD(D1281,10)</f>
        <v>9</v>
      </c>
      <c r="F1281" s="9" t="n">
        <f aca="false">2*D1281</f>
        <v>654338</v>
      </c>
      <c r="G1281" s="9" t="n">
        <f aca="false">MOD(F1281,10)</f>
        <v>8</v>
      </c>
      <c r="H1281" s="9" t="n">
        <f aca="false">G1281/2</f>
        <v>4</v>
      </c>
      <c r="I1281" s="9" t="str">
        <f aca="false">IF(H1281=0,"—",IF(H1281=1,"unison (1:1)",IF(H1281=2,"octave (2:1)",IF(H1281=3,"fifth (3:2)",IF(H1281=4,"fourth (4:3)","?")))))</f>
        <v>fourth (4:3)</v>
      </c>
      <c r="J1281" s="9" t="str">
        <f aca="false">IF(H1281=0,"—",IF(H1281=1,"ὁμώνυμον",IF(H1281=2,"διὰ πασῶν",IF(H1281=3,"διὰ πέντε",IF(H1281=4,"διὰ τεσσάρων","?")))))</f>
        <v>διὰ τεσσάρων</v>
      </c>
      <c r="K1281" s="10"/>
      <c r="L1281" s="14"/>
      <c r="M1281" s="13"/>
    </row>
    <row r="1282" customFormat="false" ht="15.75" hidden="false" customHeight="true" outlineLevel="0" collapsed="false">
      <c r="A1282" s="8" t="n">
        <f aca="false">A1281+1</f>
        <v>1280</v>
      </c>
      <c r="B1282" s="9" t="n">
        <f aca="false">MOD(4*A1282^2,10)</f>
        <v>0</v>
      </c>
      <c r="C1282" s="9" t="n">
        <f aca="false">(26*B1282-5*B1282^2)/24</f>
        <v>0</v>
      </c>
      <c r="D1282" s="9" t="n">
        <f aca="false">(A1282^2+4*C1282)/5</f>
        <v>327680</v>
      </c>
      <c r="E1282" s="9" t="n">
        <f aca="false">MOD(D1282,10)</f>
        <v>0</v>
      </c>
      <c r="F1282" s="9" t="n">
        <f aca="false">2*D1282</f>
        <v>655360</v>
      </c>
      <c r="G1282" s="9" t="n">
        <f aca="false">MOD(F1282,10)</f>
        <v>0</v>
      </c>
      <c r="H1282" s="9" t="n">
        <f aca="false">G1282/2</f>
        <v>0</v>
      </c>
      <c r="I1282" s="9" t="str">
        <f aca="false">IF(H1282=0,"—",IF(H1282=1,"unison (1:1)",IF(H1282=2,"octave (2:1)",IF(H1282=3,"fifth (3:2)",IF(H1282=4,"fourth (4:3)","?")))))</f>
        <v>—</v>
      </c>
      <c r="J1282" s="9" t="str">
        <f aca="false">IF(H1282=0,"—",IF(H1282=1,"ὁμώνυμον",IF(H1282=2,"διὰ πασῶν",IF(H1282=3,"διὰ πέντε",IF(H1282=4,"διὰ τεσσάρων","?")))))</f>
        <v>—</v>
      </c>
      <c r="K1282" s="10"/>
      <c r="L1282" s="14"/>
      <c r="M1282" s="13"/>
    </row>
    <row r="1283" customFormat="false" ht="15.75" hidden="false" customHeight="true" outlineLevel="0" collapsed="false">
      <c r="A1283" s="8" t="n">
        <f aca="false">A1282+1</f>
        <v>1281</v>
      </c>
      <c r="B1283" s="9" t="n">
        <f aca="false">MOD(4*A1283^2,10)</f>
        <v>4</v>
      </c>
      <c r="C1283" s="9" t="n">
        <f aca="false">(26*B1283-5*B1283^2)/24</f>
        <v>1</v>
      </c>
      <c r="D1283" s="9" t="n">
        <f aca="false">(A1283^2+4*C1283)/5</f>
        <v>328193</v>
      </c>
      <c r="E1283" s="9" t="n">
        <f aca="false">MOD(D1283,10)</f>
        <v>3</v>
      </c>
      <c r="F1283" s="9" t="n">
        <f aca="false">2*D1283</f>
        <v>656386</v>
      </c>
      <c r="G1283" s="9" t="n">
        <f aca="false">MOD(F1283,10)</f>
        <v>6</v>
      </c>
      <c r="H1283" s="9" t="n">
        <f aca="false">G1283/2</f>
        <v>3</v>
      </c>
      <c r="I1283" s="9" t="str">
        <f aca="false">IF(H1283=0,"—",IF(H1283=1,"unison (1:1)",IF(H1283=2,"octave (2:1)",IF(H1283=3,"fifth (3:2)",IF(H1283=4,"fourth (4:3)","?")))))</f>
        <v>fifth (3:2)</v>
      </c>
      <c r="J1283" s="9" t="str">
        <f aca="false">IF(H1283=0,"—",IF(H1283=1,"ὁμώνυμον",IF(H1283=2,"διὰ πασῶν",IF(H1283=3,"διὰ πέντε",IF(H1283=4,"διὰ τεσσάρων","?")))))</f>
        <v>διὰ πέντε</v>
      </c>
      <c r="K1283" s="10"/>
      <c r="L1283" s="14"/>
      <c r="M1283" s="13"/>
    </row>
    <row r="1284" customFormat="false" ht="15.75" hidden="false" customHeight="true" outlineLevel="0" collapsed="false">
      <c r="A1284" s="8" t="n">
        <f aca="false">A1283+1</f>
        <v>1282</v>
      </c>
      <c r="B1284" s="9" t="n">
        <f aca="false">MOD(4*A1284^2,10)</f>
        <v>6</v>
      </c>
      <c r="C1284" s="9" t="n">
        <f aca="false">(26*B1284-5*B1284^2)/24</f>
        <v>-1</v>
      </c>
      <c r="D1284" s="9" t="n">
        <f aca="false">(A1284^2+4*C1284)/5</f>
        <v>328704</v>
      </c>
      <c r="E1284" s="9" t="n">
        <f aca="false">MOD(D1284,10)</f>
        <v>4</v>
      </c>
      <c r="F1284" s="9" t="n">
        <f aca="false">2*D1284</f>
        <v>657408</v>
      </c>
      <c r="G1284" s="9" t="n">
        <f aca="false">MOD(F1284,10)</f>
        <v>8</v>
      </c>
      <c r="H1284" s="9" t="n">
        <f aca="false">G1284/2</f>
        <v>4</v>
      </c>
      <c r="I1284" s="9" t="str">
        <f aca="false">IF(H1284=0,"—",IF(H1284=1,"unison (1:1)",IF(H1284=2,"octave (2:1)",IF(H1284=3,"fifth (3:2)",IF(H1284=4,"fourth (4:3)","?")))))</f>
        <v>fourth (4:3)</v>
      </c>
      <c r="J1284" s="9" t="str">
        <f aca="false">IF(H1284=0,"—",IF(H1284=1,"ὁμώνυμον",IF(H1284=2,"διὰ πασῶν",IF(H1284=3,"διὰ πέντε",IF(H1284=4,"διὰ τεσσάρων","?")))))</f>
        <v>διὰ τεσσάρων</v>
      </c>
      <c r="K1284" s="10"/>
      <c r="L1284" s="14"/>
      <c r="M1284" s="13"/>
    </row>
    <row r="1285" customFormat="false" ht="15.75" hidden="false" customHeight="true" outlineLevel="0" collapsed="false">
      <c r="A1285" s="8" t="n">
        <f aca="false">A1284+1</f>
        <v>1283</v>
      </c>
      <c r="B1285" s="9" t="n">
        <f aca="false">MOD(4*A1285^2,10)</f>
        <v>6</v>
      </c>
      <c r="C1285" s="9" t="n">
        <f aca="false">(26*B1285-5*B1285^2)/24</f>
        <v>-1</v>
      </c>
      <c r="D1285" s="9" t="n">
        <f aca="false">(A1285^2+4*C1285)/5</f>
        <v>329217</v>
      </c>
      <c r="E1285" s="9" t="n">
        <f aca="false">MOD(D1285,10)</f>
        <v>7</v>
      </c>
      <c r="F1285" s="9" t="n">
        <f aca="false">2*D1285</f>
        <v>658434</v>
      </c>
      <c r="G1285" s="9" t="n">
        <f aca="false">MOD(F1285,10)</f>
        <v>4</v>
      </c>
      <c r="H1285" s="9" t="n">
        <f aca="false">G1285/2</f>
        <v>2</v>
      </c>
      <c r="I1285" s="9" t="str">
        <f aca="false">IF(H1285=0,"—",IF(H1285=1,"unison (1:1)",IF(H1285=2,"octave (2:1)",IF(H1285=3,"fifth (3:2)",IF(H1285=4,"fourth (4:3)","?")))))</f>
        <v>octave (2:1)</v>
      </c>
      <c r="J1285" s="9" t="str">
        <f aca="false">IF(H1285=0,"—",IF(H1285=1,"ὁμώνυμον",IF(H1285=2,"διὰ πασῶν",IF(H1285=3,"διὰ πέντε",IF(H1285=4,"διὰ τεσσάρων","?")))))</f>
        <v>διὰ πασῶν</v>
      </c>
      <c r="K1285" s="10"/>
      <c r="L1285" s="14"/>
      <c r="M1285" s="13"/>
    </row>
    <row r="1286" customFormat="false" ht="15.75" hidden="false" customHeight="true" outlineLevel="0" collapsed="false">
      <c r="A1286" s="8" t="n">
        <f aca="false">A1285+1</f>
        <v>1284</v>
      </c>
      <c r="B1286" s="9" t="n">
        <f aca="false">MOD(4*A1286^2,10)</f>
        <v>4</v>
      </c>
      <c r="C1286" s="9" t="n">
        <f aca="false">(26*B1286-5*B1286^2)/24</f>
        <v>1</v>
      </c>
      <c r="D1286" s="9" t="n">
        <f aca="false">(A1286^2+4*C1286)/5</f>
        <v>329732</v>
      </c>
      <c r="E1286" s="9" t="n">
        <f aca="false">MOD(D1286,10)</f>
        <v>2</v>
      </c>
      <c r="F1286" s="9" t="n">
        <f aca="false">2*D1286</f>
        <v>659464</v>
      </c>
      <c r="G1286" s="9" t="n">
        <f aca="false">MOD(F1286,10)</f>
        <v>4</v>
      </c>
      <c r="H1286" s="9" t="n">
        <f aca="false">G1286/2</f>
        <v>2</v>
      </c>
      <c r="I1286" s="9" t="str">
        <f aca="false">IF(H1286=0,"—",IF(H1286=1,"unison (1:1)",IF(H1286=2,"octave (2:1)",IF(H1286=3,"fifth (3:2)",IF(H1286=4,"fourth (4:3)","?")))))</f>
        <v>octave (2:1)</v>
      </c>
      <c r="J1286" s="9" t="str">
        <f aca="false">IF(H1286=0,"—",IF(H1286=1,"ὁμώνυμον",IF(H1286=2,"διὰ πασῶν",IF(H1286=3,"διὰ πέντε",IF(H1286=4,"διὰ τεσσάρων","?")))))</f>
        <v>διὰ πασῶν</v>
      </c>
      <c r="K1286" s="10"/>
      <c r="L1286" s="14"/>
      <c r="M1286" s="13"/>
    </row>
    <row r="1287" customFormat="false" ht="15.75" hidden="false" customHeight="true" outlineLevel="0" collapsed="false">
      <c r="A1287" s="8" t="n">
        <f aca="false">A1286+1</f>
        <v>1285</v>
      </c>
      <c r="B1287" s="9" t="n">
        <f aca="false">MOD(4*A1287^2,10)</f>
        <v>0</v>
      </c>
      <c r="C1287" s="9" t="n">
        <f aca="false">(26*B1287-5*B1287^2)/24</f>
        <v>0</v>
      </c>
      <c r="D1287" s="9" t="n">
        <f aca="false">(A1287^2+4*C1287)/5</f>
        <v>330245</v>
      </c>
      <c r="E1287" s="9" t="n">
        <f aca="false">MOD(D1287,10)</f>
        <v>5</v>
      </c>
      <c r="F1287" s="9" t="n">
        <f aca="false">2*D1287</f>
        <v>660490</v>
      </c>
      <c r="G1287" s="9" t="n">
        <f aca="false">MOD(F1287,10)</f>
        <v>0</v>
      </c>
      <c r="H1287" s="9" t="n">
        <f aca="false">G1287/2</f>
        <v>0</v>
      </c>
      <c r="I1287" s="9" t="str">
        <f aca="false">IF(H1287=0,"—",IF(H1287=1,"unison (1:1)",IF(H1287=2,"octave (2:1)",IF(H1287=3,"fifth (3:2)",IF(H1287=4,"fourth (4:3)","?")))))</f>
        <v>—</v>
      </c>
      <c r="J1287" s="9" t="str">
        <f aca="false">IF(H1287=0,"—",IF(H1287=1,"ὁμώνυμον",IF(H1287=2,"διὰ πασῶν",IF(H1287=3,"διὰ πέντε",IF(H1287=4,"διὰ τεσσάρων","?")))))</f>
        <v>—</v>
      </c>
      <c r="K1287" s="10"/>
      <c r="L1287" s="14"/>
      <c r="M1287" s="13"/>
    </row>
    <row r="1288" customFormat="false" ht="15.75" hidden="false" customHeight="true" outlineLevel="0" collapsed="false">
      <c r="A1288" s="8" t="n">
        <f aca="false">A1287+1</f>
        <v>1286</v>
      </c>
      <c r="B1288" s="9" t="n">
        <f aca="false">MOD(4*A1288^2,10)</f>
        <v>4</v>
      </c>
      <c r="C1288" s="9" t="n">
        <f aca="false">(26*B1288-5*B1288^2)/24</f>
        <v>1</v>
      </c>
      <c r="D1288" s="9" t="n">
        <f aca="false">(A1288^2+4*C1288)/5</f>
        <v>330760</v>
      </c>
      <c r="E1288" s="9" t="n">
        <f aca="false">MOD(D1288,10)</f>
        <v>0</v>
      </c>
      <c r="F1288" s="9" t="n">
        <f aca="false">2*D1288</f>
        <v>661520</v>
      </c>
      <c r="G1288" s="9" t="n">
        <f aca="false">MOD(F1288,10)</f>
        <v>0</v>
      </c>
      <c r="H1288" s="9" t="n">
        <f aca="false">G1288/2</f>
        <v>0</v>
      </c>
      <c r="I1288" s="9" t="str">
        <f aca="false">IF(H1288=0,"—",IF(H1288=1,"unison (1:1)",IF(H1288=2,"octave (2:1)",IF(H1288=3,"fifth (3:2)",IF(H1288=4,"fourth (4:3)","?")))))</f>
        <v>—</v>
      </c>
      <c r="J1288" s="9" t="str">
        <f aca="false">IF(H1288=0,"—",IF(H1288=1,"ὁμώνυμον",IF(H1288=2,"διὰ πασῶν",IF(H1288=3,"διὰ πέντε",IF(H1288=4,"διὰ τεσσάρων","?")))))</f>
        <v>—</v>
      </c>
      <c r="K1288" s="10"/>
      <c r="L1288" s="14"/>
      <c r="M1288" s="13"/>
    </row>
    <row r="1289" customFormat="false" ht="15.75" hidden="false" customHeight="true" outlineLevel="0" collapsed="false">
      <c r="A1289" s="8" t="n">
        <f aca="false">A1288+1</f>
        <v>1287</v>
      </c>
      <c r="B1289" s="9" t="n">
        <f aca="false">MOD(4*A1289^2,10)</f>
        <v>6</v>
      </c>
      <c r="C1289" s="9" t="n">
        <f aca="false">(26*B1289-5*B1289^2)/24</f>
        <v>-1</v>
      </c>
      <c r="D1289" s="9" t="n">
        <f aca="false">(A1289^2+4*C1289)/5</f>
        <v>331273</v>
      </c>
      <c r="E1289" s="9" t="n">
        <f aca="false">MOD(D1289,10)</f>
        <v>3</v>
      </c>
      <c r="F1289" s="9" t="n">
        <f aca="false">2*D1289</f>
        <v>662546</v>
      </c>
      <c r="G1289" s="9" t="n">
        <f aca="false">MOD(F1289,10)</f>
        <v>6</v>
      </c>
      <c r="H1289" s="9" t="n">
        <f aca="false">G1289/2</f>
        <v>3</v>
      </c>
      <c r="I1289" s="9" t="str">
        <f aca="false">IF(H1289=0,"—",IF(H1289=1,"unison (1:1)",IF(H1289=2,"octave (2:1)",IF(H1289=3,"fifth (3:2)",IF(H1289=4,"fourth (4:3)","?")))))</f>
        <v>fifth (3:2)</v>
      </c>
      <c r="J1289" s="9" t="str">
        <f aca="false">IF(H1289=0,"—",IF(H1289=1,"ὁμώνυμον",IF(H1289=2,"διὰ πασῶν",IF(H1289=3,"διὰ πέντε",IF(H1289=4,"διὰ τεσσάρων","?")))))</f>
        <v>διὰ πέντε</v>
      </c>
      <c r="K1289" s="10"/>
      <c r="L1289" s="14"/>
      <c r="M1289" s="13"/>
    </row>
    <row r="1290" customFormat="false" ht="15.75" hidden="false" customHeight="true" outlineLevel="0" collapsed="false">
      <c r="A1290" s="8" t="n">
        <f aca="false">A1289+1</f>
        <v>1288</v>
      </c>
      <c r="B1290" s="9" t="n">
        <f aca="false">MOD(4*A1290^2,10)</f>
        <v>6</v>
      </c>
      <c r="C1290" s="9" t="n">
        <f aca="false">(26*B1290-5*B1290^2)/24</f>
        <v>-1</v>
      </c>
      <c r="D1290" s="9" t="n">
        <f aca="false">(A1290^2+4*C1290)/5</f>
        <v>331788</v>
      </c>
      <c r="E1290" s="9" t="n">
        <f aca="false">MOD(D1290,10)</f>
        <v>8</v>
      </c>
      <c r="F1290" s="9" t="n">
        <f aca="false">2*D1290</f>
        <v>663576</v>
      </c>
      <c r="G1290" s="9" t="n">
        <f aca="false">MOD(F1290,10)</f>
        <v>6</v>
      </c>
      <c r="H1290" s="9" t="n">
        <f aca="false">G1290/2</f>
        <v>3</v>
      </c>
      <c r="I1290" s="9" t="str">
        <f aca="false">IF(H1290=0,"—",IF(H1290=1,"unison (1:1)",IF(H1290=2,"octave (2:1)",IF(H1290=3,"fifth (3:2)",IF(H1290=4,"fourth (4:3)","?")))))</f>
        <v>fifth (3:2)</v>
      </c>
      <c r="J1290" s="9" t="str">
        <f aca="false">IF(H1290=0,"—",IF(H1290=1,"ὁμώνυμον",IF(H1290=2,"διὰ πασῶν",IF(H1290=3,"διὰ πέντε",IF(H1290=4,"διὰ τεσσάρων","?")))))</f>
        <v>διὰ πέντε</v>
      </c>
      <c r="K1290" s="10"/>
      <c r="L1290" s="14"/>
      <c r="M1290" s="13"/>
    </row>
    <row r="1291" customFormat="false" ht="15.75" hidden="false" customHeight="true" outlineLevel="0" collapsed="false">
      <c r="A1291" s="8" t="n">
        <f aca="false">A1290+1</f>
        <v>1289</v>
      </c>
      <c r="B1291" s="9" t="n">
        <f aca="false">MOD(4*A1291^2,10)</f>
        <v>4</v>
      </c>
      <c r="C1291" s="9" t="n">
        <f aca="false">(26*B1291-5*B1291^2)/24</f>
        <v>1</v>
      </c>
      <c r="D1291" s="9" t="n">
        <f aca="false">(A1291^2+4*C1291)/5</f>
        <v>332305</v>
      </c>
      <c r="E1291" s="9" t="n">
        <f aca="false">MOD(D1291,10)</f>
        <v>5</v>
      </c>
      <c r="F1291" s="9" t="n">
        <f aca="false">2*D1291</f>
        <v>664610</v>
      </c>
      <c r="G1291" s="9" t="n">
        <f aca="false">MOD(F1291,10)</f>
        <v>0</v>
      </c>
      <c r="H1291" s="9" t="n">
        <f aca="false">G1291/2</f>
        <v>0</v>
      </c>
      <c r="I1291" s="9" t="str">
        <f aca="false">IF(H1291=0,"—",IF(H1291=1,"unison (1:1)",IF(H1291=2,"octave (2:1)",IF(H1291=3,"fifth (3:2)",IF(H1291=4,"fourth (4:3)","?")))))</f>
        <v>—</v>
      </c>
      <c r="J1291" s="9" t="str">
        <f aca="false">IF(H1291=0,"—",IF(H1291=1,"ὁμώνυμον",IF(H1291=2,"διὰ πασῶν",IF(H1291=3,"διὰ πέντε",IF(H1291=4,"διὰ τεσσάρων","?")))))</f>
        <v>—</v>
      </c>
      <c r="K1291" s="10"/>
      <c r="L1291" s="14"/>
      <c r="M1291" s="13"/>
    </row>
    <row r="1292" customFormat="false" ht="15.75" hidden="false" customHeight="true" outlineLevel="0" collapsed="false">
      <c r="A1292" s="8" t="n">
        <f aca="false">A1291+1</f>
        <v>1290</v>
      </c>
      <c r="B1292" s="9" t="n">
        <f aca="false">MOD(4*A1292^2,10)</f>
        <v>0</v>
      </c>
      <c r="C1292" s="9" t="n">
        <f aca="false">(26*B1292-5*B1292^2)/24</f>
        <v>0</v>
      </c>
      <c r="D1292" s="9" t="n">
        <f aca="false">(A1292^2+4*C1292)/5</f>
        <v>332820</v>
      </c>
      <c r="E1292" s="9" t="n">
        <f aca="false">MOD(D1292,10)</f>
        <v>0</v>
      </c>
      <c r="F1292" s="9" t="n">
        <f aca="false">2*D1292</f>
        <v>665640</v>
      </c>
      <c r="G1292" s="9" t="n">
        <f aca="false">MOD(F1292,10)</f>
        <v>0</v>
      </c>
      <c r="H1292" s="9" t="n">
        <f aca="false">G1292/2</f>
        <v>0</v>
      </c>
      <c r="I1292" s="9" t="str">
        <f aca="false">IF(H1292=0,"—",IF(H1292=1,"unison (1:1)",IF(H1292=2,"octave (2:1)",IF(H1292=3,"fifth (3:2)",IF(H1292=4,"fourth (4:3)","?")))))</f>
        <v>—</v>
      </c>
      <c r="J1292" s="9" t="str">
        <f aca="false">IF(H1292=0,"—",IF(H1292=1,"ὁμώνυμον",IF(H1292=2,"διὰ πασῶν",IF(H1292=3,"διὰ πέντε",IF(H1292=4,"διὰ τεσσάρων","?")))))</f>
        <v>—</v>
      </c>
      <c r="K1292" s="10"/>
      <c r="L1292" s="14"/>
      <c r="M1292" s="13"/>
    </row>
    <row r="1293" customFormat="false" ht="15.75" hidden="false" customHeight="true" outlineLevel="0" collapsed="false">
      <c r="A1293" s="8" t="n">
        <f aca="false">A1292+1</f>
        <v>1291</v>
      </c>
      <c r="B1293" s="9" t="n">
        <f aca="false">MOD(4*A1293^2,10)</f>
        <v>4</v>
      </c>
      <c r="C1293" s="9" t="n">
        <f aca="false">(26*B1293-5*B1293^2)/24</f>
        <v>1</v>
      </c>
      <c r="D1293" s="9" t="n">
        <f aca="false">(A1293^2+4*C1293)/5</f>
        <v>333337</v>
      </c>
      <c r="E1293" s="9" t="n">
        <f aca="false">MOD(D1293,10)</f>
        <v>7</v>
      </c>
      <c r="F1293" s="9" t="n">
        <f aca="false">2*D1293</f>
        <v>666674</v>
      </c>
      <c r="G1293" s="9" t="n">
        <f aca="false">MOD(F1293,10)</f>
        <v>4</v>
      </c>
      <c r="H1293" s="9" t="n">
        <f aca="false">G1293/2</f>
        <v>2</v>
      </c>
      <c r="I1293" s="9" t="str">
        <f aca="false">IF(H1293=0,"—",IF(H1293=1,"unison (1:1)",IF(H1293=2,"octave (2:1)",IF(H1293=3,"fifth (3:2)",IF(H1293=4,"fourth (4:3)","?")))))</f>
        <v>octave (2:1)</v>
      </c>
      <c r="J1293" s="9" t="str">
        <f aca="false">IF(H1293=0,"—",IF(H1293=1,"ὁμώνυμον",IF(H1293=2,"διὰ πασῶν",IF(H1293=3,"διὰ πέντε",IF(H1293=4,"διὰ τεσσάρων","?")))))</f>
        <v>διὰ πασῶν</v>
      </c>
      <c r="K1293" s="10"/>
      <c r="L1293" s="14"/>
      <c r="M1293" s="13"/>
    </row>
    <row r="1294" customFormat="false" ht="15.75" hidden="false" customHeight="true" outlineLevel="0" collapsed="false">
      <c r="A1294" s="8" t="n">
        <f aca="false">A1293+1</f>
        <v>1292</v>
      </c>
      <c r="B1294" s="9" t="n">
        <f aca="false">MOD(4*A1294^2,10)</f>
        <v>6</v>
      </c>
      <c r="C1294" s="9" t="n">
        <f aca="false">(26*B1294-5*B1294^2)/24</f>
        <v>-1</v>
      </c>
      <c r="D1294" s="9" t="n">
        <f aca="false">(A1294^2+4*C1294)/5</f>
        <v>333852</v>
      </c>
      <c r="E1294" s="9" t="n">
        <f aca="false">MOD(D1294,10)</f>
        <v>2</v>
      </c>
      <c r="F1294" s="9" t="n">
        <f aca="false">2*D1294</f>
        <v>667704</v>
      </c>
      <c r="G1294" s="9" t="n">
        <f aca="false">MOD(F1294,10)</f>
        <v>4</v>
      </c>
      <c r="H1294" s="9" t="n">
        <f aca="false">G1294/2</f>
        <v>2</v>
      </c>
      <c r="I1294" s="9" t="str">
        <f aca="false">IF(H1294=0,"—",IF(H1294=1,"unison (1:1)",IF(H1294=2,"octave (2:1)",IF(H1294=3,"fifth (3:2)",IF(H1294=4,"fourth (4:3)","?")))))</f>
        <v>octave (2:1)</v>
      </c>
      <c r="J1294" s="9" t="str">
        <f aca="false">IF(H1294=0,"—",IF(H1294=1,"ὁμώνυμον",IF(H1294=2,"διὰ πασῶν",IF(H1294=3,"διὰ πέντε",IF(H1294=4,"διὰ τεσσάρων","?")))))</f>
        <v>διὰ πασῶν</v>
      </c>
      <c r="K1294" s="10"/>
      <c r="L1294" s="14"/>
      <c r="M1294" s="13"/>
    </row>
    <row r="1295" customFormat="false" ht="15.75" hidden="false" customHeight="true" outlineLevel="0" collapsed="false">
      <c r="A1295" s="8" t="n">
        <f aca="false">A1294+1</f>
        <v>1293</v>
      </c>
      <c r="B1295" s="9" t="n">
        <f aca="false">MOD(4*A1295^2,10)</f>
        <v>6</v>
      </c>
      <c r="C1295" s="9" t="n">
        <f aca="false">(26*B1295-5*B1295^2)/24</f>
        <v>-1</v>
      </c>
      <c r="D1295" s="9" t="n">
        <f aca="false">(A1295^2+4*C1295)/5</f>
        <v>334369</v>
      </c>
      <c r="E1295" s="9" t="n">
        <f aca="false">MOD(D1295,10)</f>
        <v>9</v>
      </c>
      <c r="F1295" s="9" t="n">
        <f aca="false">2*D1295</f>
        <v>668738</v>
      </c>
      <c r="G1295" s="9" t="n">
        <f aca="false">MOD(F1295,10)</f>
        <v>8</v>
      </c>
      <c r="H1295" s="9" t="n">
        <f aca="false">G1295/2</f>
        <v>4</v>
      </c>
      <c r="I1295" s="9" t="str">
        <f aca="false">IF(H1295=0,"—",IF(H1295=1,"unison (1:1)",IF(H1295=2,"octave (2:1)",IF(H1295=3,"fifth (3:2)",IF(H1295=4,"fourth (4:3)","?")))))</f>
        <v>fourth (4:3)</v>
      </c>
      <c r="J1295" s="9" t="str">
        <f aca="false">IF(H1295=0,"—",IF(H1295=1,"ὁμώνυμον",IF(H1295=2,"διὰ πασῶν",IF(H1295=3,"διὰ πέντε",IF(H1295=4,"διὰ τεσσάρων","?")))))</f>
        <v>διὰ τεσσάρων</v>
      </c>
      <c r="K1295" s="10"/>
      <c r="L1295" s="14"/>
      <c r="M1295" s="13"/>
    </row>
    <row r="1296" customFormat="false" ht="15.75" hidden="false" customHeight="true" outlineLevel="0" collapsed="false">
      <c r="A1296" s="8" t="n">
        <f aca="false">A1295+1</f>
        <v>1294</v>
      </c>
      <c r="B1296" s="9" t="n">
        <f aca="false">MOD(4*A1296^2,10)</f>
        <v>4</v>
      </c>
      <c r="C1296" s="9" t="n">
        <f aca="false">(26*B1296-5*B1296^2)/24</f>
        <v>1</v>
      </c>
      <c r="D1296" s="9" t="n">
        <f aca="false">(A1296^2+4*C1296)/5</f>
        <v>334888</v>
      </c>
      <c r="E1296" s="9" t="n">
        <f aca="false">MOD(D1296,10)</f>
        <v>8</v>
      </c>
      <c r="F1296" s="9" t="n">
        <f aca="false">2*D1296</f>
        <v>669776</v>
      </c>
      <c r="G1296" s="9" t="n">
        <f aca="false">MOD(F1296,10)</f>
        <v>6</v>
      </c>
      <c r="H1296" s="9" t="n">
        <f aca="false">G1296/2</f>
        <v>3</v>
      </c>
      <c r="I1296" s="9" t="str">
        <f aca="false">IF(H1296=0,"—",IF(H1296=1,"unison (1:1)",IF(H1296=2,"octave (2:1)",IF(H1296=3,"fifth (3:2)",IF(H1296=4,"fourth (4:3)","?")))))</f>
        <v>fifth (3:2)</v>
      </c>
      <c r="J1296" s="9" t="str">
        <f aca="false">IF(H1296=0,"—",IF(H1296=1,"ὁμώνυμον",IF(H1296=2,"διὰ πασῶν",IF(H1296=3,"διὰ πέντε",IF(H1296=4,"διὰ τεσσάρων","?")))))</f>
        <v>διὰ πέντε</v>
      </c>
      <c r="K1296" s="10"/>
      <c r="L1296" s="14"/>
      <c r="M1296" s="13"/>
    </row>
    <row r="1297" customFormat="false" ht="15.75" hidden="false" customHeight="true" outlineLevel="0" collapsed="false">
      <c r="A1297" s="8" t="n">
        <f aca="false">A1296+1</f>
        <v>1295</v>
      </c>
      <c r="B1297" s="9" t="n">
        <f aca="false">MOD(4*A1297^2,10)</f>
        <v>0</v>
      </c>
      <c r="C1297" s="9" t="n">
        <f aca="false">(26*B1297-5*B1297^2)/24</f>
        <v>0</v>
      </c>
      <c r="D1297" s="9" t="n">
        <f aca="false">(A1297^2+4*C1297)/5</f>
        <v>335405</v>
      </c>
      <c r="E1297" s="9" t="n">
        <f aca="false">MOD(D1297,10)</f>
        <v>5</v>
      </c>
      <c r="F1297" s="9" t="n">
        <f aca="false">2*D1297</f>
        <v>670810</v>
      </c>
      <c r="G1297" s="9" t="n">
        <f aca="false">MOD(F1297,10)</f>
        <v>0</v>
      </c>
      <c r="H1297" s="9" t="n">
        <f aca="false">G1297/2</f>
        <v>0</v>
      </c>
      <c r="I1297" s="9" t="str">
        <f aca="false">IF(H1297=0,"—",IF(H1297=1,"unison (1:1)",IF(H1297=2,"octave (2:1)",IF(H1297=3,"fifth (3:2)",IF(H1297=4,"fourth (4:3)","?")))))</f>
        <v>—</v>
      </c>
      <c r="J1297" s="9" t="str">
        <f aca="false">IF(H1297=0,"—",IF(H1297=1,"ὁμώνυμον",IF(H1297=2,"διὰ πασῶν",IF(H1297=3,"διὰ πέντε",IF(H1297=4,"διὰ τεσσάρων","?")))))</f>
        <v>—</v>
      </c>
      <c r="K1297" s="10"/>
      <c r="L1297" s="14"/>
      <c r="M1297" s="13"/>
    </row>
    <row r="1298" customFormat="false" ht="15.75" hidden="false" customHeight="true" outlineLevel="0" collapsed="false">
      <c r="A1298" s="8" t="n">
        <f aca="false">A1297+1</f>
        <v>1296</v>
      </c>
      <c r="B1298" s="9" t="n">
        <f aca="false">MOD(4*A1298^2,10)</f>
        <v>4</v>
      </c>
      <c r="C1298" s="9" t="n">
        <f aca="false">(26*B1298-5*B1298^2)/24</f>
        <v>1</v>
      </c>
      <c r="D1298" s="9" t="n">
        <f aca="false">(A1298^2+4*C1298)/5</f>
        <v>335924</v>
      </c>
      <c r="E1298" s="9" t="n">
        <f aca="false">MOD(D1298,10)</f>
        <v>4</v>
      </c>
      <c r="F1298" s="9" t="n">
        <f aca="false">2*D1298</f>
        <v>671848</v>
      </c>
      <c r="G1298" s="9" t="n">
        <f aca="false">MOD(F1298,10)</f>
        <v>8</v>
      </c>
      <c r="H1298" s="9" t="n">
        <f aca="false">G1298/2</f>
        <v>4</v>
      </c>
      <c r="I1298" s="9" t="str">
        <f aca="false">IF(H1298=0,"—",IF(H1298=1,"unison (1:1)",IF(H1298=2,"octave (2:1)",IF(H1298=3,"fifth (3:2)",IF(H1298=4,"fourth (4:3)","?")))))</f>
        <v>fourth (4:3)</v>
      </c>
      <c r="J1298" s="9" t="str">
        <f aca="false">IF(H1298=0,"—",IF(H1298=1,"ὁμώνυμον",IF(H1298=2,"διὰ πασῶν",IF(H1298=3,"διὰ πέντε",IF(H1298=4,"διὰ τεσσάρων","?")))))</f>
        <v>διὰ τεσσάρων</v>
      </c>
      <c r="K1298" s="10"/>
      <c r="L1298" s="14"/>
      <c r="M1298" s="13"/>
    </row>
    <row r="1299" customFormat="false" ht="15.75" hidden="false" customHeight="true" outlineLevel="0" collapsed="false">
      <c r="A1299" s="8" t="n">
        <f aca="false">A1298+1</f>
        <v>1297</v>
      </c>
      <c r="B1299" s="9" t="n">
        <f aca="false">MOD(4*A1299^2,10)</f>
        <v>6</v>
      </c>
      <c r="C1299" s="9" t="n">
        <f aca="false">(26*B1299-5*B1299^2)/24</f>
        <v>-1</v>
      </c>
      <c r="D1299" s="9" t="n">
        <f aca="false">(A1299^2+4*C1299)/5</f>
        <v>336441</v>
      </c>
      <c r="E1299" s="9" t="n">
        <f aca="false">MOD(D1299,10)</f>
        <v>1</v>
      </c>
      <c r="F1299" s="9" t="n">
        <f aca="false">2*D1299</f>
        <v>672882</v>
      </c>
      <c r="G1299" s="9" t="n">
        <f aca="false">MOD(F1299,10)</f>
        <v>2</v>
      </c>
      <c r="H1299" s="9" t="n">
        <f aca="false">G1299/2</f>
        <v>1</v>
      </c>
      <c r="I1299" s="9" t="str">
        <f aca="false">IF(H1299=0,"—",IF(H1299=1,"unison (1:1)",IF(H1299=2,"octave (2:1)",IF(H1299=3,"fifth (3:2)",IF(H1299=4,"fourth (4:3)","?")))))</f>
        <v>unison (1:1)</v>
      </c>
      <c r="J1299" s="9" t="str">
        <f aca="false">IF(H1299=0,"—",IF(H1299=1,"ὁμώνυμον",IF(H1299=2,"διὰ πασῶν",IF(H1299=3,"διὰ πέντε",IF(H1299=4,"διὰ τεσσάρων","?")))))</f>
        <v>ὁμώνυμον</v>
      </c>
      <c r="K1299" s="10"/>
      <c r="L1299" s="14"/>
      <c r="M1299" s="13"/>
    </row>
    <row r="1300" customFormat="false" ht="15.75" hidden="false" customHeight="true" outlineLevel="0" collapsed="false">
      <c r="A1300" s="8" t="n">
        <f aca="false">A1299+1</f>
        <v>1298</v>
      </c>
      <c r="B1300" s="9" t="n">
        <f aca="false">MOD(4*A1300^2,10)</f>
        <v>6</v>
      </c>
      <c r="C1300" s="9" t="n">
        <f aca="false">(26*B1300-5*B1300^2)/24</f>
        <v>-1</v>
      </c>
      <c r="D1300" s="9" t="n">
        <f aca="false">(A1300^2+4*C1300)/5</f>
        <v>336960</v>
      </c>
      <c r="E1300" s="9" t="n">
        <f aca="false">MOD(D1300,10)</f>
        <v>0</v>
      </c>
      <c r="F1300" s="9" t="n">
        <f aca="false">2*D1300</f>
        <v>673920</v>
      </c>
      <c r="G1300" s="9" t="n">
        <f aca="false">MOD(F1300,10)</f>
        <v>0</v>
      </c>
      <c r="H1300" s="9" t="n">
        <f aca="false">G1300/2</f>
        <v>0</v>
      </c>
      <c r="I1300" s="9" t="str">
        <f aca="false">IF(H1300=0,"—",IF(H1300=1,"unison (1:1)",IF(H1300=2,"octave (2:1)",IF(H1300=3,"fifth (3:2)",IF(H1300=4,"fourth (4:3)","?")))))</f>
        <v>—</v>
      </c>
      <c r="J1300" s="9" t="str">
        <f aca="false">IF(H1300=0,"—",IF(H1300=1,"ὁμώνυμον",IF(H1300=2,"διὰ πασῶν",IF(H1300=3,"διὰ πέντε",IF(H1300=4,"διὰ τεσσάρων","?")))))</f>
        <v>—</v>
      </c>
      <c r="K1300" s="10"/>
      <c r="L1300" s="14"/>
      <c r="M1300" s="13"/>
    </row>
    <row r="1301" customFormat="false" ht="15.75" hidden="false" customHeight="true" outlineLevel="0" collapsed="false">
      <c r="A1301" s="8" t="n">
        <f aca="false">A1300+1</f>
        <v>1299</v>
      </c>
      <c r="B1301" s="9" t="n">
        <f aca="false">MOD(4*A1301^2,10)</f>
        <v>4</v>
      </c>
      <c r="C1301" s="9" t="n">
        <f aca="false">(26*B1301-5*B1301^2)/24</f>
        <v>1</v>
      </c>
      <c r="D1301" s="9" t="n">
        <f aca="false">(A1301^2+4*C1301)/5</f>
        <v>337481</v>
      </c>
      <c r="E1301" s="9" t="n">
        <f aca="false">MOD(D1301,10)</f>
        <v>1</v>
      </c>
      <c r="F1301" s="9" t="n">
        <f aca="false">2*D1301</f>
        <v>674962</v>
      </c>
      <c r="G1301" s="9" t="n">
        <f aca="false">MOD(F1301,10)</f>
        <v>2</v>
      </c>
      <c r="H1301" s="9" t="n">
        <f aca="false">G1301/2</f>
        <v>1</v>
      </c>
      <c r="I1301" s="9" t="str">
        <f aca="false">IF(H1301=0,"—",IF(H1301=1,"unison (1:1)",IF(H1301=2,"octave (2:1)",IF(H1301=3,"fifth (3:2)",IF(H1301=4,"fourth (4:3)","?")))))</f>
        <v>unison (1:1)</v>
      </c>
      <c r="J1301" s="9" t="str">
        <f aca="false">IF(H1301=0,"—",IF(H1301=1,"ὁμώνυμον",IF(H1301=2,"διὰ πασῶν",IF(H1301=3,"διὰ πέντε",IF(H1301=4,"διὰ τεσσάρων","?")))))</f>
        <v>ὁμώνυμον</v>
      </c>
      <c r="K1301" s="10"/>
      <c r="L1301" s="14"/>
      <c r="M1301" s="13"/>
    </row>
    <row r="1302" customFormat="false" ht="15.75" hidden="false" customHeight="true" outlineLevel="0" collapsed="false">
      <c r="A1302" s="8" t="n">
        <f aca="false">A1301+1</f>
        <v>1300</v>
      </c>
      <c r="B1302" s="9" t="n">
        <f aca="false">MOD(4*A1302^2,10)</f>
        <v>0</v>
      </c>
      <c r="C1302" s="9" t="n">
        <f aca="false">(26*B1302-5*B1302^2)/24</f>
        <v>0</v>
      </c>
      <c r="D1302" s="9" t="n">
        <f aca="false">(A1302^2+4*C1302)/5</f>
        <v>338000</v>
      </c>
      <c r="E1302" s="9" t="n">
        <f aca="false">MOD(D1302,10)</f>
        <v>0</v>
      </c>
      <c r="F1302" s="9" t="n">
        <f aca="false">2*D1302</f>
        <v>676000</v>
      </c>
      <c r="G1302" s="9" t="n">
        <f aca="false">MOD(F1302,10)</f>
        <v>0</v>
      </c>
      <c r="H1302" s="9" t="n">
        <f aca="false">G1302/2</f>
        <v>0</v>
      </c>
      <c r="I1302" s="9" t="str">
        <f aca="false">IF(H1302=0,"—",IF(H1302=1,"unison (1:1)",IF(H1302=2,"octave (2:1)",IF(H1302=3,"fifth (3:2)",IF(H1302=4,"fourth (4:3)","?")))))</f>
        <v>—</v>
      </c>
      <c r="J1302" s="9" t="str">
        <f aca="false">IF(H1302=0,"—",IF(H1302=1,"ὁμώνυμον",IF(H1302=2,"διὰ πασῶν",IF(H1302=3,"διὰ πέντε",IF(H1302=4,"διὰ τεσσάρων","?")))))</f>
        <v>—</v>
      </c>
      <c r="K1302" s="10"/>
      <c r="L1302" s="14"/>
      <c r="M1302" s="13"/>
    </row>
    <row r="1303" customFormat="false" ht="15.75" hidden="false" customHeight="true" outlineLevel="0" collapsed="false">
      <c r="A1303" s="8" t="n">
        <f aca="false">A1302+1</f>
        <v>1301</v>
      </c>
      <c r="B1303" s="9" t="n">
        <f aca="false">MOD(4*A1303^2,10)</f>
        <v>4</v>
      </c>
      <c r="C1303" s="9" t="n">
        <f aca="false">(26*B1303-5*B1303^2)/24</f>
        <v>1</v>
      </c>
      <c r="D1303" s="9" t="n">
        <f aca="false">(A1303^2+4*C1303)/5</f>
        <v>338521</v>
      </c>
      <c r="E1303" s="9" t="n">
        <f aca="false">MOD(D1303,10)</f>
        <v>1</v>
      </c>
      <c r="F1303" s="9" t="n">
        <f aca="false">2*D1303</f>
        <v>677042</v>
      </c>
      <c r="G1303" s="9" t="n">
        <f aca="false">MOD(F1303,10)</f>
        <v>2</v>
      </c>
      <c r="H1303" s="9" t="n">
        <f aca="false">G1303/2</f>
        <v>1</v>
      </c>
      <c r="I1303" s="9" t="str">
        <f aca="false">IF(H1303=0,"—",IF(H1303=1,"unison (1:1)",IF(H1303=2,"octave (2:1)",IF(H1303=3,"fifth (3:2)",IF(H1303=4,"fourth (4:3)","?")))))</f>
        <v>unison (1:1)</v>
      </c>
      <c r="J1303" s="9" t="str">
        <f aca="false">IF(H1303=0,"—",IF(H1303=1,"ὁμώνυμον",IF(H1303=2,"διὰ πασῶν",IF(H1303=3,"διὰ πέντε",IF(H1303=4,"διὰ τεσσάρων","?")))))</f>
        <v>ὁμώνυμον</v>
      </c>
      <c r="K1303" s="10"/>
      <c r="L1303" s="14"/>
      <c r="M1303" s="13"/>
    </row>
    <row r="1304" customFormat="false" ht="15.75" hidden="false" customHeight="true" outlineLevel="0" collapsed="false">
      <c r="A1304" s="8" t="n">
        <f aca="false">A1303+1</f>
        <v>1302</v>
      </c>
      <c r="B1304" s="9" t="n">
        <f aca="false">MOD(4*A1304^2,10)</f>
        <v>6</v>
      </c>
      <c r="C1304" s="9" t="n">
        <f aca="false">(26*B1304-5*B1304^2)/24</f>
        <v>-1</v>
      </c>
      <c r="D1304" s="9" t="n">
        <f aca="false">(A1304^2+4*C1304)/5</f>
        <v>339040</v>
      </c>
      <c r="E1304" s="9" t="n">
        <f aca="false">MOD(D1304,10)</f>
        <v>0</v>
      </c>
      <c r="F1304" s="9" t="n">
        <f aca="false">2*D1304</f>
        <v>678080</v>
      </c>
      <c r="G1304" s="9" t="n">
        <f aca="false">MOD(F1304,10)</f>
        <v>0</v>
      </c>
      <c r="H1304" s="9" t="n">
        <f aca="false">G1304/2</f>
        <v>0</v>
      </c>
      <c r="I1304" s="9" t="str">
        <f aca="false">IF(H1304=0,"—",IF(H1304=1,"unison (1:1)",IF(H1304=2,"octave (2:1)",IF(H1304=3,"fifth (3:2)",IF(H1304=4,"fourth (4:3)","?")))))</f>
        <v>—</v>
      </c>
      <c r="J1304" s="9" t="str">
        <f aca="false">IF(H1304=0,"—",IF(H1304=1,"ὁμώνυμον",IF(H1304=2,"διὰ πασῶν",IF(H1304=3,"διὰ πέντε",IF(H1304=4,"διὰ τεσσάρων","?")))))</f>
        <v>—</v>
      </c>
      <c r="K1304" s="10"/>
      <c r="L1304" s="14"/>
      <c r="M1304" s="13"/>
    </row>
    <row r="1305" customFormat="false" ht="15.75" hidden="false" customHeight="true" outlineLevel="0" collapsed="false">
      <c r="A1305" s="8" t="n">
        <f aca="false">A1304+1</f>
        <v>1303</v>
      </c>
      <c r="B1305" s="9" t="n">
        <f aca="false">MOD(4*A1305^2,10)</f>
        <v>6</v>
      </c>
      <c r="C1305" s="9" t="n">
        <f aca="false">(26*B1305-5*B1305^2)/24</f>
        <v>-1</v>
      </c>
      <c r="D1305" s="9" t="n">
        <f aca="false">(A1305^2+4*C1305)/5</f>
        <v>339561</v>
      </c>
      <c r="E1305" s="9" t="n">
        <f aca="false">MOD(D1305,10)</f>
        <v>1</v>
      </c>
      <c r="F1305" s="9" t="n">
        <f aca="false">2*D1305</f>
        <v>679122</v>
      </c>
      <c r="G1305" s="9" t="n">
        <f aca="false">MOD(F1305,10)</f>
        <v>2</v>
      </c>
      <c r="H1305" s="9" t="n">
        <f aca="false">G1305/2</f>
        <v>1</v>
      </c>
      <c r="I1305" s="9" t="str">
        <f aca="false">IF(H1305=0,"—",IF(H1305=1,"unison (1:1)",IF(H1305=2,"octave (2:1)",IF(H1305=3,"fifth (3:2)",IF(H1305=4,"fourth (4:3)","?")))))</f>
        <v>unison (1:1)</v>
      </c>
      <c r="J1305" s="9" t="str">
        <f aca="false">IF(H1305=0,"—",IF(H1305=1,"ὁμώνυμον",IF(H1305=2,"διὰ πασῶν",IF(H1305=3,"διὰ πέντε",IF(H1305=4,"διὰ τεσσάρων","?")))))</f>
        <v>ὁμώνυμον</v>
      </c>
      <c r="K1305" s="10"/>
      <c r="L1305" s="14"/>
      <c r="M1305" s="13"/>
    </row>
    <row r="1306" customFormat="false" ht="15.75" hidden="false" customHeight="true" outlineLevel="0" collapsed="false">
      <c r="A1306" s="8" t="n">
        <f aca="false">A1305+1</f>
        <v>1304</v>
      </c>
      <c r="B1306" s="9" t="n">
        <f aca="false">MOD(4*A1306^2,10)</f>
        <v>4</v>
      </c>
      <c r="C1306" s="9" t="n">
        <f aca="false">(26*B1306-5*B1306^2)/24</f>
        <v>1</v>
      </c>
      <c r="D1306" s="9" t="n">
        <f aca="false">(A1306^2+4*C1306)/5</f>
        <v>340084</v>
      </c>
      <c r="E1306" s="9" t="n">
        <f aca="false">MOD(D1306,10)</f>
        <v>4</v>
      </c>
      <c r="F1306" s="9" t="n">
        <f aca="false">2*D1306</f>
        <v>680168</v>
      </c>
      <c r="G1306" s="9" t="n">
        <f aca="false">MOD(F1306,10)</f>
        <v>8</v>
      </c>
      <c r="H1306" s="9" t="n">
        <f aca="false">G1306/2</f>
        <v>4</v>
      </c>
      <c r="I1306" s="9" t="str">
        <f aca="false">IF(H1306=0,"—",IF(H1306=1,"unison (1:1)",IF(H1306=2,"octave (2:1)",IF(H1306=3,"fifth (3:2)",IF(H1306=4,"fourth (4:3)","?")))))</f>
        <v>fourth (4:3)</v>
      </c>
      <c r="J1306" s="9" t="str">
        <f aca="false">IF(H1306=0,"—",IF(H1306=1,"ὁμώνυμον",IF(H1306=2,"διὰ πασῶν",IF(H1306=3,"διὰ πέντε",IF(H1306=4,"διὰ τεσσάρων","?")))))</f>
        <v>διὰ τεσσάρων</v>
      </c>
      <c r="K1306" s="10"/>
      <c r="L1306" s="14"/>
      <c r="M1306" s="13"/>
    </row>
    <row r="1307" customFormat="false" ht="15.75" hidden="false" customHeight="true" outlineLevel="0" collapsed="false">
      <c r="A1307" s="8" t="n">
        <f aca="false">A1306+1</f>
        <v>1305</v>
      </c>
      <c r="B1307" s="9" t="n">
        <f aca="false">MOD(4*A1307^2,10)</f>
        <v>0</v>
      </c>
      <c r="C1307" s="9" t="n">
        <f aca="false">(26*B1307-5*B1307^2)/24</f>
        <v>0</v>
      </c>
      <c r="D1307" s="9" t="n">
        <f aca="false">(A1307^2+4*C1307)/5</f>
        <v>340605</v>
      </c>
      <c r="E1307" s="9" t="n">
        <f aca="false">MOD(D1307,10)</f>
        <v>5</v>
      </c>
      <c r="F1307" s="9" t="n">
        <f aca="false">2*D1307</f>
        <v>681210</v>
      </c>
      <c r="G1307" s="9" t="n">
        <f aca="false">MOD(F1307,10)</f>
        <v>0</v>
      </c>
      <c r="H1307" s="9" t="n">
        <f aca="false">G1307/2</f>
        <v>0</v>
      </c>
      <c r="I1307" s="9" t="str">
        <f aca="false">IF(H1307=0,"—",IF(H1307=1,"unison (1:1)",IF(H1307=2,"octave (2:1)",IF(H1307=3,"fifth (3:2)",IF(H1307=4,"fourth (4:3)","?")))))</f>
        <v>—</v>
      </c>
      <c r="J1307" s="9" t="str">
        <f aca="false">IF(H1307=0,"—",IF(H1307=1,"ὁμώνυμον",IF(H1307=2,"διὰ πασῶν",IF(H1307=3,"διὰ πέντε",IF(H1307=4,"διὰ τεσσάρων","?")))))</f>
        <v>—</v>
      </c>
      <c r="K1307" s="10"/>
      <c r="L1307" s="14"/>
      <c r="M1307" s="13"/>
    </row>
    <row r="1308" customFormat="false" ht="15.75" hidden="false" customHeight="true" outlineLevel="0" collapsed="false">
      <c r="A1308" s="8" t="n">
        <f aca="false">A1307+1</f>
        <v>1306</v>
      </c>
      <c r="B1308" s="9" t="n">
        <f aca="false">MOD(4*A1308^2,10)</f>
        <v>4</v>
      </c>
      <c r="C1308" s="9" t="n">
        <f aca="false">(26*B1308-5*B1308^2)/24</f>
        <v>1</v>
      </c>
      <c r="D1308" s="9" t="n">
        <f aca="false">(A1308^2+4*C1308)/5</f>
        <v>341128</v>
      </c>
      <c r="E1308" s="9" t="n">
        <f aca="false">MOD(D1308,10)</f>
        <v>8</v>
      </c>
      <c r="F1308" s="9" t="n">
        <f aca="false">2*D1308</f>
        <v>682256</v>
      </c>
      <c r="G1308" s="9" t="n">
        <f aca="false">MOD(F1308,10)</f>
        <v>6</v>
      </c>
      <c r="H1308" s="9" t="n">
        <f aca="false">G1308/2</f>
        <v>3</v>
      </c>
      <c r="I1308" s="9" t="str">
        <f aca="false">IF(H1308=0,"—",IF(H1308=1,"unison (1:1)",IF(H1308=2,"octave (2:1)",IF(H1308=3,"fifth (3:2)",IF(H1308=4,"fourth (4:3)","?")))))</f>
        <v>fifth (3:2)</v>
      </c>
      <c r="J1308" s="9" t="str">
        <f aca="false">IF(H1308=0,"—",IF(H1308=1,"ὁμώνυμον",IF(H1308=2,"διὰ πασῶν",IF(H1308=3,"διὰ πέντε",IF(H1308=4,"διὰ τεσσάρων","?")))))</f>
        <v>διὰ πέντε</v>
      </c>
      <c r="K1308" s="10"/>
      <c r="L1308" s="14"/>
      <c r="M1308" s="13"/>
    </row>
    <row r="1309" customFormat="false" ht="15.75" hidden="false" customHeight="true" outlineLevel="0" collapsed="false">
      <c r="A1309" s="8" t="n">
        <f aca="false">A1308+1</f>
        <v>1307</v>
      </c>
      <c r="B1309" s="9" t="n">
        <f aca="false">MOD(4*A1309^2,10)</f>
        <v>6</v>
      </c>
      <c r="C1309" s="9" t="n">
        <f aca="false">(26*B1309-5*B1309^2)/24</f>
        <v>-1</v>
      </c>
      <c r="D1309" s="9" t="n">
        <f aca="false">(A1309^2+4*C1309)/5</f>
        <v>341649</v>
      </c>
      <c r="E1309" s="9" t="n">
        <f aca="false">MOD(D1309,10)</f>
        <v>9</v>
      </c>
      <c r="F1309" s="9" t="n">
        <f aca="false">2*D1309</f>
        <v>683298</v>
      </c>
      <c r="G1309" s="9" t="n">
        <f aca="false">MOD(F1309,10)</f>
        <v>8</v>
      </c>
      <c r="H1309" s="9" t="n">
        <f aca="false">G1309/2</f>
        <v>4</v>
      </c>
      <c r="I1309" s="9" t="str">
        <f aca="false">IF(H1309=0,"—",IF(H1309=1,"unison (1:1)",IF(H1309=2,"octave (2:1)",IF(H1309=3,"fifth (3:2)",IF(H1309=4,"fourth (4:3)","?")))))</f>
        <v>fourth (4:3)</v>
      </c>
      <c r="J1309" s="9" t="str">
        <f aca="false">IF(H1309=0,"—",IF(H1309=1,"ὁμώνυμον",IF(H1309=2,"διὰ πασῶν",IF(H1309=3,"διὰ πέντε",IF(H1309=4,"διὰ τεσσάρων","?")))))</f>
        <v>διὰ τεσσάρων</v>
      </c>
      <c r="K1309" s="10"/>
      <c r="L1309" s="14"/>
      <c r="M1309" s="13"/>
    </row>
    <row r="1310" customFormat="false" ht="15.75" hidden="false" customHeight="true" outlineLevel="0" collapsed="false">
      <c r="A1310" s="8" t="n">
        <f aca="false">A1309+1</f>
        <v>1308</v>
      </c>
      <c r="B1310" s="9" t="n">
        <f aca="false">MOD(4*A1310^2,10)</f>
        <v>6</v>
      </c>
      <c r="C1310" s="9" t="n">
        <f aca="false">(26*B1310-5*B1310^2)/24</f>
        <v>-1</v>
      </c>
      <c r="D1310" s="9" t="n">
        <f aca="false">(A1310^2+4*C1310)/5</f>
        <v>342172</v>
      </c>
      <c r="E1310" s="9" t="n">
        <f aca="false">MOD(D1310,10)</f>
        <v>2</v>
      </c>
      <c r="F1310" s="9" t="n">
        <f aca="false">2*D1310</f>
        <v>684344</v>
      </c>
      <c r="G1310" s="9" t="n">
        <f aca="false">MOD(F1310,10)</f>
        <v>4</v>
      </c>
      <c r="H1310" s="9" t="n">
        <f aca="false">G1310/2</f>
        <v>2</v>
      </c>
      <c r="I1310" s="9" t="str">
        <f aca="false">IF(H1310=0,"—",IF(H1310=1,"unison (1:1)",IF(H1310=2,"octave (2:1)",IF(H1310=3,"fifth (3:2)",IF(H1310=4,"fourth (4:3)","?")))))</f>
        <v>octave (2:1)</v>
      </c>
      <c r="J1310" s="9" t="str">
        <f aca="false">IF(H1310=0,"—",IF(H1310=1,"ὁμώνυμον",IF(H1310=2,"διὰ πασῶν",IF(H1310=3,"διὰ πέντε",IF(H1310=4,"διὰ τεσσάρων","?")))))</f>
        <v>διὰ πασῶν</v>
      </c>
      <c r="K1310" s="10"/>
      <c r="L1310" s="14"/>
      <c r="M1310" s="13"/>
    </row>
    <row r="1311" customFormat="false" ht="15.75" hidden="false" customHeight="true" outlineLevel="0" collapsed="false">
      <c r="A1311" s="8" t="n">
        <f aca="false">A1310+1</f>
        <v>1309</v>
      </c>
      <c r="B1311" s="9" t="n">
        <f aca="false">MOD(4*A1311^2,10)</f>
        <v>4</v>
      </c>
      <c r="C1311" s="9" t="n">
        <f aca="false">(26*B1311-5*B1311^2)/24</f>
        <v>1</v>
      </c>
      <c r="D1311" s="9" t="n">
        <f aca="false">(A1311^2+4*C1311)/5</f>
        <v>342697</v>
      </c>
      <c r="E1311" s="9" t="n">
        <f aca="false">MOD(D1311,10)</f>
        <v>7</v>
      </c>
      <c r="F1311" s="9" t="n">
        <f aca="false">2*D1311</f>
        <v>685394</v>
      </c>
      <c r="G1311" s="9" t="n">
        <f aca="false">MOD(F1311,10)</f>
        <v>4</v>
      </c>
      <c r="H1311" s="9" t="n">
        <f aca="false">G1311/2</f>
        <v>2</v>
      </c>
      <c r="I1311" s="9" t="str">
        <f aca="false">IF(H1311=0,"—",IF(H1311=1,"unison (1:1)",IF(H1311=2,"octave (2:1)",IF(H1311=3,"fifth (3:2)",IF(H1311=4,"fourth (4:3)","?")))))</f>
        <v>octave (2:1)</v>
      </c>
      <c r="J1311" s="9" t="str">
        <f aca="false">IF(H1311=0,"—",IF(H1311=1,"ὁμώνυμον",IF(H1311=2,"διὰ πασῶν",IF(H1311=3,"διὰ πέντε",IF(H1311=4,"διὰ τεσσάρων","?")))))</f>
        <v>διὰ πασῶν</v>
      </c>
      <c r="K1311" s="10"/>
      <c r="L1311" s="14"/>
      <c r="M1311" s="13"/>
    </row>
    <row r="1312" customFormat="false" ht="15.75" hidden="false" customHeight="true" outlineLevel="0" collapsed="false">
      <c r="A1312" s="8" t="n">
        <f aca="false">A1311+1</f>
        <v>1310</v>
      </c>
      <c r="B1312" s="9" t="n">
        <f aca="false">MOD(4*A1312^2,10)</f>
        <v>0</v>
      </c>
      <c r="C1312" s="9" t="n">
        <f aca="false">(26*B1312-5*B1312^2)/24</f>
        <v>0</v>
      </c>
      <c r="D1312" s="9" t="n">
        <f aca="false">(A1312^2+4*C1312)/5</f>
        <v>343220</v>
      </c>
      <c r="E1312" s="9" t="n">
        <f aca="false">MOD(D1312,10)</f>
        <v>0</v>
      </c>
      <c r="F1312" s="9" t="n">
        <f aca="false">2*D1312</f>
        <v>686440</v>
      </c>
      <c r="G1312" s="9" t="n">
        <f aca="false">MOD(F1312,10)</f>
        <v>0</v>
      </c>
      <c r="H1312" s="9" t="n">
        <f aca="false">G1312/2</f>
        <v>0</v>
      </c>
      <c r="I1312" s="9" t="str">
        <f aca="false">IF(H1312=0,"—",IF(H1312=1,"unison (1:1)",IF(H1312=2,"octave (2:1)",IF(H1312=3,"fifth (3:2)",IF(H1312=4,"fourth (4:3)","?")))))</f>
        <v>—</v>
      </c>
      <c r="J1312" s="9" t="str">
        <f aca="false">IF(H1312=0,"—",IF(H1312=1,"ὁμώνυμον",IF(H1312=2,"διὰ πασῶν",IF(H1312=3,"διὰ πέντε",IF(H1312=4,"διὰ τεσσάρων","?")))))</f>
        <v>—</v>
      </c>
      <c r="K1312" s="10"/>
      <c r="L1312" s="14"/>
      <c r="M1312" s="13"/>
    </row>
    <row r="1313" customFormat="false" ht="15.75" hidden="false" customHeight="true" outlineLevel="0" collapsed="false">
      <c r="A1313" s="8" t="n">
        <f aca="false">A1312+1</f>
        <v>1311</v>
      </c>
      <c r="B1313" s="9" t="n">
        <f aca="false">MOD(4*A1313^2,10)</f>
        <v>4</v>
      </c>
      <c r="C1313" s="9" t="n">
        <f aca="false">(26*B1313-5*B1313^2)/24</f>
        <v>1</v>
      </c>
      <c r="D1313" s="9" t="n">
        <f aca="false">(A1313^2+4*C1313)/5</f>
        <v>343745</v>
      </c>
      <c r="E1313" s="9" t="n">
        <f aca="false">MOD(D1313,10)</f>
        <v>5</v>
      </c>
      <c r="F1313" s="9" t="n">
        <f aca="false">2*D1313</f>
        <v>687490</v>
      </c>
      <c r="G1313" s="9" t="n">
        <f aca="false">MOD(F1313,10)</f>
        <v>0</v>
      </c>
      <c r="H1313" s="9" t="n">
        <f aca="false">G1313/2</f>
        <v>0</v>
      </c>
      <c r="I1313" s="9" t="str">
        <f aca="false">IF(H1313=0,"—",IF(H1313=1,"unison (1:1)",IF(H1313=2,"octave (2:1)",IF(H1313=3,"fifth (3:2)",IF(H1313=4,"fourth (4:3)","?")))))</f>
        <v>—</v>
      </c>
      <c r="J1313" s="9" t="str">
        <f aca="false">IF(H1313=0,"—",IF(H1313=1,"ὁμώνυμον",IF(H1313=2,"διὰ πασῶν",IF(H1313=3,"διὰ πέντε",IF(H1313=4,"διὰ τεσσάρων","?")))))</f>
        <v>—</v>
      </c>
      <c r="K1313" s="10"/>
      <c r="L1313" s="14"/>
      <c r="M1313" s="13"/>
    </row>
    <row r="1314" customFormat="false" ht="15.75" hidden="false" customHeight="true" outlineLevel="0" collapsed="false">
      <c r="A1314" s="8" t="n">
        <f aca="false">A1313+1</f>
        <v>1312</v>
      </c>
      <c r="B1314" s="9" t="n">
        <f aca="false">MOD(4*A1314^2,10)</f>
        <v>6</v>
      </c>
      <c r="C1314" s="9" t="n">
        <f aca="false">(26*B1314-5*B1314^2)/24</f>
        <v>-1</v>
      </c>
      <c r="D1314" s="9" t="n">
        <f aca="false">(A1314^2+4*C1314)/5</f>
        <v>344268</v>
      </c>
      <c r="E1314" s="9" t="n">
        <f aca="false">MOD(D1314,10)</f>
        <v>8</v>
      </c>
      <c r="F1314" s="9" t="n">
        <f aca="false">2*D1314</f>
        <v>688536</v>
      </c>
      <c r="G1314" s="9" t="n">
        <f aca="false">MOD(F1314,10)</f>
        <v>6</v>
      </c>
      <c r="H1314" s="9" t="n">
        <f aca="false">G1314/2</f>
        <v>3</v>
      </c>
      <c r="I1314" s="9" t="str">
        <f aca="false">IF(H1314=0,"—",IF(H1314=1,"unison (1:1)",IF(H1314=2,"octave (2:1)",IF(H1314=3,"fifth (3:2)",IF(H1314=4,"fourth (4:3)","?")))))</f>
        <v>fifth (3:2)</v>
      </c>
      <c r="J1314" s="9" t="str">
        <f aca="false">IF(H1314=0,"—",IF(H1314=1,"ὁμώνυμον",IF(H1314=2,"διὰ πασῶν",IF(H1314=3,"διὰ πέντε",IF(H1314=4,"διὰ τεσσάρων","?")))))</f>
        <v>διὰ πέντε</v>
      </c>
      <c r="K1314" s="10"/>
      <c r="L1314" s="14"/>
      <c r="M1314" s="13"/>
    </row>
    <row r="1315" customFormat="false" ht="15.75" hidden="false" customHeight="true" outlineLevel="0" collapsed="false">
      <c r="A1315" s="8" t="n">
        <f aca="false">A1314+1</f>
        <v>1313</v>
      </c>
      <c r="B1315" s="9" t="n">
        <f aca="false">MOD(4*A1315^2,10)</f>
        <v>6</v>
      </c>
      <c r="C1315" s="9" t="n">
        <f aca="false">(26*B1315-5*B1315^2)/24</f>
        <v>-1</v>
      </c>
      <c r="D1315" s="9" t="n">
        <f aca="false">(A1315^2+4*C1315)/5</f>
        <v>344793</v>
      </c>
      <c r="E1315" s="9" t="n">
        <f aca="false">MOD(D1315,10)</f>
        <v>3</v>
      </c>
      <c r="F1315" s="9" t="n">
        <f aca="false">2*D1315</f>
        <v>689586</v>
      </c>
      <c r="G1315" s="9" t="n">
        <f aca="false">MOD(F1315,10)</f>
        <v>6</v>
      </c>
      <c r="H1315" s="9" t="n">
        <f aca="false">G1315/2</f>
        <v>3</v>
      </c>
      <c r="I1315" s="9" t="str">
        <f aca="false">IF(H1315=0,"—",IF(H1315=1,"unison (1:1)",IF(H1315=2,"octave (2:1)",IF(H1315=3,"fifth (3:2)",IF(H1315=4,"fourth (4:3)","?")))))</f>
        <v>fifth (3:2)</v>
      </c>
      <c r="J1315" s="9" t="str">
        <f aca="false">IF(H1315=0,"—",IF(H1315=1,"ὁμώνυμον",IF(H1315=2,"διὰ πασῶν",IF(H1315=3,"διὰ πέντε",IF(H1315=4,"διὰ τεσσάρων","?")))))</f>
        <v>διὰ πέντε</v>
      </c>
      <c r="K1315" s="10"/>
      <c r="L1315" s="14"/>
      <c r="M1315" s="13"/>
    </row>
    <row r="1316" customFormat="false" ht="15.75" hidden="false" customHeight="true" outlineLevel="0" collapsed="false">
      <c r="A1316" s="8" t="n">
        <f aca="false">A1315+1</f>
        <v>1314</v>
      </c>
      <c r="B1316" s="9" t="n">
        <f aca="false">MOD(4*A1316^2,10)</f>
        <v>4</v>
      </c>
      <c r="C1316" s="9" t="n">
        <f aca="false">(26*B1316-5*B1316^2)/24</f>
        <v>1</v>
      </c>
      <c r="D1316" s="9" t="n">
        <f aca="false">(A1316^2+4*C1316)/5</f>
        <v>345320</v>
      </c>
      <c r="E1316" s="9" t="n">
        <f aca="false">MOD(D1316,10)</f>
        <v>0</v>
      </c>
      <c r="F1316" s="9" t="n">
        <f aca="false">2*D1316</f>
        <v>690640</v>
      </c>
      <c r="G1316" s="9" t="n">
        <f aca="false">MOD(F1316,10)</f>
        <v>0</v>
      </c>
      <c r="H1316" s="9" t="n">
        <f aca="false">G1316/2</f>
        <v>0</v>
      </c>
      <c r="I1316" s="9" t="str">
        <f aca="false">IF(H1316=0,"—",IF(H1316=1,"unison (1:1)",IF(H1316=2,"octave (2:1)",IF(H1316=3,"fifth (3:2)",IF(H1316=4,"fourth (4:3)","?")))))</f>
        <v>—</v>
      </c>
      <c r="J1316" s="9" t="str">
        <f aca="false">IF(H1316=0,"—",IF(H1316=1,"ὁμώνυμον",IF(H1316=2,"διὰ πασῶν",IF(H1316=3,"διὰ πέντε",IF(H1316=4,"διὰ τεσσάρων","?")))))</f>
        <v>—</v>
      </c>
      <c r="K1316" s="10"/>
      <c r="L1316" s="14"/>
      <c r="M1316" s="13"/>
    </row>
    <row r="1317" customFormat="false" ht="15.75" hidden="false" customHeight="true" outlineLevel="0" collapsed="false">
      <c r="A1317" s="8" t="n">
        <f aca="false">A1316+1</f>
        <v>1315</v>
      </c>
      <c r="B1317" s="9" t="n">
        <f aca="false">MOD(4*A1317^2,10)</f>
        <v>0</v>
      </c>
      <c r="C1317" s="9" t="n">
        <f aca="false">(26*B1317-5*B1317^2)/24</f>
        <v>0</v>
      </c>
      <c r="D1317" s="9" t="n">
        <f aca="false">(A1317^2+4*C1317)/5</f>
        <v>345845</v>
      </c>
      <c r="E1317" s="9" t="n">
        <f aca="false">MOD(D1317,10)</f>
        <v>5</v>
      </c>
      <c r="F1317" s="9" t="n">
        <f aca="false">2*D1317</f>
        <v>691690</v>
      </c>
      <c r="G1317" s="9" t="n">
        <f aca="false">MOD(F1317,10)</f>
        <v>0</v>
      </c>
      <c r="H1317" s="9" t="n">
        <f aca="false">G1317/2</f>
        <v>0</v>
      </c>
      <c r="I1317" s="9" t="str">
        <f aca="false">IF(H1317=0,"—",IF(H1317=1,"unison (1:1)",IF(H1317=2,"octave (2:1)",IF(H1317=3,"fifth (3:2)",IF(H1317=4,"fourth (4:3)","?")))))</f>
        <v>—</v>
      </c>
      <c r="J1317" s="9" t="str">
        <f aca="false">IF(H1317=0,"—",IF(H1317=1,"ὁμώνυμον",IF(H1317=2,"διὰ πασῶν",IF(H1317=3,"διὰ πέντε",IF(H1317=4,"διὰ τεσσάρων","?")))))</f>
        <v>—</v>
      </c>
      <c r="K1317" s="10"/>
      <c r="L1317" s="14"/>
      <c r="M1317" s="13"/>
    </row>
    <row r="1318" customFormat="false" ht="15.75" hidden="false" customHeight="true" outlineLevel="0" collapsed="false">
      <c r="A1318" s="8" t="n">
        <f aca="false">A1317+1</f>
        <v>1316</v>
      </c>
      <c r="B1318" s="9" t="n">
        <f aca="false">MOD(4*A1318^2,10)</f>
        <v>4</v>
      </c>
      <c r="C1318" s="9" t="n">
        <f aca="false">(26*B1318-5*B1318^2)/24</f>
        <v>1</v>
      </c>
      <c r="D1318" s="9" t="n">
        <f aca="false">(A1318^2+4*C1318)/5</f>
        <v>346372</v>
      </c>
      <c r="E1318" s="9" t="n">
        <f aca="false">MOD(D1318,10)</f>
        <v>2</v>
      </c>
      <c r="F1318" s="9" t="n">
        <f aca="false">2*D1318</f>
        <v>692744</v>
      </c>
      <c r="G1318" s="9" t="n">
        <f aca="false">MOD(F1318,10)</f>
        <v>4</v>
      </c>
      <c r="H1318" s="9" t="n">
        <f aca="false">G1318/2</f>
        <v>2</v>
      </c>
      <c r="I1318" s="9" t="str">
        <f aca="false">IF(H1318=0,"—",IF(H1318=1,"unison (1:1)",IF(H1318=2,"octave (2:1)",IF(H1318=3,"fifth (3:2)",IF(H1318=4,"fourth (4:3)","?")))))</f>
        <v>octave (2:1)</v>
      </c>
      <c r="J1318" s="9" t="str">
        <f aca="false">IF(H1318=0,"—",IF(H1318=1,"ὁμώνυμον",IF(H1318=2,"διὰ πασῶν",IF(H1318=3,"διὰ πέντε",IF(H1318=4,"διὰ τεσσάρων","?")))))</f>
        <v>διὰ πασῶν</v>
      </c>
      <c r="K1318" s="10"/>
      <c r="L1318" s="14"/>
      <c r="M1318" s="13"/>
    </row>
    <row r="1319" customFormat="false" ht="15.75" hidden="false" customHeight="true" outlineLevel="0" collapsed="false">
      <c r="A1319" s="8" t="n">
        <f aca="false">A1318+1</f>
        <v>1317</v>
      </c>
      <c r="B1319" s="9" t="n">
        <f aca="false">MOD(4*A1319^2,10)</f>
        <v>6</v>
      </c>
      <c r="C1319" s="9" t="n">
        <f aca="false">(26*B1319-5*B1319^2)/24</f>
        <v>-1</v>
      </c>
      <c r="D1319" s="9" t="n">
        <f aca="false">(A1319^2+4*C1319)/5</f>
        <v>346897</v>
      </c>
      <c r="E1319" s="9" t="n">
        <f aca="false">MOD(D1319,10)</f>
        <v>7</v>
      </c>
      <c r="F1319" s="9" t="n">
        <f aca="false">2*D1319</f>
        <v>693794</v>
      </c>
      <c r="G1319" s="9" t="n">
        <f aca="false">MOD(F1319,10)</f>
        <v>4</v>
      </c>
      <c r="H1319" s="9" t="n">
        <f aca="false">G1319/2</f>
        <v>2</v>
      </c>
      <c r="I1319" s="9" t="str">
        <f aca="false">IF(H1319=0,"—",IF(H1319=1,"unison (1:1)",IF(H1319=2,"octave (2:1)",IF(H1319=3,"fifth (3:2)",IF(H1319=4,"fourth (4:3)","?")))))</f>
        <v>octave (2:1)</v>
      </c>
      <c r="J1319" s="9" t="str">
        <f aca="false">IF(H1319=0,"—",IF(H1319=1,"ὁμώνυμον",IF(H1319=2,"διὰ πασῶν",IF(H1319=3,"διὰ πέντε",IF(H1319=4,"διὰ τεσσάρων","?")))))</f>
        <v>διὰ πασῶν</v>
      </c>
      <c r="K1319" s="10"/>
      <c r="L1319" s="14"/>
      <c r="M1319" s="13"/>
    </row>
    <row r="1320" customFormat="false" ht="15.75" hidden="false" customHeight="true" outlineLevel="0" collapsed="false">
      <c r="A1320" s="8" t="n">
        <f aca="false">A1319+1</f>
        <v>1318</v>
      </c>
      <c r="B1320" s="9" t="n">
        <f aca="false">MOD(4*A1320^2,10)</f>
        <v>6</v>
      </c>
      <c r="C1320" s="9" t="n">
        <f aca="false">(26*B1320-5*B1320^2)/24</f>
        <v>-1</v>
      </c>
      <c r="D1320" s="9" t="n">
        <f aca="false">(A1320^2+4*C1320)/5</f>
        <v>347424</v>
      </c>
      <c r="E1320" s="9" t="n">
        <f aca="false">MOD(D1320,10)</f>
        <v>4</v>
      </c>
      <c r="F1320" s="9" t="n">
        <f aca="false">2*D1320</f>
        <v>694848</v>
      </c>
      <c r="G1320" s="9" t="n">
        <f aca="false">MOD(F1320,10)</f>
        <v>8</v>
      </c>
      <c r="H1320" s="9" t="n">
        <f aca="false">G1320/2</f>
        <v>4</v>
      </c>
      <c r="I1320" s="9" t="str">
        <f aca="false">IF(H1320=0,"—",IF(H1320=1,"unison (1:1)",IF(H1320=2,"octave (2:1)",IF(H1320=3,"fifth (3:2)",IF(H1320=4,"fourth (4:3)","?")))))</f>
        <v>fourth (4:3)</v>
      </c>
      <c r="J1320" s="9" t="str">
        <f aca="false">IF(H1320=0,"—",IF(H1320=1,"ὁμώνυμον",IF(H1320=2,"διὰ πασῶν",IF(H1320=3,"διὰ πέντε",IF(H1320=4,"διὰ τεσσάρων","?")))))</f>
        <v>διὰ τεσσάρων</v>
      </c>
      <c r="K1320" s="10"/>
      <c r="L1320" s="14"/>
      <c r="M1320" s="13"/>
    </row>
    <row r="1321" customFormat="false" ht="15.75" hidden="false" customHeight="true" outlineLevel="0" collapsed="false">
      <c r="A1321" s="8" t="n">
        <f aca="false">A1320+1</f>
        <v>1319</v>
      </c>
      <c r="B1321" s="9" t="n">
        <f aca="false">MOD(4*A1321^2,10)</f>
        <v>4</v>
      </c>
      <c r="C1321" s="9" t="n">
        <f aca="false">(26*B1321-5*B1321^2)/24</f>
        <v>1</v>
      </c>
      <c r="D1321" s="9" t="n">
        <f aca="false">(A1321^2+4*C1321)/5</f>
        <v>347953</v>
      </c>
      <c r="E1321" s="9" t="n">
        <f aca="false">MOD(D1321,10)</f>
        <v>3</v>
      </c>
      <c r="F1321" s="9" t="n">
        <f aca="false">2*D1321</f>
        <v>695906</v>
      </c>
      <c r="G1321" s="9" t="n">
        <f aca="false">MOD(F1321,10)</f>
        <v>6</v>
      </c>
      <c r="H1321" s="9" t="n">
        <f aca="false">G1321/2</f>
        <v>3</v>
      </c>
      <c r="I1321" s="9" t="str">
        <f aca="false">IF(H1321=0,"—",IF(H1321=1,"unison (1:1)",IF(H1321=2,"octave (2:1)",IF(H1321=3,"fifth (3:2)",IF(H1321=4,"fourth (4:3)","?")))))</f>
        <v>fifth (3:2)</v>
      </c>
      <c r="J1321" s="9" t="str">
        <f aca="false">IF(H1321=0,"—",IF(H1321=1,"ὁμώνυμον",IF(H1321=2,"διὰ πασῶν",IF(H1321=3,"διὰ πέντε",IF(H1321=4,"διὰ τεσσάρων","?")))))</f>
        <v>διὰ πέντε</v>
      </c>
      <c r="K1321" s="10"/>
      <c r="L1321" s="14"/>
      <c r="M1321" s="13"/>
    </row>
    <row r="1322" customFormat="false" ht="15.75" hidden="false" customHeight="true" outlineLevel="0" collapsed="false">
      <c r="A1322" s="8" t="n">
        <f aca="false">A1321+1</f>
        <v>1320</v>
      </c>
      <c r="B1322" s="9" t="n">
        <f aca="false">MOD(4*A1322^2,10)</f>
        <v>0</v>
      </c>
      <c r="C1322" s="9" t="n">
        <f aca="false">(26*B1322-5*B1322^2)/24</f>
        <v>0</v>
      </c>
      <c r="D1322" s="9" t="n">
        <f aca="false">(A1322^2+4*C1322)/5</f>
        <v>348480</v>
      </c>
      <c r="E1322" s="9" t="n">
        <f aca="false">MOD(D1322,10)</f>
        <v>0</v>
      </c>
      <c r="F1322" s="9" t="n">
        <f aca="false">2*D1322</f>
        <v>696960</v>
      </c>
      <c r="G1322" s="9" t="n">
        <f aca="false">MOD(F1322,10)</f>
        <v>0</v>
      </c>
      <c r="H1322" s="9" t="n">
        <f aca="false">G1322/2</f>
        <v>0</v>
      </c>
      <c r="I1322" s="9" t="str">
        <f aca="false">IF(H1322=0,"—",IF(H1322=1,"unison (1:1)",IF(H1322=2,"octave (2:1)",IF(H1322=3,"fifth (3:2)",IF(H1322=4,"fourth (4:3)","?")))))</f>
        <v>—</v>
      </c>
      <c r="J1322" s="9" t="str">
        <f aca="false">IF(H1322=0,"—",IF(H1322=1,"ὁμώνυμον",IF(H1322=2,"διὰ πασῶν",IF(H1322=3,"διὰ πέντε",IF(H1322=4,"διὰ τεσσάρων","?")))))</f>
        <v>—</v>
      </c>
      <c r="K1322" s="10"/>
      <c r="L1322" s="14"/>
      <c r="M1322" s="13"/>
    </row>
    <row r="1323" customFormat="false" ht="15.75" hidden="false" customHeight="true" outlineLevel="0" collapsed="false">
      <c r="A1323" s="8" t="n">
        <f aca="false">A1322+1</f>
        <v>1321</v>
      </c>
      <c r="B1323" s="9" t="n">
        <f aca="false">MOD(4*A1323^2,10)</f>
        <v>4</v>
      </c>
      <c r="C1323" s="9" t="n">
        <f aca="false">(26*B1323-5*B1323^2)/24</f>
        <v>1</v>
      </c>
      <c r="D1323" s="9" t="n">
        <f aca="false">(A1323^2+4*C1323)/5</f>
        <v>349009</v>
      </c>
      <c r="E1323" s="9" t="n">
        <f aca="false">MOD(D1323,10)</f>
        <v>9</v>
      </c>
      <c r="F1323" s="9" t="n">
        <f aca="false">2*D1323</f>
        <v>698018</v>
      </c>
      <c r="G1323" s="9" t="n">
        <f aca="false">MOD(F1323,10)</f>
        <v>8</v>
      </c>
      <c r="H1323" s="9" t="n">
        <f aca="false">G1323/2</f>
        <v>4</v>
      </c>
      <c r="I1323" s="9" t="str">
        <f aca="false">IF(H1323=0,"—",IF(H1323=1,"unison (1:1)",IF(H1323=2,"octave (2:1)",IF(H1323=3,"fifth (3:2)",IF(H1323=4,"fourth (4:3)","?")))))</f>
        <v>fourth (4:3)</v>
      </c>
      <c r="J1323" s="9" t="str">
        <f aca="false">IF(H1323=0,"—",IF(H1323=1,"ὁμώνυμον",IF(H1323=2,"διὰ πασῶν",IF(H1323=3,"διὰ πέντε",IF(H1323=4,"διὰ τεσσάρων","?")))))</f>
        <v>διὰ τεσσάρων</v>
      </c>
      <c r="K1323" s="10"/>
      <c r="L1323" s="14"/>
      <c r="M1323" s="13"/>
    </row>
    <row r="1324" customFormat="false" ht="15.75" hidden="false" customHeight="true" outlineLevel="0" collapsed="false">
      <c r="A1324" s="8" t="n">
        <f aca="false">A1323+1</f>
        <v>1322</v>
      </c>
      <c r="B1324" s="9" t="n">
        <f aca="false">MOD(4*A1324^2,10)</f>
        <v>6</v>
      </c>
      <c r="C1324" s="9" t="n">
        <f aca="false">(26*B1324-5*B1324^2)/24</f>
        <v>-1</v>
      </c>
      <c r="D1324" s="9" t="n">
        <f aca="false">(A1324^2+4*C1324)/5</f>
        <v>349536</v>
      </c>
      <c r="E1324" s="9" t="n">
        <f aca="false">MOD(D1324,10)</f>
        <v>6</v>
      </c>
      <c r="F1324" s="9" t="n">
        <f aca="false">2*D1324</f>
        <v>699072</v>
      </c>
      <c r="G1324" s="9" t="n">
        <f aca="false">MOD(F1324,10)</f>
        <v>2</v>
      </c>
      <c r="H1324" s="9" t="n">
        <f aca="false">G1324/2</f>
        <v>1</v>
      </c>
      <c r="I1324" s="9" t="str">
        <f aca="false">IF(H1324=0,"—",IF(H1324=1,"unison (1:1)",IF(H1324=2,"octave (2:1)",IF(H1324=3,"fifth (3:2)",IF(H1324=4,"fourth (4:3)","?")))))</f>
        <v>unison (1:1)</v>
      </c>
      <c r="J1324" s="9" t="str">
        <f aca="false">IF(H1324=0,"—",IF(H1324=1,"ὁμώνυμον",IF(H1324=2,"διὰ πασῶν",IF(H1324=3,"διὰ πέντε",IF(H1324=4,"διὰ τεσσάρων","?")))))</f>
        <v>ὁμώνυμον</v>
      </c>
      <c r="K1324" s="10"/>
      <c r="L1324" s="14"/>
      <c r="M1324" s="13"/>
    </row>
    <row r="1325" customFormat="false" ht="15.75" hidden="false" customHeight="true" outlineLevel="0" collapsed="false">
      <c r="A1325" s="8" t="n">
        <f aca="false">A1324+1</f>
        <v>1323</v>
      </c>
      <c r="B1325" s="9" t="n">
        <f aca="false">MOD(4*A1325^2,10)</f>
        <v>6</v>
      </c>
      <c r="C1325" s="9" t="n">
        <f aca="false">(26*B1325-5*B1325^2)/24</f>
        <v>-1</v>
      </c>
      <c r="D1325" s="9" t="n">
        <f aca="false">(A1325^2+4*C1325)/5</f>
        <v>350065</v>
      </c>
      <c r="E1325" s="9" t="n">
        <f aca="false">MOD(D1325,10)</f>
        <v>5</v>
      </c>
      <c r="F1325" s="9" t="n">
        <f aca="false">2*D1325</f>
        <v>700130</v>
      </c>
      <c r="G1325" s="9" t="n">
        <f aca="false">MOD(F1325,10)</f>
        <v>0</v>
      </c>
      <c r="H1325" s="9" t="n">
        <f aca="false">G1325/2</f>
        <v>0</v>
      </c>
      <c r="I1325" s="9" t="str">
        <f aca="false">IF(H1325=0,"—",IF(H1325=1,"unison (1:1)",IF(H1325=2,"octave (2:1)",IF(H1325=3,"fifth (3:2)",IF(H1325=4,"fourth (4:3)","?")))))</f>
        <v>—</v>
      </c>
      <c r="J1325" s="9" t="str">
        <f aca="false">IF(H1325=0,"—",IF(H1325=1,"ὁμώνυμον",IF(H1325=2,"διὰ πασῶν",IF(H1325=3,"διὰ πέντε",IF(H1325=4,"διὰ τεσσάρων","?")))))</f>
        <v>—</v>
      </c>
      <c r="K1325" s="10"/>
      <c r="L1325" s="14"/>
      <c r="M1325" s="13"/>
    </row>
    <row r="1326" customFormat="false" ht="15.75" hidden="false" customHeight="true" outlineLevel="0" collapsed="false">
      <c r="A1326" s="8" t="n">
        <f aca="false">A1325+1</f>
        <v>1324</v>
      </c>
      <c r="B1326" s="9" t="n">
        <f aca="false">MOD(4*A1326^2,10)</f>
        <v>4</v>
      </c>
      <c r="C1326" s="9" t="n">
        <f aca="false">(26*B1326-5*B1326^2)/24</f>
        <v>1</v>
      </c>
      <c r="D1326" s="9" t="n">
        <f aca="false">(A1326^2+4*C1326)/5</f>
        <v>350596</v>
      </c>
      <c r="E1326" s="9" t="n">
        <f aca="false">MOD(D1326,10)</f>
        <v>6</v>
      </c>
      <c r="F1326" s="9" t="n">
        <f aca="false">2*D1326</f>
        <v>701192</v>
      </c>
      <c r="G1326" s="9" t="n">
        <f aca="false">MOD(F1326,10)</f>
        <v>2</v>
      </c>
      <c r="H1326" s="9" t="n">
        <f aca="false">G1326/2</f>
        <v>1</v>
      </c>
      <c r="I1326" s="9" t="str">
        <f aca="false">IF(H1326=0,"—",IF(H1326=1,"unison (1:1)",IF(H1326=2,"octave (2:1)",IF(H1326=3,"fifth (3:2)",IF(H1326=4,"fourth (4:3)","?")))))</f>
        <v>unison (1:1)</v>
      </c>
      <c r="J1326" s="9" t="str">
        <f aca="false">IF(H1326=0,"—",IF(H1326=1,"ὁμώνυμον",IF(H1326=2,"διὰ πασῶν",IF(H1326=3,"διὰ πέντε",IF(H1326=4,"διὰ τεσσάρων","?")))))</f>
        <v>ὁμώνυμον</v>
      </c>
      <c r="K1326" s="10"/>
      <c r="L1326" s="14"/>
      <c r="M1326" s="13"/>
    </row>
    <row r="1327" customFormat="false" ht="15.75" hidden="false" customHeight="true" outlineLevel="0" collapsed="false">
      <c r="A1327" s="8" t="n">
        <f aca="false">A1326+1</f>
        <v>1325</v>
      </c>
      <c r="B1327" s="9" t="n">
        <f aca="false">MOD(4*A1327^2,10)</f>
        <v>0</v>
      </c>
      <c r="C1327" s="9" t="n">
        <f aca="false">(26*B1327-5*B1327^2)/24</f>
        <v>0</v>
      </c>
      <c r="D1327" s="9" t="n">
        <f aca="false">(A1327^2+4*C1327)/5</f>
        <v>351125</v>
      </c>
      <c r="E1327" s="9" t="n">
        <f aca="false">MOD(D1327,10)</f>
        <v>5</v>
      </c>
      <c r="F1327" s="9" t="n">
        <f aca="false">2*D1327</f>
        <v>702250</v>
      </c>
      <c r="G1327" s="9" t="n">
        <f aca="false">MOD(F1327,10)</f>
        <v>0</v>
      </c>
      <c r="H1327" s="9" t="n">
        <f aca="false">G1327/2</f>
        <v>0</v>
      </c>
      <c r="I1327" s="9" t="str">
        <f aca="false">IF(H1327=0,"—",IF(H1327=1,"unison (1:1)",IF(H1327=2,"octave (2:1)",IF(H1327=3,"fifth (3:2)",IF(H1327=4,"fourth (4:3)","?")))))</f>
        <v>—</v>
      </c>
      <c r="J1327" s="9" t="str">
        <f aca="false">IF(H1327=0,"—",IF(H1327=1,"ὁμώνυμον",IF(H1327=2,"διὰ πασῶν",IF(H1327=3,"διὰ πέντε",IF(H1327=4,"διὰ τεσσάρων","?")))))</f>
        <v>—</v>
      </c>
      <c r="K1327" s="10"/>
      <c r="L1327" s="14"/>
      <c r="M1327" s="13"/>
    </row>
    <row r="1328" customFormat="false" ht="15.75" hidden="false" customHeight="true" outlineLevel="0" collapsed="false">
      <c r="A1328" s="8" t="n">
        <f aca="false">A1327+1</f>
        <v>1326</v>
      </c>
      <c r="B1328" s="9" t="n">
        <f aca="false">MOD(4*A1328^2,10)</f>
        <v>4</v>
      </c>
      <c r="C1328" s="9" t="n">
        <f aca="false">(26*B1328-5*B1328^2)/24</f>
        <v>1</v>
      </c>
      <c r="D1328" s="9" t="n">
        <f aca="false">(A1328^2+4*C1328)/5</f>
        <v>351656</v>
      </c>
      <c r="E1328" s="9" t="n">
        <f aca="false">MOD(D1328,10)</f>
        <v>6</v>
      </c>
      <c r="F1328" s="9" t="n">
        <f aca="false">2*D1328</f>
        <v>703312</v>
      </c>
      <c r="G1328" s="9" t="n">
        <f aca="false">MOD(F1328,10)</f>
        <v>2</v>
      </c>
      <c r="H1328" s="9" t="n">
        <f aca="false">G1328/2</f>
        <v>1</v>
      </c>
      <c r="I1328" s="9" t="str">
        <f aca="false">IF(H1328=0,"—",IF(H1328=1,"unison (1:1)",IF(H1328=2,"octave (2:1)",IF(H1328=3,"fifth (3:2)",IF(H1328=4,"fourth (4:3)","?")))))</f>
        <v>unison (1:1)</v>
      </c>
      <c r="J1328" s="9" t="str">
        <f aca="false">IF(H1328=0,"—",IF(H1328=1,"ὁμώνυμον",IF(H1328=2,"διὰ πασῶν",IF(H1328=3,"διὰ πέντε",IF(H1328=4,"διὰ τεσσάρων","?")))))</f>
        <v>ὁμώνυμον</v>
      </c>
      <c r="K1328" s="10"/>
      <c r="L1328" s="14"/>
      <c r="M1328" s="13"/>
    </row>
    <row r="1329" customFormat="false" ht="15.75" hidden="false" customHeight="true" outlineLevel="0" collapsed="false">
      <c r="A1329" s="8" t="n">
        <f aca="false">A1328+1</f>
        <v>1327</v>
      </c>
      <c r="B1329" s="9" t="n">
        <f aca="false">MOD(4*A1329^2,10)</f>
        <v>6</v>
      </c>
      <c r="C1329" s="9" t="n">
        <f aca="false">(26*B1329-5*B1329^2)/24</f>
        <v>-1</v>
      </c>
      <c r="D1329" s="9" t="n">
        <f aca="false">(A1329^2+4*C1329)/5</f>
        <v>352185</v>
      </c>
      <c r="E1329" s="9" t="n">
        <f aca="false">MOD(D1329,10)</f>
        <v>5</v>
      </c>
      <c r="F1329" s="9" t="n">
        <f aca="false">2*D1329</f>
        <v>704370</v>
      </c>
      <c r="G1329" s="9" t="n">
        <f aca="false">MOD(F1329,10)</f>
        <v>0</v>
      </c>
      <c r="H1329" s="9" t="n">
        <f aca="false">G1329/2</f>
        <v>0</v>
      </c>
      <c r="I1329" s="9" t="str">
        <f aca="false">IF(H1329=0,"—",IF(H1329=1,"unison (1:1)",IF(H1329=2,"octave (2:1)",IF(H1329=3,"fifth (3:2)",IF(H1329=4,"fourth (4:3)","?")))))</f>
        <v>—</v>
      </c>
      <c r="J1329" s="9" t="str">
        <f aca="false">IF(H1329=0,"—",IF(H1329=1,"ὁμώνυμον",IF(H1329=2,"διὰ πασῶν",IF(H1329=3,"διὰ πέντε",IF(H1329=4,"διὰ τεσσάρων","?")))))</f>
        <v>—</v>
      </c>
      <c r="K1329" s="10"/>
      <c r="L1329" s="14"/>
      <c r="M1329" s="13"/>
    </row>
    <row r="1330" customFormat="false" ht="15.75" hidden="false" customHeight="true" outlineLevel="0" collapsed="false">
      <c r="A1330" s="8" t="n">
        <f aca="false">A1329+1</f>
        <v>1328</v>
      </c>
      <c r="B1330" s="9" t="n">
        <f aca="false">MOD(4*A1330^2,10)</f>
        <v>6</v>
      </c>
      <c r="C1330" s="9" t="n">
        <f aca="false">(26*B1330-5*B1330^2)/24</f>
        <v>-1</v>
      </c>
      <c r="D1330" s="9" t="n">
        <f aca="false">(A1330^2+4*C1330)/5</f>
        <v>352716</v>
      </c>
      <c r="E1330" s="9" t="n">
        <f aca="false">MOD(D1330,10)</f>
        <v>6</v>
      </c>
      <c r="F1330" s="9" t="n">
        <f aca="false">2*D1330</f>
        <v>705432</v>
      </c>
      <c r="G1330" s="9" t="n">
        <f aca="false">MOD(F1330,10)</f>
        <v>2</v>
      </c>
      <c r="H1330" s="9" t="n">
        <f aca="false">G1330/2</f>
        <v>1</v>
      </c>
      <c r="I1330" s="9" t="str">
        <f aca="false">IF(H1330=0,"—",IF(H1330=1,"unison (1:1)",IF(H1330=2,"octave (2:1)",IF(H1330=3,"fifth (3:2)",IF(H1330=4,"fourth (4:3)","?")))))</f>
        <v>unison (1:1)</v>
      </c>
      <c r="J1330" s="9" t="str">
        <f aca="false">IF(H1330=0,"—",IF(H1330=1,"ὁμώνυμον",IF(H1330=2,"διὰ πασῶν",IF(H1330=3,"διὰ πέντε",IF(H1330=4,"διὰ τεσσάρων","?")))))</f>
        <v>ὁμώνυμον</v>
      </c>
      <c r="K1330" s="10"/>
      <c r="L1330" s="14"/>
      <c r="M1330" s="13"/>
    </row>
    <row r="1331" customFormat="false" ht="15.75" hidden="false" customHeight="true" outlineLevel="0" collapsed="false">
      <c r="A1331" s="8" t="n">
        <f aca="false">A1330+1</f>
        <v>1329</v>
      </c>
      <c r="B1331" s="9" t="n">
        <f aca="false">MOD(4*A1331^2,10)</f>
        <v>4</v>
      </c>
      <c r="C1331" s="9" t="n">
        <f aca="false">(26*B1331-5*B1331^2)/24</f>
        <v>1</v>
      </c>
      <c r="D1331" s="9" t="n">
        <f aca="false">(A1331^2+4*C1331)/5</f>
        <v>353249</v>
      </c>
      <c r="E1331" s="9" t="n">
        <f aca="false">MOD(D1331,10)</f>
        <v>9</v>
      </c>
      <c r="F1331" s="9" t="n">
        <f aca="false">2*D1331</f>
        <v>706498</v>
      </c>
      <c r="G1331" s="9" t="n">
        <f aca="false">MOD(F1331,10)</f>
        <v>8</v>
      </c>
      <c r="H1331" s="9" t="n">
        <f aca="false">G1331/2</f>
        <v>4</v>
      </c>
      <c r="I1331" s="9" t="str">
        <f aca="false">IF(H1331=0,"—",IF(H1331=1,"unison (1:1)",IF(H1331=2,"octave (2:1)",IF(H1331=3,"fifth (3:2)",IF(H1331=4,"fourth (4:3)","?")))))</f>
        <v>fourth (4:3)</v>
      </c>
      <c r="J1331" s="9" t="str">
        <f aca="false">IF(H1331=0,"—",IF(H1331=1,"ὁμώνυμον",IF(H1331=2,"διὰ πασῶν",IF(H1331=3,"διὰ πέντε",IF(H1331=4,"διὰ τεσσάρων","?")))))</f>
        <v>διὰ τεσσάρων</v>
      </c>
      <c r="K1331" s="10"/>
      <c r="L1331" s="14"/>
      <c r="M1331" s="13"/>
    </row>
    <row r="1332" customFormat="false" ht="15.75" hidden="false" customHeight="true" outlineLevel="0" collapsed="false">
      <c r="A1332" s="8" t="n">
        <f aca="false">A1331+1</f>
        <v>1330</v>
      </c>
      <c r="B1332" s="9" t="n">
        <f aca="false">MOD(4*A1332^2,10)</f>
        <v>0</v>
      </c>
      <c r="C1332" s="9" t="n">
        <f aca="false">(26*B1332-5*B1332^2)/24</f>
        <v>0</v>
      </c>
      <c r="D1332" s="9" t="n">
        <f aca="false">(A1332^2+4*C1332)/5</f>
        <v>353780</v>
      </c>
      <c r="E1332" s="9" t="n">
        <f aca="false">MOD(D1332,10)</f>
        <v>0</v>
      </c>
      <c r="F1332" s="9" t="n">
        <f aca="false">2*D1332</f>
        <v>707560</v>
      </c>
      <c r="G1332" s="9" t="n">
        <f aca="false">MOD(F1332,10)</f>
        <v>0</v>
      </c>
      <c r="H1332" s="9" t="n">
        <f aca="false">G1332/2</f>
        <v>0</v>
      </c>
      <c r="I1332" s="9" t="str">
        <f aca="false">IF(H1332=0,"—",IF(H1332=1,"unison (1:1)",IF(H1332=2,"octave (2:1)",IF(H1332=3,"fifth (3:2)",IF(H1332=4,"fourth (4:3)","?")))))</f>
        <v>—</v>
      </c>
      <c r="J1332" s="9" t="str">
        <f aca="false">IF(H1332=0,"—",IF(H1332=1,"ὁμώνυμον",IF(H1332=2,"διὰ πασῶν",IF(H1332=3,"διὰ πέντε",IF(H1332=4,"διὰ τεσσάρων","?")))))</f>
        <v>—</v>
      </c>
      <c r="K1332" s="10"/>
      <c r="L1332" s="14"/>
      <c r="M1332" s="13"/>
    </row>
    <row r="1333" customFormat="false" ht="15.75" hidden="false" customHeight="true" outlineLevel="0" collapsed="false">
      <c r="A1333" s="8" t="n">
        <f aca="false">A1332+1</f>
        <v>1331</v>
      </c>
      <c r="B1333" s="9" t="n">
        <f aca="false">MOD(4*A1333^2,10)</f>
        <v>4</v>
      </c>
      <c r="C1333" s="9" t="n">
        <f aca="false">(26*B1333-5*B1333^2)/24</f>
        <v>1</v>
      </c>
      <c r="D1333" s="9" t="n">
        <f aca="false">(A1333^2+4*C1333)/5</f>
        <v>354313</v>
      </c>
      <c r="E1333" s="9" t="n">
        <f aca="false">MOD(D1333,10)</f>
        <v>3</v>
      </c>
      <c r="F1333" s="9" t="n">
        <f aca="false">2*D1333</f>
        <v>708626</v>
      </c>
      <c r="G1333" s="9" t="n">
        <f aca="false">MOD(F1333,10)</f>
        <v>6</v>
      </c>
      <c r="H1333" s="9" t="n">
        <f aca="false">G1333/2</f>
        <v>3</v>
      </c>
      <c r="I1333" s="9" t="str">
        <f aca="false">IF(H1333=0,"—",IF(H1333=1,"unison (1:1)",IF(H1333=2,"octave (2:1)",IF(H1333=3,"fifth (3:2)",IF(H1333=4,"fourth (4:3)","?")))))</f>
        <v>fifth (3:2)</v>
      </c>
      <c r="J1333" s="9" t="str">
        <f aca="false">IF(H1333=0,"—",IF(H1333=1,"ὁμώνυμον",IF(H1333=2,"διὰ πασῶν",IF(H1333=3,"διὰ πέντε",IF(H1333=4,"διὰ τεσσάρων","?")))))</f>
        <v>διὰ πέντε</v>
      </c>
      <c r="K1333" s="10"/>
      <c r="L1333" s="14"/>
      <c r="M1333" s="13"/>
    </row>
    <row r="1334" customFormat="false" ht="15.75" hidden="false" customHeight="true" outlineLevel="0" collapsed="false">
      <c r="A1334" s="8" t="n">
        <f aca="false">A1333+1</f>
        <v>1332</v>
      </c>
      <c r="B1334" s="9" t="n">
        <f aca="false">MOD(4*A1334^2,10)</f>
        <v>6</v>
      </c>
      <c r="C1334" s="9" t="n">
        <f aca="false">(26*B1334-5*B1334^2)/24</f>
        <v>-1</v>
      </c>
      <c r="D1334" s="9" t="n">
        <f aca="false">(A1334^2+4*C1334)/5</f>
        <v>354844</v>
      </c>
      <c r="E1334" s="9" t="n">
        <f aca="false">MOD(D1334,10)</f>
        <v>4</v>
      </c>
      <c r="F1334" s="9" t="n">
        <f aca="false">2*D1334</f>
        <v>709688</v>
      </c>
      <c r="G1334" s="9" t="n">
        <f aca="false">MOD(F1334,10)</f>
        <v>8</v>
      </c>
      <c r="H1334" s="9" t="n">
        <f aca="false">G1334/2</f>
        <v>4</v>
      </c>
      <c r="I1334" s="9" t="str">
        <f aca="false">IF(H1334=0,"—",IF(H1334=1,"unison (1:1)",IF(H1334=2,"octave (2:1)",IF(H1334=3,"fifth (3:2)",IF(H1334=4,"fourth (4:3)","?")))))</f>
        <v>fourth (4:3)</v>
      </c>
      <c r="J1334" s="9" t="str">
        <f aca="false">IF(H1334=0,"—",IF(H1334=1,"ὁμώνυμον",IF(H1334=2,"διὰ πασῶν",IF(H1334=3,"διὰ πέντε",IF(H1334=4,"διὰ τεσσάρων","?")))))</f>
        <v>διὰ τεσσάρων</v>
      </c>
      <c r="K1334" s="10"/>
      <c r="L1334" s="14"/>
      <c r="M1334" s="13"/>
    </row>
    <row r="1335" customFormat="false" ht="15.75" hidden="false" customHeight="true" outlineLevel="0" collapsed="false">
      <c r="A1335" s="8" t="n">
        <f aca="false">A1334+1</f>
        <v>1333</v>
      </c>
      <c r="B1335" s="9" t="n">
        <f aca="false">MOD(4*A1335^2,10)</f>
        <v>6</v>
      </c>
      <c r="C1335" s="9" t="n">
        <f aca="false">(26*B1335-5*B1335^2)/24</f>
        <v>-1</v>
      </c>
      <c r="D1335" s="9" t="n">
        <f aca="false">(A1335^2+4*C1335)/5</f>
        <v>355377</v>
      </c>
      <c r="E1335" s="9" t="n">
        <f aca="false">MOD(D1335,10)</f>
        <v>7</v>
      </c>
      <c r="F1335" s="9" t="n">
        <f aca="false">2*D1335</f>
        <v>710754</v>
      </c>
      <c r="G1335" s="9" t="n">
        <f aca="false">MOD(F1335,10)</f>
        <v>4</v>
      </c>
      <c r="H1335" s="9" t="n">
        <f aca="false">G1335/2</f>
        <v>2</v>
      </c>
      <c r="I1335" s="9" t="str">
        <f aca="false">IF(H1335=0,"—",IF(H1335=1,"unison (1:1)",IF(H1335=2,"octave (2:1)",IF(H1335=3,"fifth (3:2)",IF(H1335=4,"fourth (4:3)","?")))))</f>
        <v>octave (2:1)</v>
      </c>
      <c r="J1335" s="9" t="str">
        <f aca="false">IF(H1335=0,"—",IF(H1335=1,"ὁμώνυμον",IF(H1335=2,"διὰ πασῶν",IF(H1335=3,"διὰ πέντε",IF(H1335=4,"διὰ τεσσάρων","?")))))</f>
        <v>διὰ πασῶν</v>
      </c>
      <c r="K1335" s="10"/>
      <c r="L1335" s="14"/>
      <c r="M1335" s="13"/>
    </row>
    <row r="1336" customFormat="false" ht="15.75" hidden="false" customHeight="true" outlineLevel="0" collapsed="false">
      <c r="A1336" s="8" t="n">
        <f aca="false">A1335+1</f>
        <v>1334</v>
      </c>
      <c r="B1336" s="9" t="n">
        <f aca="false">MOD(4*A1336^2,10)</f>
        <v>4</v>
      </c>
      <c r="C1336" s="9" t="n">
        <f aca="false">(26*B1336-5*B1336^2)/24</f>
        <v>1</v>
      </c>
      <c r="D1336" s="9" t="n">
        <f aca="false">(A1336^2+4*C1336)/5</f>
        <v>355912</v>
      </c>
      <c r="E1336" s="9" t="n">
        <f aca="false">MOD(D1336,10)</f>
        <v>2</v>
      </c>
      <c r="F1336" s="9" t="n">
        <f aca="false">2*D1336</f>
        <v>711824</v>
      </c>
      <c r="G1336" s="9" t="n">
        <f aca="false">MOD(F1336,10)</f>
        <v>4</v>
      </c>
      <c r="H1336" s="9" t="n">
        <f aca="false">G1336/2</f>
        <v>2</v>
      </c>
      <c r="I1336" s="9" t="str">
        <f aca="false">IF(H1336=0,"—",IF(H1336=1,"unison (1:1)",IF(H1336=2,"octave (2:1)",IF(H1336=3,"fifth (3:2)",IF(H1336=4,"fourth (4:3)","?")))))</f>
        <v>octave (2:1)</v>
      </c>
      <c r="J1336" s="9" t="str">
        <f aca="false">IF(H1336=0,"—",IF(H1336=1,"ὁμώνυμον",IF(H1336=2,"διὰ πασῶν",IF(H1336=3,"διὰ πέντε",IF(H1336=4,"διὰ τεσσάρων","?")))))</f>
        <v>διὰ πασῶν</v>
      </c>
      <c r="K1336" s="10"/>
      <c r="L1336" s="14"/>
      <c r="M1336" s="13"/>
    </row>
    <row r="1337" customFormat="false" ht="15.75" hidden="false" customHeight="true" outlineLevel="0" collapsed="false">
      <c r="A1337" s="8" t="n">
        <f aca="false">A1336+1</f>
        <v>1335</v>
      </c>
      <c r="B1337" s="9" t="n">
        <f aca="false">MOD(4*A1337^2,10)</f>
        <v>0</v>
      </c>
      <c r="C1337" s="9" t="n">
        <f aca="false">(26*B1337-5*B1337^2)/24</f>
        <v>0</v>
      </c>
      <c r="D1337" s="9" t="n">
        <f aca="false">(A1337^2+4*C1337)/5</f>
        <v>356445</v>
      </c>
      <c r="E1337" s="9" t="n">
        <f aca="false">MOD(D1337,10)</f>
        <v>5</v>
      </c>
      <c r="F1337" s="9" t="n">
        <f aca="false">2*D1337</f>
        <v>712890</v>
      </c>
      <c r="G1337" s="9" t="n">
        <f aca="false">MOD(F1337,10)</f>
        <v>0</v>
      </c>
      <c r="H1337" s="9" t="n">
        <f aca="false">G1337/2</f>
        <v>0</v>
      </c>
      <c r="I1337" s="9" t="str">
        <f aca="false">IF(H1337=0,"—",IF(H1337=1,"unison (1:1)",IF(H1337=2,"octave (2:1)",IF(H1337=3,"fifth (3:2)",IF(H1337=4,"fourth (4:3)","?")))))</f>
        <v>—</v>
      </c>
      <c r="J1337" s="9" t="str">
        <f aca="false">IF(H1337=0,"—",IF(H1337=1,"ὁμώνυμον",IF(H1337=2,"διὰ πασῶν",IF(H1337=3,"διὰ πέντε",IF(H1337=4,"διὰ τεσσάρων","?")))))</f>
        <v>—</v>
      </c>
      <c r="K1337" s="10"/>
      <c r="L1337" s="14"/>
      <c r="M1337" s="13"/>
    </row>
    <row r="1338" customFormat="false" ht="15.75" hidden="false" customHeight="true" outlineLevel="0" collapsed="false">
      <c r="A1338" s="8" t="n">
        <f aca="false">A1337+1</f>
        <v>1336</v>
      </c>
      <c r="B1338" s="9" t="n">
        <f aca="false">MOD(4*A1338^2,10)</f>
        <v>4</v>
      </c>
      <c r="C1338" s="9" t="n">
        <f aca="false">(26*B1338-5*B1338^2)/24</f>
        <v>1</v>
      </c>
      <c r="D1338" s="9" t="n">
        <f aca="false">(A1338^2+4*C1338)/5</f>
        <v>356980</v>
      </c>
      <c r="E1338" s="9" t="n">
        <f aca="false">MOD(D1338,10)</f>
        <v>0</v>
      </c>
      <c r="F1338" s="9" t="n">
        <f aca="false">2*D1338</f>
        <v>713960</v>
      </c>
      <c r="G1338" s="9" t="n">
        <f aca="false">MOD(F1338,10)</f>
        <v>0</v>
      </c>
      <c r="H1338" s="9" t="n">
        <f aca="false">G1338/2</f>
        <v>0</v>
      </c>
      <c r="I1338" s="9" t="str">
        <f aca="false">IF(H1338=0,"—",IF(H1338=1,"unison (1:1)",IF(H1338=2,"octave (2:1)",IF(H1338=3,"fifth (3:2)",IF(H1338=4,"fourth (4:3)","?")))))</f>
        <v>—</v>
      </c>
      <c r="J1338" s="9" t="str">
        <f aca="false">IF(H1338=0,"—",IF(H1338=1,"ὁμώνυμον",IF(H1338=2,"διὰ πασῶν",IF(H1338=3,"διὰ πέντε",IF(H1338=4,"διὰ τεσσάρων","?")))))</f>
        <v>—</v>
      </c>
      <c r="K1338" s="10"/>
      <c r="L1338" s="14"/>
      <c r="M1338" s="13"/>
    </row>
    <row r="1339" customFormat="false" ht="15.75" hidden="false" customHeight="true" outlineLevel="0" collapsed="false">
      <c r="A1339" s="8" t="n">
        <f aca="false">A1338+1</f>
        <v>1337</v>
      </c>
      <c r="B1339" s="9" t="n">
        <f aca="false">MOD(4*A1339^2,10)</f>
        <v>6</v>
      </c>
      <c r="C1339" s="9" t="n">
        <f aca="false">(26*B1339-5*B1339^2)/24</f>
        <v>-1</v>
      </c>
      <c r="D1339" s="9" t="n">
        <f aca="false">(A1339^2+4*C1339)/5</f>
        <v>357513</v>
      </c>
      <c r="E1339" s="9" t="n">
        <f aca="false">MOD(D1339,10)</f>
        <v>3</v>
      </c>
      <c r="F1339" s="9" t="n">
        <f aca="false">2*D1339</f>
        <v>715026</v>
      </c>
      <c r="G1339" s="9" t="n">
        <f aca="false">MOD(F1339,10)</f>
        <v>6</v>
      </c>
      <c r="H1339" s="9" t="n">
        <f aca="false">G1339/2</f>
        <v>3</v>
      </c>
      <c r="I1339" s="9" t="str">
        <f aca="false">IF(H1339=0,"—",IF(H1339=1,"unison (1:1)",IF(H1339=2,"octave (2:1)",IF(H1339=3,"fifth (3:2)",IF(H1339=4,"fourth (4:3)","?")))))</f>
        <v>fifth (3:2)</v>
      </c>
      <c r="J1339" s="9" t="str">
        <f aca="false">IF(H1339=0,"—",IF(H1339=1,"ὁμώνυμον",IF(H1339=2,"διὰ πασῶν",IF(H1339=3,"διὰ πέντε",IF(H1339=4,"διὰ τεσσάρων","?")))))</f>
        <v>διὰ πέντε</v>
      </c>
      <c r="K1339" s="10"/>
      <c r="L1339" s="14"/>
      <c r="M1339" s="13"/>
    </row>
    <row r="1340" customFormat="false" ht="15.75" hidden="false" customHeight="true" outlineLevel="0" collapsed="false">
      <c r="A1340" s="8" t="n">
        <f aca="false">A1339+1</f>
        <v>1338</v>
      </c>
      <c r="B1340" s="9" t="n">
        <f aca="false">MOD(4*A1340^2,10)</f>
        <v>6</v>
      </c>
      <c r="C1340" s="9" t="n">
        <f aca="false">(26*B1340-5*B1340^2)/24</f>
        <v>-1</v>
      </c>
      <c r="D1340" s="9" t="n">
        <f aca="false">(A1340^2+4*C1340)/5</f>
        <v>358048</v>
      </c>
      <c r="E1340" s="9" t="n">
        <f aca="false">MOD(D1340,10)</f>
        <v>8</v>
      </c>
      <c r="F1340" s="9" t="n">
        <f aca="false">2*D1340</f>
        <v>716096</v>
      </c>
      <c r="G1340" s="9" t="n">
        <f aca="false">MOD(F1340,10)</f>
        <v>6</v>
      </c>
      <c r="H1340" s="9" t="n">
        <f aca="false">G1340/2</f>
        <v>3</v>
      </c>
      <c r="I1340" s="9" t="str">
        <f aca="false">IF(H1340=0,"—",IF(H1340=1,"unison (1:1)",IF(H1340=2,"octave (2:1)",IF(H1340=3,"fifth (3:2)",IF(H1340=4,"fourth (4:3)","?")))))</f>
        <v>fifth (3:2)</v>
      </c>
      <c r="J1340" s="9" t="str">
        <f aca="false">IF(H1340=0,"—",IF(H1340=1,"ὁμώνυμον",IF(H1340=2,"διὰ πασῶν",IF(H1340=3,"διὰ πέντε",IF(H1340=4,"διὰ τεσσάρων","?")))))</f>
        <v>διὰ πέντε</v>
      </c>
      <c r="K1340" s="10"/>
      <c r="L1340" s="14"/>
      <c r="M1340" s="13"/>
    </row>
    <row r="1341" customFormat="false" ht="15.75" hidden="false" customHeight="true" outlineLevel="0" collapsed="false">
      <c r="A1341" s="8" t="n">
        <f aca="false">A1340+1</f>
        <v>1339</v>
      </c>
      <c r="B1341" s="9" t="n">
        <f aca="false">MOD(4*A1341^2,10)</f>
        <v>4</v>
      </c>
      <c r="C1341" s="9" t="n">
        <f aca="false">(26*B1341-5*B1341^2)/24</f>
        <v>1</v>
      </c>
      <c r="D1341" s="9" t="n">
        <f aca="false">(A1341^2+4*C1341)/5</f>
        <v>358585</v>
      </c>
      <c r="E1341" s="9" t="n">
        <f aca="false">MOD(D1341,10)</f>
        <v>5</v>
      </c>
      <c r="F1341" s="9" t="n">
        <f aca="false">2*D1341</f>
        <v>717170</v>
      </c>
      <c r="G1341" s="9" t="n">
        <f aca="false">MOD(F1341,10)</f>
        <v>0</v>
      </c>
      <c r="H1341" s="9" t="n">
        <f aca="false">G1341/2</f>
        <v>0</v>
      </c>
      <c r="I1341" s="9" t="str">
        <f aca="false">IF(H1341=0,"—",IF(H1341=1,"unison (1:1)",IF(H1341=2,"octave (2:1)",IF(H1341=3,"fifth (3:2)",IF(H1341=4,"fourth (4:3)","?")))))</f>
        <v>—</v>
      </c>
      <c r="J1341" s="9" t="str">
        <f aca="false">IF(H1341=0,"—",IF(H1341=1,"ὁμώνυμον",IF(H1341=2,"διὰ πασῶν",IF(H1341=3,"διὰ πέντε",IF(H1341=4,"διὰ τεσσάρων","?")))))</f>
        <v>—</v>
      </c>
      <c r="K1341" s="10"/>
      <c r="L1341" s="14"/>
      <c r="M1341" s="13"/>
    </row>
    <row r="1342" customFormat="false" ht="15.75" hidden="false" customHeight="true" outlineLevel="0" collapsed="false">
      <c r="A1342" s="8" t="n">
        <f aca="false">A1341+1</f>
        <v>1340</v>
      </c>
      <c r="B1342" s="9" t="n">
        <f aca="false">MOD(4*A1342^2,10)</f>
        <v>0</v>
      </c>
      <c r="C1342" s="9" t="n">
        <f aca="false">(26*B1342-5*B1342^2)/24</f>
        <v>0</v>
      </c>
      <c r="D1342" s="9" t="n">
        <f aca="false">(A1342^2+4*C1342)/5</f>
        <v>359120</v>
      </c>
      <c r="E1342" s="9" t="n">
        <f aca="false">MOD(D1342,10)</f>
        <v>0</v>
      </c>
      <c r="F1342" s="9" t="n">
        <f aca="false">2*D1342</f>
        <v>718240</v>
      </c>
      <c r="G1342" s="9" t="n">
        <f aca="false">MOD(F1342,10)</f>
        <v>0</v>
      </c>
      <c r="H1342" s="9" t="n">
        <f aca="false">G1342/2</f>
        <v>0</v>
      </c>
      <c r="I1342" s="9" t="str">
        <f aca="false">IF(H1342=0,"—",IF(H1342=1,"unison (1:1)",IF(H1342=2,"octave (2:1)",IF(H1342=3,"fifth (3:2)",IF(H1342=4,"fourth (4:3)","?")))))</f>
        <v>—</v>
      </c>
      <c r="J1342" s="9" t="str">
        <f aca="false">IF(H1342=0,"—",IF(H1342=1,"ὁμώνυμον",IF(H1342=2,"διὰ πασῶν",IF(H1342=3,"διὰ πέντε",IF(H1342=4,"διὰ τεσσάρων","?")))))</f>
        <v>—</v>
      </c>
      <c r="K1342" s="10"/>
      <c r="L1342" s="14"/>
      <c r="M1342" s="13"/>
    </row>
    <row r="1343" customFormat="false" ht="15.75" hidden="false" customHeight="true" outlineLevel="0" collapsed="false">
      <c r="A1343" s="8" t="n">
        <f aca="false">A1342+1</f>
        <v>1341</v>
      </c>
      <c r="B1343" s="9" t="n">
        <f aca="false">MOD(4*A1343^2,10)</f>
        <v>4</v>
      </c>
      <c r="C1343" s="9" t="n">
        <f aca="false">(26*B1343-5*B1343^2)/24</f>
        <v>1</v>
      </c>
      <c r="D1343" s="9" t="n">
        <f aca="false">(A1343^2+4*C1343)/5</f>
        <v>359657</v>
      </c>
      <c r="E1343" s="9" t="n">
        <f aca="false">MOD(D1343,10)</f>
        <v>7</v>
      </c>
      <c r="F1343" s="9" t="n">
        <f aca="false">2*D1343</f>
        <v>719314</v>
      </c>
      <c r="G1343" s="9" t="n">
        <f aca="false">MOD(F1343,10)</f>
        <v>4</v>
      </c>
      <c r="H1343" s="9" t="n">
        <f aca="false">G1343/2</f>
        <v>2</v>
      </c>
      <c r="I1343" s="9" t="str">
        <f aca="false">IF(H1343=0,"—",IF(H1343=1,"unison (1:1)",IF(H1343=2,"octave (2:1)",IF(H1343=3,"fifth (3:2)",IF(H1343=4,"fourth (4:3)","?")))))</f>
        <v>octave (2:1)</v>
      </c>
      <c r="J1343" s="9" t="str">
        <f aca="false">IF(H1343=0,"—",IF(H1343=1,"ὁμώνυμον",IF(H1343=2,"διὰ πασῶν",IF(H1343=3,"διὰ πέντε",IF(H1343=4,"διὰ τεσσάρων","?")))))</f>
        <v>διὰ πασῶν</v>
      </c>
      <c r="K1343" s="10"/>
      <c r="L1343" s="14"/>
      <c r="M1343" s="13"/>
    </row>
    <row r="1344" customFormat="false" ht="15.75" hidden="false" customHeight="true" outlineLevel="0" collapsed="false">
      <c r="A1344" s="8" t="n">
        <f aca="false">A1343+1</f>
        <v>1342</v>
      </c>
      <c r="B1344" s="9" t="n">
        <f aca="false">MOD(4*A1344^2,10)</f>
        <v>6</v>
      </c>
      <c r="C1344" s="9" t="n">
        <f aca="false">(26*B1344-5*B1344^2)/24</f>
        <v>-1</v>
      </c>
      <c r="D1344" s="9" t="n">
        <f aca="false">(A1344^2+4*C1344)/5</f>
        <v>360192</v>
      </c>
      <c r="E1344" s="9" t="n">
        <f aca="false">MOD(D1344,10)</f>
        <v>2</v>
      </c>
      <c r="F1344" s="9" t="n">
        <f aca="false">2*D1344</f>
        <v>720384</v>
      </c>
      <c r="G1344" s="9" t="n">
        <f aca="false">MOD(F1344,10)</f>
        <v>4</v>
      </c>
      <c r="H1344" s="9" t="n">
        <f aca="false">G1344/2</f>
        <v>2</v>
      </c>
      <c r="I1344" s="9" t="str">
        <f aca="false">IF(H1344=0,"—",IF(H1344=1,"unison (1:1)",IF(H1344=2,"octave (2:1)",IF(H1344=3,"fifth (3:2)",IF(H1344=4,"fourth (4:3)","?")))))</f>
        <v>octave (2:1)</v>
      </c>
      <c r="J1344" s="9" t="str">
        <f aca="false">IF(H1344=0,"—",IF(H1344=1,"ὁμώνυμον",IF(H1344=2,"διὰ πασῶν",IF(H1344=3,"διὰ πέντε",IF(H1344=4,"διὰ τεσσάρων","?")))))</f>
        <v>διὰ πασῶν</v>
      </c>
      <c r="K1344" s="10"/>
      <c r="L1344" s="14"/>
      <c r="M1344" s="13"/>
    </row>
    <row r="1345" customFormat="false" ht="15.75" hidden="false" customHeight="true" outlineLevel="0" collapsed="false">
      <c r="A1345" s="8" t="n">
        <f aca="false">A1344+1</f>
        <v>1343</v>
      </c>
      <c r="B1345" s="9" t="n">
        <f aca="false">MOD(4*A1345^2,10)</f>
        <v>6</v>
      </c>
      <c r="C1345" s="9" t="n">
        <f aca="false">(26*B1345-5*B1345^2)/24</f>
        <v>-1</v>
      </c>
      <c r="D1345" s="9" t="n">
        <f aca="false">(A1345^2+4*C1345)/5</f>
        <v>360729</v>
      </c>
      <c r="E1345" s="9" t="n">
        <f aca="false">MOD(D1345,10)</f>
        <v>9</v>
      </c>
      <c r="F1345" s="9" t="n">
        <f aca="false">2*D1345</f>
        <v>721458</v>
      </c>
      <c r="G1345" s="9" t="n">
        <f aca="false">MOD(F1345,10)</f>
        <v>8</v>
      </c>
      <c r="H1345" s="9" t="n">
        <f aca="false">G1345/2</f>
        <v>4</v>
      </c>
      <c r="I1345" s="9" t="str">
        <f aca="false">IF(H1345=0,"—",IF(H1345=1,"unison (1:1)",IF(H1345=2,"octave (2:1)",IF(H1345=3,"fifth (3:2)",IF(H1345=4,"fourth (4:3)","?")))))</f>
        <v>fourth (4:3)</v>
      </c>
      <c r="J1345" s="9" t="str">
        <f aca="false">IF(H1345=0,"—",IF(H1345=1,"ὁμώνυμον",IF(H1345=2,"διὰ πασῶν",IF(H1345=3,"διὰ πέντε",IF(H1345=4,"διὰ τεσσάρων","?")))))</f>
        <v>διὰ τεσσάρων</v>
      </c>
      <c r="K1345" s="10"/>
      <c r="L1345" s="14"/>
      <c r="M1345" s="13"/>
    </row>
    <row r="1346" customFormat="false" ht="15.75" hidden="false" customHeight="true" outlineLevel="0" collapsed="false">
      <c r="A1346" s="8" t="n">
        <f aca="false">A1345+1</f>
        <v>1344</v>
      </c>
      <c r="B1346" s="9" t="n">
        <f aca="false">MOD(4*A1346^2,10)</f>
        <v>4</v>
      </c>
      <c r="C1346" s="9" t="n">
        <f aca="false">(26*B1346-5*B1346^2)/24</f>
        <v>1</v>
      </c>
      <c r="D1346" s="9" t="n">
        <f aca="false">(A1346^2+4*C1346)/5</f>
        <v>361268</v>
      </c>
      <c r="E1346" s="9" t="n">
        <f aca="false">MOD(D1346,10)</f>
        <v>8</v>
      </c>
      <c r="F1346" s="9" t="n">
        <f aca="false">2*D1346</f>
        <v>722536</v>
      </c>
      <c r="G1346" s="9" t="n">
        <f aca="false">MOD(F1346,10)</f>
        <v>6</v>
      </c>
      <c r="H1346" s="9" t="n">
        <f aca="false">G1346/2</f>
        <v>3</v>
      </c>
      <c r="I1346" s="9" t="str">
        <f aca="false">IF(H1346=0,"—",IF(H1346=1,"unison (1:1)",IF(H1346=2,"octave (2:1)",IF(H1346=3,"fifth (3:2)",IF(H1346=4,"fourth (4:3)","?")))))</f>
        <v>fifth (3:2)</v>
      </c>
      <c r="J1346" s="9" t="str">
        <f aca="false">IF(H1346=0,"—",IF(H1346=1,"ὁμώνυμον",IF(H1346=2,"διὰ πασῶν",IF(H1346=3,"διὰ πέντε",IF(H1346=4,"διὰ τεσσάρων","?")))))</f>
        <v>διὰ πέντε</v>
      </c>
      <c r="K1346" s="10"/>
      <c r="L1346" s="14"/>
      <c r="M1346" s="13"/>
    </row>
    <row r="1347" customFormat="false" ht="15.75" hidden="false" customHeight="true" outlineLevel="0" collapsed="false">
      <c r="A1347" s="8" t="n">
        <f aca="false">A1346+1</f>
        <v>1345</v>
      </c>
      <c r="B1347" s="9" t="n">
        <f aca="false">MOD(4*A1347^2,10)</f>
        <v>0</v>
      </c>
      <c r="C1347" s="9" t="n">
        <f aca="false">(26*B1347-5*B1347^2)/24</f>
        <v>0</v>
      </c>
      <c r="D1347" s="9" t="n">
        <f aca="false">(A1347^2+4*C1347)/5</f>
        <v>361805</v>
      </c>
      <c r="E1347" s="9" t="n">
        <f aca="false">MOD(D1347,10)</f>
        <v>5</v>
      </c>
      <c r="F1347" s="9" t="n">
        <f aca="false">2*D1347</f>
        <v>723610</v>
      </c>
      <c r="G1347" s="9" t="n">
        <f aca="false">MOD(F1347,10)</f>
        <v>0</v>
      </c>
      <c r="H1347" s="9" t="n">
        <f aca="false">G1347/2</f>
        <v>0</v>
      </c>
      <c r="I1347" s="9" t="str">
        <f aca="false">IF(H1347=0,"—",IF(H1347=1,"unison (1:1)",IF(H1347=2,"octave (2:1)",IF(H1347=3,"fifth (3:2)",IF(H1347=4,"fourth (4:3)","?")))))</f>
        <v>—</v>
      </c>
      <c r="J1347" s="9" t="str">
        <f aca="false">IF(H1347=0,"—",IF(H1347=1,"ὁμώνυμον",IF(H1347=2,"διὰ πασῶν",IF(H1347=3,"διὰ πέντε",IF(H1347=4,"διὰ τεσσάρων","?")))))</f>
        <v>—</v>
      </c>
      <c r="K1347" s="10"/>
      <c r="L1347" s="14"/>
      <c r="M1347" s="13"/>
    </row>
    <row r="1348" customFormat="false" ht="15.75" hidden="false" customHeight="true" outlineLevel="0" collapsed="false">
      <c r="A1348" s="8" t="n">
        <f aca="false">A1347+1</f>
        <v>1346</v>
      </c>
      <c r="B1348" s="9" t="n">
        <f aca="false">MOD(4*A1348^2,10)</f>
        <v>4</v>
      </c>
      <c r="C1348" s="9" t="n">
        <f aca="false">(26*B1348-5*B1348^2)/24</f>
        <v>1</v>
      </c>
      <c r="D1348" s="9" t="n">
        <f aca="false">(A1348^2+4*C1348)/5</f>
        <v>362344</v>
      </c>
      <c r="E1348" s="9" t="n">
        <f aca="false">MOD(D1348,10)</f>
        <v>4</v>
      </c>
      <c r="F1348" s="9" t="n">
        <f aca="false">2*D1348</f>
        <v>724688</v>
      </c>
      <c r="G1348" s="9" t="n">
        <f aca="false">MOD(F1348,10)</f>
        <v>8</v>
      </c>
      <c r="H1348" s="9" t="n">
        <f aca="false">G1348/2</f>
        <v>4</v>
      </c>
      <c r="I1348" s="9" t="str">
        <f aca="false">IF(H1348=0,"—",IF(H1348=1,"unison (1:1)",IF(H1348=2,"octave (2:1)",IF(H1348=3,"fifth (3:2)",IF(H1348=4,"fourth (4:3)","?")))))</f>
        <v>fourth (4:3)</v>
      </c>
      <c r="J1348" s="9" t="str">
        <f aca="false">IF(H1348=0,"—",IF(H1348=1,"ὁμώνυμον",IF(H1348=2,"διὰ πασῶν",IF(H1348=3,"διὰ πέντε",IF(H1348=4,"διὰ τεσσάρων","?")))))</f>
        <v>διὰ τεσσάρων</v>
      </c>
      <c r="K1348" s="10"/>
      <c r="L1348" s="14"/>
      <c r="M1348" s="13"/>
    </row>
    <row r="1349" customFormat="false" ht="15.75" hidden="false" customHeight="true" outlineLevel="0" collapsed="false">
      <c r="A1349" s="8" t="n">
        <f aca="false">A1348+1</f>
        <v>1347</v>
      </c>
      <c r="B1349" s="9" t="n">
        <f aca="false">MOD(4*A1349^2,10)</f>
        <v>6</v>
      </c>
      <c r="C1349" s="9" t="n">
        <f aca="false">(26*B1349-5*B1349^2)/24</f>
        <v>-1</v>
      </c>
      <c r="D1349" s="9" t="n">
        <f aca="false">(A1349^2+4*C1349)/5</f>
        <v>362881</v>
      </c>
      <c r="E1349" s="9" t="n">
        <f aca="false">MOD(D1349,10)</f>
        <v>1</v>
      </c>
      <c r="F1349" s="9" t="n">
        <f aca="false">2*D1349</f>
        <v>725762</v>
      </c>
      <c r="G1349" s="9" t="n">
        <f aca="false">MOD(F1349,10)</f>
        <v>2</v>
      </c>
      <c r="H1349" s="9" t="n">
        <f aca="false">G1349/2</f>
        <v>1</v>
      </c>
      <c r="I1349" s="9" t="str">
        <f aca="false">IF(H1349=0,"—",IF(H1349=1,"unison (1:1)",IF(H1349=2,"octave (2:1)",IF(H1349=3,"fifth (3:2)",IF(H1349=4,"fourth (4:3)","?")))))</f>
        <v>unison (1:1)</v>
      </c>
      <c r="J1349" s="9" t="str">
        <f aca="false">IF(H1349=0,"—",IF(H1349=1,"ὁμώνυμον",IF(H1349=2,"διὰ πασῶν",IF(H1349=3,"διὰ πέντε",IF(H1349=4,"διὰ τεσσάρων","?")))))</f>
        <v>ὁμώνυμον</v>
      </c>
      <c r="K1349" s="10"/>
      <c r="L1349" s="14"/>
      <c r="M1349" s="13"/>
    </row>
    <row r="1350" customFormat="false" ht="15.75" hidden="false" customHeight="true" outlineLevel="0" collapsed="false">
      <c r="A1350" s="8" t="n">
        <f aca="false">A1349+1</f>
        <v>1348</v>
      </c>
      <c r="B1350" s="9" t="n">
        <f aca="false">MOD(4*A1350^2,10)</f>
        <v>6</v>
      </c>
      <c r="C1350" s="9" t="n">
        <f aca="false">(26*B1350-5*B1350^2)/24</f>
        <v>-1</v>
      </c>
      <c r="D1350" s="9" t="n">
        <f aca="false">(A1350^2+4*C1350)/5</f>
        <v>363420</v>
      </c>
      <c r="E1350" s="9" t="n">
        <f aca="false">MOD(D1350,10)</f>
        <v>0</v>
      </c>
      <c r="F1350" s="9" t="n">
        <f aca="false">2*D1350</f>
        <v>726840</v>
      </c>
      <c r="G1350" s="9" t="n">
        <f aca="false">MOD(F1350,10)</f>
        <v>0</v>
      </c>
      <c r="H1350" s="9" t="n">
        <f aca="false">G1350/2</f>
        <v>0</v>
      </c>
      <c r="I1350" s="9" t="str">
        <f aca="false">IF(H1350=0,"—",IF(H1350=1,"unison (1:1)",IF(H1350=2,"octave (2:1)",IF(H1350=3,"fifth (3:2)",IF(H1350=4,"fourth (4:3)","?")))))</f>
        <v>—</v>
      </c>
      <c r="J1350" s="9" t="str">
        <f aca="false">IF(H1350=0,"—",IF(H1350=1,"ὁμώνυμον",IF(H1350=2,"διὰ πασῶν",IF(H1350=3,"διὰ πέντε",IF(H1350=4,"διὰ τεσσάρων","?")))))</f>
        <v>—</v>
      </c>
      <c r="K1350" s="10"/>
      <c r="L1350" s="14"/>
      <c r="M1350" s="13"/>
    </row>
    <row r="1351" customFormat="false" ht="15.75" hidden="false" customHeight="true" outlineLevel="0" collapsed="false">
      <c r="A1351" s="8" t="n">
        <f aca="false">A1350+1</f>
        <v>1349</v>
      </c>
      <c r="B1351" s="9" t="n">
        <f aca="false">MOD(4*A1351^2,10)</f>
        <v>4</v>
      </c>
      <c r="C1351" s="9" t="n">
        <f aca="false">(26*B1351-5*B1351^2)/24</f>
        <v>1</v>
      </c>
      <c r="D1351" s="9" t="n">
        <f aca="false">(A1351^2+4*C1351)/5</f>
        <v>363961</v>
      </c>
      <c r="E1351" s="9" t="n">
        <f aca="false">MOD(D1351,10)</f>
        <v>1</v>
      </c>
      <c r="F1351" s="9" t="n">
        <f aca="false">2*D1351</f>
        <v>727922</v>
      </c>
      <c r="G1351" s="9" t="n">
        <f aca="false">MOD(F1351,10)</f>
        <v>2</v>
      </c>
      <c r="H1351" s="9" t="n">
        <f aca="false">G1351/2</f>
        <v>1</v>
      </c>
      <c r="I1351" s="9" t="str">
        <f aca="false">IF(H1351=0,"—",IF(H1351=1,"unison (1:1)",IF(H1351=2,"octave (2:1)",IF(H1351=3,"fifth (3:2)",IF(H1351=4,"fourth (4:3)","?")))))</f>
        <v>unison (1:1)</v>
      </c>
      <c r="J1351" s="9" t="str">
        <f aca="false">IF(H1351=0,"—",IF(H1351=1,"ὁμώνυμον",IF(H1351=2,"διὰ πασῶν",IF(H1351=3,"διὰ πέντε",IF(H1351=4,"διὰ τεσσάρων","?")))))</f>
        <v>ὁμώνυμον</v>
      </c>
      <c r="K1351" s="10"/>
      <c r="L1351" s="14"/>
      <c r="M1351" s="13"/>
    </row>
    <row r="1352" customFormat="false" ht="15.75" hidden="false" customHeight="true" outlineLevel="0" collapsed="false">
      <c r="A1352" s="8" t="n">
        <f aca="false">A1351+1</f>
        <v>1350</v>
      </c>
      <c r="B1352" s="9" t="n">
        <f aca="false">MOD(4*A1352^2,10)</f>
        <v>0</v>
      </c>
      <c r="C1352" s="9" t="n">
        <f aca="false">(26*B1352-5*B1352^2)/24</f>
        <v>0</v>
      </c>
      <c r="D1352" s="9" t="n">
        <f aca="false">(A1352^2+4*C1352)/5</f>
        <v>364500</v>
      </c>
      <c r="E1352" s="9" t="n">
        <f aca="false">MOD(D1352,10)</f>
        <v>0</v>
      </c>
      <c r="F1352" s="9" t="n">
        <f aca="false">2*D1352</f>
        <v>729000</v>
      </c>
      <c r="G1352" s="9" t="n">
        <f aca="false">MOD(F1352,10)</f>
        <v>0</v>
      </c>
      <c r="H1352" s="9" t="n">
        <f aca="false">G1352/2</f>
        <v>0</v>
      </c>
      <c r="I1352" s="9" t="str">
        <f aca="false">IF(H1352=0,"—",IF(H1352=1,"unison (1:1)",IF(H1352=2,"octave (2:1)",IF(H1352=3,"fifth (3:2)",IF(H1352=4,"fourth (4:3)","?")))))</f>
        <v>—</v>
      </c>
      <c r="J1352" s="9" t="str">
        <f aca="false">IF(H1352=0,"—",IF(H1352=1,"ὁμώνυμον",IF(H1352=2,"διὰ πασῶν",IF(H1352=3,"διὰ πέντε",IF(H1352=4,"διὰ τεσσάρων","?")))))</f>
        <v>—</v>
      </c>
      <c r="K1352" s="10"/>
      <c r="L1352" s="14"/>
      <c r="M1352" s="13"/>
    </row>
    <row r="1353" customFormat="false" ht="15.75" hidden="false" customHeight="true" outlineLevel="0" collapsed="false">
      <c r="A1353" s="8" t="n">
        <f aca="false">A1352+1</f>
        <v>1351</v>
      </c>
      <c r="B1353" s="9" t="n">
        <f aca="false">MOD(4*A1353^2,10)</f>
        <v>4</v>
      </c>
      <c r="C1353" s="9" t="n">
        <f aca="false">(26*B1353-5*B1353^2)/24</f>
        <v>1</v>
      </c>
      <c r="D1353" s="9" t="n">
        <f aca="false">(A1353^2+4*C1353)/5</f>
        <v>365041</v>
      </c>
      <c r="E1353" s="9" t="n">
        <f aca="false">MOD(D1353,10)</f>
        <v>1</v>
      </c>
      <c r="F1353" s="9" t="n">
        <f aca="false">2*D1353</f>
        <v>730082</v>
      </c>
      <c r="G1353" s="9" t="n">
        <f aca="false">MOD(F1353,10)</f>
        <v>2</v>
      </c>
      <c r="H1353" s="9" t="n">
        <f aca="false">G1353/2</f>
        <v>1</v>
      </c>
      <c r="I1353" s="9" t="str">
        <f aca="false">IF(H1353=0,"—",IF(H1353=1,"unison (1:1)",IF(H1353=2,"octave (2:1)",IF(H1353=3,"fifth (3:2)",IF(H1353=4,"fourth (4:3)","?")))))</f>
        <v>unison (1:1)</v>
      </c>
      <c r="J1353" s="9" t="str">
        <f aca="false">IF(H1353=0,"—",IF(H1353=1,"ὁμώνυμον",IF(H1353=2,"διὰ πασῶν",IF(H1353=3,"διὰ πέντε",IF(H1353=4,"διὰ τεσσάρων","?")))))</f>
        <v>ὁμώνυμον</v>
      </c>
      <c r="K1353" s="10"/>
      <c r="L1353" s="14"/>
      <c r="M1353" s="13"/>
    </row>
    <row r="1354" customFormat="false" ht="15.75" hidden="false" customHeight="true" outlineLevel="0" collapsed="false">
      <c r="A1354" s="8" t="n">
        <f aca="false">A1353+1</f>
        <v>1352</v>
      </c>
      <c r="B1354" s="9" t="n">
        <f aca="false">MOD(4*A1354^2,10)</f>
        <v>6</v>
      </c>
      <c r="C1354" s="9" t="n">
        <f aca="false">(26*B1354-5*B1354^2)/24</f>
        <v>-1</v>
      </c>
      <c r="D1354" s="9" t="n">
        <f aca="false">(A1354^2+4*C1354)/5</f>
        <v>365580</v>
      </c>
      <c r="E1354" s="9" t="n">
        <f aca="false">MOD(D1354,10)</f>
        <v>0</v>
      </c>
      <c r="F1354" s="9" t="n">
        <f aca="false">2*D1354</f>
        <v>731160</v>
      </c>
      <c r="G1354" s="9" t="n">
        <f aca="false">MOD(F1354,10)</f>
        <v>0</v>
      </c>
      <c r="H1354" s="9" t="n">
        <f aca="false">G1354/2</f>
        <v>0</v>
      </c>
      <c r="I1354" s="9" t="str">
        <f aca="false">IF(H1354=0,"—",IF(H1354=1,"unison (1:1)",IF(H1354=2,"octave (2:1)",IF(H1354=3,"fifth (3:2)",IF(H1354=4,"fourth (4:3)","?")))))</f>
        <v>—</v>
      </c>
      <c r="J1354" s="9" t="str">
        <f aca="false">IF(H1354=0,"—",IF(H1354=1,"ὁμώνυμον",IF(H1354=2,"διὰ πασῶν",IF(H1354=3,"διὰ πέντε",IF(H1354=4,"διὰ τεσσάρων","?")))))</f>
        <v>—</v>
      </c>
      <c r="K1354" s="10"/>
      <c r="L1354" s="14"/>
      <c r="M1354" s="13"/>
    </row>
    <row r="1355" customFormat="false" ht="15.75" hidden="false" customHeight="true" outlineLevel="0" collapsed="false">
      <c r="A1355" s="8" t="n">
        <f aca="false">A1354+1</f>
        <v>1353</v>
      </c>
      <c r="B1355" s="9" t="n">
        <f aca="false">MOD(4*A1355^2,10)</f>
        <v>6</v>
      </c>
      <c r="C1355" s="9" t="n">
        <f aca="false">(26*B1355-5*B1355^2)/24</f>
        <v>-1</v>
      </c>
      <c r="D1355" s="9" t="n">
        <f aca="false">(A1355^2+4*C1355)/5</f>
        <v>366121</v>
      </c>
      <c r="E1355" s="9" t="n">
        <f aca="false">MOD(D1355,10)</f>
        <v>1</v>
      </c>
      <c r="F1355" s="9" t="n">
        <f aca="false">2*D1355</f>
        <v>732242</v>
      </c>
      <c r="G1355" s="9" t="n">
        <f aca="false">MOD(F1355,10)</f>
        <v>2</v>
      </c>
      <c r="H1355" s="9" t="n">
        <f aca="false">G1355/2</f>
        <v>1</v>
      </c>
      <c r="I1355" s="9" t="str">
        <f aca="false">IF(H1355=0,"—",IF(H1355=1,"unison (1:1)",IF(H1355=2,"octave (2:1)",IF(H1355=3,"fifth (3:2)",IF(H1355=4,"fourth (4:3)","?")))))</f>
        <v>unison (1:1)</v>
      </c>
      <c r="J1355" s="9" t="str">
        <f aca="false">IF(H1355=0,"—",IF(H1355=1,"ὁμώνυμον",IF(H1355=2,"διὰ πασῶν",IF(H1355=3,"διὰ πέντε",IF(H1355=4,"διὰ τεσσάρων","?")))))</f>
        <v>ὁμώνυμον</v>
      </c>
      <c r="K1355" s="10"/>
      <c r="L1355" s="14"/>
      <c r="M1355" s="13"/>
    </row>
    <row r="1356" customFormat="false" ht="15.75" hidden="false" customHeight="true" outlineLevel="0" collapsed="false">
      <c r="A1356" s="8" t="n">
        <f aca="false">A1355+1</f>
        <v>1354</v>
      </c>
      <c r="B1356" s="9" t="n">
        <f aca="false">MOD(4*A1356^2,10)</f>
        <v>4</v>
      </c>
      <c r="C1356" s="9" t="n">
        <f aca="false">(26*B1356-5*B1356^2)/24</f>
        <v>1</v>
      </c>
      <c r="D1356" s="9" t="n">
        <f aca="false">(A1356^2+4*C1356)/5</f>
        <v>366664</v>
      </c>
      <c r="E1356" s="9" t="n">
        <f aca="false">MOD(D1356,10)</f>
        <v>4</v>
      </c>
      <c r="F1356" s="9" t="n">
        <f aca="false">2*D1356</f>
        <v>733328</v>
      </c>
      <c r="G1356" s="9" t="n">
        <f aca="false">MOD(F1356,10)</f>
        <v>8</v>
      </c>
      <c r="H1356" s="9" t="n">
        <f aca="false">G1356/2</f>
        <v>4</v>
      </c>
      <c r="I1356" s="9" t="str">
        <f aca="false">IF(H1356=0,"—",IF(H1356=1,"unison (1:1)",IF(H1356=2,"octave (2:1)",IF(H1356=3,"fifth (3:2)",IF(H1356=4,"fourth (4:3)","?")))))</f>
        <v>fourth (4:3)</v>
      </c>
      <c r="J1356" s="9" t="str">
        <f aca="false">IF(H1356=0,"—",IF(H1356=1,"ὁμώνυμον",IF(H1356=2,"διὰ πασῶν",IF(H1356=3,"διὰ πέντε",IF(H1356=4,"διὰ τεσσάρων","?")))))</f>
        <v>διὰ τεσσάρων</v>
      </c>
      <c r="K1356" s="10"/>
      <c r="L1356" s="14"/>
      <c r="M1356" s="13"/>
    </row>
    <row r="1357" customFormat="false" ht="15.75" hidden="false" customHeight="true" outlineLevel="0" collapsed="false">
      <c r="A1357" s="8" t="n">
        <f aca="false">A1356+1</f>
        <v>1355</v>
      </c>
      <c r="B1357" s="9" t="n">
        <f aca="false">MOD(4*A1357^2,10)</f>
        <v>0</v>
      </c>
      <c r="C1357" s="9" t="n">
        <f aca="false">(26*B1357-5*B1357^2)/24</f>
        <v>0</v>
      </c>
      <c r="D1357" s="9" t="n">
        <f aca="false">(A1357^2+4*C1357)/5</f>
        <v>367205</v>
      </c>
      <c r="E1357" s="9" t="n">
        <f aca="false">MOD(D1357,10)</f>
        <v>5</v>
      </c>
      <c r="F1357" s="9" t="n">
        <f aca="false">2*D1357</f>
        <v>734410</v>
      </c>
      <c r="G1357" s="9" t="n">
        <f aca="false">MOD(F1357,10)</f>
        <v>0</v>
      </c>
      <c r="H1357" s="9" t="n">
        <f aca="false">G1357/2</f>
        <v>0</v>
      </c>
      <c r="I1357" s="9" t="str">
        <f aca="false">IF(H1357=0,"—",IF(H1357=1,"unison (1:1)",IF(H1357=2,"octave (2:1)",IF(H1357=3,"fifth (3:2)",IF(H1357=4,"fourth (4:3)","?")))))</f>
        <v>—</v>
      </c>
      <c r="J1357" s="9" t="str">
        <f aca="false">IF(H1357=0,"—",IF(H1357=1,"ὁμώνυμον",IF(H1357=2,"διὰ πασῶν",IF(H1357=3,"διὰ πέντε",IF(H1357=4,"διὰ τεσσάρων","?")))))</f>
        <v>—</v>
      </c>
      <c r="K1357" s="10"/>
      <c r="L1357" s="14"/>
      <c r="M1357" s="13"/>
    </row>
    <row r="1358" customFormat="false" ht="15.75" hidden="false" customHeight="true" outlineLevel="0" collapsed="false">
      <c r="A1358" s="8" t="n">
        <f aca="false">A1357+1</f>
        <v>1356</v>
      </c>
      <c r="B1358" s="9" t="n">
        <f aca="false">MOD(4*A1358^2,10)</f>
        <v>4</v>
      </c>
      <c r="C1358" s="9" t="n">
        <f aca="false">(26*B1358-5*B1358^2)/24</f>
        <v>1</v>
      </c>
      <c r="D1358" s="9" t="n">
        <f aca="false">(A1358^2+4*C1358)/5</f>
        <v>367748</v>
      </c>
      <c r="E1358" s="9" t="n">
        <f aca="false">MOD(D1358,10)</f>
        <v>8</v>
      </c>
      <c r="F1358" s="9" t="n">
        <f aca="false">2*D1358</f>
        <v>735496</v>
      </c>
      <c r="G1358" s="9" t="n">
        <f aca="false">MOD(F1358,10)</f>
        <v>6</v>
      </c>
      <c r="H1358" s="9" t="n">
        <f aca="false">G1358/2</f>
        <v>3</v>
      </c>
      <c r="I1358" s="9" t="str">
        <f aca="false">IF(H1358=0,"—",IF(H1358=1,"unison (1:1)",IF(H1358=2,"octave (2:1)",IF(H1358=3,"fifth (3:2)",IF(H1358=4,"fourth (4:3)","?")))))</f>
        <v>fifth (3:2)</v>
      </c>
      <c r="J1358" s="9" t="str">
        <f aca="false">IF(H1358=0,"—",IF(H1358=1,"ὁμώνυμον",IF(H1358=2,"διὰ πασῶν",IF(H1358=3,"διὰ πέντε",IF(H1358=4,"διὰ τεσσάρων","?")))))</f>
        <v>διὰ πέντε</v>
      </c>
      <c r="K1358" s="10"/>
      <c r="L1358" s="14"/>
      <c r="M1358" s="13"/>
    </row>
    <row r="1359" customFormat="false" ht="15.75" hidden="false" customHeight="true" outlineLevel="0" collapsed="false">
      <c r="A1359" s="8" t="n">
        <f aca="false">A1358+1</f>
        <v>1357</v>
      </c>
      <c r="B1359" s="9" t="n">
        <f aca="false">MOD(4*A1359^2,10)</f>
        <v>6</v>
      </c>
      <c r="C1359" s="9" t="n">
        <f aca="false">(26*B1359-5*B1359^2)/24</f>
        <v>-1</v>
      </c>
      <c r="D1359" s="9" t="n">
        <f aca="false">(A1359^2+4*C1359)/5</f>
        <v>368289</v>
      </c>
      <c r="E1359" s="9" t="n">
        <f aca="false">MOD(D1359,10)</f>
        <v>9</v>
      </c>
      <c r="F1359" s="9" t="n">
        <f aca="false">2*D1359</f>
        <v>736578</v>
      </c>
      <c r="G1359" s="9" t="n">
        <f aca="false">MOD(F1359,10)</f>
        <v>8</v>
      </c>
      <c r="H1359" s="9" t="n">
        <f aca="false">G1359/2</f>
        <v>4</v>
      </c>
      <c r="I1359" s="9" t="str">
        <f aca="false">IF(H1359=0,"—",IF(H1359=1,"unison (1:1)",IF(H1359=2,"octave (2:1)",IF(H1359=3,"fifth (3:2)",IF(H1359=4,"fourth (4:3)","?")))))</f>
        <v>fourth (4:3)</v>
      </c>
      <c r="J1359" s="9" t="str">
        <f aca="false">IF(H1359=0,"—",IF(H1359=1,"ὁμώνυμον",IF(H1359=2,"διὰ πασῶν",IF(H1359=3,"διὰ πέντε",IF(H1359=4,"διὰ τεσσάρων","?")))))</f>
        <v>διὰ τεσσάρων</v>
      </c>
      <c r="K1359" s="10"/>
      <c r="L1359" s="14"/>
      <c r="M1359" s="13"/>
    </row>
    <row r="1360" customFormat="false" ht="15.75" hidden="false" customHeight="true" outlineLevel="0" collapsed="false">
      <c r="A1360" s="8" t="n">
        <f aca="false">A1359+1</f>
        <v>1358</v>
      </c>
      <c r="B1360" s="9" t="n">
        <f aca="false">MOD(4*A1360^2,10)</f>
        <v>6</v>
      </c>
      <c r="C1360" s="9" t="n">
        <f aca="false">(26*B1360-5*B1360^2)/24</f>
        <v>-1</v>
      </c>
      <c r="D1360" s="9" t="n">
        <f aca="false">(A1360^2+4*C1360)/5</f>
        <v>368832</v>
      </c>
      <c r="E1360" s="9" t="n">
        <f aca="false">MOD(D1360,10)</f>
        <v>2</v>
      </c>
      <c r="F1360" s="9" t="n">
        <f aca="false">2*D1360</f>
        <v>737664</v>
      </c>
      <c r="G1360" s="9" t="n">
        <f aca="false">MOD(F1360,10)</f>
        <v>4</v>
      </c>
      <c r="H1360" s="9" t="n">
        <f aca="false">G1360/2</f>
        <v>2</v>
      </c>
      <c r="I1360" s="9" t="str">
        <f aca="false">IF(H1360=0,"—",IF(H1360=1,"unison (1:1)",IF(H1360=2,"octave (2:1)",IF(H1360=3,"fifth (3:2)",IF(H1360=4,"fourth (4:3)","?")))))</f>
        <v>octave (2:1)</v>
      </c>
      <c r="J1360" s="9" t="str">
        <f aca="false">IF(H1360=0,"—",IF(H1360=1,"ὁμώνυμον",IF(H1360=2,"διὰ πασῶν",IF(H1360=3,"διὰ πέντε",IF(H1360=4,"διὰ τεσσάρων","?")))))</f>
        <v>διὰ πασῶν</v>
      </c>
      <c r="K1360" s="10"/>
      <c r="L1360" s="14"/>
      <c r="M1360" s="13"/>
    </row>
    <row r="1361" customFormat="false" ht="15.75" hidden="false" customHeight="true" outlineLevel="0" collapsed="false">
      <c r="A1361" s="8" t="n">
        <f aca="false">A1360+1</f>
        <v>1359</v>
      </c>
      <c r="B1361" s="9" t="n">
        <f aca="false">MOD(4*A1361^2,10)</f>
        <v>4</v>
      </c>
      <c r="C1361" s="9" t="n">
        <f aca="false">(26*B1361-5*B1361^2)/24</f>
        <v>1</v>
      </c>
      <c r="D1361" s="9" t="n">
        <f aca="false">(A1361^2+4*C1361)/5</f>
        <v>369377</v>
      </c>
      <c r="E1361" s="9" t="n">
        <f aca="false">MOD(D1361,10)</f>
        <v>7</v>
      </c>
      <c r="F1361" s="9" t="n">
        <f aca="false">2*D1361</f>
        <v>738754</v>
      </c>
      <c r="G1361" s="9" t="n">
        <f aca="false">MOD(F1361,10)</f>
        <v>4</v>
      </c>
      <c r="H1361" s="9" t="n">
        <f aca="false">G1361/2</f>
        <v>2</v>
      </c>
      <c r="I1361" s="9" t="str">
        <f aca="false">IF(H1361=0,"—",IF(H1361=1,"unison (1:1)",IF(H1361=2,"octave (2:1)",IF(H1361=3,"fifth (3:2)",IF(H1361=4,"fourth (4:3)","?")))))</f>
        <v>octave (2:1)</v>
      </c>
      <c r="J1361" s="9" t="str">
        <f aca="false">IF(H1361=0,"—",IF(H1361=1,"ὁμώνυμον",IF(H1361=2,"διὰ πασῶν",IF(H1361=3,"διὰ πέντε",IF(H1361=4,"διὰ τεσσάρων","?")))))</f>
        <v>διὰ πασῶν</v>
      </c>
      <c r="K1361" s="10"/>
      <c r="L1361" s="14"/>
      <c r="M1361" s="13"/>
    </row>
    <row r="1362" customFormat="false" ht="15.75" hidden="false" customHeight="true" outlineLevel="0" collapsed="false">
      <c r="A1362" s="8" t="n">
        <f aca="false">A1361+1</f>
        <v>1360</v>
      </c>
      <c r="B1362" s="9" t="n">
        <f aca="false">MOD(4*A1362^2,10)</f>
        <v>0</v>
      </c>
      <c r="C1362" s="9" t="n">
        <f aca="false">(26*B1362-5*B1362^2)/24</f>
        <v>0</v>
      </c>
      <c r="D1362" s="9" t="n">
        <f aca="false">(A1362^2+4*C1362)/5</f>
        <v>369920</v>
      </c>
      <c r="E1362" s="9" t="n">
        <f aca="false">MOD(D1362,10)</f>
        <v>0</v>
      </c>
      <c r="F1362" s="9" t="n">
        <f aca="false">2*D1362</f>
        <v>739840</v>
      </c>
      <c r="G1362" s="9" t="n">
        <f aca="false">MOD(F1362,10)</f>
        <v>0</v>
      </c>
      <c r="H1362" s="9" t="n">
        <f aca="false">G1362/2</f>
        <v>0</v>
      </c>
      <c r="I1362" s="9" t="str">
        <f aca="false">IF(H1362=0,"—",IF(H1362=1,"unison (1:1)",IF(H1362=2,"octave (2:1)",IF(H1362=3,"fifth (3:2)",IF(H1362=4,"fourth (4:3)","?")))))</f>
        <v>—</v>
      </c>
      <c r="J1362" s="9" t="str">
        <f aca="false">IF(H1362=0,"—",IF(H1362=1,"ὁμώνυμον",IF(H1362=2,"διὰ πασῶν",IF(H1362=3,"διὰ πέντε",IF(H1362=4,"διὰ τεσσάρων","?")))))</f>
        <v>—</v>
      </c>
      <c r="K1362" s="10"/>
      <c r="L1362" s="14"/>
      <c r="M1362" s="13"/>
    </row>
    <row r="1363" customFormat="false" ht="15.75" hidden="false" customHeight="true" outlineLevel="0" collapsed="false">
      <c r="A1363" s="8" t="n">
        <f aca="false">A1362+1</f>
        <v>1361</v>
      </c>
      <c r="B1363" s="9" t="n">
        <f aca="false">MOD(4*A1363^2,10)</f>
        <v>4</v>
      </c>
      <c r="C1363" s="9" t="n">
        <f aca="false">(26*B1363-5*B1363^2)/24</f>
        <v>1</v>
      </c>
      <c r="D1363" s="9" t="n">
        <f aca="false">(A1363^2+4*C1363)/5</f>
        <v>370465</v>
      </c>
      <c r="E1363" s="9" t="n">
        <f aca="false">MOD(D1363,10)</f>
        <v>5</v>
      </c>
      <c r="F1363" s="9" t="n">
        <f aca="false">2*D1363</f>
        <v>740930</v>
      </c>
      <c r="G1363" s="9" t="n">
        <f aca="false">MOD(F1363,10)</f>
        <v>0</v>
      </c>
      <c r="H1363" s="9" t="n">
        <f aca="false">G1363/2</f>
        <v>0</v>
      </c>
      <c r="I1363" s="9" t="str">
        <f aca="false">IF(H1363=0,"—",IF(H1363=1,"unison (1:1)",IF(H1363=2,"octave (2:1)",IF(H1363=3,"fifth (3:2)",IF(H1363=4,"fourth (4:3)","?")))))</f>
        <v>—</v>
      </c>
      <c r="J1363" s="9" t="str">
        <f aca="false">IF(H1363=0,"—",IF(H1363=1,"ὁμώνυμον",IF(H1363=2,"διὰ πασῶν",IF(H1363=3,"διὰ πέντε",IF(H1363=4,"διὰ τεσσάρων","?")))))</f>
        <v>—</v>
      </c>
      <c r="K1363" s="10"/>
      <c r="L1363" s="14"/>
      <c r="M1363" s="13"/>
    </row>
    <row r="1364" customFormat="false" ht="15.75" hidden="false" customHeight="true" outlineLevel="0" collapsed="false">
      <c r="A1364" s="8" t="n">
        <f aca="false">A1363+1</f>
        <v>1362</v>
      </c>
      <c r="B1364" s="9" t="n">
        <f aca="false">MOD(4*A1364^2,10)</f>
        <v>6</v>
      </c>
      <c r="C1364" s="9" t="n">
        <f aca="false">(26*B1364-5*B1364^2)/24</f>
        <v>-1</v>
      </c>
      <c r="D1364" s="9" t="n">
        <f aca="false">(A1364^2+4*C1364)/5</f>
        <v>371008</v>
      </c>
      <c r="E1364" s="9" t="n">
        <f aca="false">MOD(D1364,10)</f>
        <v>8</v>
      </c>
      <c r="F1364" s="9" t="n">
        <f aca="false">2*D1364</f>
        <v>742016</v>
      </c>
      <c r="G1364" s="9" t="n">
        <f aca="false">MOD(F1364,10)</f>
        <v>6</v>
      </c>
      <c r="H1364" s="9" t="n">
        <f aca="false">G1364/2</f>
        <v>3</v>
      </c>
      <c r="I1364" s="9" t="str">
        <f aca="false">IF(H1364=0,"—",IF(H1364=1,"unison (1:1)",IF(H1364=2,"octave (2:1)",IF(H1364=3,"fifth (3:2)",IF(H1364=4,"fourth (4:3)","?")))))</f>
        <v>fifth (3:2)</v>
      </c>
      <c r="J1364" s="9" t="str">
        <f aca="false">IF(H1364=0,"—",IF(H1364=1,"ὁμώνυμον",IF(H1364=2,"διὰ πασῶν",IF(H1364=3,"διὰ πέντε",IF(H1364=4,"διὰ τεσσάρων","?")))))</f>
        <v>διὰ πέντε</v>
      </c>
      <c r="K1364" s="10"/>
      <c r="L1364" s="14"/>
      <c r="M1364" s="13"/>
    </row>
    <row r="1365" customFormat="false" ht="15.75" hidden="false" customHeight="true" outlineLevel="0" collapsed="false">
      <c r="A1365" s="8" t="n">
        <f aca="false">A1364+1</f>
        <v>1363</v>
      </c>
      <c r="B1365" s="9" t="n">
        <f aca="false">MOD(4*A1365^2,10)</f>
        <v>6</v>
      </c>
      <c r="C1365" s="9" t="n">
        <f aca="false">(26*B1365-5*B1365^2)/24</f>
        <v>-1</v>
      </c>
      <c r="D1365" s="9" t="n">
        <f aca="false">(A1365^2+4*C1365)/5</f>
        <v>371553</v>
      </c>
      <c r="E1365" s="9" t="n">
        <f aca="false">MOD(D1365,10)</f>
        <v>3</v>
      </c>
      <c r="F1365" s="9" t="n">
        <f aca="false">2*D1365</f>
        <v>743106</v>
      </c>
      <c r="G1365" s="9" t="n">
        <f aca="false">MOD(F1365,10)</f>
        <v>6</v>
      </c>
      <c r="H1365" s="9" t="n">
        <f aca="false">G1365/2</f>
        <v>3</v>
      </c>
      <c r="I1365" s="9" t="str">
        <f aca="false">IF(H1365=0,"—",IF(H1365=1,"unison (1:1)",IF(H1365=2,"octave (2:1)",IF(H1365=3,"fifth (3:2)",IF(H1365=4,"fourth (4:3)","?")))))</f>
        <v>fifth (3:2)</v>
      </c>
      <c r="J1365" s="9" t="str">
        <f aca="false">IF(H1365=0,"—",IF(H1365=1,"ὁμώνυμον",IF(H1365=2,"διὰ πασῶν",IF(H1365=3,"διὰ πέντε",IF(H1365=4,"διὰ τεσσάρων","?")))))</f>
        <v>διὰ πέντε</v>
      </c>
      <c r="K1365" s="10"/>
      <c r="L1365" s="14"/>
      <c r="M1365" s="13"/>
    </row>
    <row r="1366" customFormat="false" ht="15.75" hidden="false" customHeight="true" outlineLevel="0" collapsed="false">
      <c r="A1366" s="8" t="n">
        <f aca="false">A1365+1</f>
        <v>1364</v>
      </c>
      <c r="B1366" s="9" t="n">
        <f aca="false">MOD(4*A1366^2,10)</f>
        <v>4</v>
      </c>
      <c r="C1366" s="9" t="n">
        <f aca="false">(26*B1366-5*B1366^2)/24</f>
        <v>1</v>
      </c>
      <c r="D1366" s="9" t="n">
        <f aca="false">(A1366^2+4*C1366)/5</f>
        <v>372100</v>
      </c>
      <c r="E1366" s="9" t="n">
        <f aca="false">MOD(D1366,10)</f>
        <v>0</v>
      </c>
      <c r="F1366" s="9" t="n">
        <f aca="false">2*D1366</f>
        <v>744200</v>
      </c>
      <c r="G1366" s="9" t="n">
        <f aca="false">MOD(F1366,10)</f>
        <v>0</v>
      </c>
      <c r="H1366" s="9" t="n">
        <f aca="false">G1366/2</f>
        <v>0</v>
      </c>
      <c r="I1366" s="9" t="str">
        <f aca="false">IF(H1366=0,"—",IF(H1366=1,"unison (1:1)",IF(H1366=2,"octave (2:1)",IF(H1366=3,"fifth (3:2)",IF(H1366=4,"fourth (4:3)","?")))))</f>
        <v>—</v>
      </c>
      <c r="J1366" s="9" t="str">
        <f aca="false">IF(H1366=0,"—",IF(H1366=1,"ὁμώνυμον",IF(H1366=2,"διὰ πασῶν",IF(H1366=3,"διὰ πέντε",IF(H1366=4,"διὰ τεσσάρων","?")))))</f>
        <v>—</v>
      </c>
      <c r="K1366" s="10"/>
      <c r="L1366" s="14"/>
      <c r="M1366" s="13"/>
    </row>
    <row r="1367" customFormat="false" ht="15.75" hidden="false" customHeight="true" outlineLevel="0" collapsed="false">
      <c r="A1367" s="8" t="n">
        <f aca="false">A1366+1</f>
        <v>1365</v>
      </c>
      <c r="B1367" s="9" t="n">
        <f aca="false">MOD(4*A1367^2,10)</f>
        <v>0</v>
      </c>
      <c r="C1367" s="9" t="n">
        <f aca="false">(26*B1367-5*B1367^2)/24</f>
        <v>0</v>
      </c>
      <c r="D1367" s="9" t="n">
        <f aca="false">(A1367^2+4*C1367)/5</f>
        <v>372645</v>
      </c>
      <c r="E1367" s="9" t="n">
        <f aca="false">MOD(D1367,10)</f>
        <v>5</v>
      </c>
      <c r="F1367" s="9" t="n">
        <f aca="false">2*D1367</f>
        <v>745290</v>
      </c>
      <c r="G1367" s="9" t="n">
        <f aca="false">MOD(F1367,10)</f>
        <v>0</v>
      </c>
      <c r="H1367" s="9" t="n">
        <f aca="false">G1367/2</f>
        <v>0</v>
      </c>
      <c r="I1367" s="9" t="str">
        <f aca="false">IF(H1367=0,"—",IF(H1367=1,"unison (1:1)",IF(H1367=2,"octave (2:1)",IF(H1367=3,"fifth (3:2)",IF(H1367=4,"fourth (4:3)","?")))))</f>
        <v>—</v>
      </c>
      <c r="J1367" s="9" t="str">
        <f aca="false">IF(H1367=0,"—",IF(H1367=1,"ὁμώνυμον",IF(H1367=2,"διὰ πασῶν",IF(H1367=3,"διὰ πέντε",IF(H1367=4,"διὰ τεσσάρων","?")))))</f>
        <v>—</v>
      </c>
      <c r="K1367" s="10"/>
      <c r="L1367" s="14"/>
      <c r="M1367" s="13"/>
    </row>
    <row r="1368" customFormat="false" ht="15.75" hidden="false" customHeight="true" outlineLevel="0" collapsed="false">
      <c r="A1368" s="8" t="n">
        <f aca="false">A1367+1</f>
        <v>1366</v>
      </c>
      <c r="B1368" s="9" t="n">
        <f aca="false">MOD(4*A1368^2,10)</f>
        <v>4</v>
      </c>
      <c r="C1368" s="9" t="n">
        <f aca="false">(26*B1368-5*B1368^2)/24</f>
        <v>1</v>
      </c>
      <c r="D1368" s="9" t="n">
        <f aca="false">(A1368^2+4*C1368)/5</f>
        <v>373192</v>
      </c>
      <c r="E1368" s="9" t="n">
        <f aca="false">MOD(D1368,10)</f>
        <v>2</v>
      </c>
      <c r="F1368" s="9" t="n">
        <f aca="false">2*D1368</f>
        <v>746384</v>
      </c>
      <c r="G1368" s="9" t="n">
        <f aca="false">MOD(F1368,10)</f>
        <v>4</v>
      </c>
      <c r="H1368" s="9" t="n">
        <f aca="false">G1368/2</f>
        <v>2</v>
      </c>
      <c r="I1368" s="9" t="str">
        <f aca="false">IF(H1368=0,"—",IF(H1368=1,"unison (1:1)",IF(H1368=2,"octave (2:1)",IF(H1368=3,"fifth (3:2)",IF(H1368=4,"fourth (4:3)","?")))))</f>
        <v>octave (2:1)</v>
      </c>
      <c r="J1368" s="9" t="str">
        <f aca="false">IF(H1368=0,"—",IF(H1368=1,"ὁμώνυμον",IF(H1368=2,"διὰ πασῶν",IF(H1368=3,"διὰ πέντε",IF(H1368=4,"διὰ τεσσάρων","?")))))</f>
        <v>διὰ πασῶν</v>
      </c>
      <c r="K1368" s="10"/>
      <c r="L1368" s="14"/>
      <c r="M1368" s="13"/>
    </row>
    <row r="1369" customFormat="false" ht="15.75" hidden="false" customHeight="true" outlineLevel="0" collapsed="false">
      <c r="A1369" s="8" t="n">
        <f aca="false">A1368+1</f>
        <v>1367</v>
      </c>
      <c r="B1369" s="9" t="n">
        <f aca="false">MOD(4*A1369^2,10)</f>
        <v>6</v>
      </c>
      <c r="C1369" s="9" t="n">
        <f aca="false">(26*B1369-5*B1369^2)/24</f>
        <v>-1</v>
      </c>
      <c r="D1369" s="9" t="n">
        <f aca="false">(A1369^2+4*C1369)/5</f>
        <v>373737</v>
      </c>
      <c r="E1369" s="9" t="n">
        <f aca="false">MOD(D1369,10)</f>
        <v>7</v>
      </c>
      <c r="F1369" s="9" t="n">
        <f aca="false">2*D1369</f>
        <v>747474</v>
      </c>
      <c r="G1369" s="9" t="n">
        <f aca="false">MOD(F1369,10)</f>
        <v>4</v>
      </c>
      <c r="H1369" s="9" t="n">
        <f aca="false">G1369/2</f>
        <v>2</v>
      </c>
      <c r="I1369" s="9" t="str">
        <f aca="false">IF(H1369=0,"—",IF(H1369=1,"unison (1:1)",IF(H1369=2,"octave (2:1)",IF(H1369=3,"fifth (3:2)",IF(H1369=4,"fourth (4:3)","?")))))</f>
        <v>octave (2:1)</v>
      </c>
      <c r="J1369" s="9" t="str">
        <f aca="false">IF(H1369=0,"—",IF(H1369=1,"ὁμώνυμον",IF(H1369=2,"διὰ πασῶν",IF(H1369=3,"διὰ πέντε",IF(H1369=4,"διὰ τεσσάρων","?")))))</f>
        <v>διὰ πασῶν</v>
      </c>
      <c r="K1369" s="10"/>
      <c r="L1369" s="14"/>
      <c r="M1369" s="13"/>
    </row>
    <row r="1370" customFormat="false" ht="15.75" hidden="false" customHeight="true" outlineLevel="0" collapsed="false">
      <c r="A1370" s="8" t="n">
        <f aca="false">A1369+1</f>
        <v>1368</v>
      </c>
      <c r="B1370" s="9" t="n">
        <f aca="false">MOD(4*A1370^2,10)</f>
        <v>6</v>
      </c>
      <c r="C1370" s="9" t="n">
        <f aca="false">(26*B1370-5*B1370^2)/24</f>
        <v>-1</v>
      </c>
      <c r="D1370" s="9" t="n">
        <f aca="false">(A1370^2+4*C1370)/5</f>
        <v>374284</v>
      </c>
      <c r="E1370" s="9" t="n">
        <f aca="false">MOD(D1370,10)</f>
        <v>4</v>
      </c>
      <c r="F1370" s="9" t="n">
        <f aca="false">2*D1370</f>
        <v>748568</v>
      </c>
      <c r="G1370" s="9" t="n">
        <f aca="false">MOD(F1370,10)</f>
        <v>8</v>
      </c>
      <c r="H1370" s="9" t="n">
        <f aca="false">G1370/2</f>
        <v>4</v>
      </c>
      <c r="I1370" s="9" t="str">
        <f aca="false">IF(H1370=0,"—",IF(H1370=1,"unison (1:1)",IF(H1370=2,"octave (2:1)",IF(H1370=3,"fifth (3:2)",IF(H1370=4,"fourth (4:3)","?")))))</f>
        <v>fourth (4:3)</v>
      </c>
      <c r="J1370" s="9" t="str">
        <f aca="false">IF(H1370=0,"—",IF(H1370=1,"ὁμώνυμον",IF(H1370=2,"διὰ πασῶν",IF(H1370=3,"διὰ πέντε",IF(H1370=4,"διὰ τεσσάρων","?")))))</f>
        <v>διὰ τεσσάρων</v>
      </c>
      <c r="K1370" s="10"/>
      <c r="L1370" s="14"/>
      <c r="M1370" s="13"/>
    </row>
    <row r="1371" customFormat="false" ht="15.75" hidden="false" customHeight="true" outlineLevel="0" collapsed="false">
      <c r="A1371" s="8" t="n">
        <f aca="false">A1370+1</f>
        <v>1369</v>
      </c>
      <c r="B1371" s="9" t="n">
        <f aca="false">MOD(4*A1371^2,10)</f>
        <v>4</v>
      </c>
      <c r="C1371" s="9" t="n">
        <f aca="false">(26*B1371-5*B1371^2)/24</f>
        <v>1</v>
      </c>
      <c r="D1371" s="9" t="n">
        <f aca="false">(A1371^2+4*C1371)/5</f>
        <v>374833</v>
      </c>
      <c r="E1371" s="9" t="n">
        <f aca="false">MOD(D1371,10)</f>
        <v>3</v>
      </c>
      <c r="F1371" s="9" t="n">
        <f aca="false">2*D1371</f>
        <v>749666</v>
      </c>
      <c r="G1371" s="9" t="n">
        <f aca="false">MOD(F1371,10)</f>
        <v>6</v>
      </c>
      <c r="H1371" s="9" t="n">
        <f aca="false">G1371/2</f>
        <v>3</v>
      </c>
      <c r="I1371" s="9" t="str">
        <f aca="false">IF(H1371=0,"—",IF(H1371=1,"unison (1:1)",IF(H1371=2,"octave (2:1)",IF(H1371=3,"fifth (3:2)",IF(H1371=4,"fourth (4:3)","?")))))</f>
        <v>fifth (3:2)</v>
      </c>
      <c r="J1371" s="9" t="str">
        <f aca="false">IF(H1371=0,"—",IF(H1371=1,"ὁμώνυμον",IF(H1371=2,"διὰ πασῶν",IF(H1371=3,"διὰ πέντε",IF(H1371=4,"διὰ τεσσάρων","?")))))</f>
        <v>διὰ πέντε</v>
      </c>
      <c r="K1371" s="10"/>
      <c r="L1371" s="14"/>
      <c r="M1371" s="13"/>
    </row>
    <row r="1372" customFormat="false" ht="15.75" hidden="false" customHeight="true" outlineLevel="0" collapsed="false">
      <c r="A1372" s="8" t="n">
        <f aca="false">A1371+1</f>
        <v>1370</v>
      </c>
      <c r="B1372" s="9" t="n">
        <f aca="false">MOD(4*A1372^2,10)</f>
        <v>0</v>
      </c>
      <c r="C1372" s="9" t="n">
        <f aca="false">(26*B1372-5*B1372^2)/24</f>
        <v>0</v>
      </c>
      <c r="D1372" s="9" t="n">
        <f aca="false">(A1372^2+4*C1372)/5</f>
        <v>375380</v>
      </c>
      <c r="E1372" s="9" t="n">
        <f aca="false">MOD(D1372,10)</f>
        <v>0</v>
      </c>
      <c r="F1372" s="9" t="n">
        <f aca="false">2*D1372</f>
        <v>750760</v>
      </c>
      <c r="G1372" s="9" t="n">
        <f aca="false">MOD(F1372,10)</f>
        <v>0</v>
      </c>
      <c r="H1372" s="9" t="n">
        <f aca="false">G1372/2</f>
        <v>0</v>
      </c>
      <c r="I1372" s="9" t="str">
        <f aca="false">IF(H1372=0,"—",IF(H1372=1,"unison (1:1)",IF(H1372=2,"octave (2:1)",IF(H1372=3,"fifth (3:2)",IF(H1372=4,"fourth (4:3)","?")))))</f>
        <v>—</v>
      </c>
      <c r="J1372" s="9" t="str">
        <f aca="false">IF(H1372=0,"—",IF(H1372=1,"ὁμώνυμον",IF(H1372=2,"διὰ πασῶν",IF(H1372=3,"διὰ πέντε",IF(H1372=4,"διὰ τεσσάρων","?")))))</f>
        <v>—</v>
      </c>
      <c r="K1372" s="10"/>
      <c r="L1372" s="14"/>
      <c r="M1372" s="13"/>
    </row>
    <row r="1373" customFormat="false" ht="15.75" hidden="false" customHeight="true" outlineLevel="0" collapsed="false">
      <c r="A1373" s="8" t="n">
        <f aca="false">A1372+1</f>
        <v>1371</v>
      </c>
      <c r="B1373" s="9" t="n">
        <f aca="false">MOD(4*A1373^2,10)</f>
        <v>4</v>
      </c>
      <c r="C1373" s="9" t="n">
        <f aca="false">(26*B1373-5*B1373^2)/24</f>
        <v>1</v>
      </c>
      <c r="D1373" s="9" t="n">
        <f aca="false">(A1373^2+4*C1373)/5</f>
        <v>375929</v>
      </c>
      <c r="E1373" s="9" t="n">
        <f aca="false">MOD(D1373,10)</f>
        <v>9</v>
      </c>
      <c r="F1373" s="9" t="n">
        <f aca="false">2*D1373</f>
        <v>751858</v>
      </c>
      <c r="G1373" s="9" t="n">
        <f aca="false">MOD(F1373,10)</f>
        <v>8</v>
      </c>
      <c r="H1373" s="9" t="n">
        <f aca="false">G1373/2</f>
        <v>4</v>
      </c>
      <c r="I1373" s="9" t="str">
        <f aca="false">IF(H1373=0,"—",IF(H1373=1,"unison (1:1)",IF(H1373=2,"octave (2:1)",IF(H1373=3,"fifth (3:2)",IF(H1373=4,"fourth (4:3)","?")))))</f>
        <v>fourth (4:3)</v>
      </c>
      <c r="J1373" s="9" t="str">
        <f aca="false">IF(H1373=0,"—",IF(H1373=1,"ὁμώνυμον",IF(H1373=2,"διὰ πασῶν",IF(H1373=3,"διὰ πέντε",IF(H1373=4,"διὰ τεσσάρων","?")))))</f>
        <v>διὰ τεσσάρων</v>
      </c>
      <c r="K1373" s="10"/>
      <c r="L1373" s="14"/>
      <c r="M1373" s="13"/>
    </row>
    <row r="1374" customFormat="false" ht="15.75" hidden="false" customHeight="true" outlineLevel="0" collapsed="false">
      <c r="A1374" s="8" t="n">
        <f aca="false">A1373+1</f>
        <v>1372</v>
      </c>
      <c r="B1374" s="9" t="n">
        <f aca="false">MOD(4*A1374^2,10)</f>
        <v>6</v>
      </c>
      <c r="C1374" s="9" t="n">
        <f aca="false">(26*B1374-5*B1374^2)/24</f>
        <v>-1</v>
      </c>
      <c r="D1374" s="9" t="n">
        <f aca="false">(A1374^2+4*C1374)/5</f>
        <v>376476</v>
      </c>
      <c r="E1374" s="9" t="n">
        <f aca="false">MOD(D1374,10)</f>
        <v>6</v>
      </c>
      <c r="F1374" s="9" t="n">
        <f aca="false">2*D1374</f>
        <v>752952</v>
      </c>
      <c r="G1374" s="9" t="n">
        <f aca="false">MOD(F1374,10)</f>
        <v>2</v>
      </c>
      <c r="H1374" s="9" t="n">
        <f aca="false">G1374/2</f>
        <v>1</v>
      </c>
      <c r="I1374" s="9" t="str">
        <f aca="false">IF(H1374=0,"—",IF(H1374=1,"unison (1:1)",IF(H1374=2,"octave (2:1)",IF(H1374=3,"fifth (3:2)",IF(H1374=4,"fourth (4:3)","?")))))</f>
        <v>unison (1:1)</v>
      </c>
      <c r="J1374" s="9" t="str">
        <f aca="false">IF(H1374=0,"—",IF(H1374=1,"ὁμώνυμον",IF(H1374=2,"διὰ πασῶν",IF(H1374=3,"διὰ πέντε",IF(H1374=4,"διὰ τεσσάρων","?")))))</f>
        <v>ὁμώνυμον</v>
      </c>
      <c r="K1374" s="10"/>
      <c r="L1374" s="14"/>
      <c r="M1374" s="13"/>
    </row>
    <row r="1375" customFormat="false" ht="15.75" hidden="false" customHeight="true" outlineLevel="0" collapsed="false">
      <c r="A1375" s="8" t="n">
        <f aca="false">A1374+1</f>
        <v>1373</v>
      </c>
      <c r="B1375" s="9" t="n">
        <f aca="false">MOD(4*A1375^2,10)</f>
        <v>6</v>
      </c>
      <c r="C1375" s="9" t="n">
        <f aca="false">(26*B1375-5*B1375^2)/24</f>
        <v>-1</v>
      </c>
      <c r="D1375" s="9" t="n">
        <f aca="false">(A1375^2+4*C1375)/5</f>
        <v>377025</v>
      </c>
      <c r="E1375" s="9" t="n">
        <f aca="false">MOD(D1375,10)</f>
        <v>5</v>
      </c>
      <c r="F1375" s="9" t="n">
        <f aca="false">2*D1375</f>
        <v>754050</v>
      </c>
      <c r="G1375" s="9" t="n">
        <f aca="false">MOD(F1375,10)</f>
        <v>0</v>
      </c>
      <c r="H1375" s="9" t="n">
        <f aca="false">G1375/2</f>
        <v>0</v>
      </c>
      <c r="I1375" s="9" t="str">
        <f aca="false">IF(H1375=0,"—",IF(H1375=1,"unison (1:1)",IF(H1375=2,"octave (2:1)",IF(H1375=3,"fifth (3:2)",IF(H1375=4,"fourth (4:3)","?")))))</f>
        <v>—</v>
      </c>
      <c r="J1375" s="9" t="str">
        <f aca="false">IF(H1375=0,"—",IF(H1375=1,"ὁμώνυμον",IF(H1375=2,"διὰ πασῶν",IF(H1375=3,"διὰ πέντε",IF(H1375=4,"διὰ τεσσάρων","?")))))</f>
        <v>—</v>
      </c>
      <c r="K1375" s="10"/>
      <c r="L1375" s="14"/>
      <c r="M1375" s="13"/>
    </row>
    <row r="1376" customFormat="false" ht="15.75" hidden="false" customHeight="true" outlineLevel="0" collapsed="false">
      <c r="A1376" s="8" t="n">
        <f aca="false">A1375+1</f>
        <v>1374</v>
      </c>
      <c r="B1376" s="9" t="n">
        <f aca="false">MOD(4*A1376^2,10)</f>
        <v>4</v>
      </c>
      <c r="C1376" s="9" t="n">
        <f aca="false">(26*B1376-5*B1376^2)/24</f>
        <v>1</v>
      </c>
      <c r="D1376" s="9" t="n">
        <f aca="false">(A1376^2+4*C1376)/5</f>
        <v>377576</v>
      </c>
      <c r="E1376" s="9" t="n">
        <f aca="false">MOD(D1376,10)</f>
        <v>6</v>
      </c>
      <c r="F1376" s="9" t="n">
        <f aca="false">2*D1376</f>
        <v>755152</v>
      </c>
      <c r="G1376" s="9" t="n">
        <f aca="false">MOD(F1376,10)</f>
        <v>2</v>
      </c>
      <c r="H1376" s="9" t="n">
        <f aca="false">G1376/2</f>
        <v>1</v>
      </c>
      <c r="I1376" s="9" t="str">
        <f aca="false">IF(H1376=0,"—",IF(H1376=1,"unison (1:1)",IF(H1376=2,"octave (2:1)",IF(H1376=3,"fifth (3:2)",IF(H1376=4,"fourth (4:3)","?")))))</f>
        <v>unison (1:1)</v>
      </c>
      <c r="J1376" s="9" t="str">
        <f aca="false">IF(H1376=0,"—",IF(H1376=1,"ὁμώνυμον",IF(H1376=2,"διὰ πασῶν",IF(H1376=3,"διὰ πέντε",IF(H1376=4,"διὰ τεσσάρων","?")))))</f>
        <v>ὁμώνυμον</v>
      </c>
      <c r="K1376" s="10"/>
      <c r="L1376" s="14"/>
      <c r="M1376" s="13"/>
    </row>
    <row r="1377" customFormat="false" ht="15.75" hidden="false" customHeight="true" outlineLevel="0" collapsed="false">
      <c r="A1377" s="8" t="n">
        <f aca="false">A1376+1</f>
        <v>1375</v>
      </c>
      <c r="B1377" s="9" t="n">
        <f aca="false">MOD(4*A1377^2,10)</f>
        <v>0</v>
      </c>
      <c r="C1377" s="9" t="n">
        <f aca="false">(26*B1377-5*B1377^2)/24</f>
        <v>0</v>
      </c>
      <c r="D1377" s="9" t="n">
        <f aca="false">(A1377^2+4*C1377)/5</f>
        <v>378125</v>
      </c>
      <c r="E1377" s="9" t="n">
        <f aca="false">MOD(D1377,10)</f>
        <v>5</v>
      </c>
      <c r="F1377" s="9" t="n">
        <f aca="false">2*D1377</f>
        <v>756250</v>
      </c>
      <c r="G1377" s="9" t="n">
        <f aca="false">MOD(F1377,10)</f>
        <v>0</v>
      </c>
      <c r="H1377" s="9" t="n">
        <f aca="false">G1377/2</f>
        <v>0</v>
      </c>
      <c r="I1377" s="9" t="str">
        <f aca="false">IF(H1377=0,"—",IF(H1377=1,"unison (1:1)",IF(H1377=2,"octave (2:1)",IF(H1377=3,"fifth (3:2)",IF(H1377=4,"fourth (4:3)","?")))))</f>
        <v>—</v>
      </c>
      <c r="J1377" s="9" t="str">
        <f aca="false">IF(H1377=0,"—",IF(H1377=1,"ὁμώνυμον",IF(H1377=2,"διὰ πασῶν",IF(H1377=3,"διὰ πέντε",IF(H1377=4,"διὰ τεσσάρων","?")))))</f>
        <v>—</v>
      </c>
      <c r="K1377" s="10"/>
      <c r="L1377" s="14"/>
      <c r="M1377" s="13"/>
    </row>
    <row r="1378" customFormat="false" ht="15.75" hidden="false" customHeight="true" outlineLevel="0" collapsed="false">
      <c r="A1378" s="8" t="n">
        <f aca="false">A1377+1</f>
        <v>1376</v>
      </c>
      <c r="B1378" s="9" t="n">
        <f aca="false">MOD(4*A1378^2,10)</f>
        <v>4</v>
      </c>
      <c r="C1378" s="9" t="n">
        <f aca="false">(26*B1378-5*B1378^2)/24</f>
        <v>1</v>
      </c>
      <c r="D1378" s="9" t="n">
        <f aca="false">(A1378^2+4*C1378)/5</f>
        <v>378676</v>
      </c>
      <c r="E1378" s="9" t="n">
        <f aca="false">MOD(D1378,10)</f>
        <v>6</v>
      </c>
      <c r="F1378" s="9" t="n">
        <f aca="false">2*D1378</f>
        <v>757352</v>
      </c>
      <c r="G1378" s="9" t="n">
        <f aca="false">MOD(F1378,10)</f>
        <v>2</v>
      </c>
      <c r="H1378" s="9" t="n">
        <f aca="false">G1378/2</f>
        <v>1</v>
      </c>
      <c r="I1378" s="9" t="str">
        <f aca="false">IF(H1378=0,"—",IF(H1378=1,"unison (1:1)",IF(H1378=2,"octave (2:1)",IF(H1378=3,"fifth (3:2)",IF(H1378=4,"fourth (4:3)","?")))))</f>
        <v>unison (1:1)</v>
      </c>
      <c r="J1378" s="9" t="str">
        <f aca="false">IF(H1378=0,"—",IF(H1378=1,"ὁμώνυμον",IF(H1378=2,"διὰ πασῶν",IF(H1378=3,"διὰ πέντε",IF(H1378=4,"διὰ τεσσάρων","?")))))</f>
        <v>ὁμώνυμον</v>
      </c>
      <c r="K1378" s="10"/>
      <c r="L1378" s="14"/>
      <c r="M1378" s="13"/>
    </row>
    <row r="1379" customFormat="false" ht="15.75" hidden="false" customHeight="true" outlineLevel="0" collapsed="false">
      <c r="A1379" s="8" t="n">
        <f aca="false">A1378+1</f>
        <v>1377</v>
      </c>
      <c r="B1379" s="9" t="n">
        <f aca="false">MOD(4*A1379^2,10)</f>
        <v>6</v>
      </c>
      <c r="C1379" s="9" t="n">
        <f aca="false">(26*B1379-5*B1379^2)/24</f>
        <v>-1</v>
      </c>
      <c r="D1379" s="9" t="n">
        <f aca="false">(A1379^2+4*C1379)/5</f>
        <v>379225</v>
      </c>
      <c r="E1379" s="9" t="n">
        <f aca="false">MOD(D1379,10)</f>
        <v>5</v>
      </c>
      <c r="F1379" s="9" t="n">
        <f aca="false">2*D1379</f>
        <v>758450</v>
      </c>
      <c r="G1379" s="9" t="n">
        <f aca="false">MOD(F1379,10)</f>
        <v>0</v>
      </c>
      <c r="H1379" s="9" t="n">
        <f aca="false">G1379/2</f>
        <v>0</v>
      </c>
      <c r="I1379" s="9" t="str">
        <f aca="false">IF(H1379=0,"—",IF(H1379=1,"unison (1:1)",IF(H1379=2,"octave (2:1)",IF(H1379=3,"fifth (3:2)",IF(H1379=4,"fourth (4:3)","?")))))</f>
        <v>—</v>
      </c>
      <c r="J1379" s="9" t="str">
        <f aca="false">IF(H1379=0,"—",IF(H1379=1,"ὁμώνυμον",IF(H1379=2,"διὰ πασῶν",IF(H1379=3,"διὰ πέντε",IF(H1379=4,"διὰ τεσσάρων","?")))))</f>
        <v>—</v>
      </c>
      <c r="K1379" s="10"/>
      <c r="L1379" s="14"/>
      <c r="M1379" s="13"/>
    </row>
    <row r="1380" customFormat="false" ht="15.75" hidden="false" customHeight="true" outlineLevel="0" collapsed="false">
      <c r="A1380" s="8" t="n">
        <f aca="false">A1379+1</f>
        <v>1378</v>
      </c>
      <c r="B1380" s="9" t="n">
        <f aca="false">MOD(4*A1380^2,10)</f>
        <v>6</v>
      </c>
      <c r="C1380" s="9" t="n">
        <f aca="false">(26*B1380-5*B1380^2)/24</f>
        <v>-1</v>
      </c>
      <c r="D1380" s="9" t="n">
        <f aca="false">(A1380^2+4*C1380)/5</f>
        <v>379776</v>
      </c>
      <c r="E1380" s="9" t="n">
        <f aca="false">MOD(D1380,10)</f>
        <v>6</v>
      </c>
      <c r="F1380" s="9" t="n">
        <f aca="false">2*D1380</f>
        <v>759552</v>
      </c>
      <c r="G1380" s="9" t="n">
        <f aca="false">MOD(F1380,10)</f>
        <v>2</v>
      </c>
      <c r="H1380" s="9" t="n">
        <f aca="false">G1380/2</f>
        <v>1</v>
      </c>
      <c r="I1380" s="9" t="str">
        <f aca="false">IF(H1380=0,"—",IF(H1380=1,"unison (1:1)",IF(H1380=2,"octave (2:1)",IF(H1380=3,"fifth (3:2)",IF(H1380=4,"fourth (4:3)","?")))))</f>
        <v>unison (1:1)</v>
      </c>
      <c r="J1380" s="9" t="str">
        <f aca="false">IF(H1380=0,"—",IF(H1380=1,"ὁμώνυμον",IF(H1380=2,"διὰ πασῶν",IF(H1380=3,"διὰ πέντε",IF(H1380=4,"διὰ τεσσάρων","?")))))</f>
        <v>ὁμώνυμον</v>
      </c>
      <c r="K1380" s="10"/>
      <c r="L1380" s="14"/>
      <c r="M1380" s="13"/>
    </row>
    <row r="1381" customFormat="false" ht="15.75" hidden="false" customHeight="true" outlineLevel="0" collapsed="false">
      <c r="A1381" s="8" t="n">
        <f aca="false">A1380+1</f>
        <v>1379</v>
      </c>
      <c r="B1381" s="9" t="n">
        <f aca="false">MOD(4*A1381^2,10)</f>
        <v>4</v>
      </c>
      <c r="C1381" s="9" t="n">
        <f aca="false">(26*B1381-5*B1381^2)/24</f>
        <v>1</v>
      </c>
      <c r="D1381" s="9" t="n">
        <f aca="false">(A1381^2+4*C1381)/5</f>
        <v>380329</v>
      </c>
      <c r="E1381" s="9" t="n">
        <f aca="false">MOD(D1381,10)</f>
        <v>9</v>
      </c>
      <c r="F1381" s="9" t="n">
        <f aca="false">2*D1381</f>
        <v>760658</v>
      </c>
      <c r="G1381" s="9" t="n">
        <f aca="false">MOD(F1381,10)</f>
        <v>8</v>
      </c>
      <c r="H1381" s="9" t="n">
        <f aca="false">G1381/2</f>
        <v>4</v>
      </c>
      <c r="I1381" s="9" t="str">
        <f aca="false">IF(H1381=0,"—",IF(H1381=1,"unison (1:1)",IF(H1381=2,"octave (2:1)",IF(H1381=3,"fifth (3:2)",IF(H1381=4,"fourth (4:3)","?")))))</f>
        <v>fourth (4:3)</v>
      </c>
      <c r="J1381" s="9" t="str">
        <f aca="false">IF(H1381=0,"—",IF(H1381=1,"ὁμώνυμον",IF(H1381=2,"διὰ πασῶν",IF(H1381=3,"διὰ πέντε",IF(H1381=4,"διὰ τεσσάρων","?")))))</f>
        <v>διὰ τεσσάρων</v>
      </c>
      <c r="K1381" s="10"/>
      <c r="L1381" s="14"/>
      <c r="M1381" s="13"/>
    </row>
    <row r="1382" customFormat="false" ht="15.75" hidden="false" customHeight="true" outlineLevel="0" collapsed="false">
      <c r="A1382" s="8" t="n">
        <f aca="false">A1381+1</f>
        <v>1380</v>
      </c>
      <c r="B1382" s="9" t="n">
        <f aca="false">MOD(4*A1382^2,10)</f>
        <v>0</v>
      </c>
      <c r="C1382" s="9" t="n">
        <f aca="false">(26*B1382-5*B1382^2)/24</f>
        <v>0</v>
      </c>
      <c r="D1382" s="9" t="n">
        <f aca="false">(A1382^2+4*C1382)/5</f>
        <v>380880</v>
      </c>
      <c r="E1382" s="9" t="n">
        <f aca="false">MOD(D1382,10)</f>
        <v>0</v>
      </c>
      <c r="F1382" s="9" t="n">
        <f aca="false">2*D1382</f>
        <v>761760</v>
      </c>
      <c r="G1382" s="9" t="n">
        <f aca="false">MOD(F1382,10)</f>
        <v>0</v>
      </c>
      <c r="H1382" s="9" t="n">
        <f aca="false">G1382/2</f>
        <v>0</v>
      </c>
      <c r="I1382" s="9" t="str">
        <f aca="false">IF(H1382=0,"—",IF(H1382=1,"unison (1:1)",IF(H1382=2,"octave (2:1)",IF(H1382=3,"fifth (3:2)",IF(H1382=4,"fourth (4:3)","?")))))</f>
        <v>—</v>
      </c>
      <c r="J1382" s="9" t="str">
        <f aca="false">IF(H1382=0,"—",IF(H1382=1,"ὁμώνυμον",IF(H1382=2,"διὰ πασῶν",IF(H1382=3,"διὰ πέντε",IF(H1382=4,"διὰ τεσσάρων","?")))))</f>
        <v>—</v>
      </c>
      <c r="K1382" s="10"/>
      <c r="L1382" s="14"/>
      <c r="M1382" s="13"/>
    </row>
    <row r="1383" customFormat="false" ht="15.75" hidden="false" customHeight="true" outlineLevel="0" collapsed="false">
      <c r="A1383" s="8" t="n">
        <f aca="false">A1382+1</f>
        <v>1381</v>
      </c>
      <c r="B1383" s="9" t="n">
        <f aca="false">MOD(4*A1383^2,10)</f>
        <v>4</v>
      </c>
      <c r="C1383" s="9" t="n">
        <f aca="false">(26*B1383-5*B1383^2)/24</f>
        <v>1</v>
      </c>
      <c r="D1383" s="9" t="n">
        <f aca="false">(A1383^2+4*C1383)/5</f>
        <v>381433</v>
      </c>
      <c r="E1383" s="9" t="n">
        <f aca="false">MOD(D1383,10)</f>
        <v>3</v>
      </c>
      <c r="F1383" s="9" t="n">
        <f aca="false">2*D1383</f>
        <v>762866</v>
      </c>
      <c r="G1383" s="9" t="n">
        <f aca="false">MOD(F1383,10)</f>
        <v>6</v>
      </c>
      <c r="H1383" s="9" t="n">
        <f aca="false">G1383/2</f>
        <v>3</v>
      </c>
      <c r="I1383" s="9" t="str">
        <f aca="false">IF(H1383=0,"—",IF(H1383=1,"unison (1:1)",IF(H1383=2,"octave (2:1)",IF(H1383=3,"fifth (3:2)",IF(H1383=4,"fourth (4:3)","?")))))</f>
        <v>fifth (3:2)</v>
      </c>
      <c r="J1383" s="9" t="str">
        <f aca="false">IF(H1383=0,"—",IF(H1383=1,"ὁμώνυμον",IF(H1383=2,"διὰ πασῶν",IF(H1383=3,"διὰ πέντε",IF(H1383=4,"διὰ τεσσάρων","?")))))</f>
        <v>διὰ πέντε</v>
      </c>
      <c r="K1383" s="10"/>
      <c r="L1383" s="14"/>
      <c r="M1383" s="13"/>
    </row>
    <row r="1384" customFormat="false" ht="15.75" hidden="false" customHeight="true" outlineLevel="0" collapsed="false">
      <c r="A1384" s="8" t="n">
        <f aca="false">A1383+1</f>
        <v>1382</v>
      </c>
      <c r="B1384" s="9" t="n">
        <f aca="false">MOD(4*A1384^2,10)</f>
        <v>6</v>
      </c>
      <c r="C1384" s="9" t="n">
        <f aca="false">(26*B1384-5*B1384^2)/24</f>
        <v>-1</v>
      </c>
      <c r="D1384" s="9" t="n">
        <f aca="false">(A1384^2+4*C1384)/5</f>
        <v>381984</v>
      </c>
      <c r="E1384" s="9" t="n">
        <f aca="false">MOD(D1384,10)</f>
        <v>4</v>
      </c>
      <c r="F1384" s="9" t="n">
        <f aca="false">2*D1384</f>
        <v>763968</v>
      </c>
      <c r="G1384" s="9" t="n">
        <f aca="false">MOD(F1384,10)</f>
        <v>8</v>
      </c>
      <c r="H1384" s="9" t="n">
        <f aca="false">G1384/2</f>
        <v>4</v>
      </c>
      <c r="I1384" s="9" t="str">
        <f aca="false">IF(H1384=0,"—",IF(H1384=1,"unison (1:1)",IF(H1384=2,"octave (2:1)",IF(H1384=3,"fifth (3:2)",IF(H1384=4,"fourth (4:3)","?")))))</f>
        <v>fourth (4:3)</v>
      </c>
      <c r="J1384" s="9" t="str">
        <f aca="false">IF(H1384=0,"—",IF(H1384=1,"ὁμώνυμον",IF(H1384=2,"διὰ πασῶν",IF(H1384=3,"διὰ πέντε",IF(H1384=4,"διὰ τεσσάρων","?")))))</f>
        <v>διὰ τεσσάρων</v>
      </c>
      <c r="K1384" s="10"/>
      <c r="L1384" s="14"/>
      <c r="M1384" s="13"/>
    </row>
    <row r="1385" customFormat="false" ht="15.75" hidden="false" customHeight="true" outlineLevel="0" collapsed="false">
      <c r="A1385" s="8" t="n">
        <f aca="false">A1384+1</f>
        <v>1383</v>
      </c>
      <c r="B1385" s="9" t="n">
        <f aca="false">MOD(4*A1385^2,10)</f>
        <v>6</v>
      </c>
      <c r="C1385" s="9" t="n">
        <f aca="false">(26*B1385-5*B1385^2)/24</f>
        <v>-1</v>
      </c>
      <c r="D1385" s="9" t="n">
        <f aca="false">(A1385^2+4*C1385)/5</f>
        <v>382537</v>
      </c>
      <c r="E1385" s="9" t="n">
        <f aca="false">MOD(D1385,10)</f>
        <v>7</v>
      </c>
      <c r="F1385" s="9" t="n">
        <f aca="false">2*D1385</f>
        <v>765074</v>
      </c>
      <c r="G1385" s="9" t="n">
        <f aca="false">MOD(F1385,10)</f>
        <v>4</v>
      </c>
      <c r="H1385" s="9" t="n">
        <f aca="false">G1385/2</f>
        <v>2</v>
      </c>
      <c r="I1385" s="9" t="str">
        <f aca="false">IF(H1385=0,"—",IF(H1385=1,"unison (1:1)",IF(H1385=2,"octave (2:1)",IF(H1385=3,"fifth (3:2)",IF(H1385=4,"fourth (4:3)","?")))))</f>
        <v>octave (2:1)</v>
      </c>
      <c r="J1385" s="9" t="str">
        <f aca="false">IF(H1385=0,"—",IF(H1385=1,"ὁμώνυμον",IF(H1385=2,"διὰ πασῶν",IF(H1385=3,"διὰ πέντε",IF(H1385=4,"διὰ τεσσάρων","?")))))</f>
        <v>διὰ πασῶν</v>
      </c>
      <c r="K1385" s="10"/>
      <c r="L1385" s="14"/>
      <c r="M1385" s="13"/>
    </row>
    <row r="1386" customFormat="false" ht="15.75" hidden="false" customHeight="true" outlineLevel="0" collapsed="false">
      <c r="A1386" s="8" t="n">
        <f aca="false">A1385+1</f>
        <v>1384</v>
      </c>
      <c r="B1386" s="9" t="n">
        <f aca="false">MOD(4*A1386^2,10)</f>
        <v>4</v>
      </c>
      <c r="C1386" s="9" t="n">
        <f aca="false">(26*B1386-5*B1386^2)/24</f>
        <v>1</v>
      </c>
      <c r="D1386" s="9" t="n">
        <f aca="false">(A1386^2+4*C1386)/5</f>
        <v>383092</v>
      </c>
      <c r="E1386" s="9" t="n">
        <f aca="false">MOD(D1386,10)</f>
        <v>2</v>
      </c>
      <c r="F1386" s="9" t="n">
        <f aca="false">2*D1386</f>
        <v>766184</v>
      </c>
      <c r="G1386" s="9" t="n">
        <f aca="false">MOD(F1386,10)</f>
        <v>4</v>
      </c>
      <c r="H1386" s="9" t="n">
        <f aca="false">G1386/2</f>
        <v>2</v>
      </c>
      <c r="I1386" s="9" t="str">
        <f aca="false">IF(H1386=0,"—",IF(H1386=1,"unison (1:1)",IF(H1386=2,"octave (2:1)",IF(H1386=3,"fifth (3:2)",IF(H1386=4,"fourth (4:3)","?")))))</f>
        <v>octave (2:1)</v>
      </c>
      <c r="J1386" s="9" t="str">
        <f aca="false">IF(H1386=0,"—",IF(H1386=1,"ὁμώνυμον",IF(H1386=2,"διὰ πασῶν",IF(H1386=3,"διὰ πέντε",IF(H1386=4,"διὰ τεσσάρων","?")))))</f>
        <v>διὰ πασῶν</v>
      </c>
      <c r="K1386" s="10"/>
      <c r="L1386" s="14"/>
      <c r="M1386" s="13"/>
    </row>
    <row r="1387" customFormat="false" ht="15.75" hidden="false" customHeight="true" outlineLevel="0" collapsed="false">
      <c r="A1387" s="8" t="n">
        <f aca="false">A1386+1</f>
        <v>1385</v>
      </c>
      <c r="B1387" s="9" t="n">
        <f aca="false">MOD(4*A1387^2,10)</f>
        <v>0</v>
      </c>
      <c r="C1387" s="9" t="n">
        <f aca="false">(26*B1387-5*B1387^2)/24</f>
        <v>0</v>
      </c>
      <c r="D1387" s="9" t="n">
        <f aca="false">(A1387^2+4*C1387)/5</f>
        <v>383645</v>
      </c>
      <c r="E1387" s="9" t="n">
        <f aca="false">MOD(D1387,10)</f>
        <v>5</v>
      </c>
      <c r="F1387" s="9" t="n">
        <f aca="false">2*D1387</f>
        <v>767290</v>
      </c>
      <c r="G1387" s="9" t="n">
        <f aca="false">MOD(F1387,10)</f>
        <v>0</v>
      </c>
      <c r="H1387" s="9" t="n">
        <f aca="false">G1387/2</f>
        <v>0</v>
      </c>
      <c r="I1387" s="9" t="str">
        <f aca="false">IF(H1387=0,"—",IF(H1387=1,"unison (1:1)",IF(H1387=2,"octave (2:1)",IF(H1387=3,"fifth (3:2)",IF(H1387=4,"fourth (4:3)","?")))))</f>
        <v>—</v>
      </c>
      <c r="J1387" s="9" t="str">
        <f aca="false">IF(H1387=0,"—",IF(H1387=1,"ὁμώνυμον",IF(H1387=2,"διὰ πασῶν",IF(H1387=3,"διὰ πέντε",IF(H1387=4,"διὰ τεσσάρων","?")))))</f>
        <v>—</v>
      </c>
      <c r="K1387" s="10"/>
      <c r="L1387" s="14"/>
      <c r="M1387" s="13"/>
    </row>
    <row r="1388" customFormat="false" ht="15.75" hidden="false" customHeight="true" outlineLevel="0" collapsed="false">
      <c r="A1388" s="8" t="n">
        <f aca="false">A1387+1</f>
        <v>1386</v>
      </c>
      <c r="B1388" s="9" t="n">
        <f aca="false">MOD(4*A1388^2,10)</f>
        <v>4</v>
      </c>
      <c r="C1388" s="9" t="n">
        <f aca="false">(26*B1388-5*B1388^2)/24</f>
        <v>1</v>
      </c>
      <c r="D1388" s="9" t="n">
        <f aca="false">(A1388^2+4*C1388)/5</f>
        <v>384200</v>
      </c>
      <c r="E1388" s="9" t="n">
        <f aca="false">MOD(D1388,10)</f>
        <v>0</v>
      </c>
      <c r="F1388" s="9" t="n">
        <f aca="false">2*D1388</f>
        <v>768400</v>
      </c>
      <c r="G1388" s="9" t="n">
        <f aca="false">MOD(F1388,10)</f>
        <v>0</v>
      </c>
      <c r="H1388" s="9" t="n">
        <f aca="false">G1388/2</f>
        <v>0</v>
      </c>
      <c r="I1388" s="9" t="str">
        <f aca="false">IF(H1388=0,"—",IF(H1388=1,"unison (1:1)",IF(H1388=2,"octave (2:1)",IF(H1388=3,"fifth (3:2)",IF(H1388=4,"fourth (4:3)","?")))))</f>
        <v>—</v>
      </c>
      <c r="J1388" s="9" t="str">
        <f aca="false">IF(H1388=0,"—",IF(H1388=1,"ὁμώνυμον",IF(H1388=2,"διὰ πασῶν",IF(H1388=3,"διὰ πέντε",IF(H1388=4,"διὰ τεσσάρων","?")))))</f>
        <v>—</v>
      </c>
      <c r="K1388" s="10"/>
      <c r="L1388" s="14"/>
      <c r="M1388" s="13"/>
    </row>
    <row r="1389" customFormat="false" ht="15.75" hidden="false" customHeight="true" outlineLevel="0" collapsed="false">
      <c r="A1389" s="8" t="n">
        <f aca="false">A1388+1</f>
        <v>1387</v>
      </c>
      <c r="B1389" s="9" t="n">
        <f aca="false">MOD(4*A1389^2,10)</f>
        <v>6</v>
      </c>
      <c r="C1389" s="9" t="n">
        <f aca="false">(26*B1389-5*B1389^2)/24</f>
        <v>-1</v>
      </c>
      <c r="D1389" s="9" t="n">
        <f aca="false">(A1389^2+4*C1389)/5</f>
        <v>384753</v>
      </c>
      <c r="E1389" s="9" t="n">
        <f aca="false">MOD(D1389,10)</f>
        <v>3</v>
      </c>
      <c r="F1389" s="9" t="n">
        <f aca="false">2*D1389</f>
        <v>769506</v>
      </c>
      <c r="G1389" s="9" t="n">
        <f aca="false">MOD(F1389,10)</f>
        <v>6</v>
      </c>
      <c r="H1389" s="9" t="n">
        <f aca="false">G1389/2</f>
        <v>3</v>
      </c>
      <c r="I1389" s="9" t="str">
        <f aca="false">IF(H1389=0,"—",IF(H1389=1,"unison (1:1)",IF(H1389=2,"octave (2:1)",IF(H1389=3,"fifth (3:2)",IF(H1389=4,"fourth (4:3)","?")))))</f>
        <v>fifth (3:2)</v>
      </c>
      <c r="J1389" s="9" t="str">
        <f aca="false">IF(H1389=0,"—",IF(H1389=1,"ὁμώνυμον",IF(H1389=2,"διὰ πασῶν",IF(H1389=3,"διὰ πέντε",IF(H1389=4,"διὰ τεσσάρων","?")))))</f>
        <v>διὰ πέντε</v>
      </c>
      <c r="K1389" s="10"/>
      <c r="L1389" s="14"/>
      <c r="M1389" s="13"/>
    </row>
    <row r="1390" customFormat="false" ht="15.75" hidden="false" customHeight="true" outlineLevel="0" collapsed="false">
      <c r="A1390" s="8" t="n">
        <f aca="false">A1389+1</f>
        <v>1388</v>
      </c>
      <c r="B1390" s="9" t="n">
        <f aca="false">MOD(4*A1390^2,10)</f>
        <v>6</v>
      </c>
      <c r="C1390" s="9" t="n">
        <f aca="false">(26*B1390-5*B1390^2)/24</f>
        <v>-1</v>
      </c>
      <c r="D1390" s="9" t="n">
        <f aca="false">(A1390^2+4*C1390)/5</f>
        <v>385308</v>
      </c>
      <c r="E1390" s="9" t="n">
        <f aca="false">MOD(D1390,10)</f>
        <v>8</v>
      </c>
      <c r="F1390" s="9" t="n">
        <f aca="false">2*D1390</f>
        <v>770616</v>
      </c>
      <c r="G1390" s="9" t="n">
        <f aca="false">MOD(F1390,10)</f>
        <v>6</v>
      </c>
      <c r="H1390" s="9" t="n">
        <f aca="false">G1390/2</f>
        <v>3</v>
      </c>
      <c r="I1390" s="9" t="str">
        <f aca="false">IF(H1390=0,"—",IF(H1390=1,"unison (1:1)",IF(H1390=2,"octave (2:1)",IF(H1390=3,"fifth (3:2)",IF(H1390=4,"fourth (4:3)","?")))))</f>
        <v>fifth (3:2)</v>
      </c>
      <c r="J1390" s="9" t="str">
        <f aca="false">IF(H1390=0,"—",IF(H1390=1,"ὁμώνυμον",IF(H1390=2,"διὰ πασῶν",IF(H1390=3,"διὰ πέντε",IF(H1390=4,"διὰ τεσσάρων","?")))))</f>
        <v>διὰ πέντε</v>
      </c>
      <c r="K1390" s="10"/>
      <c r="L1390" s="14"/>
      <c r="M1390" s="13"/>
    </row>
    <row r="1391" customFormat="false" ht="15.75" hidden="false" customHeight="true" outlineLevel="0" collapsed="false">
      <c r="A1391" s="8" t="n">
        <f aca="false">A1390+1</f>
        <v>1389</v>
      </c>
      <c r="B1391" s="9" t="n">
        <f aca="false">MOD(4*A1391^2,10)</f>
        <v>4</v>
      </c>
      <c r="C1391" s="9" t="n">
        <f aca="false">(26*B1391-5*B1391^2)/24</f>
        <v>1</v>
      </c>
      <c r="D1391" s="9" t="n">
        <f aca="false">(A1391^2+4*C1391)/5</f>
        <v>385865</v>
      </c>
      <c r="E1391" s="9" t="n">
        <f aca="false">MOD(D1391,10)</f>
        <v>5</v>
      </c>
      <c r="F1391" s="9" t="n">
        <f aca="false">2*D1391</f>
        <v>771730</v>
      </c>
      <c r="G1391" s="9" t="n">
        <f aca="false">MOD(F1391,10)</f>
        <v>0</v>
      </c>
      <c r="H1391" s="9" t="n">
        <f aca="false">G1391/2</f>
        <v>0</v>
      </c>
      <c r="I1391" s="9" t="str">
        <f aca="false">IF(H1391=0,"—",IF(H1391=1,"unison (1:1)",IF(H1391=2,"octave (2:1)",IF(H1391=3,"fifth (3:2)",IF(H1391=4,"fourth (4:3)","?")))))</f>
        <v>—</v>
      </c>
      <c r="J1391" s="9" t="str">
        <f aca="false">IF(H1391=0,"—",IF(H1391=1,"ὁμώνυμον",IF(H1391=2,"διὰ πασῶν",IF(H1391=3,"διὰ πέντε",IF(H1391=4,"διὰ τεσσάρων","?")))))</f>
        <v>—</v>
      </c>
      <c r="K1391" s="10"/>
      <c r="L1391" s="14"/>
      <c r="M1391" s="13"/>
    </row>
    <row r="1392" customFormat="false" ht="15.75" hidden="false" customHeight="true" outlineLevel="0" collapsed="false">
      <c r="A1392" s="8" t="n">
        <f aca="false">A1391+1</f>
        <v>1390</v>
      </c>
      <c r="B1392" s="9" t="n">
        <f aca="false">MOD(4*A1392^2,10)</f>
        <v>0</v>
      </c>
      <c r="C1392" s="9" t="n">
        <f aca="false">(26*B1392-5*B1392^2)/24</f>
        <v>0</v>
      </c>
      <c r="D1392" s="9" t="n">
        <f aca="false">(A1392^2+4*C1392)/5</f>
        <v>386420</v>
      </c>
      <c r="E1392" s="9" t="n">
        <f aca="false">MOD(D1392,10)</f>
        <v>0</v>
      </c>
      <c r="F1392" s="9" t="n">
        <f aca="false">2*D1392</f>
        <v>772840</v>
      </c>
      <c r="G1392" s="9" t="n">
        <f aca="false">MOD(F1392,10)</f>
        <v>0</v>
      </c>
      <c r="H1392" s="9" t="n">
        <f aca="false">G1392/2</f>
        <v>0</v>
      </c>
      <c r="I1392" s="9" t="str">
        <f aca="false">IF(H1392=0,"—",IF(H1392=1,"unison (1:1)",IF(H1392=2,"octave (2:1)",IF(H1392=3,"fifth (3:2)",IF(H1392=4,"fourth (4:3)","?")))))</f>
        <v>—</v>
      </c>
      <c r="J1392" s="9" t="str">
        <f aca="false">IF(H1392=0,"—",IF(H1392=1,"ὁμώνυμον",IF(H1392=2,"διὰ πασῶν",IF(H1392=3,"διὰ πέντε",IF(H1392=4,"διὰ τεσσάρων","?")))))</f>
        <v>—</v>
      </c>
      <c r="K1392" s="10"/>
      <c r="L1392" s="14"/>
      <c r="M1392" s="13"/>
    </row>
    <row r="1393" customFormat="false" ht="15.75" hidden="false" customHeight="true" outlineLevel="0" collapsed="false">
      <c r="A1393" s="8" t="n">
        <f aca="false">A1392+1</f>
        <v>1391</v>
      </c>
      <c r="B1393" s="9" t="n">
        <f aca="false">MOD(4*A1393^2,10)</f>
        <v>4</v>
      </c>
      <c r="C1393" s="9" t="n">
        <f aca="false">(26*B1393-5*B1393^2)/24</f>
        <v>1</v>
      </c>
      <c r="D1393" s="9" t="n">
        <f aca="false">(A1393^2+4*C1393)/5</f>
        <v>386977</v>
      </c>
      <c r="E1393" s="9" t="n">
        <f aca="false">MOD(D1393,10)</f>
        <v>7</v>
      </c>
      <c r="F1393" s="9" t="n">
        <f aca="false">2*D1393</f>
        <v>773954</v>
      </c>
      <c r="G1393" s="9" t="n">
        <f aca="false">MOD(F1393,10)</f>
        <v>4</v>
      </c>
      <c r="H1393" s="9" t="n">
        <f aca="false">G1393/2</f>
        <v>2</v>
      </c>
      <c r="I1393" s="9" t="str">
        <f aca="false">IF(H1393=0,"—",IF(H1393=1,"unison (1:1)",IF(H1393=2,"octave (2:1)",IF(H1393=3,"fifth (3:2)",IF(H1393=4,"fourth (4:3)","?")))))</f>
        <v>octave (2:1)</v>
      </c>
      <c r="J1393" s="9" t="str">
        <f aca="false">IF(H1393=0,"—",IF(H1393=1,"ὁμώνυμον",IF(H1393=2,"διὰ πασῶν",IF(H1393=3,"διὰ πέντε",IF(H1393=4,"διὰ τεσσάρων","?")))))</f>
        <v>διὰ πασῶν</v>
      </c>
      <c r="K1393" s="10"/>
      <c r="L1393" s="14"/>
      <c r="M1393" s="13"/>
    </row>
    <row r="1394" customFormat="false" ht="15.75" hidden="false" customHeight="true" outlineLevel="0" collapsed="false">
      <c r="A1394" s="8" t="n">
        <f aca="false">A1393+1</f>
        <v>1392</v>
      </c>
      <c r="B1394" s="9" t="n">
        <f aca="false">MOD(4*A1394^2,10)</f>
        <v>6</v>
      </c>
      <c r="C1394" s="9" t="n">
        <f aca="false">(26*B1394-5*B1394^2)/24</f>
        <v>-1</v>
      </c>
      <c r="D1394" s="9" t="n">
        <f aca="false">(A1394^2+4*C1394)/5</f>
        <v>387532</v>
      </c>
      <c r="E1394" s="9" t="n">
        <f aca="false">MOD(D1394,10)</f>
        <v>2</v>
      </c>
      <c r="F1394" s="9" t="n">
        <f aca="false">2*D1394</f>
        <v>775064</v>
      </c>
      <c r="G1394" s="9" t="n">
        <f aca="false">MOD(F1394,10)</f>
        <v>4</v>
      </c>
      <c r="H1394" s="9" t="n">
        <f aca="false">G1394/2</f>
        <v>2</v>
      </c>
      <c r="I1394" s="9" t="str">
        <f aca="false">IF(H1394=0,"—",IF(H1394=1,"unison (1:1)",IF(H1394=2,"octave (2:1)",IF(H1394=3,"fifth (3:2)",IF(H1394=4,"fourth (4:3)","?")))))</f>
        <v>octave (2:1)</v>
      </c>
      <c r="J1394" s="9" t="str">
        <f aca="false">IF(H1394=0,"—",IF(H1394=1,"ὁμώνυμον",IF(H1394=2,"διὰ πασῶν",IF(H1394=3,"διὰ πέντε",IF(H1394=4,"διὰ τεσσάρων","?")))))</f>
        <v>διὰ πασῶν</v>
      </c>
      <c r="K1394" s="10"/>
      <c r="L1394" s="14"/>
      <c r="M1394" s="13"/>
    </row>
    <row r="1395" customFormat="false" ht="15.75" hidden="false" customHeight="true" outlineLevel="0" collapsed="false">
      <c r="A1395" s="8" t="n">
        <f aca="false">A1394+1</f>
        <v>1393</v>
      </c>
      <c r="B1395" s="9" t="n">
        <f aca="false">MOD(4*A1395^2,10)</f>
        <v>6</v>
      </c>
      <c r="C1395" s="9" t="n">
        <f aca="false">(26*B1395-5*B1395^2)/24</f>
        <v>-1</v>
      </c>
      <c r="D1395" s="9" t="n">
        <f aca="false">(A1395^2+4*C1395)/5</f>
        <v>388089</v>
      </c>
      <c r="E1395" s="9" t="n">
        <f aca="false">MOD(D1395,10)</f>
        <v>9</v>
      </c>
      <c r="F1395" s="9" t="n">
        <f aca="false">2*D1395</f>
        <v>776178</v>
      </c>
      <c r="G1395" s="9" t="n">
        <f aca="false">MOD(F1395,10)</f>
        <v>8</v>
      </c>
      <c r="H1395" s="9" t="n">
        <f aca="false">G1395/2</f>
        <v>4</v>
      </c>
      <c r="I1395" s="9" t="str">
        <f aca="false">IF(H1395=0,"—",IF(H1395=1,"unison (1:1)",IF(H1395=2,"octave (2:1)",IF(H1395=3,"fifth (3:2)",IF(H1395=4,"fourth (4:3)","?")))))</f>
        <v>fourth (4:3)</v>
      </c>
      <c r="J1395" s="9" t="str">
        <f aca="false">IF(H1395=0,"—",IF(H1395=1,"ὁμώνυμον",IF(H1395=2,"διὰ πασῶν",IF(H1395=3,"διὰ πέντε",IF(H1395=4,"διὰ τεσσάρων","?")))))</f>
        <v>διὰ τεσσάρων</v>
      </c>
      <c r="K1395" s="10"/>
      <c r="L1395" s="14"/>
      <c r="M1395" s="13"/>
    </row>
    <row r="1396" customFormat="false" ht="15.75" hidden="false" customHeight="true" outlineLevel="0" collapsed="false">
      <c r="A1396" s="8" t="n">
        <f aca="false">A1395+1</f>
        <v>1394</v>
      </c>
      <c r="B1396" s="9" t="n">
        <f aca="false">MOD(4*A1396^2,10)</f>
        <v>4</v>
      </c>
      <c r="C1396" s="9" t="n">
        <f aca="false">(26*B1396-5*B1396^2)/24</f>
        <v>1</v>
      </c>
      <c r="D1396" s="9" t="n">
        <f aca="false">(A1396^2+4*C1396)/5</f>
        <v>388648</v>
      </c>
      <c r="E1396" s="9" t="n">
        <f aca="false">MOD(D1396,10)</f>
        <v>8</v>
      </c>
      <c r="F1396" s="9" t="n">
        <f aca="false">2*D1396</f>
        <v>777296</v>
      </c>
      <c r="G1396" s="9" t="n">
        <f aca="false">MOD(F1396,10)</f>
        <v>6</v>
      </c>
      <c r="H1396" s="9" t="n">
        <f aca="false">G1396/2</f>
        <v>3</v>
      </c>
      <c r="I1396" s="9" t="str">
        <f aca="false">IF(H1396=0,"—",IF(H1396=1,"unison (1:1)",IF(H1396=2,"octave (2:1)",IF(H1396=3,"fifth (3:2)",IF(H1396=4,"fourth (4:3)","?")))))</f>
        <v>fifth (3:2)</v>
      </c>
      <c r="J1396" s="9" t="str">
        <f aca="false">IF(H1396=0,"—",IF(H1396=1,"ὁμώνυμον",IF(H1396=2,"διὰ πασῶν",IF(H1396=3,"διὰ πέντε",IF(H1396=4,"διὰ τεσσάρων","?")))))</f>
        <v>διὰ πέντε</v>
      </c>
      <c r="K1396" s="10"/>
      <c r="L1396" s="14"/>
      <c r="M1396" s="13"/>
    </row>
    <row r="1397" customFormat="false" ht="15.75" hidden="false" customHeight="true" outlineLevel="0" collapsed="false">
      <c r="A1397" s="8" t="n">
        <f aca="false">A1396+1</f>
        <v>1395</v>
      </c>
      <c r="B1397" s="9" t="n">
        <f aca="false">MOD(4*A1397^2,10)</f>
        <v>0</v>
      </c>
      <c r="C1397" s="9" t="n">
        <f aca="false">(26*B1397-5*B1397^2)/24</f>
        <v>0</v>
      </c>
      <c r="D1397" s="9" t="n">
        <f aca="false">(A1397^2+4*C1397)/5</f>
        <v>389205</v>
      </c>
      <c r="E1397" s="9" t="n">
        <f aca="false">MOD(D1397,10)</f>
        <v>5</v>
      </c>
      <c r="F1397" s="9" t="n">
        <f aca="false">2*D1397</f>
        <v>778410</v>
      </c>
      <c r="G1397" s="9" t="n">
        <f aca="false">MOD(F1397,10)</f>
        <v>0</v>
      </c>
      <c r="H1397" s="9" t="n">
        <f aca="false">G1397/2</f>
        <v>0</v>
      </c>
      <c r="I1397" s="9" t="str">
        <f aca="false">IF(H1397=0,"—",IF(H1397=1,"unison (1:1)",IF(H1397=2,"octave (2:1)",IF(H1397=3,"fifth (3:2)",IF(H1397=4,"fourth (4:3)","?")))))</f>
        <v>—</v>
      </c>
      <c r="J1397" s="9" t="str">
        <f aca="false">IF(H1397=0,"—",IF(H1397=1,"ὁμώνυμον",IF(H1397=2,"διὰ πασῶν",IF(H1397=3,"διὰ πέντε",IF(H1397=4,"διὰ τεσσάρων","?")))))</f>
        <v>—</v>
      </c>
      <c r="K1397" s="10"/>
      <c r="L1397" s="14"/>
      <c r="M1397" s="13"/>
    </row>
    <row r="1398" customFormat="false" ht="15.75" hidden="false" customHeight="true" outlineLevel="0" collapsed="false">
      <c r="A1398" s="8" t="n">
        <f aca="false">A1397+1</f>
        <v>1396</v>
      </c>
      <c r="B1398" s="9" t="n">
        <f aca="false">MOD(4*A1398^2,10)</f>
        <v>4</v>
      </c>
      <c r="C1398" s="9" t="n">
        <f aca="false">(26*B1398-5*B1398^2)/24</f>
        <v>1</v>
      </c>
      <c r="D1398" s="9" t="n">
        <f aca="false">(A1398^2+4*C1398)/5</f>
        <v>389764</v>
      </c>
      <c r="E1398" s="9" t="n">
        <f aca="false">MOD(D1398,10)</f>
        <v>4</v>
      </c>
      <c r="F1398" s="9" t="n">
        <f aca="false">2*D1398</f>
        <v>779528</v>
      </c>
      <c r="G1398" s="9" t="n">
        <f aca="false">MOD(F1398,10)</f>
        <v>8</v>
      </c>
      <c r="H1398" s="9" t="n">
        <f aca="false">G1398/2</f>
        <v>4</v>
      </c>
      <c r="I1398" s="9" t="str">
        <f aca="false">IF(H1398=0,"—",IF(H1398=1,"unison (1:1)",IF(H1398=2,"octave (2:1)",IF(H1398=3,"fifth (3:2)",IF(H1398=4,"fourth (4:3)","?")))))</f>
        <v>fourth (4:3)</v>
      </c>
      <c r="J1398" s="9" t="str">
        <f aca="false">IF(H1398=0,"—",IF(H1398=1,"ὁμώνυμον",IF(H1398=2,"διὰ πασῶν",IF(H1398=3,"διὰ πέντε",IF(H1398=4,"διὰ τεσσάρων","?")))))</f>
        <v>διὰ τεσσάρων</v>
      </c>
      <c r="K1398" s="10"/>
      <c r="L1398" s="14"/>
      <c r="M1398" s="13"/>
    </row>
    <row r="1399" customFormat="false" ht="15.75" hidden="false" customHeight="true" outlineLevel="0" collapsed="false">
      <c r="A1399" s="8" t="n">
        <f aca="false">A1398+1</f>
        <v>1397</v>
      </c>
      <c r="B1399" s="9" t="n">
        <f aca="false">MOD(4*A1399^2,10)</f>
        <v>6</v>
      </c>
      <c r="C1399" s="9" t="n">
        <f aca="false">(26*B1399-5*B1399^2)/24</f>
        <v>-1</v>
      </c>
      <c r="D1399" s="9" t="n">
        <f aca="false">(A1399^2+4*C1399)/5</f>
        <v>390321</v>
      </c>
      <c r="E1399" s="9" t="n">
        <f aca="false">MOD(D1399,10)</f>
        <v>1</v>
      </c>
      <c r="F1399" s="9" t="n">
        <f aca="false">2*D1399</f>
        <v>780642</v>
      </c>
      <c r="G1399" s="9" t="n">
        <f aca="false">MOD(F1399,10)</f>
        <v>2</v>
      </c>
      <c r="H1399" s="9" t="n">
        <f aca="false">G1399/2</f>
        <v>1</v>
      </c>
      <c r="I1399" s="9" t="str">
        <f aca="false">IF(H1399=0,"—",IF(H1399=1,"unison (1:1)",IF(H1399=2,"octave (2:1)",IF(H1399=3,"fifth (3:2)",IF(H1399=4,"fourth (4:3)","?")))))</f>
        <v>unison (1:1)</v>
      </c>
      <c r="J1399" s="9" t="str">
        <f aca="false">IF(H1399=0,"—",IF(H1399=1,"ὁμώνυμον",IF(H1399=2,"διὰ πασῶν",IF(H1399=3,"διὰ πέντε",IF(H1399=4,"διὰ τεσσάρων","?")))))</f>
        <v>ὁμώνυμον</v>
      </c>
      <c r="K1399" s="10"/>
      <c r="L1399" s="14"/>
      <c r="M1399" s="13"/>
    </row>
    <row r="1400" customFormat="false" ht="15.75" hidden="false" customHeight="true" outlineLevel="0" collapsed="false">
      <c r="A1400" s="8" t="n">
        <f aca="false">A1399+1</f>
        <v>1398</v>
      </c>
      <c r="B1400" s="9" t="n">
        <f aca="false">MOD(4*A1400^2,10)</f>
        <v>6</v>
      </c>
      <c r="C1400" s="9" t="n">
        <f aca="false">(26*B1400-5*B1400^2)/24</f>
        <v>-1</v>
      </c>
      <c r="D1400" s="9" t="n">
        <f aca="false">(A1400^2+4*C1400)/5</f>
        <v>390880</v>
      </c>
      <c r="E1400" s="9" t="n">
        <f aca="false">MOD(D1400,10)</f>
        <v>0</v>
      </c>
      <c r="F1400" s="9" t="n">
        <f aca="false">2*D1400</f>
        <v>781760</v>
      </c>
      <c r="G1400" s="9" t="n">
        <f aca="false">MOD(F1400,10)</f>
        <v>0</v>
      </c>
      <c r="H1400" s="9" t="n">
        <f aca="false">G1400/2</f>
        <v>0</v>
      </c>
      <c r="I1400" s="9" t="str">
        <f aca="false">IF(H1400=0,"—",IF(H1400=1,"unison (1:1)",IF(H1400=2,"octave (2:1)",IF(H1400=3,"fifth (3:2)",IF(H1400=4,"fourth (4:3)","?")))))</f>
        <v>—</v>
      </c>
      <c r="J1400" s="9" t="str">
        <f aca="false">IF(H1400=0,"—",IF(H1400=1,"ὁμώνυμον",IF(H1400=2,"διὰ πασῶν",IF(H1400=3,"διὰ πέντε",IF(H1400=4,"διὰ τεσσάρων","?")))))</f>
        <v>—</v>
      </c>
      <c r="K1400" s="10"/>
      <c r="L1400" s="14"/>
      <c r="M1400" s="13"/>
    </row>
    <row r="1401" customFormat="false" ht="15.75" hidden="false" customHeight="true" outlineLevel="0" collapsed="false">
      <c r="A1401" s="8" t="n">
        <f aca="false">A1400+1</f>
        <v>1399</v>
      </c>
      <c r="B1401" s="9" t="n">
        <f aca="false">MOD(4*A1401^2,10)</f>
        <v>4</v>
      </c>
      <c r="C1401" s="9" t="n">
        <f aca="false">(26*B1401-5*B1401^2)/24</f>
        <v>1</v>
      </c>
      <c r="D1401" s="9" t="n">
        <f aca="false">(A1401^2+4*C1401)/5</f>
        <v>391441</v>
      </c>
      <c r="E1401" s="9" t="n">
        <f aca="false">MOD(D1401,10)</f>
        <v>1</v>
      </c>
      <c r="F1401" s="9" t="n">
        <f aca="false">2*D1401</f>
        <v>782882</v>
      </c>
      <c r="G1401" s="9" t="n">
        <f aca="false">MOD(F1401,10)</f>
        <v>2</v>
      </c>
      <c r="H1401" s="9" t="n">
        <f aca="false">G1401/2</f>
        <v>1</v>
      </c>
      <c r="I1401" s="9" t="str">
        <f aca="false">IF(H1401=0,"—",IF(H1401=1,"unison (1:1)",IF(H1401=2,"octave (2:1)",IF(H1401=3,"fifth (3:2)",IF(H1401=4,"fourth (4:3)","?")))))</f>
        <v>unison (1:1)</v>
      </c>
      <c r="J1401" s="9" t="str">
        <f aca="false">IF(H1401=0,"—",IF(H1401=1,"ὁμώνυμον",IF(H1401=2,"διὰ πασῶν",IF(H1401=3,"διὰ πέντε",IF(H1401=4,"διὰ τεσσάρων","?")))))</f>
        <v>ὁμώνυμον</v>
      </c>
      <c r="K1401" s="10"/>
      <c r="L1401" s="14"/>
      <c r="M1401" s="13"/>
    </row>
    <row r="1402" customFormat="false" ht="15.75" hidden="false" customHeight="true" outlineLevel="0" collapsed="false">
      <c r="A1402" s="8" t="n">
        <f aca="false">A1401+1</f>
        <v>1400</v>
      </c>
      <c r="B1402" s="9" t="n">
        <f aca="false">MOD(4*A1402^2,10)</f>
        <v>0</v>
      </c>
      <c r="C1402" s="9" t="n">
        <f aca="false">(26*B1402-5*B1402^2)/24</f>
        <v>0</v>
      </c>
      <c r="D1402" s="9" t="n">
        <f aca="false">(A1402^2+4*C1402)/5</f>
        <v>392000</v>
      </c>
      <c r="E1402" s="9" t="n">
        <f aca="false">MOD(D1402,10)</f>
        <v>0</v>
      </c>
      <c r="F1402" s="9" t="n">
        <f aca="false">2*D1402</f>
        <v>784000</v>
      </c>
      <c r="G1402" s="9" t="n">
        <f aca="false">MOD(F1402,10)</f>
        <v>0</v>
      </c>
      <c r="H1402" s="9" t="n">
        <f aca="false">G1402/2</f>
        <v>0</v>
      </c>
      <c r="I1402" s="9" t="str">
        <f aca="false">IF(H1402=0,"—",IF(H1402=1,"unison (1:1)",IF(H1402=2,"octave (2:1)",IF(H1402=3,"fifth (3:2)",IF(H1402=4,"fourth (4:3)","?")))))</f>
        <v>—</v>
      </c>
      <c r="J1402" s="9" t="str">
        <f aca="false">IF(H1402=0,"—",IF(H1402=1,"ὁμώνυμον",IF(H1402=2,"διὰ πασῶν",IF(H1402=3,"διὰ πέντε",IF(H1402=4,"διὰ τεσσάρων","?")))))</f>
        <v>—</v>
      </c>
      <c r="K1402" s="10"/>
      <c r="L1402" s="14"/>
      <c r="M1402" s="13"/>
    </row>
    <row r="1403" customFormat="false" ht="15.75" hidden="false" customHeight="true" outlineLevel="0" collapsed="false">
      <c r="A1403" s="8" t="n">
        <f aca="false">A1402+1</f>
        <v>1401</v>
      </c>
      <c r="B1403" s="9" t="n">
        <f aca="false">MOD(4*A1403^2,10)</f>
        <v>4</v>
      </c>
      <c r="C1403" s="9" t="n">
        <f aca="false">(26*B1403-5*B1403^2)/24</f>
        <v>1</v>
      </c>
      <c r="D1403" s="9" t="n">
        <f aca="false">(A1403^2+4*C1403)/5</f>
        <v>392561</v>
      </c>
      <c r="E1403" s="9" t="n">
        <f aca="false">MOD(D1403,10)</f>
        <v>1</v>
      </c>
      <c r="F1403" s="9" t="n">
        <f aca="false">2*D1403</f>
        <v>785122</v>
      </c>
      <c r="G1403" s="9" t="n">
        <f aca="false">MOD(F1403,10)</f>
        <v>2</v>
      </c>
      <c r="H1403" s="9" t="n">
        <f aca="false">G1403/2</f>
        <v>1</v>
      </c>
      <c r="I1403" s="9" t="str">
        <f aca="false">IF(H1403=0,"—",IF(H1403=1,"unison (1:1)",IF(H1403=2,"octave (2:1)",IF(H1403=3,"fifth (3:2)",IF(H1403=4,"fourth (4:3)","?")))))</f>
        <v>unison (1:1)</v>
      </c>
      <c r="J1403" s="9" t="str">
        <f aca="false">IF(H1403=0,"—",IF(H1403=1,"ὁμώνυμον",IF(H1403=2,"διὰ πασῶν",IF(H1403=3,"διὰ πέντε",IF(H1403=4,"διὰ τεσσάρων","?")))))</f>
        <v>ὁμώνυμον</v>
      </c>
      <c r="K1403" s="10"/>
      <c r="L1403" s="14"/>
      <c r="M1403" s="13"/>
    </row>
    <row r="1404" customFormat="false" ht="15.75" hidden="false" customHeight="true" outlineLevel="0" collapsed="false">
      <c r="A1404" s="8" t="n">
        <f aca="false">A1403+1</f>
        <v>1402</v>
      </c>
      <c r="B1404" s="9" t="n">
        <f aca="false">MOD(4*A1404^2,10)</f>
        <v>6</v>
      </c>
      <c r="C1404" s="9" t="n">
        <f aca="false">(26*B1404-5*B1404^2)/24</f>
        <v>-1</v>
      </c>
      <c r="D1404" s="9" t="n">
        <f aca="false">(A1404^2+4*C1404)/5</f>
        <v>393120</v>
      </c>
      <c r="E1404" s="9" t="n">
        <f aca="false">MOD(D1404,10)</f>
        <v>0</v>
      </c>
      <c r="F1404" s="9" t="n">
        <f aca="false">2*D1404</f>
        <v>786240</v>
      </c>
      <c r="G1404" s="9" t="n">
        <f aca="false">MOD(F1404,10)</f>
        <v>0</v>
      </c>
      <c r="H1404" s="9" t="n">
        <f aca="false">G1404/2</f>
        <v>0</v>
      </c>
      <c r="I1404" s="9" t="str">
        <f aca="false">IF(H1404=0,"—",IF(H1404=1,"unison (1:1)",IF(H1404=2,"octave (2:1)",IF(H1404=3,"fifth (3:2)",IF(H1404=4,"fourth (4:3)","?")))))</f>
        <v>—</v>
      </c>
      <c r="J1404" s="9" t="str">
        <f aca="false">IF(H1404=0,"—",IF(H1404=1,"ὁμώνυμον",IF(H1404=2,"διὰ πασῶν",IF(H1404=3,"διὰ πέντε",IF(H1404=4,"διὰ τεσσάρων","?")))))</f>
        <v>—</v>
      </c>
      <c r="K1404" s="10"/>
      <c r="L1404" s="14"/>
      <c r="M1404" s="13"/>
    </row>
    <row r="1405" customFormat="false" ht="15.75" hidden="false" customHeight="true" outlineLevel="0" collapsed="false">
      <c r="A1405" s="8" t="n">
        <f aca="false">A1404+1</f>
        <v>1403</v>
      </c>
      <c r="B1405" s="9" t="n">
        <f aca="false">MOD(4*A1405^2,10)</f>
        <v>6</v>
      </c>
      <c r="C1405" s="9" t="n">
        <f aca="false">(26*B1405-5*B1405^2)/24</f>
        <v>-1</v>
      </c>
      <c r="D1405" s="9" t="n">
        <f aca="false">(A1405^2+4*C1405)/5</f>
        <v>393681</v>
      </c>
      <c r="E1405" s="9" t="n">
        <f aca="false">MOD(D1405,10)</f>
        <v>1</v>
      </c>
      <c r="F1405" s="9" t="n">
        <f aca="false">2*D1405</f>
        <v>787362</v>
      </c>
      <c r="G1405" s="9" t="n">
        <f aca="false">MOD(F1405,10)</f>
        <v>2</v>
      </c>
      <c r="H1405" s="9" t="n">
        <f aca="false">G1405/2</f>
        <v>1</v>
      </c>
      <c r="I1405" s="9" t="str">
        <f aca="false">IF(H1405=0,"—",IF(H1405=1,"unison (1:1)",IF(H1405=2,"octave (2:1)",IF(H1405=3,"fifth (3:2)",IF(H1405=4,"fourth (4:3)","?")))))</f>
        <v>unison (1:1)</v>
      </c>
      <c r="J1405" s="9" t="str">
        <f aca="false">IF(H1405=0,"—",IF(H1405=1,"ὁμώνυμον",IF(H1405=2,"διὰ πασῶν",IF(H1405=3,"διὰ πέντε",IF(H1405=4,"διὰ τεσσάρων","?")))))</f>
        <v>ὁμώνυμον</v>
      </c>
      <c r="K1405" s="10"/>
      <c r="L1405" s="14"/>
      <c r="M1405" s="13"/>
    </row>
    <row r="1406" customFormat="false" ht="15.75" hidden="false" customHeight="true" outlineLevel="0" collapsed="false">
      <c r="A1406" s="8" t="n">
        <f aca="false">A1405+1</f>
        <v>1404</v>
      </c>
      <c r="B1406" s="9" t="n">
        <f aca="false">MOD(4*A1406^2,10)</f>
        <v>4</v>
      </c>
      <c r="C1406" s="9" t="n">
        <f aca="false">(26*B1406-5*B1406^2)/24</f>
        <v>1</v>
      </c>
      <c r="D1406" s="9" t="n">
        <f aca="false">(A1406^2+4*C1406)/5</f>
        <v>394244</v>
      </c>
      <c r="E1406" s="9" t="n">
        <f aca="false">MOD(D1406,10)</f>
        <v>4</v>
      </c>
      <c r="F1406" s="9" t="n">
        <f aca="false">2*D1406</f>
        <v>788488</v>
      </c>
      <c r="G1406" s="9" t="n">
        <f aca="false">MOD(F1406,10)</f>
        <v>8</v>
      </c>
      <c r="H1406" s="9" t="n">
        <f aca="false">G1406/2</f>
        <v>4</v>
      </c>
      <c r="I1406" s="9" t="str">
        <f aca="false">IF(H1406=0,"—",IF(H1406=1,"unison (1:1)",IF(H1406=2,"octave (2:1)",IF(H1406=3,"fifth (3:2)",IF(H1406=4,"fourth (4:3)","?")))))</f>
        <v>fourth (4:3)</v>
      </c>
      <c r="J1406" s="9" t="str">
        <f aca="false">IF(H1406=0,"—",IF(H1406=1,"ὁμώνυμον",IF(H1406=2,"διὰ πασῶν",IF(H1406=3,"διὰ πέντε",IF(H1406=4,"διὰ τεσσάρων","?")))))</f>
        <v>διὰ τεσσάρων</v>
      </c>
      <c r="K1406" s="10"/>
      <c r="L1406" s="14"/>
      <c r="M1406" s="13"/>
    </row>
    <row r="1407" customFormat="false" ht="15.75" hidden="false" customHeight="true" outlineLevel="0" collapsed="false">
      <c r="A1407" s="8" t="n">
        <f aca="false">A1406+1</f>
        <v>1405</v>
      </c>
      <c r="B1407" s="9" t="n">
        <f aca="false">MOD(4*A1407^2,10)</f>
        <v>0</v>
      </c>
      <c r="C1407" s="9" t="n">
        <f aca="false">(26*B1407-5*B1407^2)/24</f>
        <v>0</v>
      </c>
      <c r="D1407" s="9" t="n">
        <f aca="false">(A1407^2+4*C1407)/5</f>
        <v>394805</v>
      </c>
      <c r="E1407" s="9" t="n">
        <f aca="false">MOD(D1407,10)</f>
        <v>5</v>
      </c>
      <c r="F1407" s="9" t="n">
        <f aca="false">2*D1407</f>
        <v>789610</v>
      </c>
      <c r="G1407" s="9" t="n">
        <f aca="false">MOD(F1407,10)</f>
        <v>0</v>
      </c>
      <c r="H1407" s="9" t="n">
        <f aca="false">G1407/2</f>
        <v>0</v>
      </c>
      <c r="I1407" s="9" t="str">
        <f aca="false">IF(H1407=0,"—",IF(H1407=1,"unison (1:1)",IF(H1407=2,"octave (2:1)",IF(H1407=3,"fifth (3:2)",IF(H1407=4,"fourth (4:3)","?")))))</f>
        <v>—</v>
      </c>
      <c r="J1407" s="9" t="str">
        <f aca="false">IF(H1407=0,"—",IF(H1407=1,"ὁμώνυμον",IF(H1407=2,"διὰ πασῶν",IF(H1407=3,"διὰ πέντε",IF(H1407=4,"διὰ τεσσάρων","?")))))</f>
        <v>—</v>
      </c>
      <c r="K1407" s="10"/>
      <c r="L1407" s="14"/>
      <c r="M1407" s="13"/>
    </row>
    <row r="1408" customFormat="false" ht="15.75" hidden="false" customHeight="true" outlineLevel="0" collapsed="false">
      <c r="A1408" s="8" t="n">
        <f aca="false">A1407+1</f>
        <v>1406</v>
      </c>
      <c r="B1408" s="9" t="n">
        <f aca="false">MOD(4*A1408^2,10)</f>
        <v>4</v>
      </c>
      <c r="C1408" s="9" t="n">
        <f aca="false">(26*B1408-5*B1408^2)/24</f>
        <v>1</v>
      </c>
      <c r="D1408" s="9" t="n">
        <f aca="false">(A1408^2+4*C1408)/5</f>
        <v>395368</v>
      </c>
      <c r="E1408" s="9" t="n">
        <f aca="false">MOD(D1408,10)</f>
        <v>8</v>
      </c>
      <c r="F1408" s="9" t="n">
        <f aca="false">2*D1408</f>
        <v>790736</v>
      </c>
      <c r="G1408" s="9" t="n">
        <f aca="false">MOD(F1408,10)</f>
        <v>6</v>
      </c>
      <c r="H1408" s="9" t="n">
        <f aca="false">G1408/2</f>
        <v>3</v>
      </c>
      <c r="I1408" s="9" t="str">
        <f aca="false">IF(H1408=0,"—",IF(H1408=1,"unison (1:1)",IF(H1408=2,"octave (2:1)",IF(H1408=3,"fifth (3:2)",IF(H1408=4,"fourth (4:3)","?")))))</f>
        <v>fifth (3:2)</v>
      </c>
      <c r="J1408" s="9" t="str">
        <f aca="false">IF(H1408=0,"—",IF(H1408=1,"ὁμώνυμον",IF(H1408=2,"διὰ πασῶν",IF(H1408=3,"διὰ πέντε",IF(H1408=4,"διὰ τεσσάρων","?")))))</f>
        <v>διὰ πέντε</v>
      </c>
      <c r="K1408" s="10"/>
      <c r="L1408" s="14"/>
      <c r="M1408" s="13"/>
    </row>
    <row r="1409" customFormat="false" ht="15.75" hidden="false" customHeight="true" outlineLevel="0" collapsed="false">
      <c r="A1409" s="8" t="n">
        <f aca="false">A1408+1</f>
        <v>1407</v>
      </c>
      <c r="B1409" s="9" t="n">
        <f aca="false">MOD(4*A1409^2,10)</f>
        <v>6</v>
      </c>
      <c r="C1409" s="9" t="n">
        <f aca="false">(26*B1409-5*B1409^2)/24</f>
        <v>-1</v>
      </c>
      <c r="D1409" s="9" t="n">
        <f aca="false">(A1409^2+4*C1409)/5</f>
        <v>395929</v>
      </c>
      <c r="E1409" s="9" t="n">
        <f aca="false">MOD(D1409,10)</f>
        <v>9</v>
      </c>
      <c r="F1409" s="9" t="n">
        <f aca="false">2*D1409</f>
        <v>791858</v>
      </c>
      <c r="G1409" s="9" t="n">
        <f aca="false">MOD(F1409,10)</f>
        <v>8</v>
      </c>
      <c r="H1409" s="9" t="n">
        <f aca="false">G1409/2</f>
        <v>4</v>
      </c>
      <c r="I1409" s="9" t="str">
        <f aca="false">IF(H1409=0,"—",IF(H1409=1,"unison (1:1)",IF(H1409=2,"octave (2:1)",IF(H1409=3,"fifth (3:2)",IF(H1409=4,"fourth (4:3)","?")))))</f>
        <v>fourth (4:3)</v>
      </c>
      <c r="J1409" s="9" t="str">
        <f aca="false">IF(H1409=0,"—",IF(H1409=1,"ὁμώνυμον",IF(H1409=2,"διὰ πασῶν",IF(H1409=3,"διὰ πέντε",IF(H1409=4,"διὰ τεσσάρων","?")))))</f>
        <v>διὰ τεσσάρων</v>
      </c>
      <c r="K1409" s="10"/>
      <c r="L1409" s="14"/>
      <c r="M1409" s="13"/>
    </row>
    <row r="1410" customFormat="false" ht="15.75" hidden="false" customHeight="true" outlineLevel="0" collapsed="false">
      <c r="A1410" s="8" t="n">
        <f aca="false">A1409+1</f>
        <v>1408</v>
      </c>
      <c r="B1410" s="9" t="n">
        <f aca="false">MOD(4*A1410^2,10)</f>
        <v>6</v>
      </c>
      <c r="C1410" s="9" t="n">
        <f aca="false">(26*B1410-5*B1410^2)/24</f>
        <v>-1</v>
      </c>
      <c r="D1410" s="9" t="n">
        <f aca="false">(A1410^2+4*C1410)/5</f>
        <v>396492</v>
      </c>
      <c r="E1410" s="9" t="n">
        <f aca="false">MOD(D1410,10)</f>
        <v>2</v>
      </c>
      <c r="F1410" s="9" t="n">
        <f aca="false">2*D1410</f>
        <v>792984</v>
      </c>
      <c r="G1410" s="9" t="n">
        <f aca="false">MOD(F1410,10)</f>
        <v>4</v>
      </c>
      <c r="H1410" s="9" t="n">
        <f aca="false">G1410/2</f>
        <v>2</v>
      </c>
      <c r="I1410" s="9" t="str">
        <f aca="false">IF(H1410=0,"—",IF(H1410=1,"unison (1:1)",IF(H1410=2,"octave (2:1)",IF(H1410=3,"fifth (3:2)",IF(H1410=4,"fourth (4:3)","?")))))</f>
        <v>octave (2:1)</v>
      </c>
      <c r="J1410" s="9" t="str">
        <f aca="false">IF(H1410=0,"—",IF(H1410=1,"ὁμώνυμον",IF(H1410=2,"διὰ πασῶν",IF(H1410=3,"διὰ πέντε",IF(H1410=4,"διὰ τεσσάρων","?")))))</f>
        <v>διὰ πασῶν</v>
      </c>
      <c r="K1410" s="10"/>
      <c r="L1410" s="14"/>
      <c r="M1410" s="13"/>
    </row>
    <row r="1411" customFormat="false" ht="15.75" hidden="false" customHeight="true" outlineLevel="0" collapsed="false">
      <c r="A1411" s="8" t="n">
        <f aca="false">A1410+1</f>
        <v>1409</v>
      </c>
      <c r="B1411" s="9" t="n">
        <f aca="false">MOD(4*A1411^2,10)</f>
        <v>4</v>
      </c>
      <c r="C1411" s="9" t="n">
        <f aca="false">(26*B1411-5*B1411^2)/24</f>
        <v>1</v>
      </c>
      <c r="D1411" s="9" t="n">
        <f aca="false">(A1411^2+4*C1411)/5</f>
        <v>397057</v>
      </c>
      <c r="E1411" s="9" t="n">
        <f aca="false">MOD(D1411,10)</f>
        <v>7</v>
      </c>
      <c r="F1411" s="9" t="n">
        <f aca="false">2*D1411</f>
        <v>794114</v>
      </c>
      <c r="G1411" s="9" t="n">
        <f aca="false">MOD(F1411,10)</f>
        <v>4</v>
      </c>
      <c r="H1411" s="9" t="n">
        <f aca="false">G1411/2</f>
        <v>2</v>
      </c>
      <c r="I1411" s="9" t="str">
        <f aca="false">IF(H1411=0,"—",IF(H1411=1,"unison (1:1)",IF(H1411=2,"octave (2:1)",IF(H1411=3,"fifth (3:2)",IF(H1411=4,"fourth (4:3)","?")))))</f>
        <v>octave (2:1)</v>
      </c>
      <c r="J1411" s="9" t="str">
        <f aca="false">IF(H1411=0,"—",IF(H1411=1,"ὁμώνυμον",IF(H1411=2,"διὰ πασῶν",IF(H1411=3,"διὰ πέντε",IF(H1411=4,"διὰ τεσσάρων","?")))))</f>
        <v>διὰ πασῶν</v>
      </c>
      <c r="K1411" s="10"/>
      <c r="L1411" s="14"/>
      <c r="M1411" s="13"/>
    </row>
    <row r="1412" customFormat="false" ht="15.75" hidden="false" customHeight="true" outlineLevel="0" collapsed="false">
      <c r="A1412" s="8" t="n">
        <f aca="false">A1411+1</f>
        <v>1410</v>
      </c>
      <c r="B1412" s="9" t="n">
        <f aca="false">MOD(4*A1412^2,10)</f>
        <v>0</v>
      </c>
      <c r="C1412" s="9" t="n">
        <f aca="false">(26*B1412-5*B1412^2)/24</f>
        <v>0</v>
      </c>
      <c r="D1412" s="9" t="n">
        <f aca="false">(A1412^2+4*C1412)/5</f>
        <v>397620</v>
      </c>
      <c r="E1412" s="9" t="n">
        <f aca="false">MOD(D1412,10)</f>
        <v>0</v>
      </c>
      <c r="F1412" s="9" t="n">
        <f aca="false">2*D1412</f>
        <v>795240</v>
      </c>
      <c r="G1412" s="9" t="n">
        <f aca="false">MOD(F1412,10)</f>
        <v>0</v>
      </c>
      <c r="H1412" s="9" t="n">
        <f aca="false">G1412/2</f>
        <v>0</v>
      </c>
      <c r="I1412" s="9" t="str">
        <f aca="false">IF(H1412=0,"—",IF(H1412=1,"unison (1:1)",IF(H1412=2,"octave (2:1)",IF(H1412=3,"fifth (3:2)",IF(H1412=4,"fourth (4:3)","?")))))</f>
        <v>—</v>
      </c>
      <c r="J1412" s="9" t="str">
        <f aca="false">IF(H1412=0,"—",IF(H1412=1,"ὁμώνυμον",IF(H1412=2,"διὰ πασῶν",IF(H1412=3,"διὰ πέντε",IF(H1412=4,"διὰ τεσσάρων","?")))))</f>
        <v>—</v>
      </c>
      <c r="K1412" s="10"/>
      <c r="L1412" s="14"/>
      <c r="M1412" s="13"/>
    </row>
    <row r="1413" customFormat="false" ht="15.75" hidden="false" customHeight="true" outlineLevel="0" collapsed="false">
      <c r="A1413" s="8" t="n">
        <f aca="false">A1412+1</f>
        <v>1411</v>
      </c>
      <c r="B1413" s="9" t="n">
        <f aca="false">MOD(4*A1413^2,10)</f>
        <v>4</v>
      </c>
      <c r="C1413" s="9" t="n">
        <f aca="false">(26*B1413-5*B1413^2)/24</f>
        <v>1</v>
      </c>
      <c r="D1413" s="9" t="n">
        <f aca="false">(A1413^2+4*C1413)/5</f>
        <v>398185</v>
      </c>
      <c r="E1413" s="9" t="n">
        <f aca="false">MOD(D1413,10)</f>
        <v>5</v>
      </c>
      <c r="F1413" s="9" t="n">
        <f aca="false">2*D1413</f>
        <v>796370</v>
      </c>
      <c r="G1413" s="9" t="n">
        <f aca="false">MOD(F1413,10)</f>
        <v>0</v>
      </c>
      <c r="H1413" s="9" t="n">
        <f aca="false">G1413/2</f>
        <v>0</v>
      </c>
      <c r="I1413" s="9" t="str">
        <f aca="false">IF(H1413=0,"—",IF(H1413=1,"unison (1:1)",IF(H1413=2,"octave (2:1)",IF(H1413=3,"fifth (3:2)",IF(H1413=4,"fourth (4:3)","?")))))</f>
        <v>—</v>
      </c>
      <c r="J1413" s="9" t="str">
        <f aca="false">IF(H1413=0,"—",IF(H1413=1,"ὁμώνυμον",IF(H1413=2,"διὰ πασῶν",IF(H1413=3,"διὰ πέντε",IF(H1413=4,"διὰ τεσσάρων","?")))))</f>
        <v>—</v>
      </c>
      <c r="K1413" s="10"/>
      <c r="L1413" s="14"/>
      <c r="M1413" s="13"/>
    </row>
    <row r="1414" customFormat="false" ht="15.75" hidden="false" customHeight="true" outlineLevel="0" collapsed="false">
      <c r="A1414" s="8" t="n">
        <f aca="false">A1413+1</f>
        <v>1412</v>
      </c>
      <c r="B1414" s="9" t="n">
        <f aca="false">MOD(4*A1414^2,10)</f>
        <v>6</v>
      </c>
      <c r="C1414" s="9" t="n">
        <f aca="false">(26*B1414-5*B1414^2)/24</f>
        <v>-1</v>
      </c>
      <c r="D1414" s="9" t="n">
        <f aca="false">(A1414^2+4*C1414)/5</f>
        <v>398748</v>
      </c>
      <c r="E1414" s="9" t="n">
        <f aca="false">MOD(D1414,10)</f>
        <v>8</v>
      </c>
      <c r="F1414" s="9" t="n">
        <f aca="false">2*D1414</f>
        <v>797496</v>
      </c>
      <c r="G1414" s="9" t="n">
        <f aca="false">MOD(F1414,10)</f>
        <v>6</v>
      </c>
      <c r="H1414" s="9" t="n">
        <f aca="false">G1414/2</f>
        <v>3</v>
      </c>
      <c r="I1414" s="9" t="str">
        <f aca="false">IF(H1414=0,"—",IF(H1414=1,"unison (1:1)",IF(H1414=2,"octave (2:1)",IF(H1414=3,"fifth (3:2)",IF(H1414=4,"fourth (4:3)","?")))))</f>
        <v>fifth (3:2)</v>
      </c>
      <c r="J1414" s="9" t="str">
        <f aca="false">IF(H1414=0,"—",IF(H1414=1,"ὁμώνυμον",IF(H1414=2,"διὰ πασῶν",IF(H1414=3,"διὰ πέντε",IF(H1414=4,"διὰ τεσσάρων","?")))))</f>
        <v>διὰ πέντε</v>
      </c>
      <c r="K1414" s="10"/>
      <c r="L1414" s="14"/>
      <c r="M1414" s="13"/>
    </row>
    <row r="1415" customFormat="false" ht="15.75" hidden="false" customHeight="true" outlineLevel="0" collapsed="false">
      <c r="A1415" s="8" t="n">
        <f aca="false">A1414+1</f>
        <v>1413</v>
      </c>
      <c r="B1415" s="9" t="n">
        <f aca="false">MOD(4*A1415^2,10)</f>
        <v>6</v>
      </c>
      <c r="C1415" s="9" t="n">
        <f aca="false">(26*B1415-5*B1415^2)/24</f>
        <v>-1</v>
      </c>
      <c r="D1415" s="9" t="n">
        <f aca="false">(A1415^2+4*C1415)/5</f>
        <v>399313</v>
      </c>
      <c r="E1415" s="9" t="n">
        <f aca="false">MOD(D1415,10)</f>
        <v>3</v>
      </c>
      <c r="F1415" s="9" t="n">
        <f aca="false">2*D1415</f>
        <v>798626</v>
      </c>
      <c r="G1415" s="9" t="n">
        <f aca="false">MOD(F1415,10)</f>
        <v>6</v>
      </c>
      <c r="H1415" s="9" t="n">
        <f aca="false">G1415/2</f>
        <v>3</v>
      </c>
      <c r="I1415" s="9" t="str">
        <f aca="false">IF(H1415=0,"—",IF(H1415=1,"unison (1:1)",IF(H1415=2,"octave (2:1)",IF(H1415=3,"fifth (3:2)",IF(H1415=4,"fourth (4:3)","?")))))</f>
        <v>fifth (3:2)</v>
      </c>
      <c r="J1415" s="9" t="str">
        <f aca="false">IF(H1415=0,"—",IF(H1415=1,"ὁμώνυμον",IF(H1415=2,"διὰ πασῶν",IF(H1415=3,"διὰ πέντε",IF(H1415=4,"διὰ τεσσάρων","?")))))</f>
        <v>διὰ πέντε</v>
      </c>
      <c r="K1415" s="10"/>
      <c r="L1415" s="14"/>
      <c r="M1415" s="13"/>
    </row>
    <row r="1416" customFormat="false" ht="15.75" hidden="false" customHeight="true" outlineLevel="0" collapsed="false">
      <c r="A1416" s="8" t="n">
        <f aca="false">A1415+1</f>
        <v>1414</v>
      </c>
      <c r="B1416" s="9" t="n">
        <f aca="false">MOD(4*A1416^2,10)</f>
        <v>4</v>
      </c>
      <c r="C1416" s="9" t="n">
        <f aca="false">(26*B1416-5*B1416^2)/24</f>
        <v>1</v>
      </c>
      <c r="D1416" s="9" t="n">
        <f aca="false">(A1416^2+4*C1416)/5</f>
        <v>399880</v>
      </c>
      <c r="E1416" s="9" t="n">
        <f aca="false">MOD(D1416,10)</f>
        <v>0</v>
      </c>
      <c r="F1416" s="9" t="n">
        <f aca="false">2*D1416</f>
        <v>799760</v>
      </c>
      <c r="G1416" s="9" t="n">
        <f aca="false">MOD(F1416,10)</f>
        <v>0</v>
      </c>
      <c r="H1416" s="9" t="n">
        <f aca="false">G1416/2</f>
        <v>0</v>
      </c>
      <c r="I1416" s="9" t="str">
        <f aca="false">IF(H1416=0,"—",IF(H1416=1,"unison (1:1)",IF(H1416=2,"octave (2:1)",IF(H1416=3,"fifth (3:2)",IF(H1416=4,"fourth (4:3)","?")))))</f>
        <v>—</v>
      </c>
      <c r="J1416" s="9" t="str">
        <f aca="false">IF(H1416=0,"—",IF(H1416=1,"ὁμώνυμον",IF(H1416=2,"διὰ πασῶν",IF(H1416=3,"διὰ πέντε",IF(H1416=4,"διὰ τεσσάρων","?")))))</f>
        <v>—</v>
      </c>
      <c r="K1416" s="10"/>
      <c r="L1416" s="14"/>
      <c r="M1416" s="13"/>
    </row>
    <row r="1417" customFormat="false" ht="15.75" hidden="false" customHeight="true" outlineLevel="0" collapsed="false">
      <c r="A1417" s="8" t="n">
        <f aca="false">A1416+1</f>
        <v>1415</v>
      </c>
      <c r="B1417" s="9" t="n">
        <f aca="false">MOD(4*A1417^2,10)</f>
        <v>0</v>
      </c>
      <c r="C1417" s="9" t="n">
        <f aca="false">(26*B1417-5*B1417^2)/24</f>
        <v>0</v>
      </c>
      <c r="D1417" s="9" t="n">
        <f aca="false">(A1417^2+4*C1417)/5</f>
        <v>400445</v>
      </c>
      <c r="E1417" s="9" t="n">
        <f aca="false">MOD(D1417,10)</f>
        <v>5</v>
      </c>
      <c r="F1417" s="9" t="n">
        <f aca="false">2*D1417</f>
        <v>800890</v>
      </c>
      <c r="G1417" s="9" t="n">
        <f aca="false">MOD(F1417,10)</f>
        <v>0</v>
      </c>
      <c r="H1417" s="9" t="n">
        <f aca="false">G1417/2</f>
        <v>0</v>
      </c>
      <c r="I1417" s="9" t="str">
        <f aca="false">IF(H1417=0,"—",IF(H1417=1,"unison (1:1)",IF(H1417=2,"octave (2:1)",IF(H1417=3,"fifth (3:2)",IF(H1417=4,"fourth (4:3)","?")))))</f>
        <v>—</v>
      </c>
      <c r="J1417" s="9" t="str">
        <f aca="false">IF(H1417=0,"—",IF(H1417=1,"ὁμώνυμον",IF(H1417=2,"διὰ πασῶν",IF(H1417=3,"διὰ πέντε",IF(H1417=4,"διὰ τεσσάρων","?")))))</f>
        <v>—</v>
      </c>
      <c r="K1417" s="10"/>
      <c r="L1417" s="14"/>
      <c r="M1417" s="13"/>
    </row>
    <row r="1418" customFormat="false" ht="15.75" hidden="false" customHeight="true" outlineLevel="0" collapsed="false">
      <c r="A1418" s="8" t="n">
        <f aca="false">A1417+1</f>
        <v>1416</v>
      </c>
      <c r="B1418" s="9" t="n">
        <f aca="false">MOD(4*A1418^2,10)</f>
        <v>4</v>
      </c>
      <c r="C1418" s="9" t="n">
        <f aca="false">(26*B1418-5*B1418^2)/24</f>
        <v>1</v>
      </c>
      <c r="D1418" s="9" t="n">
        <f aca="false">(A1418^2+4*C1418)/5</f>
        <v>401012</v>
      </c>
      <c r="E1418" s="9" t="n">
        <f aca="false">MOD(D1418,10)</f>
        <v>2</v>
      </c>
      <c r="F1418" s="9" t="n">
        <f aca="false">2*D1418</f>
        <v>802024</v>
      </c>
      <c r="G1418" s="9" t="n">
        <f aca="false">MOD(F1418,10)</f>
        <v>4</v>
      </c>
      <c r="H1418" s="9" t="n">
        <f aca="false">G1418/2</f>
        <v>2</v>
      </c>
      <c r="I1418" s="9" t="str">
        <f aca="false">IF(H1418=0,"—",IF(H1418=1,"unison (1:1)",IF(H1418=2,"octave (2:1)",IF(H1418=3,"fifth (3:2)",IF(H1418=4,"fourth (4:3)","?")))))</f>
        <v>octave (2:1)</v>
      </c>
      <c r="J1418" s="9" t="str">
        <f aca="false">IF(H1418=0,"—",IF(H1418=1,"ὁμώνυμον",IF(H1418=2,"διὰ πασῶν",IF(H1418=3,"διὰ πέντε",IF(H1418=4,"διὰ τεσσάρων","?")))))</f>
        <v>διὰ πασῶν</v>
      </c>
      <c r="K1418" s="10"/>
      <c r="L1418" s="14"/>
      <c r="M1418" s="13"/>
    </row>
    <row r="1419" customFormat="false" ht="15.75" hidden="false" customHeight="true" outlineLevel="0" collapsed="false">
      <c r="A1419" s="8" t="n">
        <f aca="false">A1418+1</f>
        <v>1417</v>
      </c>
      <c r="B1419" s="9" t="n">
        <f aca="false">MOD(4*A1419^2,10)</f>
        <v>6</v>
      </c>
      <c r="C1419" s="9" t="n">
        <f aca="false">(26*B1419-5*B1419^2)/24</f>
        <v>-1</v>
      </c>
      <c r="D1419" s="9" t="n">
        <f aca="false">(A1419^2+4*C1419)/5</f>
        <v>401577</v>
      </c>
      <c r="E1419" s="9" t="n">
        <f aca="false">MOD(D1419,10)</f>
        <v>7</v>
      </c>
      <c r="F1419" s="9" t="n">
        <f aca="false">2*D1419</f>
        <v>803154</v>
      </c>
      <c r="G1419" s="9" t="n">
        <f aca="false">MOD(F1419,10)</f>
        <v>4</v>
      </c>
      <c r="H1419" s="9" t="n">
        <f aca="false">G1419/2</f>
        <v>2</v>
      </c>
      <c r="I1419" s="9" t="str">
        <f aca="false">IF(H1419=0,"—",IF(H1419=1,"unison (1:1)",IF(H1419=2,"octave (2:1)",IF(H1419=3,"fifth (3:2)",IF(H1419=4,"fourth (4:3)","?")))))</f>
        <v>octave (2:1)</v>
      </c>
      <c r="J1419" s="9" t="str">
        <f aca="false">IF(H1419=0,"—",IF(H1419=1,"ὁμώνυμον",IF(H1419=2,"διὰ πασῶν",IF(H1419=3,"διὰ πέντε",IF(H1419=4,"διὰ τεσσάρων","?")))))</f>
        <v>διὰ πασῶν</v>
      </c>
      <c r="K1419" s="10"/>
      <c r="L1419" s="14"/>
      <c r="M1419" s="13"/>
    </row>
    <row r="1420" customFormat="false" ht="15.75" hidden="false" customHeight="true" outlineLevel="0" collapsed="false">
      <c r="A1420" s="8" t="n">
        <f aca="false">A1419+1</f>
        <v>1418</v>
      </c>
      <c r="B1420" s="9" t="n">
        <f aca="false">MOD(4*A1420^2,10)</f>
        <v>6</v>
      </c>
      <c r="C1420" s="9" t="n">
        <f aca="false">(26*B1420-5*B1420^2)/24</f>
        <v>-1</v>
      </c>
      <c r="D1420" s="9" t="n">
        <f aca="false">(A1420^2+4*C1420)/5</f>
        <v>402144</v>
      </c>
      <c r="E1420" s="9" t="n">
        <f aca="false">MOD(D1420,10)</f>
        <v>4</v>
      </c>
      <c r="F1420" s="9" t="n">
        <f aca="false">2*D1420</f>
        <v>804288</v>
      </c>
      <c r="G1420" s="9" t="n">
        <f aca="false">MOD(F1420,10)</f>
        <v>8</v>
      </c>
      <c r="H1420" s="9" t="n">
        <f aca="false">G1420/2</f>
        <v>4</v>
      </c>
      <c r="I1420" s="9" t="str">
        <f aca="false">IF(H1420=0,"—",IF(H1420=1,"unison (1:1)",IF(H1420=2,"octave (2:1)",IF(H1420=3,"fifth (3:2)",IF(H1420=4,"fourth (4:3)","?")))))</f>
        <v>fourth (4:3)</v>
      </c>
      <c r="J1420" s="9" t="str">
        <f aca="false">IF(H1420=0,"—",IF(H1420=1,"ὁμώνυμον",IF(H1420=2,"διὰ πασῶν",IF(H1420=3,"διὰ πέντε",IF(H1420=4,"διὰ τεσσάρων","?")))))</f>
        <v>διὰ τεσσάρων</v>
      </c>
      <c r="K1420" s="10"/>
      <c r="L1420" s="14"/>
      <c r="M1420" s="13"/>
    </row>
    <row r="1421" customFormat="false" ht="15.75" hidden="false" customHeight="true" outlineLevel="0" collapsed="false">
      <c r="A1421" s="8" t="n">
        <f aca="false">A1420+1</f>
        <v>1419</v>
      </c>
      <c r="B1421" s="9" t="n">
        <f aca="false">MOD(4*A1421^2,10)</f>
        <v>4</v>
      </c>
      <c r="C1421" s="9" t="n">
        <f aca="false">(26*B1421-5*B1421^2)/24</f>
        <v>1</v>
      </c>
      <c r="D1421" s="9" t="n">
        <f aca="false">(A1421^2+4*C1421)/5</f>
        <v>402713</v>
      </c>
      <c r="E1421" s="9" t="n">
        <f aca="false">MOD(D1421,10)</f>
        <v>3</v>
      </c>
      <c r="F1421" s="9" t="n">
        <f aca="false">2*D1421</f>
        <v>805426</v>
      </c>
      <c r="G1421" s="9" t="n">
        <f aca="false">MOD(F1421,10)</f>
        <v>6</v>
      </c>
      <c r="H1421" s="9" t="n">
        <f aca="false">G1421/2</f>
        <v>3</v>
      </c>
      <c r="I1421" s="9" t="str">
        <f aca="false">IF(H1421=0,"—",IF(H1421=1,"unison (1:1)",IF(H1421=2,"octave (2:1)",IF(H1421=3,"fifth (3:2)",IF(H1421=4,"fourth (4:3)","?")))))</f>
        <v>fifth (3:2)</v>
      </c>
      <c r="J1421" s="9" t="str">
        <f aca="false">IF(H1421=0,"—",IF(H1421=1,"ὁμώνυμον",IF(H1421=2,"διὰ πασῶν",IF(H1421=3,"διὰ πέντε",IF(H1421=4,"διὰ τεσσάρων","?")))))</f>
        <v>διὰ πέντε</v>
      </c>
      <c r="K1421" s="10"/>
      <c r="L1421" s="14"/>
      <c r="M1421" s="13"/>
    </row>
    <row r="1422" customFormat="false" ht="15.75" hidden="false" customHeight="true" outlineLevel="0" collapsed="false">
      <c r="A1422" s="8" t="n">
        <f aca="false">A1421+1</f>
        <v>1420</v>
      </c>
      <c r="B1422" s="9" t="n">
        <f aca="false">MOD(4*A1422^2,10)</f>
        <v>0</v>
      </c>
      <c r="C1422" s="9" t="n">
        <f aca="false">(26*B1422-5*B1422^2)/24</f>
        <v>0</v>
      </c>
      <c r="D1422" s="9" t="n">
        <f aca="false">(A1422^2+4*C1422)/5</f>
        <v>403280</v>
      </c>
      <c r="E1422" s="9" t="n">
        <f aca="false">MOD(D1422,10)</f>
        <v>0</v>
      </c>
      <c r="F1422" s="9" t="n">
        <f aca="false">2*D1422</f>
        <v>806560</v>
      </c>
      <c r="G1422" s="9" t="n">
        <f aca="false">MOD(F1422,10)</f>
        <v>0</v>
      </c>
      <c r="H1422" s="9" t="n">
        <f aca="false">G1422/2</f>
        <v>0</v>
      </c>
      <c r="I1422" s="9" t="str">
        <f aca="false">IF(H1422=0,"—",IF(H1422=1,"unison (1:1)",IF(H1422=2,"octave (2:1)",IF(H1422=3,"fifth (3:2)",IF(H1422=4,"fourth (4:3)","?")))))</f>
        <v>—</v>
      </c>
      <c r="J1422" s="9" t="str">
        <f aca="false">IF(H1422=0,"—",IF(H1422=1,"ὁμώνυμον",IF(H1422=2,"διὰ πασῶν",IF(H1422=3,"διὰ πέντε",IF(H1422=4,"διὰ τεσσάρων","?")))))</f>
        <v>—</v>
      </c>
      <c r="K1422" s="10"/>
      <c r="L1422" s="14"/>
      <c r="M1422" s="13"/>
    </row>
    <row r="1423" customFormat="false" ht="15.75" hidden="false" customHeight="true" outlineLevel="0" collapsed="false">
      <c r="A1423" s="8" t="n">
        <f aca="false">A1422+1</f>
        <v>1421</v>
      </c>
      <c r="B1423" s="9" t="n">
        <f aca="false">MOD(4*A1423^2,10)</f>
        <v>4</v>
      </c>
      <c r="C1423" s="9" t="n">
        <f aca="false">(26*B1423-5*B1423^2)/24</f>
        <v>1</v>
      </c>
      <c r="D1423" s="9" t="n">
        <f aca="false">(A1423^2+4*C1423)/5</f>
        <v>403849</v>
      </c>
      <c r="E1423" s="9" t="n">
        <f aca="false">MOD(D1423,10)</f>
        <v>9</v>
      </c>
      <c r="F1423" s="9" t="n">
        <f aca="false">2*D1423</f>
        <v>807698</v>
      </c>
      <c r="G1423" s="9" t="n">
        <f aca="false">MOD(F1423,10)</f>
        <v>8</v>
      </c>
      <c r="H1423" s="9" t="n">
        <f aca="false">G1423/2</f>
        <v>4</v>
      </c>
      <c r="I1423" s="9" t="str">
        <f aca="false">IF(H1423=0,"—",IF(H1423=1,"unison (1:1)",IF(H1423=2,"octave (2:1)",IF(H1423=3,"fifth (3:2)",IF(H1423=4,"fourth (4:3)","?")))))</f>
        <v>fourth (4:3)</v>
      </c>
      <c r="J1423" s="9" t="str">
        <f aca="false">IF(H1423=0,"—",IF(H1423=1,"ὁμώνυμον",IF(H1423=2,"διὰ πασῶν",IF(H1423=3,"διὰ πέντε",IF(H1423=4,"διὰ τεσσάρων","?")))))</f>
        <v>διὰ τεσσάρων</v>
      </c>
      <c r="K1423" s="10"/>
      <c r="L1423" s="14"/>
      <c r="M1423" s="13"/>
    </row>
    <row r="1424" customFormat="false" ht="15.75" hidden="false" customHeight="true" outlineLevel="0" collapsed="false">
      <c r="A1424" s="8" t="n">
        <f aca="false">A1423+1</f>
        <v>1422</v>
      </c>
      <c r="B1424" s="9" t="n">
        <f aca="false">MOD(4*A1424^2,10)</f>
        <v>6</v>
      </c>
      <c r="C1424" s="9" t="n">
        <f aca="false">(26*B1424-5*B1424^2)/24</f>
        <v>-1</v>
      </c>
      <c r="D1424" s="9" t="n">
        <f aca="false">(A1424^2+4*C1424)/5</f>
        <v>404416</v>
      </c>
      <c r="E1424" s="9" t="n">
        <f aca="false">MOD(D1424,10)</f>
        <v>6</v>
      </c>
      <c r="F1424" s="9" t="n">
        <f aca="false">2*D1424</f>
        <v>808832</v>
      </c>
      <c r="G1424" s="9" t="n">
        <f aca="false">MOD(F1424,10)</f>
        <v>2</v>
      </c>
      <c r="H1424" s="9" t="n">
        <f aca="false">G1424/2</f>
        <v>1</v>
      </c>
      <c r="I1424" s="9" t="str">
        <f aca="false">IF(H1424=0,"—",IF(H1424=1,"unison (1:1)",IF(H1424=2,"octave (2:1)",IF(H1424=3,"fifth (3:2)",IF(H1424=4,"fourth (4:3)","?")))))</f>
        <v>unison (1:1)</v>
      </c>
      <c r="J1424" s="9" t="str">
        <f aca="false">IF(H1424=0,"—",IF(H1424=1,"ὁμώνυμον",IF(H1424=2,"διὰ πασῶν",IF(H1424=3,"διὰ πέντε",IF(H1424=4,"διὰ τεσσάρων","?")))))</f>
        <v>ὁμώνυμον</v>
      </c>
      <c r="K1424" s="10"/>
      <c r="L1424" s="14"/>
      <c r="M1424" s="13"/>
    </row>
    <row r="1425" customFormat="false" ht="15.75" hidden="false" customHeight="true" outlineLevel="0" collapsed="false">
      <c r="A1425" s="8" t="n">
        <f aca="false">A1424+1</f>
        <v>1423</v>
      </c>
      <c r="B1425" s="9" t="n">
        <f aca="false">MOD(4*A1425^2,10)</f>
        <v>6</v>
      </c>
      <c r="C1425" s="9" t="n">
        <f aca="false">(26*B1425-5*B1425^2)/24</f>
        <v>-1</v>
      </c>
      <c r="D1425" s="9" t="n">
        <f aca="false">(A1425^2+4*C1425)/5</f>
        <v>404985</v>
      </c>
      <c r="E1425" s="9" t="n">
        <f aca="false">MOD(D1425,10)</f>
        <v>5</v>
      </c>
      <c r="F1425" s="9" t="n">
        <f aca="false">2*D1425</f>
        <v>809970</v>
      </c>
      <c r="G1425" s="9" t="n">
        <f aca="false">MOD(F1425,10)</f>
        <v>0</v>
      </c>
      <c r="H1425" s="9" t="n">
        <f aca="false">G1425/2</f>
        <v>0</v>
      </c>
      <c r="I1425" s="9" t="str">
        <f aca="false">IF(H1425=0,"—",IF(H1425=1,"unison (1:1)",IF(H1425=2,"octave (2:1)",IF(H1425=3,"fifth (3:2)",IF(H1425=4,"fourth (4:3)","?")))))</f>
        <v>—</v>
      </c>
      <c r="J1425" s="9" t="str">
        <f aca="false">IF(H1425=0,"—",IF(H1425=1,"ὁμώνυμον",IF(H1425=2,"διὰ πασῶν",IF(H1425=3,"διὰ πέντε",IF(H1425=4,"διὰ τεσσάρων","?")))))</f>
        <v>—</v>
      </c>
      <c r="K1425" s="10"/>
      <c r="L1425" s="14"/>
      <c r="M1425" s="13"/>
    </row>
    <row r="1426" customFormat="false" ht="15.75" hidden="false" customHeight="true" outlineLevel="0" collapsed="false">
      <c r="A1426" s="8" t="n">
        <f aca="false">A1425+1</f>
        <v>1424</v>
      </c>
      <c r="B1426" s="9" t="n">
        <f aca="false">MOD(4*A1426^2,10)</f>
        <v>4</v>
      </c>
      <c r="C1426" s="9" t="n">
        <f aca="false">(26*B1426-5*B1426^2)/24</f>
        <v>1</v>
      </c>
      <c r="D1426" s="9" t="n">
        <f aca="false">(A1426^2+4*C1426)/5</f>
        <v>405556</v>
      </c>
      <c r="E1426" s="9" t="n">
        <f aca="false">MOD(D1426,10)</f>
        <v>6</v>
      </c>
      <c r="F1426" s="9" t="n">
        <f aca="false">2*D1426</f>
        <v>811112</v>
      </c>
      <c r="G1426" s="9" t="n">
        <f aca="false">MOD(F1426,10)</f>
        <v>2</v>
      </c>
      <c r="H1426" s="9" t="n">
        <f aca="false">G1426/2</f>
        <v>1</v>
      </c>
      <c r="I1426" s="9" t="str">
        <f aca="false">IF(H1426=0,"—",IF(H1426=1,"unison (1:1)",IF(H1426=2,"octave (2:1)",IF(H1426=3,"fifth (3:2)",IF(H1426=4,"fourth (4:3)","?")))))</f>
        <v>unison (1:1)</v>
      </c>
      <c r="J1426" s="9" t="str">
        <f aca="false">IF(H1426=0,"—",IF(H1426=1,"ὁμώνυμον",IF(H1426=2,"διὰ πασῶν",IF(H1426=3,"διὰ πέντε",IF(H1426=4,"διὰ τεσσάρων","?")))))</f>
        <v>ὁμώνυμον</v>
      </c>
      <c r="K1426" s="10"/>
      <c r="L1426" s="14"/>
      <c r="M1426" s="13"/>
    </row>
    <row r="1427" customFormat="false" ht="15.75" hidden="false" customHeight="true" outlineLevel="0" collapsed="false">
      <c r="A1427" s="8" t="n">
        <f aca="false">A1426+1</f>
        <v>1425</v>
      </c>
      <c r="B1427" s="9" t="n">
        <f aca="false">MOD(4*A1427^2,10)</f>
        <v>0</v>
      </c>
      <c r="C1427" s="9" t="n">
        <f aca="false">(26*B1427-5*B1427^2)/24</f>
        <v>0</v>
      </c>
      <c r="D1427" s="9" t="n">
        <f aca="false">(A1427^2+4*C1427)/5</f>
        <v>406125</v>
      </c>
      <c r="E1427" s="9" t="n">
        <f aca="false">MOD(D1427,10)</f>
        <v>5</v>
      </c>
      <c r="F1427" s="9" t="n">
        <f aca="false">2*D1427</f>
        <v>812250</v>
      </c>
      <c r="G1427" s="9" t="n">
        <f aca="false">MOD(F1427,10)</f>
        <v>0</v>
      </c>
      <c r="H1427" s="9" t="n">
        <f aca="false">G1427/2</f>
        <v>0</v>
      </c>
      <c r="I1427" s="9" t="str">
        <f aca="false">IF(H1427=0,"—",IF(H1427=1,"unison (1:1)",IF(H1427=2,"octave (2:1)",IF(H1427=3,"fifth (3:2)",IF(H1427=4,"fourth (4:3)","?")))))</f>
        <v>—</v>
      </c>
      <c r="J1427" s="9" t="str">
        <f aca="false">IF(H1427=0,"—",IF(H1427=1,"ὁμώνυμον",IF(H1427=2,"διὰ πασῶν",IF(H1427=3,"διὰ πέντε",IF(H1427=4,"διὰ τεσσάρων","?")))))</f>
        <v>—</v>
      </c>
      <c r="K1427" s="10"/>
      <c r="L1427" s="14"/>
      <c r="M1427" s="13"/>
    </row>
    <row r="1428" customFormat="false" ht="15.75" hidden="false" customHeight="true" outlineLevel="0" collapsed="false">
      <c r="A1428" s="8" t="n">
        <f aca="false">A1427+1</f>
        <v>1426</v>
      </c>
      <c r="B1428" s="9" t="n">
        <f aca="false">MOD(4*A1428^2,10)</f>
        <v>4</v>
      </c>
      <c r="C1428" s="9" t="n">
        <f aca="false">(26*B1428-5*B1428^2)/24</f>
        <v>1</v>
      </c>
      <c r="D1428" s="9" t="n">
        <f aca="false">(A1428^2+4*C1428)/5</f>
        <v>406696</v>
      </c>
      <c r="E1428" s="9" t="n">
        <f aca="false">MOD(D1428,10)</f>
        <v>6</v>
      </c>
      <c r="F1428" s="9" t="n">
        <f aca="false">2*D1428</f>
        <v>813392</v>
      </c>
      <c r="G1428" s="9" t="n">
        <f aca="false">MOD(F1428,10)</f>
        <v>2</v>
      </c>
      <c r="H1428" s="9" t="n">
        <f aca="false">G1428/2</f>
        <v>1</v>
      </c>
      <c r="I1428" s="9" t="str">
        <f aca="false">IF(H1428=0,"—",IF(H1428=1,"unison (1:1)",IF(H1428=2,"octave (2:1)",IF(H1428=3,"fifth (3:2)",IF(H1428=4,"fourth (4:3)","?")))))</f>
        <v>unison (1:1)</v>
      </c>
      <c r="J1428" s="9" t="str">
        <f aca="false">IF(H1428=0,"—",IF(H1428=1,"ὁμώνυμον",IF(H1428=2,"διὰ πασῶν",IF(H1428=3,"διὰ πέντε",IF(H1428=4,"διὰ τεσσάρων","?")))))</f>
        <v>ὁμώνυμον</v>
      </c>
      <c r="K1428" s="10"/>
      <c r="L1428" s="14"/>
      <c r="M1428" s="13"/>
    </row>
    <row r="1429" customFormat="false" ht="15.75" hidden="false" customHeight="true" outlineLevel="0" collapsed="false">
      <c r="A1429" s="8" t="n">
        <f aca="false">A1428+1</f>
        <v>1427</v>
      </c>
      <c r="B1429" s="9" t="n">
        <f aca="false">MOD(4*A1429^2,10)</f>
        <v>6</v>
      </c>
      <c r="C1429" s="9" t="n">
        <f aca="false">(26*B1429-5*B1429^2)/24</f>
        <v>-1</v>
      </c>
      <c r="D1429" s="9" t="n">
        <f aca="false">(A1429^2+4*C1429)/5</f>
        <v>407265</v>
      </c>
      <c r="E1429" s="9" t="n">
        <f aca="false">MOD(D1429,10)</f>
        <v>5</v>
      </c>
      <c r="F1429" s="9" t="n">
        <f aca="false">2*D1429</f>
        <v>814530</v>
      </c>
      <c r="G1429" s="9" t="n">
        <f aca="false">MOD(F1429,10)</f>
        <v>0</v>
      </c>
      <c r="H1429" s="9" t="n">
        <f aca="false">G1429/2</f>
        <v>0</v>
      </c>
      <c r="I1429" s="9" t="str">
        <f aca="false">IF(H1429=0,"—",IF(H1429=1,"unison (1:1)",IF(H1429=2,"octave (2:1)",IF(H1429=3,"fifth (3:2)",IF(H1429=4,"fourth (4:3)","?")))))</f>
        <v>—</v>
      </c>
      <c r="J1429" s="9" t="str">
        <f aca="false">IF(H1429=0,"—",IF(H1429=1,"ὁμώνυμον",IF(H1429=2,"διὰ πασῶν",IF(H1429=3,"διὰ πέντε",IF(H1429=4,"διὰ τεσσάρων","?")))))</f>
        <v>—</v>
      </c>
      <c r="K1429" s="10"/>
      <c r="L1429" s="14"/>
      <c r="M1429" s="13"/>
    </row>
    <row r="1430" customFormat="false" ht="15.75" hidden="false" customHeight="true" outlineLevel="0" collapsed="false">
      <c r="A1430" s="8" t="n">
        <f aca="false">A1429+1</f>
        <v>1428</v>
      </c>
      <c r="B1430" s="9" t="n">
        <f aca="false">MOD(4*A1430^2,10)</f>
        <v>6</v>
      </c>
      <c r="C1430" s="9" t="n">
        <f aca="false">(26*B1430-5*B1430^2)/24</f>
        <v>-1</v>
      </c>
      <c r="D1430" s="9" t="n">
        <f aca="false">(A1430^2+4*C1430)/5</f>
        <v>407836</v>
      </c>
      <c r="E1430" s="9" t="n">
        <f aca="false">MOD(D1430,10)</f>
        <v>6</v>
      </c>
      <c r="F1430" s="9" t="n">
        <f aca="false">2*D1430</f>
        <v>815672</v>
      </c>
      <c r="G1430" s="9" t="n">
        <f aca="false">MOD(F1430,10)</f>
        <v>2</v>
      </c>
      <c r="H1430" s="9" t="n">
        <f aca="false">G1430/2</f>
        <v>1</v>
      </c>
      <c r="I1430" s="9" t="str">
        <f aca="false">IF(H1430=0,"—",IF(H1430=1,"unison (1:1)",IF(H1430=2,"octave (2:1)",IF(H1430=3,"fifth (3:2)",IF(H1430=4,"fourth (4:3)","?")))))</f>
        <v>unison (1:1)</v>
      </c>
      <c r="J1430" s="9" t="str">
        <f aca="false">IF(H1430=0,"—",IF(H1430=1,"ὁμώνυμον",IF(H1430=2,"διὰ πασῶν",IF(H1430=3,"διὰ πέντε",IF(H1430=4,"διὰ τεσσάρων","?")))))</f>
        <v>ὁμώνυμον</v>
      </c>
      <c r="K1430" s="10"/>
      <c r="L1430" s="14"/>
      <c r="M1430" s="13"/>
    </row>
    <row r="1431" customFormat="false" ht="15.75" hidden="false" customHeight="true" outlineLevel="0" collapsed="false">
      <c r="A1431" s="8" t="n">
        <f aca="false">A1430+1</f>
        <v>1429</v>
      </c>
      <c r="B1431" s="9" t="n">
        <f aca="false">MOD(4*A1431^2,10)</f>
        <v>4</v>
      </c>
      <c r="C1431" s="9" t="n">
        <f aca="false">(26*B1431-5*B1431^2)/24</f>
        <v>1</v>
      </c>
      <c r="D1431" s="9" t="n">
        <f aca="false">(A1431^2+4*C1431)/5</f>
        <v>408409</v>
      </c>
      <c r="E1431" s="9" t="n">
        <f aca="false">MOD(D1431,10)</f>
        <v>9</v>
      </c>
      <c r="F1431" s="9" t="n">
        <f aca="false">2*D1431</f>
        <v>816818</v>
      </c>
      <c r="G1431" s="9" t="n">
        <f aca="false">MOD(F1431,10)</f>
        <v>8</v>
      </c>
      <c r="H1431" s="9" t="n">
        <f aca="false">G1431/2</f>
        <v>4</v>
      </c>
      <c r="I1431" s="9" t="str">
        <f aca="false">IF(H1431=0,"—",IF(H1431=1,"unison (1:1)",IF(H1431=2,"octave (2:1)",IF(H1431=3,"fifth (3:2)",IF(H1431=4,"fourth (4:3)","?")))))</f>
        <v>fourth (4:3)</v>
      </c>
      <c r="J1431" s="9" t="str">
        <f aca="false">IF(H1431=0,"—",IF(H1431=1,"ὁμώνυμον",IF(H1431=2,"διὰ πασῶν",IF(H1431=3,"διὰ πέντε",IF(H1431=4,"διὰ τεσσάρων","?")))))</f>
        <v>διὰ τεσσάρων</v>
      </c>
      <c r="K1431" s="10"/>
      <c r="L1431" s="14"/>
      <c r="M1431" s="13"/>
    </row>
    <row r="1432" customFormat="false" ht="15.75" hidden="false" customHeight="true" outlineLevel="0" collapsed="false">
      <c r="A1432" s="8" t="n">
        <f aca="false">A1431+1</f>
        <v>1430</v>
      </c>
      <c r="B1432" s="9" t="n">
        <f aca="false">MOD(4*A1432^2,10)</f>
        <v>0</v>
      </c>
      <c r="C1432" s="9" t="n">
        <f aca="false">(26*B1432-5*B1432^2)/24</f>
        <v>0</v>
      </c>
      <c r="D1432" s="9" t="n">
        <f aca="false">(A1432^2+4*C1432)/5</f>
        <v>408980</v>
      </c>
      <c r="E1432" s="9" t="n">
        <f aca="false">MOD(D1432,10)</f>
        <v>0</v>
      </c>
      <c r="F1432" s="9" t="n">
        <f aca="false">2*D1432</f>
        <v>817960</v>
      </c>
      <c r="G1432" s="9" t="n">
        <f aca="false">MOD(F1432,10)</f>
        <v>0</v>
      </c>
      <c r="H1432" s="9" t="n">
        <f aca="false">G1432/2</f>
        <v>0</v>
      </c>
      <c r="I1432" s="9" t="str">
        <f aca="false">IF(H1432=0,"—",IF(H1432=1,"unison (1:1)",IF(H1432=2,"octave (2:1)",IF(H1432=3,"fifth (3:2)",IF(H1432=4,"fourth (4:3)","?")))))</f>
        <v>—</v>
      </c>
      <c r="J1432" s="9" t="str">
        <f aca="false">IF(H1432=0,"—",IF(H1432=1,"ὁμώνυμον",IF(H1432=2,"διὰ πασῶν",IF(H1432=3,"διὰ πέντε",IF(H1432=4,"διὰ τεσσάρων","?")))))</f>
        <v>—</v>
      </c>
      <c r="K1432" s="10"/>
      <c r="L1432" s="14"/>
      <c r="M1432" s="13"/>
    </row>
    <row r="1433" customFormat="false" ht="15.75" hidden="false" customHeight="true" outlineLevel="0" collapsed="false">
      <c r="A1433" s="8" t="n">
        <f aca="false">A1432+1</f>
        <v>1431</v>
      </c>
      <c r="B1433" s="9" t="n">
        <f aca="false">MOD(4*A1433^2,10)</f>
        <v>4</v>
      </c>
      <c r="C1433" s="9" t="n">
        <f aca="false">(26*B1433-5*B1433^2)/24</f>
        <v>1</v>
      </c>
      <c r="D1433" s="9" t="n">
        <f aca="false">(A1433^2+4*C1433)/5</f>
        <v>409553</v>
      </c>
      <c r="E1433" s="9" t="n">
        <f aca="false">MOD(D1433,10)</f>
        <v>3</v>
      </c>
      <c r="F1433" s="9" t="n">
        <f aca="false">2*D1433</f>
        <v>819106</v>
      </c>
      <c r="G1433" s="9" t="n">
        <f aca="false">MOD(F1433,10)</f>
        <v>6</v>
      </c>
      <c r="H1433" s="9" t="n">
        <f aca="false">G1433/2</f>
        <v>3</v>
      </c>
      <c r="I1433" s="9" t="str">
        <f aca="false">IF(H1433=0,"—",IF(H1433=1,"unison (1:1)",IF(H1433=2,"octave (2:1)",IF(H1433=3,"fifth (3:2)",IF(H1433=4,"fourth (4:3)","?")))))</f>
        <v>fifth (3:2)</v>
      </c>
      <c r="J1433" s="9" t="str">
        <f aca="false">IF(H1433=0,"—",IF(H1433=1,"ὁμώνυμον",IF(H1433=2,"διὰ πασῶν",IF(H1433=3,"διὰ πέντε",IF(H1433=4,"διὰ τεσσάρων","?")))))</f>
        <v>διὰ πέντε</v>
      </c>
      <c r="K1433" s="10"/>
      <c r="L1433" s="14"/>
      <c r="M1433" s="13"/>
    </row>
    <row r="1434" customFormat="false" ht="15.75" hidden="false" customHeight="true" outlineLevel="0" collapsed="false">
      <c r="A1434" s="8" t="n">
        <f aca="false">A1433+1</f>
        <v>1432</v>
      </c>
      <c r="B1434" s="9" t="n">
        <f aca="false">MOD(4*A1434^2,10)</f>
        <v>6</v>
      </c>
      <c r="C1434" s="9" t="n">
        <f aca="false">(26*B1434-5*B1434^2)/24</f>
        <v>-1</v>
      </c>
      <c r="D1434" s="9" t="n">
        <f aca="false">(A1434^2+4*C1434)/5</f>
        <v>410124</v>
      </c>
      <c r="E1434" s="9" t="n">
        <f aca="false">MOD(D1434,10)</f>
        <v>4</v>
      </c>
      <c r="F1434" s="9" t="n">
        <f aca="false">2*D1434</f>
        <v>820248</v>
      </c>
      <c r="G1434" s="9" t="n">
        <f aca="false">MOD(F1434,10)</f>
        <v>8</v>
      </c>
      <c r="H1434" s="9" t="n">
        <f aca="false">G1434/2</f>
        <v>4</v>
      </c>
      <c r="I1434" s="9" t="str">
        <f aca="false">IF(H1434=0,"—",IF(H1434=1,"unison (1:1)",IF(H1434=2,"octave (2:1)",IF(H1434=3,"fifth (3:2)",IF(H1434=4,"fourth (4:3)","?")))))</f>
        <v>fourth (4:3)</v>
      </c>
      <c r="J1434" s="9" t="str">
        <f aca="false">IF(H1434=0,"—",IF(H1434=1,"ὁμώνυμον",IF(H1434=2,"διὰ πασῶν",IF(H1434=3,"διὰ πέντε",IF(H1434=4,"διὰ τεσσάρων","?")))))</f>
        <v>διὰ τεσσάρων</v>
      </c>
      <c r="K1434" s="10"/>
      <c r="L1434" s="14"/>
      <c r="M1434" s="13"/>
    </row>
    <row r="1435" customFormat="false" ht="15.75" hidden="false" customHeight="true" outlineLevel="0" collapsed="false">
      <c r="A1435" s="8" t="n">
        <f aca="false">A1434+1</f>
        <v>1433</v>
      </c>
      <c r="B1435" s="9" t="n">
        <f aca="false">MOD(4*A1435^2,10)</f>
        <v>6</v>
      </c>
      <c r="C1435" s="9" t="n">
        <f aca="false">(26*B1435-5*B1435^2)/24</f>
        <v>-1</v>
      </c>
      <c r="D1435" s="9" t="n">
        <f aca="false">(A1435^2+4*C1435)/5</f>
        <v>410697</v>
      </c>
      <c r="E1435" s="9" t="n">
        <f aca="false">MOD(D1435,10)</f>
        <v>7</v>
      </c>
      <c r="F1435" s="9" t="n">
        <f aca="false">2*D1435</f>
        <v>821394</v>
      </c>
      <c r="G1435" s="9" t="n">
        <f aca="false">MOD(F1435,10)</f>
        <v>4</v>
      </c>
      <c r="H1435" s="9" t="n">
        <f aca="false">G1435/2</f>
        <v>2</v>
      </c>
      <c r="I1435" s="9" t="str">
        <f aca="false">IF(H1435=0,"—",IF(H1435=1,"unison (1:1)",IF(H1435=2,"octave (2:1)",IF(H1435=3,"fifth (3:2)",IF(H1435=4,"fourth (4:3)","?")))))</f>
        <v>octave (2:1)</v>
      </c>
      <c r="J1435" s="9" t="str">
        <f aca="false">IF(H1435=0,"—",IF(H1435=1,"ὁμώνυμον",IF(H1435=2,"διὰ πασῶν",IF(H1435=3,"διὰ πέντε",IF(H1435=4,"διὰ τεσσάρων","?")))))</f>
        <v>διὰ πασῶν</v>
      </c>
      <c r="K1435" s="10"/>
      <c r="L1435" s="14"/>
      <c r="M1435" s="13"/>
    </row>
    <row r="1436" customFormat="false" ht="15.75" hidden="false" customHeight="true" outlineLevel="0" collapsed="false">
      <c r="A1436" s="8" t="n">
        <f aca="false">A1435+1</f>
        <v>1434</v>
      </c>
      <c r="B1436" s="9" t="n">
        <f aca="false">MOD(4*A1436^2,10)</f>
        <v>4</v>
      </c>
      <c r="C1436" s="9" t="n">
        <f aca="false">(26*B1436-5*B1436^2)/24</f>
        <v>1</v>
      </c>
      <c r="D1436" s="9" t="n">
        <f aca="false">(A1436^2+4*C1436)/5</f>
        <v>411272</v>
      </c>
      <c r="E1436" s="9" t="n">
        <f aca="false">MOD(D1436,10)</f>
        <v>2</v>
      </c>
      <c r="F1436" s="9" t="n">
        <f aca="false">2*D1436</f>
        <v>822544</v>
      </c>
      <c r="G1436" s="9" t="n">
        <f aca="false">MOD(F1436,10)</f>
        <v>4</v>
      </c>
      <c r="H1436" s="9" t="n">
        <f aca="false">G1436/2</f>
        <v>2</v>
      </c>
      <c r="I1436" s="9" t="str">
        <f aca="false">IF(H1436=0,"—",IF(H1436=1,"unison (1:1)",IF(H1436=2,"octave (2:1)",IF(H1436=3,"fifth (3:2)",IF(H1436=4,"fourth (4:3)","?")))))</f>
        <v>octave (2:1)</v>
      </c>
      <c r="J1436" s="9" t="str">
        <f aca="false">IF(H1436=0,"—",IF(H1436=1,"ὁμώνυμον",IF(H1436=2,"διὰ πασῶν",IF(H1436=3,"διὰ πέντε",IF(H1436=4,"διὰ τεσσάρων","?")))))</f>
        <v>διὰ πασῶν</v>
      </c>
      <c r="K1436" s="10"/>
      <c r="L1436" s="14"/>
      <c r="M1436" s="13"/>
    </row>
    <row r="1437" customFormat="false" ht="15.75" hidden="false" customHeight="true" outlineLevel="0" collapsed="false">
      <c r="A1437" s="8" t="n">
        <f aca="false">A1436+1</f>
        <v>1435</v>
      </c>
      <c r="B1437" s="9" t="n">
        <f aca="false">MOD(4*A1437^2,10)</f>
        <v>0</v>
      </c>
      <c r="C1437" s="9" t="n">
        <f aca="false">(26*B1437-5*B1437^2)/24</f>
        <v>0</v>
      </c>
      <c r="D1437" s="9" t="n">
        <f aca="false">(A1437^2+4*C1437)/5</f>
        <v>411845</v>
      </c>
      <c r="E1437" s="9" t="n">
        <f aca="false">MOD(D1437,10)</f>
        <v>5</v>
      </c>
      <c r="F1437" s="9" t="n">
        <f aca="false">2*D1437</f>
        <v>823690</v>
      </c>
      <c r="G1437" s="9" t="n">
        <f aca="false">MOD(F1437,10)</f>
        <v>0</v>
      </c>
      <c r="H1437" s="9" t="n">
        <f aca="false">G1437/2</f>
        <v>0</v>
      </c>
      <c r="I1437" s="9" t="str">
        <f aca="false">IF(H1437=0,"—",IF(H1437=1,"unison (1:1)",IF(H1437=2,"octave (2:1)",IF(H1437=3,"fifth (3:2)",IF(H1437=4,"fourth (4:3)","?")))))</f>
        <v>—</v>
      </c>
      <c r="J1437" s="9" t="str">
        <f aca="false">IF(H1437=0,"—",IF(H1437=1,"ὁμώνυμον",IF(H1437=2,"διὰ πασῶν",IF(H1437=3,"διὰ πέντε",IF(H1437=4,"διὰ τεσσάρων","?")))))</f>
        <v>—</v>
      </c>
      <c r="K1437" s="10"/>
      <c r="L1437" s="14"/>
      <c r="M1437" s="13"/>
    </row>
    <row r="1438" customFormat="false" ht="15.75" hidden="false" customHeight="true" outlineLevel="0" collapsed="false">
      <c r="A1438" s="8" t="n">
        <f aca="false">A1437+1</f>
        <v>1436</v>
      </c>
      <c r="B1438" s="9" t="n">
        <f aca="false">MOD(4*A1438^2,10)</f>
        <v>4</v>
      </c>
      <c r="C1438" s="9" t="n">
        <f aca="false">(26*B1438-5*B1438^2)/24</f>
        <v>1</v>
      </c>
      <c r="D1438" s="9" t="n">
        <f aca="false">(A1438^2+4*C1438)/5</f>
        <v>412420</v>
      </c>
      <c r="E1438" s="9" t="n">
        <f aca="false">MOD(D1438,10)</f>
        <v>0</v>
      </c>
      <c r="F1438" s="9" t="n">
        <f aca="false">2*D1438</f>
        <v>824840</v>
      </c>
      <c r="G1438" s="9" t="n">
        <f aca="false">MOD(F1438,10)</f>
        <v>0</v>
      </c>
      <c r="H1438" s="9" t="n">
        <f aca="false">G1438/2</f>
        <v>0</v>
      </c>
      <c r="I1438" s="9" t="str">
        <f aca="false">IF(H1438=0,"—",IF(H1438=1,"unison (1:1)",IF(H1438=2,"octave (2:1)",IF(H1438=3,"fifth (3:2)",IF(H1438=4,"fourth (4:3)","?")))))</f>
        <v>—</v>
      </c>
      <c r="J1438" s="9" t="str">
        <f aca="false">IF(H1438=0,"—",IF(H1438=1,"ὁμώνυμον",IF(H1438=2,"διὰ πασῶν",IF(H1438=3,"διὰ πέντε",IF(H1438=4,"διὰ τεσσάρων","?")))))</f>
        <v>—</v>
      </c>
      <c r="K1438" s="10"/>
      <c r="L1438" s="14"/>
      <c r="M1438" s="13"/>
    </row>
    <row r="1439" customFormat="false" ht="15.75" hidden="false" customHeight="true" outlineLevel="0" collapsed="false">
      <c r="A1439" s="8" t="n">
        <f aca="false">A1438+1</f>
        <v>1437</v>
      </c>
      <c r="B1439" s="9" t="n">
        <f aca="false">MOD(4*A1439^2,10)</f>
        <v>6</v>
      </c>
      <c r="C1439" s="9" t="n">
        <f aca="false">(26*B1439-5*B1439^2)/24</f>
        <v>-1</v>
      </c>
      <c r="D1439" s="9" t="n">
        <f aca="false">(A1439^2+4*C1439)/5</f>
        <v>412993</v>
      </c>
      <c r="E1439" s="9" t="n">
        <f aca="false">MOD(D1439,10)</f>
        <v>3</v>
      </c>
      <c r="F1439" s="9" t="n">
        <f aca="false">2*D1439</f>
        <v>825986</v>
      </c>
      <c r="G1439" s="9" t="n">
        <f aca="false">MOD(F1439,10)</f>
        <v>6</v>
      </c>
      <c r="H1439" s="9" t="n">
        <f aca="false">G1439/2</f>
        <v>3</v>
      </c>
      <c r="I1439" s="9" t="str">
        <f aca="false">IF(H1439=0,"—",IF(H1439=1,"unison (1:1)",IF(H1439=2,"octave (2:1)",IF(H1439=3,"fifth (3:2)",IF(H1439=4,"fourth (4:3)","?")))))</f>
        <v>fifth (3:2)</v>
      </c>
      <c r="J1439" s="9" t="str">
        <f aca="false">IF(H1439=0,"—",IF(H1439=1,"ὁμώνυμον",IF(H1439=2,"διὰ πασῶν",IF(H1439=3,"διὰ πέντε",IF(H1439=4,"διὰ τεσσάρων","?")))))</f>
        <v>διὰ πέντε</v>
      </c>
      <c r="K1439" s="10"/>
      <c r="L1439" s="14"/>
      <c r="M1439" s="13"/>
    </row>
    <row r="1440" customFormat="false" ht="15.75" hidden="false" customHeight="true" outlineLevel="0" collapsed="false">
      <c r="A1440" s="8" t="n">
        <f aca="false">A1439+1</f>
        <v>1438</v>
      </c>
      <c r="B1440" s="9" t="n">
        <f aca="false">MOD(4*A1440^2,10)</f>
        <v>6</v>
      </c>
      <c r="C1440" s="9" t="n">
        <f aca="false">(26*B1440-5*B1440^2)/24</f>
        <v>-1</v>
      </c>
      <c r="D1440" s="9" t="n">
        <f aca="false">(A1440^2+4*C1440)/5</f>
        <v>413568</v>
      </c>
      <c r="E1440" s="9" t="n">
        <f aca="false">MOD(D1440,10)</f>
        <v>8</v>
      </c>
      <c r="F1440" s="9" t="n">
        <f aca="false">2*D1440</f>
        <v>827136</v>
      </c>
      <c r="G1440" s="9" t="n">
        <f aca="false">MOD(F1440,10)</f>
        <v>6</v>
      </c>
      <c r="H1440" s="9" t="n">
        <f aca="false">G1440/2</f>
        <v>3</v>
      </c>
      <c r="I1440" s="9" t="str">
        <f aca="false">IF(H1440=0,"—",IF(H1440=1,"unison (1:1)",IF(H1440=2,"octave (2:1)",IF(H1440=3,"fifth (3:2)",IF(H1440=4,"fourth (4:3)","?")))))</f>
        <v>fifth (3:2)</v>
      </c>
      <c r="J1440" s="9" t="str">
        <f aca="false">IF(H1440=0,"—",IF(H1440=1,"ὁμώνυμον",IF(H1440=2,"διὰ πασῶν",IF(H1440=3,"διὰ πέντε",IF(H1440=4,"διὰ τεσσάρων","?")))))</f>
        <v>διὰ πέντε</v>
      </c>
      <c r="K1440" s="10"/>
      <c r="L1440" s="14"/>
      <c r="M1440" s="13"/>
    </row>
    <row r="1441" customFormat="false" ht="15.75" hidden="false" customHeight="true" outlineLevel="0" collapsed="false">
      <c r="A1441" s="8" t="n">
        <f aca="false">A1440+1</f>
        <v>1439</v>
      </c>
      <c r="B1441" s="9" t="n">
        <f aca="false">MOD(4*A1441^2,10)</f>
        <v>4</v>
      </c>
      <c r="C1441" s="9" t="n">
        <f aca="false">(26*B1441-5*B1441^2)/24</f>
        <v>1</v>
      </c>
      <c r="D1441" s="9" t="n">
        <f aca="false">(A1441^2+4*C1441)/5</f>
        <v>414145</v>
      </c>
      <c r="E1441" s="9" t="n">
        <f aca="false">MOD(D1441,10)</f>
        <v>5</v>
      </c>
      <c r="F1441" s="9" t="n">
        <f aca="false">2*D1441</f>
        <v>828290</v>
      </c>
      <c r="G1441" s="9" t="n">
        <f aca="false">MOD(F1441,10)</f>
        <v>0</v>
      </c>
      <c r="H1441" s="9" t="n">
        <f aca="false">G1441/2</f>
        <v>0</v>
      </c>
      <c r="I1441" s="9" t="str">
        <f aca="false">IF(H1441=0,"—",IF(H1441=1,"unison (1:1)",IF(H1441=2,"octave (2:1)",IF(H1441=3,"fifth (3:2)",IF(H1441=4,"fourth (4:3)","?")))))</f>
        <v>—</v>
      </c>
      <c r="J1441" s="9" t="str">
        <f aca="false">IF(H1441=0,"—",IF(H1441=1,"ὁμώνυμον",IF(H1441=2,"διὰ πασῶν",IF(H1441=3,"διὰ πέντε",IF(H1441=4,"διὰ τεσσάρων","?")))))</f>
        <v>—</v>
      </c>
      <c r="K1441" s="10"/>
      <c r="L1441" s="14"/>
      <c r="M1441" s="13"/>
    </row>
    <row r="1442" customFormat="false" ht="15.75" hidden="false" customHeight="true" outlineLevel="0" collapsed="false">
      <c r="A1442" s="8" t="n">
        <f aca="false">A1441+1</f>
        <v>1440</v>
      </c>
      <c r="B1442" s="9" t="n">
        <f aca="false">MOD(4*A1442^2,10)</f>
        <v>0</v>
      </c>
      <c r="C1442" s="9" t="n">
        <f aca="false">(26*B1442-5*B1442^2)/24</f>
        <v>0</v>
      </c>
      <c r="D1442" s="9" t="n">
        <f aca="false">(A1442^2+4*C1442)/5</f>
        <v>414720</v>
      </c>
      <c r="E1442" s="9" t="n">
        <f aca="false">MOD(D1442,10)</f>
        <v>0</v>
      </c>
      <c r="F1442" s="9" t="n">
        <f aca="false">2*D1442</f>
        <v>829440</v>
      </c>
      <c r="G1442" s="9" t="n">
        <f aca="false">MOD(F1442,10)</f>
        <v>0</v>
      </c>
      <c r="H1442" s="9" t="n">
        <f aca="false">G1442/2</f>
        <v>0</v>
      </c>
      <c r="I1442" s="9" t="str">
        <f aca="false">IF(H1442=0,"—",IF(H1442=1,"unison (1:1)",IF(H1442=2,"octave (2:1)",IF(H1442=3,"fifth (3:2)",IF(H1442=4,"fourth (4:3)","?")))))</f>
        <v>—</v>
      </c>
      <c r="J1442" s="9" t="str">
        <f aca="false">IF(H1442=0,"—",IF(H1442=1,"ὁμώνυμον",IF(H1442=2,"διὰ πασῶν",IF(H1442=3,"διὰ πέντε",IF(H1442=4,"διὰ τεσσάρων","?")))))</f>
        <v>—</v>
      </c>
      <c r="K1442" s="10"/>
      <c r="L1442" s="14"/>
      <c r="M1442" s="13"/>
    </row>
    <row r="1443" customFormat="false" ht="15.75" hidden="false" customHeight="true" outlineLevel="0" collapsed="false">
      <c r="A1443" s="8" t="n">
        <f aca="false">A1442+1</f>
        <v>1441</v>
      </c>
      <c r="B1443" s="9" t="n">
        <f aca="false">MOD(4*A1443^2,10)</f>
        <v>4</v>
      </c>
      <c r="C1443" s="9" t="n">
        <f aca="false">(26*B1443-5*B1443^2)/24</f>
        <v>1</v>
      </c>
      <c r="D1443" s="9" t="n">
        <f aca="false">(A1443^2+4*C1443)/5</f>
        <v>415297</v>
      </c>
      <c r="E1443" s="9" t="n">
        <f aca="false">MOD(D1443,10)</f>
        <v>7</v>
      </c>
      <c r="F1443" s="9" t="n">
        <f aca="false">2*D1443</f>
        <v>830594</v>
      </c>
      <c r="G1443" s="9" t="n">
        <f aca="false">MOD(F1443,10)</f>
        <v>4</v>
      </c>
      <c r="H1443" s="9" t="n">
        <f aca="false">G1443/2</f>
        <v>2</v>
      </c>
      <c r="I1443" s="9" t="str">
        <f aca="false">IF(H1443=0,"—",IF(H1443=1,"unison (1:1)",IF(H1443=2,"octave (2:1)",IF(H1443=3,"fifth (3:2)",IF(H1443=4,"fourth (4:3)","?")))))</f>
        <v>octave (2:1)</v>
      </c>
      <c r="J1443" s="9" t="str">
        <f aca="false">IF(H1443=0,"—",IF(H1443=1,"ὁμώνυμον",IF(H1443=2,"διὰ πασῶν",IF(H1443=3,"διὰ πέντε",IF(H1443=4,"διὰ τεσσάρων","?")))))</f>
        <v>διὰ πασῶν</v>
      </c>
      <c r="K1443" s="10"/>
      <c r="L1443" s="14"/>
      <c r="M1443" s="13"/>
    </row>
    <row r="1444" customFormat="false" ht="15.75" hidden="false" customHeight="true" outlineLevel="0" collapsed="false">
      <c r="A1444" s="8" t="n">
        <f aca="false">A1443+1</f>
        <v>1442</v>
      </c>
      <c r="B1444" s="9" t="n">
        <f aca="false">MOD(4*A1444^2,10)</f>
        <v>6</v>
      </c>
      <c r="C1444" s="9" t="n">
        <f aca="false">(26*B1444-5*B1444^2)/24</f>
        <v>-1</v>
      </c>
      <c r="D1444" s="9" t="n">
        <f aca="false">(A1444^2+4*C1444)/5</f>
        <v>415872</v>
      </c>
      <c r="E1444" s="9" t="n">
        <f aca="false">MOD(D1444,10)</f>
        <v>2</v>
      </c>
      <c r="F1444" s="9" t="n">
        <f aca="false">2*D1444</f>
        <v>831744</v>
      </c>
      <c r="G1444" s="9" t="n">
        <f aca="false">MOD(F1444,10)</f>
        <v>4</v>
      </c>
      <c r="H1444" s="9" t="n">
        <f aca="false">G1444/2</f>
        <v>2</v>
      </c>
      <c r="I1444" s="9" t="str">
        <f aca="false">IF(H1444=0,"—",IF(H1444=1,"unison (1:1)",IF(H1444=2,"octave (2:1)",IF(H1444=3,"fifth (3:2)",IF(H1444=4,"fourth (4:3)","?")))))</f>
        <v>octave (2:1)</v>
      </c>
      <c r="J1444" s="9" t="str">
        <f aca="false">IF(H1444=0,"—",IF(H1444=1,"ὁμώνυμον",IF(H1444=2,"διὰ πασῶν",IF(H1444=3,"διὰ πέντε",IF(H1444=4,"διὰ τεσσάρων","?")))))</f>
        <v>διὰ πασῶν</v>
      </c>
      <c r="K1444" s="10"/>
      <c r="L1444" s="14"/>
      <c r="M1444" s="13"/>
    </row>
    <row r="1445" customFormat="false" ht="15.75" hidden="false" customHeight="true" outlineLevel="0" collapsed="false">
      <c r="A1445" s="8" t="n">
        <f aca="false">A1444+1</f>
        <v>1443</v>
      </c>
      <c r="B1445" s="9" t="n">
        <f aca="false">MOD(4*A1445^2,10)</f>
        <v>6</v>
      </c>
      <c r="C1445" s="9" t="n">
        <f aca="false">(26*B1445-5*B1445^2)/24</f>
        <v>-1</v>
      </c>
      <c r="D1445" s="9" t="n">
        <f aca="false">(A1445^2+4*C1445)/5</f>
        <v>416449</v>
      </c>
      <c r="E1445" s="9" t="n">
        <f aca="false">MOD(D1445,10)</f>
        <v>9</v>
      </c>
      <c r="F1445" s="9" t="n">
        <f aca="false">2*D1445</f>
        <v>832898</v>
      </c>
      <c r="G1445" s="9" t="n">
        <f aca="false">MOD(F1445,10)</f>
        <v>8</v>
      </c>
      <c r="H1445" s="9" t="n">
        <f aca="false">G1445/2</f>
        <v>4</v>
      </c>
      <c r="I1445" s="9" t="str">
        <f aca="false">IF(H1445=0,"—",IF(H1445=1,"unison (1:1)",IF(H1445=2,"octave (2:1)",IF(H1445=3,"fifth (3:2)",IF(H1445=4,"fourth (4:3)","?")))))</f>
        <v>fourth (4:3)</v>
      </c>
      <c r="J1445" s="9" t="str">
        <f aca="false">IF(H1445=0,"—",IF(H1445=1,"ὁμώνυμον",IF(H1445=2,"διὰ πασῶν",IF(H1445=3,"διὰ πέντε",IF(H1445=4,"διὰ τεσσάρων","?")))))</f>
        <v>διὰ τεσσάρων</v>
      </c>
      <c r="K1445" s="10"/>
      <c r="L1445" s="14"/>
      <c r="M1445" s="13"/>
    </row>
    <row r="1446" customFormat="false" ht="15.75" hidden="false" customHeight="true" outlineLevel="0" collapsed="false">
      <c r="A1446" s="8" t="n">
        <f aca="false">A1445+1</f>
        <v>1444</v>
      </c>
      <c r="B1446" s="9" t="n">
        <f aca="false">MOD(4*A1446^2,10)</f>
        <v>4</v>
      </c>
      <c r="C1446" s="9" t="n">
        <f aca="false">(26*B1446-5*B1446^2)/24</f>
        <v>1</v>
      </c>
      <c r="D1446" s="9" t="n">
        <f aca="false">(A1446^2+4*C1446)/5</f>
        <v>417028</v>
      </c>
      <c r="E1446" s="9" t="n">
        <f aca="false">MOD(D1446,10)</f>
        <v>8</v>
      </c>
      <c r="F1446" s="9" t="n">
        <f aca="false">2*D1446</f>
        <v>834056</v>
      </c>
      <c r="G1446" s="9" t="n">
        <f aca="false">MOD(F1446,10)</f>
        <v>6</v>
      </c>
      <c r="H1446" s="9" t="n">
        <f aca="false">G1446/2</f>
        <v>3</v>
      </c>
      <c r="I1446" s="9" t="str">
        <f aca="false">IF(H1446=0,"—",IF(H1446=1,"unison (1:1)",IF(H1446=2,"octave (2:1)",IF(H1446=3,"fifth (3:2)",IF(H1446=4,"fourth (4:3)","?")))))</f>
        <v>fifth (3:2)</v>
      </c>
      <c r="J1446" s="9" t="str">
        <f aca="false">IF(H1446=0,"—",IF(H1446=1,"ὁμώνυμον",IF(H1446=2,"διὰ πασῶν",IF(H1446=3,"διὰ πέντε",IF(H1446=4,"διὰ τεσσάρων","?")))))</f>
        <v>διὰ πέντε</v>
      </c>
      <c r="K1446" s="10"/>
      <c r="L1446" s="14"/>
      <c r="M1446" s="13"/>
    </row>
    <row r="1447" customFormat="false" ht="15.75" hidden="false" customHeight="true" outlineLevel="0" collapsed="false">
      <c r="A1447" s="8" t="n">
        <f aca="false">A1446+1</f>
        <v>1445</v>
      </c>
      <c r="B1447" s="9" t="n">
        <f aca="false">MOD(4*A1447^2,10)</f>
        <v>0</v>
      </c>
      <c r="C1447" s="9" t="n">
        <f aca="false">(26*B1447-5*B1447^2)/24</f>
        <v>0</v>
      </c>
      <c r="D1447" s="9" t="n">
        <f aca="false">(A1447^2+4*C1447)/5</f>
        <v>417605</v>
      </c>
      <c r="E1447" s="9" t="n">
        <f aca="false">MOD(D1447,10)</f>
        <v>5</v>
      </c>
      <c r="F1447" s="9" t="n">
        <f aca="false">2*D1447</f>
        <v>835210</v>
      </c>
      <c r="G1447" s="9" t="n">
        <f aca="false">MOD(F1447,10)</f>
        <v>0</v>
      </c>
      <c r="H1447" s="9" t="n">
        <f aca="false">G1447/2</f>
        <v>0</v>
      </c>
      <c r="I1447" s="9" t="str">
        <f aca="false">IF(H1447=0,"—",IF(H1447=1,"unison (1:1)",IF(H1447=2,"octave (2:1)",IF(H1447=3,"fifth (3:2)",IF(H1447=4,"fourth (4:3)","?")))))</f>
        <v>—</v>
      </c>
      <c r="J1447" s="9" t="str">
        <f aca="false">IF(H1447=0,"—",IF(H1447=1,"ὁμώνυμον",IF(H1447=2,"διὰ πασῶν",IF(H1447=3,"διὰ πέντε",IF(H1447=4,"διὰ τεσσάρων","?")))))</f>
        <v>—</v>
      </c>
      <c r="K1447" s="10"/>
      <c r="L1447" s="14"/>
      <c r="M1447" s="13"/>
    </row>
    <row r="1448" customFormat="false" ht="15.75" hidden="false" customHeight="true" outlineLevel="0" collapsed="false">
      <c r="A1448" s="8" t="n">
        <f aca="false">A1447+1</f>
        <v>1446</v>
      </c>
      <c r="B1448" s="9" t="n">
        <f aca="false">MOD(4*A1448^2,10)</f>
        <v>4</v>
      </c>
      <c r="C1448" s="9" t="n">
        <f aca="false">(26*B1448-5*B1448^2)/24</f>
        <v>1</v>
      </c>
      <c r="D1448" s="9" t="n">
        <f aca="false">(A1448^2+4*C1448)/5</f>
        <v>418184</v>
      </c>
      <c r="E1448" s="9" t="n">
        <f aca="false">MOD(D1448,10)</f>
        <v>4</v>
      </c>
      <c r="F1448" s="9" t="n">
        <f aca="false">2*D1448</f>
        <v>836368</v>
      </c>
      <c r="G1448" s="9" t="n">
        <f aca="false">MOD(F1448,10)</f>
        <v>8</v>
      </c>
      <c r="H1448" s="9" t="n">
        <f aca="false">G1448/2</f>
        <v>4</v>
      </c>
      <c r="I1448" s="9" t="str">
        <f aca="false">IF(H1448=0,"—",IF(H1448=1,"unison (1:1)",IF(H1448=2,"octave (2:1)",IF(H1448=3,"fifth (3:2)",IF(H1448=4,"fourth (4:3)","?")))))</f>
        <v>fourth (4:3)</v>
      </c>
      <c r="J1448" s="9" t="str">
        <f aca="false">IF(H1448=0,"—",IF(H1448=1,"ὁμώνυμον",IF(H1448=2,"διὰ πασῶν",IF(H1448=3,"διὰ πέντε",IF(H1448=4,"διὰ τεσσάρων","?")))))</f>
        <v>διὰ τεσσάρων</v>
      </c>
      <c r="K1448" s="10"/>
      <c r="L1448" s="14"/>
      <c r="M1448" s="13"/>
    </row>
    <row r="1449" customFormat="false" ht="15.75" hidden="false" customHeight="true" outlineLevel="0" collapsed="false">
      <c r="A1449" s="8" t="n">
        <f aca="false">A1448+1</f>
        <v>1447</v>
      </c>
      <c r="B1449" s="9" t="n">
        <f aca="false">MOD(4*A1449^2,10)</f>
        <v>6</v>
      </c>
      <c r="C1449" s="9" t="n">
        <f aca="false">(26*B1449-5*B1449^2)/24</f>
        <v>-1</v>
      </c>
      <c r="D1449" s="9" t="n">
        <f aca="false">(A1449^2+4*C1449)/5</f>
        <v>418761</v>
      </c>
      <c r="E1449" s="9" t="n">
        <f aca="false">MOD(D1449,10)</f>
        <v>1</v>
      </c>
      <c r="F1449" s="9" t="n">
        <f aca="false">2*D1449</f>
        <v>837522</v>
      </c>
      <c r="G1449" s="9" t="n">
        <f aca="false">MOD(F1449,10)</f>
        <v>2</v>
      </c>
      <c r="H1449" s="9" t="n">
        <f aca="false">G1449/2</f>
        <v>1</v>
      </c>
      <c r="I1449" s="9" t="str">
        <f aca="false">IF(H1449=0,"—",IF(H1449=1,"unison (1:1)",IF(H1449=2,"octave (2:1)",IF(H1449=3,"fifth (3:2)",IF(H1449=4,"fourth (4:3)","?")))))</f>
        <v>unison (1:1)</v>
      </c>
      <c r="J1449" s="9" t="str">
        <f aca="false">IF(H1449=0,"—",IF(H1449=1,"ὁμώνυμον",IF(H1449=2,"διὰ πασῶν",IF(H1449=3,"διὰ πέντε",IF(H1449=4,"διὰ τεσσάρων","?")))))</f>
        <v>ὁμώνυμον</v>
      </c>
      <c r="K1449" s="10"/>
      <c r="L1449" s="14"/>
      <c r="M1449" s="13"/>
    </row>
    <row r="1450" customFormat="false" ht="15.75" hidden="false" customHeight="true" outlineLevel="0" collapsed="false">
      <c r="A1450" s="8" t="n">
        <f aca="false">A1449+1</f>
        <v>1448</v>
      </c>
      <c r="B1450" s="9" t="n">
        <f aca="false">MOD(4*A1450^2,10)</f>
        <v>6</v>
      </c>
      <c r="C1450" s="9" t="n">
        <f aca="false">(26*B1450-5*B1450^2)/24</f>
        <v>-1</v>
      </c>
      <c r="D1450" s="9" t="n">
        <f aca="false">(A1450^2+4*C1450)/5</f>
        <v>419340</v>
      </c>
      <c r="E1450" s="9" t="n">
        <f aca="false">MOD(D1450,10)</f>
        <v>0</v>
      </c>
      <c r="F1450" s="9" t="n">
        <f aca="false">2*D1450</f>
        <v>838680</v>
      </c>
      <c r="G1450" s="9" t="n">
        <f aca="false">MOD(F1450,10)</f>
        <v>0</v>
      </c>
      <c r="H1450" s="9" t="n">
        <f aca="false">G1450/2</f>
        <v>0</v>
      </c>
      <c r="I1450" s="9" t="str">
        <f aca="false">IF(H1450=0,"—",IF(H1450=1,"unison (1:1)",IF(H1450=2,"octave (2:1)",IF(H1450=3,"fifth (3:2)",IF(H1450=4,"fourth (4:3)","?")))))</f>
        <v>—</v>
      </c>
      <c r="J1450" s="9" t="str">
        <f aca="false">IF(H1450=0,"—",IF(H1450=1,"ὁμώνυμον",IF(H1450=2,"διὰ πασῶν",IF(H1450=3,"διὰ πέντε",IF(H1450=4,"διὰ τεσσάρων","?")))))</f>
        <v>—</v>
      </c>
      <c r="K1450" s="10"/>
      <c r="L1450" s="14"/>
      <c r="M1450" s="13"/>
    </row>
    <row r="1451" customFormat="false" ht="15.75" hidden="false" customHeight="true" outlineLevel="0" collapsed="false">
      <c r="A1451" s="8" t="n">
        <f aca="false">A1450+1</f>
        <v>1449</v>
      </c>
      <c r="B1451" s="9" t="n">
        <f aca="false">MOD(4*A1451^2,10)</f>
        <v>4</v>
      </c>
      <c r="C1451" s="9" t="n">
        <f aca="false">(26*B1451-5*B1451^2)/24</f>
        <v>1</v>
      </c>
      <c r="D1451" s="9" t="n">
        <f aca="false">(A1451^2+4*C1451)/5</f>
        <v>419921</v>
      </c>
      <c r="E1451" s="9" t="n">
        <f aca="false">MOD(D1451,10)</f>
        <v>1</v>
      </c>
      <c r="F1451" s="9" t="n">
        <f aca="false">2*D1451</f>
        <v>839842</v>
      </c>
      <c r="G1451" s="9" t="n">
        <f aca="false">MOD(F1451,10)</f>
        <v>2</v>
      </c>
      <c r="H1451" s="9" t="n">
        <f aca="false">G1451/2</f>
        <v>1</v>
      </c>
      <c r="I1451" s="9" t="str">
        <f aca="false">IF(H1451=0,"—",IF(H1451=1,"unison (1:1)",IF(H1451=2,"octave (2:1)",IF(H1451=3,"fifth (3:2)",IF(H1451=4,"fourth (4:3)","?")))))</f>
        <v>unison (1:1)</v>
      </c>
      <c r="J1451" s="9" t="str">
        <f aca="false">IF(H1451=0,"—",IF(H1451=1,"ὁμώνυμον",IF(H1451=2,"διὰ πασῶν",IF(H1451=3,"διὰ πέντε",IF(H1451=4,"διὰ τεσσάρων","?")))))</f>
        <v>ὁμώνυμον</v>
      </c>
      <c r="K1451" s="10"/>
      <c r="L1451" s="14"/>
      <c r="M1451" s="13"/>
    </row>
    <row r="1452" customFormat="false" ht="15.75" hidden="false" customHeight="true" outlineLevel="0" collapsed="false">
      <c r="A1452" s="8" t="n">
        <f aca="false">A1451+1</f>
        <v>1450</v>
      </c>
      <c r="B1452" s="9" t="n">
        <f aca="false">MOD(4*A1452^2,10)</f>
        <v>0</v>
      </c>
      <c r="C1452" s="9" t="n">
        <f aca="false">(26*B1452-5*B1452^2)/24</f>
        <v>0</v>
      </c>
      <c r="D1452" s="9" t="n">
        <f aca="false">(A1452^2+4*C1452)/5</f>
        <v>420500</v>
      </c>
      <c r="E1452" s="9" t="n">
        <f aca="false">MOD(D1452,10)</f>
        <v>0</v>
      </c>
      <c r="F1452" s="9" t="n">
        <f aca="false">2*D1452</f>
        <v>841000</v>
      </c>
      <c r="G1452" s="9" t="n">
        <f aca="false">MOD(F1452,10)</f>
        <v>0</v>
      </c>
      <c r="H1452" s="9" t="n">
        <f aca="false">G1452/2</f>
        <v>0</v>
      </c>
      <c r="I1452" s="9" t="str">
        <f aca="false">IF(H1452=0,"—",IF(H1452=1,"unison (1:1)",IF(H1452=2,"octave (2:1)",IF(H1452=3,"fifth (3:2)",IF(H1452=4,"fourth (4:3)","?")))))</f>
        <v>—</v>
      </c>
      <c r="J1452" s="9" t="str">
        <f aca="false">IF(H1452=0,"—",IF(H1452=1,"ὁμώνυμον",IF(H1452=2,"διὰ πασῶν",IF(H1452=3,"διὰ πέντε",IF(H1452=4,"διὰ τεσσάρων","?")))))</f>
        <v>—</v>
      </c>
      <c r="K1452" s="10"/>
      <c r="L1452" s="14"/>
      <c r="M1452" s="13"/>
    </row>
    <row r="1453" customFormat="false" ht="15.75" hidden="false" customHeight="true" outlineLevel="0" collapsed="false">
      <c r="A1453" s="8" t="n">
        <f aca="false">A1452+1</f>
        <v>1451</v>
      </c>
      <c r="B1453" s="9" t="n">
        <f aca="false">MOD(4*A1453^2,10)</f>
        <v>4</v>
      </c>
      <c r="C1453" s="9" t="n">
        <f aca="false">(26*B1453-5*B1453^2)/24</f>
        <v>1</v>
      </c>
      <c r="D1453" s="9" t="n">
        <f aca="false">(A1453^2+4*C1453)/5</f>
        <v>421081</v>
      </c>
      <c r="E1453" s="9" t="n">
        <f aca="false">MOD(D1453,10)</f>
        <v>1</v>
      </c>
      <c r="F1453" s="9" t="n">
        <f aca="false">2*D1453</f>
        <v>842162</v>
      </c>
      <c r="G1453" s="9" t="n">
        <f aca="false">MOD(F1453,10)</f>
        <v>2</v>
      </c>
      <c r="H1453" s="9" t="n">
        <f aca="false">G1453/2</f>
        <v>1</v>
      </c>
      <c r="I1453" s="9" t="str">
        <f aca="false">IF(H1453=0,"—",IF(H1453=1,"unison (1:1)",IF(H1453=2,"octave (2:1)",IF(H1453=3,"fifth (3:2)",IF(H1453=4,"fourth (4:3)","?")))))</f>
        <v>unison (1:1)</v>
      </c>
      <c r="J1453" s="9" t="str">
        <f aca="false">IF(H1453=0,"—",IF(H1453=1,"ὁμώνυμον",IF(H1453=2,"διὰ πασῶν",IF(H1453=3,"διὰ πέντε",IF(H1453=4,"διὰ τεσσάρων","?")))))</f>
        <v>ὁμώνυμον</v>
      </c>
      <c r="K1453" s="10"/>
      <c r="L1453" s="14"/>
      <c r="M1453" s="13"/>
    </row>
    <row r="1454" customFormat="false" ht="15.75" hidden="false" customHeight="true" outlineLevel="0" collapsed="false">
      <c r="A1454" s="8" t="n">
        <f aca="false">A1453+1</f>
        <v>1452</v>
      </c>
      <c r="B1454" s="9" t="n">
        <f aca="false">MOD(4*A1454^2,10)</f>
        <v>6</v>
      </c>
      <c r="C1454" s="9" t="n">
        <f aca="false">(26*B1454-5*B1454^2)/24</f>
        <v>-1</v>
      </c>
      <c r="D1454" s="9" t="n">
        <f aca="false">(A1454^2+4*C1454)/5</f>
        <v>421660</v>
      </c>
      <c r="E1454" s="9" t="n">
        <f aca="false">MOD(D1454,10)</f>
        <v>0</v>
      </c>
      <c r="F1454" s="9" t="n">
        <f aca="false">2*D1454</f>
        <v>843320</v>
      </c>
      <c r="G1454" s="9" t="n">
        <f aca="false">MOD(F1454,10)</f>
        <v>0</v>
      </c>
      <c r="H1454" s="9" t="n">
        <f aca="false">G1454/2</f>
        <v>0</v>
      </c>
      <c r="I1454" s="9" t="str">
        <f aca="false">IF(H1454=0,"—",IF(H1454=1,"unison (1:1)",IF(H1454=2,"octave (2:1)",IF(H1454=3,"fifth (3:2)",IF(H1454=4,"fourth (4:3)","?")))))</f>
        <v>—</v>
      </c>
      <c r="J1454" s="9" t="str">
        <f aca="false">IF(H1454=0,"—",IF(H1454=1,"ὁμώνυμον",IF(H1454=2,"διὰ πασῶν",IF(H1454=3,"διὰ πέντε",IF(H1454=4,"διὰ τεσσάρων","?")))))</f>
        <v>—</v>
      </c>
      <c r="K1454" s="10"/>
      <c r="L1454" s="14"/>
      <c r="M1454" s="13"/>
    </row>
    <row r="1455" customFormat="false" ht="15.75" hidden="false" customHeight="true" outlineLevel="0" collapsed="false">
      <c r="A1455" s="8" t="n">
        <f aca="false">A1454+1</f>
        <v>1453</v>
      </c>
      <c r="B1455" s="9" t="n">
        <f aca="false">MOD(4*A1455^2,10)</f>
        <v>6</v>
      </c>
      <c r="C1455" s="9" t="n">
        <f aca="false">(26*B1455-5*B1455^2)/24</f>
        <v>-1</v>
      </c>
      <c r="D1455" s="9" t="n">
        <f aca="false">(A1455^2+4*C1455)/5</f>
        <v>422241</v>
      </c>
      <c r="E1455" s="9" t="n">
        <f aca="false">MOD(D1455,10)</f>
        <v>1</v>
      </c>
      <c r="F1455" s="9" t="n">
        <f aca="false">2*D1455</f>
        <v>844482</v>
      </c>
      <c r="G1455" s="9" t="n">
        <f aca="false">MOD(F1455,10)</f>
        <v>2</v>
      </c>
      <c r="H1455" s="9" t="n">
        <f aca="false">G1455/2</f>
        <v>1</v>
      </c>
      <c r="I1455" s="9" t="str">
        <f aca="false">IF(H1455=0,"—",IF(H1455=1,"unison (1:1)",IF(H1455=2,"octave (2:1)",IF(H1455=3,"fifth (3:2)",IF(H1455=4,"fourth (4:3)","?")))))</f>
        <v>unison (1:1)</v>
      </c>
      <c r="J1455" s="9" t="str">
        <f aca="false">IF(H1455=0,"—",IF(H1455=1,"ὁμώνυμον",IF(H1455=2,"διὰ πασῶν",IF(H1455=3,"διὰ πέντε",IF(H1455=4,"διὰ τεσσάρων","?")))))</f>
        <v>ὁμώνυμον</v>
      </c>
      <c r="K1455" s="10"/>
      <c r="L1455" s="14"/>
      <c r="M1455" s="13"/>
    </row>
    <row r="1456" customFormat="false" ht="15.75" hidden="false" customHeight="true" outlineLevel="0" collapsed="false">
      <c r="A1456" s="8" t="n">
        <f aca="false">A1455+1</f>
        <v>1454</v>
      </c>
      <c r="B1456" s="9" t="n">
        <f aca="false">MOD(4*A1456^2,10)</f>
        <v>4</v>
      </c>
      <c r="C1456" s="9" t="n">
        <f aca="false">(26*B1456-5*B1456^2)/24</f>
        <v>1</v>
      </c>
      <c r="D1456" s="9" t="n">
        <f aca="false">(A1456^2+4*C1456)/5</f>
        <v>422824</v>
      </c>
      <c r="E1456" s="9" t="n">
        <f aca="false">MOD(D1456,10)</f>
        <v>4</v>
      </c>
      <c r="F1456" s="9" t="n">
        <f aca="false">2*D1456</f>
        <v>845648</v>
      </c>
      <c r="G1456" s="9" t="n">
        <f aca="false">MOD(F1456,10)</f>
        <v>8</v>
      </c>
      <c r="H1456" s="9" t="n">
        <f aca="false">G1456/2</f>
        <v>4</v>
      </c>
      <c r="I1456" s="9" t="str">
        <f aca="false">IF(H1456=0,"—",IF(H1456=1,"unison (1:1)",IF(H1456=2,"octave (2:1)",IF(H1456=3,"fifth (3:2)",IF(H1456=4,"fourth (4:3)","?")))))</f>
        <v>fourth (4:3)</v>
      </c>
      <c r="J1456" s="9" t="str">
        <f aca="false">IF(H1456=0,"—",IF(H1456=1,"ὁμώνυμον",IF(H1456=2,"διὰ πασῶν",IF(H1456=3,"διὰ πέντε",IF(H1456=4,"διὰ τεσσάρων","?")))))</f>
        <v>διὰ τεσσάρων</v>
      </c>
      <c r="K1456" s="10"/>
      <c r="L1456" s="14"/>
      <c r="M1456" s="13"/>
    </row>
    <row r="1457" customFormat="false" ht="15.75" hidden="false" customHeight="true" outlineLevel="0" collapsed="false">
      <c r="A1457" s="8" t="n">
        <f aca="false">A1456+1</f>
        <v>1455</v>
      </c>
      <c r="B1457" s="9" t="n">
        <f aca="false">MOD(4*A1457^2,10)</f>
        <v>0</v>
      </c>
      <c r="C1457" s="9" t="n">
        <f aca="false">(26*B1457-5*B1457^2)/24</f>
        <v>0</v>
      </c>
      <c r="D1457" s="9" t="n">
        <f aca="false">(A1457^2+4*C1457)/5</f>
        <v>423405</v>
      </c>
      <c r="E1457" s="9" t="n">
        <f aca="false">MOD(D1457,10)</f>
        <v>5</v>
      </c>
      <c r="F1457" s="9" t="n">
        <f aca="false">2*D1457</f>
        <v>846810</v>
      </c>
      <c r="G1457" s="9" t="n">
        <f aca="false">MOD(F1457,10)</f>
        <v>0</v>
      </c>
      <c r="H1457" s="9" t="n">
        <f aca="false">G1457/2</f>
        <v>0</v>
      </c>
      <c r="I1457" s="9" t="str">
        <f aca="false">IF(H1457=0,"—",IF(H1457=1,"unison (1:1)",IF(H1457=2,"octave (2:1)",IF(H1457=3,"fifth (3:2)",IF(H1457=4,"fourth (4:3)","?")))))</f>
        <v>—</v>
      </c>
      <c r="J1457" s="9" t="str">
        <f aca="false">IF(H1457=0,"—",IF(H1457=1,"ὁμώνυμον",IF(H1457=2,"διὰ πασῶν",IF(H1457=3,"διὰ πέντε",IF(H1457=4,"διὰ τεσσάρων","?")))))</f>
        <v>—</v>
      </c>
      <c r="K1457" s="10"/>
      <c r="L1457" s="14"/>
      <c r="M1457" s="13"/>
    </row>
    <row r="1458" customFormat="false" ht="15.75" hidden="false" customHeight="true" outlineLevel="0" collapsed="false">
      <c r="A1458" s="8" t="n">
        <f aca="false">A1457+1</f>
        <v>1456</v>
      </c>
      <c r="B1458" s="9" t="n">
        <f aca="false">MOD(4*A1458^2,10)</f>
        <v>4</v>
      </c>
      <c r="C1458" s="9" t="n">
        <f aca="false">(26*B1458-5*B1458^2)/24</f>
        <v>1</v>
      </c>
      <c r="D1458" s="9" t="n">
        <f aca="false">(A1458^2+4*C1458)/5</f>
        <v>423988</v>
      </c>
      <c r="E1458" s="9" t="n">
        <f aca="false">MOD(D1458,10)</f>
        <v>8</v>
      </c>
      <c r="F1458" s="9" t="n">
        <f aca="false">2*D1458</f>
        <v>847976</v>
      </c>
      <c r="G1458" s="9" t="n">
        <f aca="false">MOD(F1458,10)</f>
        <v>6</v>
      </c>
      <c r="H1458" s="9" t="n">
        <f aca="false">G1458/2</f>
        <v>3</v>
      </c>
      <c r="I1458" s="9" t="str">
        <f aca="false">IF(H1458=0,"—",IF(H1458=1,"unison (1:1)",IF(H1458=2,"octave (2:1)",IF(H1458=3,"fifth (3:2)",IF(H1458=4,"fourth (4:3)","?")))))</f>
        <v>fifth (3:2)</v>
      </c>
      <c r="J1458" s="9" t="str">
        <f aca="false">IF(H1458=0,"—",IF(H1458=1,"ὁμώνυμον",IF(H1458=2,"διὰ πασῶν",IF(H1458=3,"διὰ πέντε",IF(H1458=4,"διὰ τεσσάρων","?")))))</f>
        <v>διὰ πέντε</v>
      </c>
      <c r="K1458" s="10"/>
      <c r="L1458" s="14"/>
      <c r="M1458" s="13"/>
    </row>
    <row r="1459" customFormat="false" ht="15.75" hidden="false" customHeight="true" outlineLevel="0" collapsed="false">
      <c r="A1459" s="8" t="n">
        <f aca="false">A1458+1</f>
        <v>1457</v>
      </c>
      <c r="B1459" s="9" t="n">
        <f aca="false">MOD(4*A1459^2,10)</f>
        <v>6</v>
      </c>
      <c r="C1459" s="9" t="n">
        <f aca="false">(26*B1459-5*B1459^2)/24</f>
        <v>-1</v>
      </c>
      <c r="D1459" s="9" t="n">
        <f aca="false">(A1459^2+4*C1459)/5</f>
        <v>424569</v>
      </c>
      <c r="E1459" s="9" t="n">
        <f aca="false">MOD(D1459,10)</f>
        <v>9</v>
      </c>
      <c r="F1459" s="9" t="n">
        <f aca="false">2*D1459</f>
        <v>849138</v>
      </c>
      <c r="G1459" s="9" t="n">
        <f aca="false">MOD(F1459,10)</f>
        <v>8</v>
      </c>
      <c r="H1459" s="9" t="n">
        <f aca="false">G1459/2</f>
        <v>4</v>
      </c>
      <c r="I1459" s="9" t="str">
        <f aca="false">IF(H1459=0,"—",IF(H1459=1,"unison (1:1)",IF(H1459=2,"octave (2:1)",IF(H1459=3,"fifth (3:2)",IF(H1459=4,"fourth (4:3)","?")))))</f>
        <v>fourth (4:3)</v>
      </c>
      <c r="J1459" s="9" t="str">
        <f aca="false">IF(H1459=0,"—",IF(H1459=1,"ὁμώνυμον",IF(H1459=2,"διὰ πασῶν",IF(H1459=3,"διὰ πέντε",IF(H1459=4,"διὰ τεσσάρων","?")))))</f>
        <v>διὰ τεσσάρων</v>
      </c>
      <c r="K1459" s="10"/>
      <c r="L1459" s="14"/>
      <c r="M1459" s="13"/>
    </row>
    <row r="1460" customFormat="false" ht="15.75" hidden="false" customHeight="true" outlineLevel="0" collapsed="false">
      <c r="A1460" s="8" t="n">
        <f aca="false">A1459+1</f>
        <v>1458</v>
      </c>
      <c r="B1460" s="9" t="n">
        <f aca="false">MOD(4*A1460^2,10)</f>
        <v>6</v>
      </c>
      <c r="C1460" s="9" t="n">
        <f aca="false">(26*B1460-5*B1460^2)/24</f>
        <v>-1</v>
      </c>
      <c r="D1460" s="9" t="n">
        <f aca="false">(A1460^2+4*C1460)/5</f>
        <v>425152</v>
      </c>
      <c r="E1460" s="9" t="n">
        <f aca="false">MOD(D1460,10)</f>
        <v>2</v>
      </c>
      <c r="F1460" s="9" t="n">
        <f aca="false">2*D1460</f>
        <v>850304</v>
      </c>
      <c r="G1460" s="9" t="n">
        <f aca="false">MOD(F1460,10)</f>
        <v>4</v>
      </c>
      <c r="H1460" s="9" t="n">
        <f aca="false">G1460/2</f>
        <v>2</v>
      </c>
      <c r="I1460" s="9" t="str">
        <f aca="false">IF(H1460=0,"—",IF(H1460=1,"unison (1:1)",IF(H1460=2,"octave (2:1)",IF(H1460=3,"fifth (3:2)",IF(H1460=4,"fourth (4:3)","?")))))</f>
        <v>octave (2:1)</v>
      </c>
      <c r="J1460" s="9" t="str">
        <f aca="false">IF(H1460=0,"—",IF(H1460=1,"ὁμώνυμον",IF(H1460=2,"διὰ πασῶν",IF(H1460=3,"διὰ πέντε",IF(H1460=4,"διὰ τεσσάρων","?")))))</f>
        <v>διὰ πασῶν</v>
      </c>
      <c r="K1460" s="10"/>
      <c r="L1460" s="14"/>
      <c r="M1460" s="13"/>
    </row>
    <row r="1461" customFormat="false" ht="15.75" hidden="false" customHeight="true" outlineLevel="0" collapsed="false">
      <c r="A1461" s="8" t="n">
        <f aca="false">A1460+1</f>
        <v>1459</v>
      </c>
      <c r="B1461" s="9" t="n">
        <f aca="false">MOD(4*A1461^2,10)</f>
        <v>4</v>
      </c>
      <c r="C1461" s="9" t="n">
        <f aca="false">(26*B1461-5*B1461^2)/24</f>
        <v>1</v>
      </c>
      <c r="D1461" s="9" t="n">
        <f aca="false">(A1461^2+4*C1461)/5</f>
        <v>425737</v>
      </c>
      <c r="E1461" s="9" t="n">
        <f aca="false">MOD(D1461,10)</f>
        <v>7</v>
      </c>
      <c r="F1461" s="9" t="n">
        <f aca="false">2*D1461</f>
        <v>851474</v>
      </c>
      <c r="G1461" s="9" t="n">
        <f aca="false">MOD(F1461,10)</f>
        <v>4</v>
      </c>
      <c r="H1461" s="9" t="n">
        <f aca="false">G1461/2</f>
        <v>2</v>
      </c>
      <c r="I1461" s="9" t="str">
        <f aca="false">IF(H1461=0,"—",IF(H1461=1,"unison (1:1)",IF(H1461=2,"octave (2:1)",IF(H1461=3,"fifth (3:2)",IF(H1461=4,"fourth (4:3)","?")))))</f>
        <v>octave (2:1)</v>
      </c>
      <c r="J1461" s="9" t="str">
        <f aca="false">IF(H1461=0,"—",IF(H1461=1,"ὁμώνυμον",IF(H1461=2,"διὰ πασῶν",IF(H1461=3,"διὰ πέντε",IF(H1461=4,"διὰ τεσσάρων","?")))))</f>
        <v>διὰ πασῶν</v>
      </c>
      <c r="K1461" s="10"/>
      <c r="L1461" s="14"/>
      <c r="M1461" s="13"/>
    </row>
    <row r="1462" customFormat="false" ht="15.75" hidden="false" customHeight="true" outlineLevel="0" collapsed="false">
      <c r="A1462" s="8" t="n">
        <f aca="false">A1461+1</f>
        <v>1460</v>
      </c>
      <c r="B1462" s="9" t="n">
        <f aca="false">MOD(4*A1462^2,10)</f>
        <v>0</v>
      </c>
      <c r="C1462" s="9" t="n">
        <f aca="false">(26*B1462-5*B1462^2)/24</f>
        <v>0</v>
      </c>
      <c r="D1462" s="9" t="n">
        <f aca="false">(A1462^2+4*C1462)/5</f>
        <v>426320</v>
      </c>
      <c r="E1462" s="9" t="n">
        <f aca="false">MOD(D1462,10)</f>
        <v>0</v>
      </c>
      <c r="F1462" s="9" t="n">
        <f aca="false">2*D1462</f>
        <v>852640</v>
      </c>
      <c r="G1462" s="9" t="n">
        <f aca="false">MOD(F1462,10)</f>
        <v>0</v>
      </c>
      <c r="H1462" s="9" t="n">
        <f aca="false">G1462/2</f>
        <v>0</v>
      </c>
      <c r="I1462" s="9" t="str">
        <f aca="false">IF(H1462=0,"—",IF(H1462=1,"unison (1:1)",IF(H1462=2,"octave (2:1)",IF(H1462=3,"fifth (3:2)",IF(H1462=4,"fourth (4:3)","?")))))</f>
        <v>—</v>
      </c>
      <c r="J1462" s="9" t="str">
        <f aca="false">IF(H1462=0,"—",IF(H1462=1,"ὁμώνυμον",IF(H1462=2,"διὰ πασῶν",IF(H1462=3,"διὰ πέντε",IF(H1462=4,"διὰ τεσσάρων","?")))))</f>
        <v>—</v>
      </c>
      <c r="K1462" s="10"/>
      <c r="L1462" s="14"/>
      <c r="M1462" s="13"/>
    </row>
    <row r="1463" customFormat="false" ht="15.75" hidden="false" customHeight="true" outlineLevel="0" collapsed="false">
      <c r="A1463" s="8" t="n">
        <f aca="false">A1462+1</f>
        <v>1461</v>
      </c>
      <c r="B1463" s="9" t="n">
        <f aca="false">MOD(4*A1463^2,10)</f>
        <v>4</v>
      </c>
      <c r="C1463" s="9" t="n">
        <f aca="false">(26*B1463-5*B1463^2)/24</f>
        <v>1</v>
      </c>
      <c r="D1463" s="9" t="n">
        <f aca="false">(A1463^2+4*C1463)/5</f>
        <v>426905</v>
      </c>
      <c r="E1463" s="9" t="n">
        <f aca="false">MOD(D1463,10)</f>
        <v>5</v>
      </c>
      <c r="F1463" s="9" t="n">
        <f aca="false">2*D1463</f>
        <v>853810</v>
      </c>
      <c r="G1463" s="9" t="n">
        <f aca="false">MOD(F1463,10)</f>
        <v>0</v>
      </c>
      <c r="H1463" s="9" t="n">
        <f aca="false">G1463/2</f>
        <v>0</v>
      </c>
      <c r="I1463" s="9" t="str">
        <f aca="false">IF(H1463=0,"—",IF(H1463=1,"unison (1:1)",IF(H1463=2,"octave (2:1)",IF(H1463=3,"fifth (3:2)",IF(H1463=4,"fourth (4:3)","?")))))</f>
        <v>—</v>
      </c>
      <c r="J1463" s="9" t="str">
        <f aca="false">IF(H1463=0,"—",IF(H1463=1,"ὁμώνυμον",IF(H1463=2,"διὰ πασῶν",IF(H1463=3,"διὰ πέντε",IF(H1463=4,"διὰ τεσσάρων","?")))))</f>
        <v>—</v>
      </c>
      <c r="K1463" s="10"/>
      <c r="L1463" s="14"/>
      <c r="M1463" s="13"/>
    </row>
    <row r="1464" customFormat="false" ht="15.75" hidden="false" customHeight="true" outlineLevel="0" collapsed="false">
      <c r="A1464" s="8" t="n">
        <f aca="false">A1463+1</f>
        <v>1462</v>
      </c>
      <c r="B1464" s="9" t="n">
        <f aca="false">MOD(4*A1464^2,10)</f>
        <v>6</v>
      </c>
      <c r="C1464" s="9" t="n">
        <f aca="false">(26*B1464-5*B1464^2)/24</f>
        <v>-1</v>
      </c>
      <c r="D1464" s="9" t="n">
        <f aca="false">(A1464^2+4*C1464)/5</f>
        <v>427488</v>
      </c>
      <c r="E1464" s="9" t="n">
        <f aca="false">MOD(D1464,10)</f>
        <v>8</v>
      </c>
      <c r="F1464" s="9" t="n">
        <f aca="false">2*D1464</f>
        <v>854976</v>
      </c>
      <c r="G1464" s="9" t="n">
        <f aca="false">MOD(F1464,10)</f>
        <v>6</v>
      </c>
      <c r="H1464" s="9" t="n">
        <f aca="false">G1464/2</f>
        <v>3</v>
      </c>
      <c r="I1464" s="9" t="str">
        <f aca="false">IF(H1464=0,"—",IF(H1464=1,"unison (1:1)",IF(H1464=2,"octave (2:1)",IF(H1464=3,"fifth (3:2)",IF(H1464=4,"fourth (4:3)","?")))))</f>
        <v>fifth (3:2)</v>
      </c>
      <c r="J1464" s="9" t="str">
        <f aca="false">IF(H1464=0,"—",IF(H1464=1,"ὁμώνυμον",IF(H1464=2,"διὰ πασῶν",IF(H1464=3,"διὰ πέντε",IF(H1464=4,"διὰ τεσσάρων","?")))))</f>
        <v>διὰ πέντε</v>
      </c>
      <c r="K1464" s="10"/>
      <c r="L1464" s="14"/>
      <c r="M1464" s="13"/>
    </row>
    <row r="1465" customFormat="false" ht="15.75" hidden="false" customHeight="true" outlineLevel="0" collapsed="false">
      <c r="A1465" s="8" t="n">
        <f aca="false">A1464+1</f>
        <v>1463</v>
      </c>
      <c r="B1465" s="9" t="n">
        <f aca="false">MOD(4*A1465^2,10)</f>
        <v>6</v>
      </c>
      <c r="C1465" s="9" t="n">
        <f aca="false">(26*B1465-5*B1465^2)/24</f>
        <v>-1</v>
      </c>
      <c r="D1465" s="9" t="n">
        <f aca="false">(A1465^2+4*C1465)/5</f>
        <v>428073</v>
      </c>
      <c r="E1465" s="9" t="n">
        <f aca="false">MOD(D1465,10)</f>
        <v>3</v>
      </c>
      <c r="F1465" s="9" t="n">
        <f aca="false">2*D1465</f>
        <v>856146</v>
      </c>
      <c r="G1465" s="9" t="n">
        <f aca="false">MOD(F1465,10)</f>
        <v>6</v>
      </c>
      <c r="H1465" s="9" t="n">
        <f aca="false">G1465/2</f>
        <v>3</v>
      </c>
      <c r="I1465" s="9" t="str">
        <f aca="false">IF(H1465=0,"—",IF(H1465=1,"unison (1:1)",IF(H1465=2,"octave (2:1)",IF(H1465=3,"fifth (3:2)",IF(H1465=4,"fourth (4:3)","?")))))</f>
        <v>fifth (3:2)</v>
      </c>
      <c r="J1465" s="9" t="str">
        <f aca="false">IF(H1465=0,"—",IF(H1465=1,"ὁμώνυμον",IF(H1465=2,"διὰ πασῶν",IF(H1465=3,"διὰ πέντε",IF(H1465=4,"διὰ τεσσάρων","?")))))</f>
        <v>διὰ πέντε</v>
      </c>
      <c r="K1465" s="10"/>
      <c r="L1465" s="14"/>
      <c r="M1465" s="13"/>
    </row>
    <row r="1466" customFormat="false" ht="15.75" hidden="false" customHeight="true" outlineLevel="0" collapsed="false">
      <c r="A1466" s="8" t="n">
        <f aca="false">A1465+1</f>
        <v>1464</v>
      </c>
      <c r="B1466" s="9" t="n">
        <f aca="false">MOD(4*A1466^2,10)</f>
        <v>4</v>
      </c>
      <c r="C1466" s="9" t="n">
        <f aca="false">(26*B1466-5*B1466^2)/24</f>
        <v>1</v>
      </c>
      <c r="D1466" s="9" t="n">
        <f aca="false">(A1466^2+4*C1466)/5</f>
        <v>428660</v>
      </c>
      <c r="E1466" s="9" t="n">
        <f aca="false">MOD(D1466,10)</f>
        <v>0</v>
      </c>
      <c r="F1466" s="9" t="n">
        <f aca="false">2*D1466</f>
        <v>857320</v>
      </c>
      <c r="G1466" s="9" t="n">
        <f aca="false">MOD(F1466,10)</f>
        <v>0</v>
      </c>
      <c r="H1466" s="9" t="n">
        <f aca="false">G1466/2</f>
        <v>0</v>
      </c>
      <c r="I1466" s="9" t="str">
        <f aca="false">IF(H1466=0,"—",IF(H1466=1,"unison (1:1)",IF(H1466=2,"octave (2:1)",IF(H1466=3,"fifth (3:2)",IF(H1466=4,"fourth (4:3)","?")))))</f>
        <v>—</v>
      </c>
      <c r="J1466" s="9" t="str">
        <f aca="false">IF(H1466=0,"—",IF(H1466=1,"ὁμώνυμον",IF(H1466=2,"διὰ πασῶν",IF(H1466=3,"διὰ πέντε",IF(H1466=4,"διὰ τεσσάρων","?")))))</f>
        <v>—</v>
      </c>
      <c r="K1466" s="10"/>
      <c r="L1466" s="14"/>
      <c r="M1466" s="13"/>
    </row>
    <row r="1467" customFormat="false" ht="15.75" hidden="false" customHeight="true" outlineLevel="0" collapsed="false">
      <c r="A1467" s="8" t="n">
        <f aca="false">A1466+1</f>
        <v>1465</v>
      </c>
      <c r="B1467" s="9" t="n">
        <f aca="false">MOD(4*A1467^2,10)</f>
        <v>0</v>
      </c>
      <c r="C1467" s="9" t="n">
        <f aca="false">(26*B1467-5*B1467^2)/24</f>
        <v>0</v>
      </c>
      <c r="D1467" s="9" t="n">
        <f aca="false">(A1467^2+4*C1467)/5</f>
        <v>429245</v>
      </c>
      <c r="E1467" s="9" t="n">
        <f aca="false">MOD(D1467,10)</f>
        <v>5</v>
      </c>
      <c r="F1467" s="9" t="n">
        <f aca="false">2*D1467</f>
        <v>858490</v>
      </c>
      <c r="G1467" s="9" t="n">
        <f aca="false">MOD(F1467,10)</f>
        <v>0</v>
      </c>
      <c r="H1467" s="9" t="n">
        <f aca="false">G1467/2</f>
        <v>0</v>
      </c>
      <c r="I1467" s="9" t="str">
        <f aca="false">IF(H1467=0,"—",IF(H1467=1,"unison (1:1)",IF(H1467=2,"octave (2:1)",IF(H1467=3,"fifth (3:2)",IF(H1467=4,"fourth (4:3)","?")))))</f>
        <v>—</v>
      </c>
      <c r="J1467" s="9" t="str">
        <f aca="false">IF(H1467=0,"—",IF(H1467=1,"ὁμώνυμον",IF(H1467=2,"διὰ πασῶν",IF(H1467=3,"διὰ πέντε",IF(H1467=4,"διὰ τεσσάρων","?")))))</f>
        <v>—</v>
      </c>
      <c r="K1467" s="10"/>
      <c r="L1467" s="14"/>
      <c r="M1467" s="13"/>
    </row>
    <row r="1468" customFormat="false" ht="15.75" hidden="false" customHeight="true" outlineLevel="0" collapsed="false">
      <c r="A1468" s="8" t="n">
        <f aca="false">A1467+1</f>
        <v>1466</v>
      </c>
      <c r="B1468" s="9" t="n">
        <f aca="false">MOD(4*A1468^2,10)</f>
        <v>4</v>
      </c>
      <c r="C1468" s="9" t="n">
        <f aca="false">(26*B1468-5*B1468^2)/24</f>
        <v>1</v>
      </c>
      <c r="D1468" s="9" t="n">
        <f aca="false">(A1468^2+4*C1468)/5</f>
        <v>429832</v>
      </c>
      <c r="E1468" s="9" t="n">
        <f aca="false">MOD(D1468,10)</f>
        <v>2</v>
      </c>
      <c r="F1468" s="9" t="n">
        <f aca="false">2*D1468</f>
        <v>859664</v>
      </c>
      <c r="G1468" s="9" t="n">
        <f aca="false">MOD(F1468,10)</f>
        <v>4</v>
      </c>
      <c r="H1468" s="9" t="n">
        <f aca="false">G1468/2</f>
        <v>2</v>
      </c>
      <c r="I1468" s="9" t="str">
        <f aca="false">IF(H1468=0,"—",IF(H1468=1,"unison (1:1)",IF(H1468=2,"octave (2:1)",IF(H1468=3,"fifth (3:2)",IF(H1468=4,"fourth (4:3)","?")))))</f>
        <v>octave (2:1)</v>
      </c>
      <c r="J1468" s="9" t="str">
        <f aca="false">IF(H1468=0,"—",IF(H1468=1,"ὁμώνυμον",IF(H1468=2,"διὰ πασῶν",IF(H1468=3,"διὰ πέντε",IF(H1468=4,"διὰ τεσσάρων","?")))))</f>
        <v>διὰ πασῶν</v>
      </c>
      <c r="K1468" s="10"/>
      <c r="L1468" s="14"/>
      <c r="M1468" s="13"/>
    </row>
    <row r="1469" customFormat="false" ht="15.75" hidden="false" customHeight="true" outlineLevel="0" collapsed="false">
      <c r="A1469" s="8" t="n">
        <f aca="false">A1468+1</f>
        <v>1467</v>
      </c>
      <c r="B1469" s="9" t="n">
        <f aca="false">MOD(4*A1469^2,10)</f>
        <v>6</v>
      </c>
      <c r="C1469" s="9" t="n">
        <f aca="false">(26*B1469-5*B1469^2)/24</f>
        <v>-1</v>
      </c>
      <c r="D1469" s="9" t="n">
        <f aca="false">(A1469^2+4*C1469)/5</f>
        <v>430417</v>
      </c>
      <c r="E1469" s="9" t="n">
        <f aca="false">MOD(D1469,10)</f>
        <v>7</v>
      </c>
      <c r="F1469" s="9" t="n">
        <f aca="false">2*D1469</f>
        <v>860834</v>
      </c>
      <c r="G1469" s="9" t="n">
        <f aca="false">MOD(F1469,10)</f>
        <v>4</v>
      </c>
      <c r="H1469" s="9" t="n">
        <f aca="false">G1469/2</f>
        <v>2</v>
      </c>
      <c r="I1469" s="9" t="str">
        <f aca="false">IF(H1469=0,"—",IF(H1469=1,"unison (1:1)",IF(H1469=2,"octave (2:1)",IF(H1469=3,"fifth (3:2)",IF(H1469=4,"fourth (4:3)","?")))))</f>
        <v>octave (2:1)</v>
      </c>
      <c r="J1469" s="9" t="str">
        <f aca="false">IF(H1469=0,"—",IF(H1469=1,"ὁμώνυμον",IF(H1469=2,"διὰ πασῶν",IF(H1469=3,"διὰ πέντε",IF(H1469=4,"διὰ τεσσάρων","?")))))</f>
        <v>διὰ πασῶν</v>
      </c>
      <c r="K1469" s="10"/>
      <c r="L1469" s="14"/>
      <c r="M1469" s="13"/>
    </row>
    <row r="1470" customFormat="false" ht="15.75" hidden="false" customHeight="true" outlineLevel="0" collapsed="false">
      <c r="A1470" s="8" t="n">
        <f aca="false">A1469+1</f>
        <v>1468</v>
      </c>
      <c r="B1470" s="9" t="n">
        <f aca="false">MOD(4*A1470^2,10)</f>
        <v>6</v>
      </c>
      <c r="C1470" s="9" t="n">
        <f aca="false">(26*B1470-5*B1470^2)/24</f>
        <v>-1</v>
      </c>
      <c r="D1470" s="9" t="n">
        <f aca="false">(A1470^2+4*C1470)/5</f>
        <v>431004</v>
      </c>
      <c r="E1470" s="9" t="n">
        <f aca="false">MOD(D1470,10)</f>
        <v>4</v>
      </c>
      <c r="F1470" s="9" t="n">
        <f aca="false">2*D1470</f>
        <v>862008</v>
      </c>
      <c r="G1470" s="9" t="n">
        <f aca="false">MOD(F1470,10)</f>
        <v>8</v>
      </c>
      <c r="H1470" s="9" t="n">
        <f aca="false">G1470/2</f>
        <v>4</v>
      </c>
      <c r="I1470" s="9" t="str">
        <f aca="false">IF(H1470=0,"—",IF(H1470=1,"unison (1:1)",IF(H1470=2,"octave (2:1)",IF(H1470=3,"fifth (3:2)",IF(H1470=4,"fourth (4:3)","?")))))</f>
        <v>fourth (4:3)</v>
      </c>
      <c r="J1470" s="9" t="str">
        <f aca="false">IF(H1470=0,"—",IF(H1470=1,"ὁμώνυμον",IF(H1470=2,"διὰ πασῶν",IF(H1470=3,"διὰ πέντε",IF(H1470=4,"διὰ τεσσάρων","?")))))</f>
        <v>διὰ τεσσάρων</v>
      </c>
      <c r="K1470" s="10"/>
      <c r="L1470" s="14"/>
      <c r="M1470" s="13"/>
    </row>
    <row r="1471" customFormat="false" ht="15.75" hidden="false" customHeight="true" outlineLevel="0" collapsed="false">
      <c r="A1471" s="8" t="n">
        <f aca="false">A1470+1</f>
        <v>1469</v>
      </c>
      <c r="B1471" s="9" t="n">
        <f aca="false">MOD(4*A1471^2,10)</f>
        <v>4</v>
      </c>
      <c r="C1471" s="9" t="n">
        <f aca="false">(26*B1471-5*B1471^2)/24</f>
        <v>1</v>
      </c>
      <c r="D1471" s="9" t="n">
        <f aca="false">(A1471^2+4*C1471)/5</f>
        <v>431593</v>
      </c>
      <c r="E1471" s="9" t="n">
        <f aca="false">MOD(D1471,10)</f>
        <v>3</v>
      </c>
      <c r="F1471" s="9" t="n">
        <f aca="false">2*D1471</f>
        <v>863186</v>
      </c>
      <c r="G1471" s="9" t="n">
        <f aca="false">MOD(F1471,10)</f>
        <v>6</v>
      </c>
      <c r="H1471" s="9" t="n">
        <f aca="false">G1471/2</f>
        <v>3</v>
      </c>
      <c r="I1471" s="9" t="str">
        <f aca="false">IF(H1471=0,"—",IF(H1471=1,"unison (1:1)",IF(H1471=2,"octave (2:1)",IF(H1471=3,"fifth (3:2)",IF(H1471=4,"fourth (4:3)","?")))))</f>
        <v>fifth (3:2)</v>
      </c>
      <c r="J1471" s="9" t="str">
        <f aca="false">IF(H1471=0,"—",IF(H1471=1,"ὁμώνυμον",IF(H1471=2,"διὰ πασῶν",IF(H1471=3,"διὰ πέντε",IF(H1471=4,"διὰ τεσσάρων","?")))))</f>
        <v>διὰ πέντε</v>
      </c>
      <c r="K1471" s="10"/>
      <c r="L1471" s="14"/>
      <c r="M1471" s="13"/>
    </row>
    <row r="1472" customFormat="false" ht="15.75" hidden="false" customHeight="true" outlineLevel="0" collapsed="false">
      <c r="A1472" s="8" t="n">
        <f aca="false">A1471+1</f>
        <v>1470</v>
      </c>
      <c r="B1472" s="9" t="n">
        <f aca="false">MOD(4*A1472^2,10)</f>
        <v>0</v>
      </c>
      <c r="C1472" s="9" t="n">
        <f aca="false">(26*B1472-5*B1472^2)/24</f>
        <v>0</v>
      </c>
      <c r="D1472" s="9" t="n">
        <f aca="false">(A1472^2+4*C1472)/5</f>
        <v>432180</v>
      </c>
      <c r="E1472" s="9" t="n">
        <f aca="false">MOD(D1472,10)</f>
        <v>0</v>
      </c>
      <c r="F1472" s="9" t="n">
        <f aca="false">2*D1472</f>
        <v>864360</v>
      </c>
      <c r="G1472" s="9" t="n">
        <f aca="false">MOD(F1472,10)</f>
        <v>0</v>
      </c>
      <c r="H1472" s="9" t="n">
        <f aca="false">G1472/2</f>
        <v>0</v>
      </c>
      <c r="I1472" s="9" t="str">
        <f aca="false">IF(H1472=0,"—",IF(H1472=1,"unison (1:1)",IF(H1472=2,"octave (2:1)",IF(H1472=3,"fifth (3:2)",IF(H1472=4,"fourth (4:3)","?")))))</f>
        <v>—</v>
      </c>
      <c r="J1472" s="9" t="str">
        <f aca="false">IF(H1472=0,"—",IF(H1472=1,"ὁμώνυμον",IF(H1472=2,"διὰ πασῶν",IF(H1472=3,"διὰ πέντε",IF(H1472=4,"διὰ τεσσάρων","?")))))</f>
        <v>—</v>
      </c>
      <c r="K1472" s="10"/>
      <c r="L1472" s="14"/>
      <c r="M1472" s="13"/>
    </row>
    <row r="1473" customFormat="false" ht="15.75" hidden="false" customHeight="true" outlineLevel="0" collapsed="false">
      <c r="A1473" s="8" t="n">
        <f aca="false">A1472+1</f>
        <v>1471</v>
      </c>
      <c r="B1473" s="9" t="n">
        <f aca="false">MOD(4*A1473^2,10)</f>
        <v>4</v>
      </c>
      <c r="C1473" s="9" t="n">
        <f aca="false">(26*B1473-5*B1473^2)/24</f>
        <v>1</v>
      </c>
      <c r="D1473" s="9" t="n">
        <f aca="false">(A1473^2+4*C1473)/5</f>
        <v>432769</v>
      </c>
      <c r="E1473" s="9" t="n">
        <f aca="false">MOD(D1473,10)</f>
        <v>9</v>
      </c>
      <c r="F1473" s="9" t="n">
        <f aca="false">2*D1473</f>
        <v>865538</v>
      </c>
      <c r="G1473" s="9" t="n">
        <f aca="false">MOD(F1473,10)</f>
        <v>8</v>
      </c>
      <c r="H1473" s="9" t="n">
        <f aca="false">G1473/2</f>
        <v>4</v>
      </c>
      <c r="I1473" s="9" t="str">
        <f aca="false">IF(H1473=0,"—",IF(H1473=1,"unison (1:1)",IF(H1473=2,"octave (2:1)",IF(H1473=3,"fifth (3:2)",IF(H1473=4,"fourth (4:3)","?")))))</f>
        <v>fourth (4:3)</v>
      </c>
      <c r="J1473" s="9" t="str">
        <f aca="false">IF(H1473=0,"—",IF(H1473=1,"ὁμώνυμον",IF(H1473=2,"διὰ πασῶν",IF(H1473=3,"διὰ πέντε",IF(H1473=4,"διὰ τεσσάρων","?")))))</f>
        <v>διὰ τεσσάρων</v>
      </c>
      <c r="K1473" s="10"/>
      <c r="L1473" s="14"/>
      <c r="M1473" s="13"/>
    </row>
    <row r="1474" customFormat="false" ht="15.75" hidden="false" customHeight="true" outlineLevel="0" collapsed="false">
      <c r="A1474" s="8" t="n">
        <f aca="false">A1473+1</f>
        <v>1472</v>
      </c>
      <c r="B1474" s="9" t="n">
        <f aca="false">MOD(4*A1474^2,10)</f>
        <v>6</v>
      </c>
      <c r="C1474" s="9" t="n">
        <f aca="false">(26*B1474-5*B1474^2)/24</f>
        <v>-1</v>
      </c>
      <c r="D1474" s="9" t="n">
        <f aca="false">(A1474^2+4*C1474)/5</f>
        <v>433356</v>
      </c>
      <c r="E1474" s="9" t="n">
        <f aca="false">MOD(D1474,10)</f>
        <v>6</v>
      </c>
      <c r="F1474" s="9" t="n">
        <f aca="false">2*D1474</f>
        <v>866712</v>
      </c>
      <c r="G1474" s="9" t="n">
        <f aca="false">MOD(F1474,10)</f>
        <v>2</v>
      </c>
      <c r="H1474" s="9" t="n">
        <f aca="false">G1474/2</f>
        <v>1</v>
      </c>
      <c r="I1474" s="9" t="str">
        <f aca="false">IF(H1474=0,"—",IF(H1474=1,"unison (1:1)",IF(H1474=2,"octave (2:1)",IF(H1474=3,"fifth (3:2)",IF(H1474=4,"fourth (4:3)","?")))))</f>
        <v>unison (1:1)</v>
      </c>
      <c r="J1474" s="9" t="str">
        <f aca="false">IF(H1474=0,"—",IF(H1474=1,"ὁμώνυμον",IF(H1474=2,"διὰ πασῶν",IF(H1474=3,"διὰ πέντε",IF(H1474=4,"διὰ τεσσάρων","?")))))</f>
        <v>ὁμώνυμον</v>
      </c>
      <c r="K1474" s="10"/>
      <c r="L1474" s="14"/>
      <c r="M1474" s="13"/>
    </row>
    <row r="1475" customFormat="false" ht="15.75" hidden="false" customHeight="true" outlineLevel="0" collapsed="false">
      <c r="A1475" s="8" t="n">
        <f aca="false">A1474+1</f>
        <v>1473</v>
      </c>
      <c r="B1475" s="9" t="n">
        <f aca="false">MOD(4*A1475^2,10)</f>
        <v>6</v>
      </c>
      <c r="C1475" s="9" t="n">
        <f aca="false">(26*B1475-5*B1475^2)/24</f>
        <v>-1</v>
      </c>
      <c r="D1475" s="9" t="n">
        <f aca="false">(A1475^2+4*C1475)/5</f>
        <v>433945</v>
      </c>
      <c r="E1475" s="9" t="n">
        <f aca="false">MOD(D1475,10)</f>
        <v>5</v>
      </c>
      <c r="F1475" s="9" t="n">
        <f aca="false">2*D1475</f>
        <v>867890</v>
      </c>
      <c r="G1475" s="9" t="n">
        <f aca="false">MOD(F1475,10)</f>
        <v>0</v>
      </c>
      <c r="H1475" s="9" t="n">
        <f aca="false">G1475/2</f>
        <v>0</v>
      </c>
      <c r="I1475" s="9" t="str">
        <f aca="false">IF(H1475=0,"—",IF(H1475=1,"unison (1:1)",IF(H1475=2,"octave (2:1)",IF(H1475=3,"fifth (3:2)",IF(H1475=4,"fourth (4:3)","?")))))</f>
        <v>—</v>
      </c>
      <c r="J1475" s="9" t="str">
        <f aca="false">IF(H1475=0,"—",IF(H1475=1,"ὁμώνυμον",IF(H1475=2,"διὰ πασῶν",IF(H1475=3,"διὰ πέντε",IF(H1475=4,"διὰ τεσσάρων","?")))))</f>
        <v>—</v>
      </c>
      <c r="K1475" s="10"/>
      <c r="L1475" s="14"/>
      <c r="M1475" s="13"/>
    </row>
    <row r="1476" customFormat="false" ht="15.75" hidden="false" customHeight="true" outlineLevel="0" collapsed="false">
      <c r="A1476" s="8" t="n">
        <f aca="false">A1475+1</f>
        <v>1474</v>
      </c>
      <c r="B1476" s="9" t="n">
        <f aca="false">MOD(4*A1476^2,10)</f>
        <v>4</v>
      </c>
      <c r="C1476" s="9" t="n">
        <f aca="false">(26*B1476-5*B1476^2)/24</f>
        <v>1</v>
      </c>
      <c r="D1476" s="9" t="n">
        <f aca="false">(A1476^2+4*C1476)/5</f>
        <v>434536</v>
      </c>
      <c r="E1476" s="9" t="n">
        <f aca="false">MOD(D1476,10)</f>
        <v>6</v>
      </c>
      <c r="F1476" s="9" t="n">
        <f aca="false">2*D1476</f>
        <v>869072</v>
      </c>
      <c r="G1476" s="9" t="n">
        <f aca="false">MOD(F1476,10)</f>
        <v>2</v>
      </c>
      <c r="H1476" s="9" t="n">
        <f aca="false">G1476/2</f>
        <v>1</v>
      </c>
      <c r="I1476" s="9" t="str">
        <f aca="false">IF(H1476=0,"—",IF(H1476=1,"unison (1:1)",IF(H1476=2,"octave (2:1)",IF(H1476=3,"fifth (3:2)",IF(H1476=4,"fourth (4:3)","?")))))</f>
        <v>unison (1:1)</v>
      </c>
      <c r="J1476" s="9" t="str">
        <f aca="false">IF(H1476=0,"—",IF(H1476=1,"ὁμώνυμον",IF(H1476=2,"διὰ πασῶν",IF(H1476=3,"διὰ πέντε",IF(H1476=4,"διὰ τεσσάρων","?")))))</f>
        <v>ὁμώνυμον</v>
      </c>
      <c r="K1476" s="10"/>
      <c r="L1476" s="14"/>
      <c r="M1476" s="13"/>
    </row>
    <row r="1477" customFormat="false" ht="15.75" hidden="false" customHeight="true" outlineLevel="0" collapsed="false">
      <c r="A1477" s="8" t="n">
        <f aca="false">A1476+1</f>
        <v>1475</v>
      </c>
      <c r="B1477" s="9" t="n">
        <f aca="false">MOD(4*A1477^2,10)</f>
        <v>0</v>
      </c>
      <c r="C1477" s="9" t="n">
        <f aca="false">(26*B1477-5*B1477^2)/24</f>
        <v>0</v>
      </c>
      <c r="D1477" s="9" t="n">
        <f aca="false">(A1477^2+4*C1477)/5</f>
        <v>435125</v>
      </c>
      <c r="E1477" s="9" t="n">
        <f aca="false">MOD(D1477,10)</f>
        <v>5</v>
      </c>
      <c r="F1477" s="9" t="n">
        <f aca="false">2*D1477</f>
        <v>870250</v>
      </c>
      <c r="G1477" s="9" t="n">
        <f aca="false">MOD(F1477,10)</f>
        <v>0</v>
      </c>
      <c r="H1477" s="9" t="n">
        <f aca="false">G1477/2</f>
        <v>0</v>
      </c>
      <c r="I1477" s="9" t="str">
        <f aca="false">IF(H1477=0,"—",IF(H1477=1,"unison (1:1)",IF(H1477=2,"octave (2:1)",IF(H1477=3,"fifth (3:2)",IF(H1477=4,"fourth (4:3)","?")))))</f>
        <v>—</v>
      </c>
      <c r="J1477" s="9" t="str">
        <f aca="false">IF(H1477=0,"—",IF(H1477=1,"ὁμώνυμον",IF(H1477=2,"διὰ πασῶν",IF(H1477=3,"διὰ πέντε",IF(H1477=4,"διὰ τεσσάρων","?")))))</f>
        <v>—</v>
      </c>
      <c r="K1477" s="10"/>
      <c r="L1477" s="14"/>
      <c r="M1477" s="13"/>
    </row>
    <row r="1478" customFormat="false" ht="15.75" hidden="false" customHeight="true" outlineLevel="0" collapsed="false">
      <c r="A1478" s="8" t="n">
        <f aca="false">A1477+1</f>
        <v>1476</v>
      </c>
      <c r="B1478" s="9" t="n">
        <f aca="false">MOD(4*A1478^2,10)</f>
        <v>4</v>
      </c>
      <c r="C1478" s="9" t="n">
        <f aca="false">(26*B1478-5*B1478^2)/24</f>
        <v>1</v>
      </c>
      <c r="D1478" s="9" t="n">
        <f aca="false">(A1478^2+4*C1478)/5</f>
        <v>435716</v>
      </c>
      <c r="E1478" s="9" t="n">
        <f aca="false">MOD(D1478,10)</f>
        <v>6</v>
      </c>
      <c r="F1478" s="9" t="n">
        <f aca="false">2*D1478</f>
        <v>871432</v>
      </c>
      <c r="G1478" s="9" t="n">
        <f aca="false">MOD(F1478,10)</f>
        <v>2</v>
      </c>
      <c r="H1478" s="9" t="n">
        <f aca="false">G1478/2</f>
        <v>1</v>
      </c>
      <c r="I1478" s="9" t="str">
        <f aca="false">IF(H1478=0,"—",IF(H1478=1,"unison (1:1)",IF(H1478=2,"octave (2:1)",IF(H1478=3,"fifth (3:2)",IF(H1478=4,"fourth (4:3)","?")))))</f>
        <v>unison (1:1)</v>
      </c>
      <c r="J1478" s="9" t="str">
        <f aca="false">IF(H1478=0,"—",IF(H1478=1,"ὁμώνυμον",IF(H1478=2,"διὰ πασῶν",IF(H1478=3,"διὰ πέντε",IF(H1478=4,"διὰ τεσσάρων","?")))))</f>
        <v>ὁμώνυμον</v>
      </c>
      <c r="K1478" s="10"/>
      <c r="L1478" s="14"/>
      <c r="M1478" s="13"/>
    </row>
    <row r="1479" customFormat="false" ht="15.75" hidden="false" customHeight="true" outlineLevel="0" collapsed="false">
      <c r="A1479" s="8" t="n">
        <f aca="false">A1478+1</f>
        <v>1477</v>
      </c>
      <c r="B1479" s="9" t="n">
        <f aca="false">MOD(4*A1479^2,10)</f>
        <v>6</v>
      </c>
      <c r="C1479" s="9" t="n">
        <f aca="false">(26*B1479-5*B1479^2)/24</f>
        <v>-1</v>
      </c>
      <c r="D1479" s="9" t="n">
        <f aca="false">(A1479^2+4*C1479)/5</f>
        <v>436305</v>
      </c>
      <c r="E1479" s="9" t="n">
        <f aca="false">MOD(D1479,10)</f>
        <v>5</v>
      </c>
      <c r="F1479" s="9" t="n">
        <f aca="false">2*D1479</f>
        <v>872610</v>
      </c>
      <c r="G1479" s="9" t="n">
        <f aca="false">MOD(F1479,10)</f>
        <v>0</v>
      </c>
      <c r="H1479" s="9" t="n">
        <f aca="false">G1479/2</f>
        <v>0</v>
      </c>
      <c r="I1479" s="9" t="str">
        <f aca="false">IF(H1479=0,"—",IF(H1479=1,"unison (1:1)",IF(H1479=2,"octave (2:1)",IF(H1479=3,"fifth (3:2)",IF(H1479=4,"fourth (4:3)","?")))))</f>
        <v>—</v>
      </c>
      <c r="J1479" s="9" t="str">
        <f aca="false">IF(H1479=0,"—",IF(H1479=1,"ὁμώνυμον",IF(H1479=2,"διὰ πασῶν",IF(H1479=3,"διὰ πέντε",IF(H1479=4,"διὰ τεσσάρων","?")))))</f>
        <v>—</v>
      </c>
      <c r="K1479" s="10"/>
      <c r="L1479" s="14"/>
      <c r="M1479" s="13"/>
    </row>
    <row r="1480" customFormat="false" ht="15.75" hidden="false" customHeight="true" outlineLevel="0" collapsed="false">
      <c r="A1480" s="8" t="n">
        <f aca="false">A1479+1</f>
        <v>1478</v>
      </c>
      <c r="B1480" s="9" t="n">
        <f aca="false">MOD(4*A1480^2,10)</f>
        <v>6</v>
      </c>
      <c r="C1480" s="9" t="n">
        <f aca="false">(26*B1480-5*B1480^2)/24</f>
        <v>-1</v>
      </c>
      <c r="D1480" s="9" t="n">
        <f aca="false">(A1480^2+4*C1480)/5</f>
        <v>436896</v>
      </c>
      <c r="E1480" s="9" t="n">
        <f aca="false">MOD(D1480,10)</f>
        <v>6</v>
      </c>
      <c r="F1480" s="9" t="n">
        <f aca="false">2*D1480</f>
        <v>873792</v>
      </c>
      <c r="G1480" s="9" t="n">
        <f aca="false">MOD(F1480,10)</f>
        <v>2</v>
      </c>
      <c r="H1480" s="9" t="n">
        <f aca="false">G1480/2</f>
        <v>1</v>
      </c>
      <c r="I1480" s="9" t="str">
        <f aca="false">IF(H1480=0,"—",IF(H1480=1,"unison (1:1)",IF(H1480=2,"octave (2:1)",IF(H1480=3,"fifth (3:2)",IF(H1480=4,"fourth (4:3)","?")))))</f>
        <v>unison (1:1)</v>
      </c>
      <c r="J1480" s="9" t="str">
        <f aca="false">IF(H1480=0,"—",IF(H1480=1,"ὁμώνυμον",IF(H1480=2,"διὰ πασῶν",IF(H1480=3,"διὰ πέντε",IF(H1480=4,"διὰ τεσσάρων","?")))))</f>
        <v>ὁμώνυμον</v>
      </c>
      <c r="K1480" s="10"/>
      <c r="L1480" s="14"/>
      <c r="M1480" s="13"/>
    </row>
    <row r="1481" customFormat="false" ht="15.75" hidden="false" customHeight="true" outlineLevel="0" collapsed="false">
      <c r="A1481" s="8" t="n">
        <f aca="false">A1480+1</f>
        <v>1479</v>
      </c>
      <c r="B1481" s="9" t="n">
        <f aca="false">MOD(4*A1481^2,10)</f>
        <v>4</v>
      </c>
      <c r="C1481" s="9" t="n">
        <f aca="false">(26*B1481-5*B1481^2)/24</f>
        <v>1</v>
      </c>
      <c r="D1481" s="9" t="n">
        <f aca="false">(A1481^2+4*C1481)/5</f>
        <v>437489</v>
      </c>
      <c r="E1481" s="9" t="n">
        <f aca="false">MOD(D1481,10)</f>
        <v>9</v>
      </c>
      <c r="F1481" s="9" t="n">
        <f aca="false">2*D1481</f>
        <v>874978</v>
      </c>
      <c r="G1481" s="9" t="n">
        <f aca="false">MOD(F1481,10)</f>
        <v>8</v>
      </c>
      <c r="H1481" s="9" t="n">
        <f aca="false">G1481/2</f>
        <v>4</v>
      </c>
      <c r="I1481" s="9" t="str">
        <f aca="false">IF(H1481=0,"—",IF(H1481=1,"unison (1:1)",IF(H1481=2,"octave (2:1)",IF(H1481=3,"fifth (3:2)",IF(H1481=4,"fourth (4:3)","?")))))</f>
        <v>fourth (4:3)</v>
      </c>
      <c r="J1481" s="9" t="str">
        <f aca="false">IF(H1481=0,"—",IF(H1481=1,"ὁμώνυμον",IF(H1481=2,"διὰ πασῶν",IF(H1481=3,"διὰ πέντε",IF(H1481=4,"διὰ τεσσάρων","?")))))</f>
        <v>διὰ τεσσάρων</v>
      </c>
      <c r="K1481" s="10"/>
      <c r="L1481" s="14"/>
      <c r="M1481" s="13"/>
    </row>
    <row r="1482" customFormat="false" ht="15.75" hidden="false" customHeight="true" outlineLevel="0" collapsed="false">
      <c r="A1482" s="8" t="n">
        <f aca="false">A1481+1</f>
        <v>1480</v>
      </c>
      <c r="B1482" s="9" t="n">
        <f aca="false">MOD(4*A1482^2,10)</f>
        <v>0</v>
      </c>
      <c r="C1482" s="9" t="n">
        <f aca="false">(26*B1482-5*B1482^2)/24</f>
        <v>0</v>
      </c>
      <c r="D1482" s="9" t="n">
        <f aca="false">(A1482^2+4*C1482)/5</f>
        <v>438080</v>
      </c>
      <c r="E1482" s="9" t="n">
        <f aca="false">MOD(D1482,10)</f>
        <v>0</v>
      </c>
      <c r="F1482" s="9" t="n">
        <f aca="false">2*D1482</f>
        <v>876160</v>
      </c>
      <c r="G1482" s="9" t="n">
        <f aca="false">MOD(F1482,10)</f>
        <v>0</v>
      </c>
      <c r="H1482" s="9" t="n">
        <f aca="false">G1482/2</f>
        <v>0</v>
      </c>
      <c r="I1482" s="9" t="str">
        <f aca="false">IF(H1482=0,"—",IF(H1482=1,"unison (1:1)",IF(H1482=2,"octave (2:1)",IF(H1482=3,"fifth (3:2)",IF(H1482=4,"fourth (4:3)","?")))))</f>
        <v>—</v>
      </c>
      <c r="J1482" s="9" t="str">
        <f aca="false">IF(H1482=0,"—",IF(H1482=1,"ὁμώνυμον",IF(H1482=2,"διὰ πασῶν",IF(H1482=3,"διὰ πέντε",IF(H1482=4,"διὰ τεσσάρων","?")))))</f>
        <v>—</v>
      </c>
      <c r="K1482" s="10"/>
      <c r="L1482" s="14"/>
      <c r="M1482" s="13"/>
    </row>
    <row r="1483" customFormat="false" ht="15.75" hidden="false" customHeight="true" outlineLevel="0" collapsed="false">
      <c r="A1483" s="8" t="n">
        <f aca="false">A1482+1</f>
        <v>1481</v>
      </c>
      <c r="B1483" s="9" t="n">
        <f aca="false">MOD(4*A1483^2,10)</f>
        <v>4</v>
      </c>
      <c r="C1483" s="9" t="n">
        <f aca="false">(26*B1483-5*B1483^2)/24</f>
        <v>1</v>
      </c>
      <c r="D1483" s="9" t="n">
        <f aca="false">(A1483^2+4*C1483)/5</f>
        <v>438673</v>
      </c>
      <c r="E1483" s="9" t="n">
        <f aca="false">MOD(D1483,10)</f>
        <v>3</v>
      </c>
      <c r="F1483" s="9" t="n">
        <f aca="false">2*D1483</f>
        <v>877346</v>
      </c>
      <c r="G1483" s="9" t="n">
        <f aca="false">MOD(F1483,10)</f>
        <v>6</v>
      </c>
      <c r="H1483" s="9" t="n">
        <f aca="false">G1483/2</f>
        <v>3</v>
      </c>
      <c r="I1483" s="9" t="str">
        <f aca="false">IF(H1483=0,"—",IF(H1483=1,"unison (1:1)",IF(H1483=2,"octave (2:1)",IF(H1483=3,"fifth (3:2)",IF(H1483=4,"fourth (4:3)","?")))))</f>
        <v>fifth (3:2)</v>
      </c>
      <c r="J1483" s="9" t="str">
        <f aca="false">IF(H1483=0,"—",IF(H1483=1,"ὁμώνυμον",IF(H1483=2,"διὰ πασῶν",IF(H1483=3,"διὰ πέντε",IF(H1483=4,"διὰ τεσσάρων","?")))))</f>
        <v>διὰ πέντε</v>
      </c>
      <c r="K1483" s="10"/>
      <c r="L1483" s="14"/>
      <c r="M1483" s="13"/>
    </row>
    <row r="1484" customFormat="false" ht="15.75" hidden="false" customHeight="true" outlineLevel="0" collapsed="false">
      <c r="A1484" s="8" t="n">
        <f aca="false">A1483+1</f>
        <v>1482</v>
      </c>
      <c r="B1484" s="9" t="n">
        <f aca="false">MOD(4*A1484^2,10)</f>
        <v>6</v>
      </c>
      <c r="C1484" s="9" t="n">
        <f aca="false">(26*B1484-5*B1484^2)/24</f>
        <v>-1</v>
      </c>
      <c r="D1484" s="9" t="n">
        <f aca="false">(A1484^2+4*C1484)/5</f>
        <v>439264</v>
      </c>
      <c r="E1484" s="9" t="n">
        <f aca="false">MOD(D1484,10)</f>
        <v>4</v>
      </c>
      <c r="F1484" s="9" t="n">
        <f aca="false">2*D1484</f>
        <v>878528</v>
      </c>
      <c r="G1484" s="9" t="n">
        <f aca="false">MOD(F1484,10)</f>
        <v>8</v>
      </c>
      <c r="H1484" s="9" t="n">
        <f aca="false">G1484/2</f>
        <v>4</v>
      </c>
      <c r="I1484" s="9" t="str">
        <f aca="false">IF(H1484=0,"—",IF(H1484=1,"unison (1:1)",IF(H1484=2,"octave (2:1)",IF(H1484=3,"fifth (3:2)",IF(H1484=4,"fourth (4:3)","?")))))</f>
        <v>fourth (4:3)</v>
      </c>
      <c r="J1484" s="9" t="str">
        <f aca="false">IF(H1484=0,"—",IF(H1484=1,"ὁμώνυμον",IF(H1484=2,"διὰ πασῶν",IF(H1484=3,"διὰ πέντε",IF(H1484=4,"διὰ τεσσάρων","?")))))</f>
        <v>διὰ τεσσάρων</v>
      </c>
      <c r="K1484" s="10"/>
      <c r="L1484" s="14"/>
      <c r="M1484" s="13"/>
    </row>
    <row r="1485" customFormat="false" ht="15.75" hidden="false" customHeight="true" outlineLevel="0" collapsed="false">
      <c r="A1485" s="8" t="n">
        <f aca="false">A1484+1</f>
        <v>1483</v>
      </c>
      <c r="B1485" s="9" t="n">
        <f aca="false">MOD(4*A1485^2,10)</f>
        <v>6</v>
      </c>
      <c r="C1485" s="9" t="n">
        <f aca="false">(26*B1485-5*B1485^2)/24</f>
        <v>-1</v>
      </c>
      <c r="D1485" s="9" t="n">
        <f aca="false">(A1485^2+4*C1485)/5</f>
        <v>439857</v>
      </c>
      <c r="E1485" s="9" t="n">
        <f aca="false">MOD(D1485,10)</f>
        <v>7</v>
      </c>
      <c r="F1485" s="9" t="n">
        <f aca="false">2*D1485</f>
        <v>879714</v>
      </c>
      <c r="G1485" s="9" t="n">
        <f aca="false">MOD(F1485,10)</f>
        <v>4</v>
      </c>
      <c r="H1485" s="9" t="n">
        <f aca="false">G1485/2</f>
        <v>2</v>
      </c>
      <c r="I1485" s="9" t="str">
        <f aca="false">IF(H1485=0,"—",IF(H1485=1,"unison (1:1)",IF(H1485=2,"octave (2:1)",IF(H1485=3,"fifth (3:2)",IF(H1485=4,"fourth (4:3)","?")))))</f>
        <v>octave (2:1)</v>
      </c>
      <c r="J1485" s="9" t="str">
        <f aca="false">IF(H1485=0,"—",IF(H1485=1,"ὁμώνυμον",IF(H1485=2,"διὰ πασῶν",IF(H1485=3,"διὰ πέντε",IF(H1485=4,"διὰ τεσσάρων","?")))))</f>
        <v>διὰ πασῶν</v>
      </c>
      <c r="K1485" s="10"/>
      <c r="L1485" s="14"/>
      <c r="M1485" s="13"/>
    </row>
    <row r="1486" customFormat="false" ht="15.75" hidden="false" customHeight="true" outlineLevel="0" collapsed="false">
      <c r="A1486" s="8" t="n">
        <f aca="false">A1485+1</f>
        <v>1484</v>
      </c>
      <c r="B1486" s="9" t="n">
        <f aca="false">MOD(4*A1486^2,10)</f>
        <v>4</v>
      </c>
      <c r="C1486" s="9" t="n">
        <f aca="false">(26*B1486-5*B1486^2)/24</f>
        <v>1</v>
      </c>
      <c r="D1486" s="9" t="n">
        <f aca="false">(A1486^2+4*C1486)/5</f>
        <v>440452</v>
      </c>
      <c r="E1486" s="9" t="n">
        <f aca="false">MOD(D1486,10)</f>
        <v>2</v>
      </c>
      <c r="F1486" s="9" t="n">
        <f aca="false">2*D1486</f>
        <v>880904</v>
      </c>
      <c r="G1486" s="9" t="n">
        <f aca="false">MOD(F1486,10)</f>
        <v>4</v>
      </c>
      <c r="H1486" s="9" t="n">
        <f aca="false">G1486/2</f>
        <v>2</v>
      </c>
      <c r="I1486" s="9" t="str">
        <f aca="false">IF(H1486=0,"—",IF(H1486=1,"unison (1:1)",IF(H1486=2,"octave (2:1)",IF(H1486=3,"fifth (3:2)",IF(H1486=4,"fourth (4:3)","?")))))</f>
        <v>octave (2:1)</v>
      </c>
      <c r="J1486" s="9" t="str">
        <f aca="false">IF(H1486=0,"—",IF(H1486=1,"ὁμώνυμον",IF(H1486=2,"διὰ πασῶν",IF(H1486=3,"διὰ πέντε",IF(H1486=4,"διὰ τεσσάρων","?")))))</f>
        <v>διὰ πασῶν</v>
      </c>
      <c r="K1486" s="10"/>
      <c r="L1486" s="14"/>
      <c r="M1486" s="13"/>
    </row>
    <row r="1487" customFormat="false" ht="15.75" hidden="false" customHeight="true" outlineLevel="0" collapsed="false">
      <c r="A1487" s="8" t="n">
        <f aca="false">A1486+1</f>
        <v>1485</v>
      </c>
      <c r="B1487" s="9" t="n">
        <f aca="false">MOD(4*A1487^2,10)</f>
        <v>0</v>
      </c>
      <c r="C1487" s="9" t="n">
        <f aca="false">(26*B1487-5*B1487^2)/24</f>
        <v>0</v>
      </c>
      <c r="D1487" s="9" t="n">
        <f aca="false">(A1487^2+4*C1487)/5</f>
        <v>441045</v>
      </c>
      <c r="E1487" s="9" t="n">
        <f aca="false">MOD(D1487,10)</f>
        <v>5</v>
      </c>
      <c r="F1487" s="9" t="n">
        <f aca="false">2*D1487</f>
        <v>882090</v>
      </c>
      <c r="G1487" s="9" t="n">
        <f aca="false">MOD(F1487,10)</f>
        <v>0</v>
      </c>
      <c r="H1487" s="9" t="n">
        <f aca="false">G1487/2</f>
        <v>0</v>
      </c>
      <c r="I1487" s="9" t="str">
        <f aca="false">IF(H1487=0,"—",IF(H1487=1,"unison (1:1)",IF(H1487=2,"octave (2:1)",IF(H1487=3,"fifth (3:2)",IF(H1487=4,"fourth (4:3)","?")))))</f>
        <v>—</v>
      </c>
      <c r="J1487" s="9" t="str">
        <f aca="false">IF(H1487=0,"—",IF(H1487=1,"ὁμώνυμον",IF(H1487=2,"διὰ πασῶν",IF(H1487=3,"διὰ πέντε",IF(H1487=4,"διὰ τεσσάρων","?")))))</f>
        <v>—</v>
      </c>
      <c r="K1487" s="10"/>
      <c r="L1487" s="14"/>
      <c r="M1487" s="13"/>
    </row>
    <row r="1488" customFormat="false" ht="15.75" hidden="false" customHeight="true" outlineLevel="0" collapsed="false">
      <c r="A1488" s="8" t="n">
        <f aca="false">A1487+1</f>
        <v>1486</v>
      </c>
      <c r="B1488" s="9" t="n">
        <f aca="false">MOD(4*A1488^2,10)</f>
        <v>4</v>
      </c>
      <c r="C1488" s="9" t="n">
        <f aca="false">(26*B1488-5*B1488^2)/24</f>
        <v>1</v>
      </c>
      <c r="D1488" s="9" t="n">
        <f aca="false">(A1488^2+4*C1488)/5</f>
        <v>441640</v>
      </c>
      <c r="E1488" s="9" t="n">
        <f aca="false">MOD(D1488,10)</f>
        <v>0</v>
      </c>
      <c r="F1488" s="9" t="n">
        <f aca="false">2*D1488</f>
        <v>883280</v>
      </c>
      <c r="G1488" s="9" t="n">
        <f aca="false">MOD(F1488,10)</f>
        <v>0</v>
      </c>
      <c r="H1488" s="9" t="n">
        <f aca="false">G1488/2</f>
        <v>0</v>
      </c>
      <c r="I1488" s="9" t="str">
        <f aca="false">IF(H1488=0,"—",IF(H1488=1,"unison (1:1)",IF(H1488=2,"octave (2:1)",IF(H1488=3,"fifth (3:2)",IF(H1488=4,"fourth (4:3)","?")))))</f>
        <v>—</v>
      </c>
      <c r="J1488" s="9" t="str">
        <f aca="false">IF(H1488=0,"—",IF(H1488=1,"ὁμώνυμον",IF(H1488=2,"διὰ πασῶν",IF(H1488=3,"διὰ πέντε",IF(H1488=4,"διὰ τεσσάρων","?")))))</f>
        <v>—</v>
      </c>
      <c r="K1488" s="10"/>
      <c r="L1488" s="14"/>
      <c r="M1488" s="13"/>
    </row>
    <row r="1489" customFormat="false" ht="15.75" hidden="false" customHeight="true" outlineLevel="0" collapsed="false">
      <c r="A1489" s="8" t="n">
        <f aca="false">A1488+1</f>
        <v>1487</v>
      </c>
      <c r="B1489" s="9" t="n">
        <f aca="false">MOD(4*A1489^2,10)</f>
        <v>6</v>
      </c>
      <c r="C1489" s="9" t="n">
        <f aca="false">(26*B1489-5*B1489^2)/24</f>
        <v>-1</v>
      </c>
      <c r="D1489" s="9" t="n">
        <f aca="false">(A1489^2+4*C1489)/5</f>
        <v>442233</v>
      </c>
      <c r="E1489" s="9" t="n">
        <f aca="false">MOD(D1489,10)</f>
        <v>3</v>
      </c>
      <c r="F1489" s="9" t="n">
        <f aca="false">2*D1489</f>
        <v>884466</v>
      </c>
      <c r="G1489" s="9" t="n">
        <f aca="false">MOD(F1489,10)</f>
        <v>6</v>
      </c>
      <c r="H1489" s="9" t="n">
        <f aca="false">G1489/2</f>
        <v>3</v>
      </c>
      <c r="I1489" s="9" t="str">
        <f aca="false">IF(H1489=0,"—",IF(H1489=1,"unison (1:1)",IF(H1489=2,"octave (2:1)",IF(H1489=3,"fifth (3:2)",IF(H1489=4,"fourth (4:3)","?")))))</f>
        <v>fifth (3:2)</v>
      </c>
      <c r="J1489" s="9" t="str">
        <f aca="false">IF(H1489=0,"—",IF(H1489=1,"ὁμώνυμον",IF(H1489=2,"διὰ πασῶν",IF(H1489=3,"διὰ πέντε",IF(H1489=4,"διὰ τεσσάρων","?")))))</f>
        <v>διὰ πέντε</v>
      </c>
      <c r="K1489" s="10"/>
      <c r="L1489" s="14"/>
      <c r="M1489" s="13"/>
    </row>
    <row r="1490" customFormat="false" ht="15.75" hidden="false" customHeight="true" outlineLevel="0" collapsed="false">
      <c r="A1490" s="8" t="n">
        <f aca="false">A1489+1</f>
        <v>1488</v>
      </c>
      <c r="B1490" s="9" t="n">
        <f aca="false">MOD(4*A1490^2,10)</f>
        <v>6</v>
      </c>
      <c r="C1490" s="9" t="n">
        <f aca="false">(26*B1490-5*B1490^2)/24</f>
        <v>-1</v>
      </c>
      <c r="D1490" s="9" t="n">
        <f aca="false">(A1490^2+4*C1490)/5</f>
        <v>442828</v>
      </c>
      <c r="E1490" s="9" t="n">
        <f aca="false">MOD(D1490,10)</f>
        <v>8</v>
      </c>
      <c r="F1490" s="9" t="n">
        <f aca="false">2*D1490</f>
        <v>885656</v>
      </c>
      <c r="G1490" s="9" t="n">
        <f aca="false">MOD(F1490,10)</f>
        <v>6</v>
      </c>
      <c r="H1490" s="9" t="n">
        <f aca="false">G1490/2</f>
        <v>3</v>
      </c>
      <c r="I1490" s="9" t="str">
        <f aca="false">IF(H1490=0,"—",IF(H1490=1,"unison (1:1)",IF(H1490=2,"octave (2:1)",IF(H1490=3,"fifth (3:2)",IF(H1490=4,"fourth (4:3)","?")))))</f>
        <v>fifth (3:2)</v>
      </c>
      <c r="J1490" s="9" t="str">
        <f aca="false">IF(H1490=0,"—",IF(H1490=1,"ὁμώνυμον",IF(H1490=2,"διὰ πασῶν",IF(H1490=3,"διὰ πέντε",IF(H1490=4,"διὰ τεσσάρων","?")))))</f>
        <v>διὰ πέντε</v>
      </c>
      <c r="K1490" s="10"/>
      <c r="L1490" s="14"/>
      <c r="M1490" s="13"/>
    </row>
    <row r="1491" customFormat="false" ht="15.75" hidden="false" customHeight="true" outlineLevel="0" collapsed="false">
      <c r="A1491" s="8" t="n">
        <f aca="false">A1490+1</f>
        <v>1489</v>
      </c>
      <c r="B1491" s="9" t="n">
        <f aca="false">MOD(4*A1491^2,10)</f>
        <v>4</v>
      </c>
      <c r="C1491" s="9" t="n">
        <f aca="false">(26*B1491-5*B1491^2)/24</f>
        <v>1</v>
      </c>
      <c r="D1491" s="9" t="n">
        <f aca="false">(A1491^2+4*C1491)/5</f>
        <v>443425</v>
      </c>
      <c r="E1491" s="9" t="n">
        <f aca="false">MOD(D1491,10)</f>
        <v>5</v>
      </c>
      <c r="F1491" s="9" t="n">
        <f aca="false">2*D1491</f>
        <v>886850</v>
      </c>
      <c r="G1491" s="9" t="n">
        <f aca="false">MOD(F1491,10)</f>
        <v>0</v>
      </c>
      <c r="H1491" s="9" t="n">
        <f aca="false">G1491/2</f>
        <v>0</v>
      </c>
      <c r="I1491" s="9" t="str">
        <f aca="false">IF(H1491=0,"—",IF(H1491=1,"unison (1:1)",IF(H1491=2,"octave (2:1)",IF(H1491=3,"fifth (3:2)",IF(H1491=4,"fourth (4:3)","?")))))</f>
        <v>—</v>
      </c>
      <c r="J1491" s="9" t="str">
        <f aca="false">IF(H1491=0,"—",IF(H1491=1,"ὁμώνυμον",IF(H1491=2,"διὰ πασῶν",IF(H1491=3,"διὰ πέντε",IF(H1491=4,"διὰ τεσσάρων","?")))))</f>
        <v>—</v>
      </c>
      <c r="K1491" s="10"/>
      <c r="L1491" s="14"/>
      <c r="M1491" s="13"/>
    </row>
    <row r="1492" customFormat="false" ht="15.75" hidden="false" customHeight="true" outlineLevel="0" collapsed="false">
      <c r="A1492" s="8" t="n">
        <f aca="false">A1491+1</f>
        <v>1490</v>
      </c>
      <c r="B1492" s="9" t="n">
        <f aca="false">MOD(4*A1492^2,10)</f>
        <v>0</v>
      </c>
      <c r="C1492" s="9" t="n">
        <f aca="false">(26*B1492-5*B1492^2)/24</f>
        <v>0</v>
      </c>
      <c r="D1492" s="9" t="n">
        <f aca="false">(A1492^2+4*C1492)/5</f>
        <v>444020</v>
      </c>
      <c r="E1492" s="9" t="n">
        <f aca="false">MOD(D1492,10)</f>
        <v>0</v>
      </c>
      <c r="F1492" s="9" t="n">
        <f aca="false">2*D1492</f>
        <v>888040</v>
      </c>
      <c r="G1492" s="9" t="n">
        <f aca="false">MOD(F1492,10)</f>
        <v>0</v>
      </c>
      <c r="H1492" s="9" t="n">
        <f aca="false">G1492/2</f>
        <v>0</v>
      </c>
      <c r="I1492" s="9" t="str">
        <f aca="false">IF(H1492=0,"—",IF(H1492=1,"unison (1:1)",IF(H1492=2,"octave (2:1)",IF(H1492=3,"fifth (3:2)",IF(H1492=4,"fourth (4:3)","?")))))</f>
        <v>—</v>
      </c>
      <c r="J1492" s="9" t="str">
        <f aca="false">IF(H1492=0,"—",IF(H1492=1,"ὁμώνυμον",IF(H1492=2,"διὰ πασῶν",IF(H1492=3,"διὰ πέντε",IF(H1492=4,"διὰ τεσσάρων","?")))))</f>
        <v>—</v>
      </c>
      <c r="K1492" s="10"/>
      <c r="L1492" s="14"/>
      <c r="M1492" s="13"/>
    </row>
    <row r="1493" customFormat="false" ht="15.75" hidden="false" customHeight="true" outlineLevel="0" collapsed="false">
      <c r="A1493" s="8" t="n">
        <f aca="false">A1492+1</f>
        <v>1491</v>
      </c>
      <c r="B1493" s="9" t="n">
        <f aca="false">MOD(4*A1493^2,10)</f>
        <v>4</v>
      </c>
      <c r="C1493" s="9" t="n">
        <f aca="false">(26*B1493-5*B1493^2)/24</f>
        <v>1</v>
      </c>
      <c r="D1493" s="9" t="n">
        <f aca="false">(A1493^2+4*C1493)/5</f>
        <v>444617</v>
      </c>
      <c r="E1493" s="9" t="n">
        <f aca="false">MOD(D1493,10)</f>
        <v>7</v>
      </c>
      <c r="F1493" s="9" t="n">
        <f aca="false">2*D1493</f>
        <v>889234</v>
      </c>
      <c r="G1493" s="9" t="n">
        <f aca="false">MOD(F1493,10)</f>
        <v>4</v>
      </c>
      <c r="H1493" s="9" t="n">
        <f aca="false">G1493/2</f>
        <v>2</v>
      </c>
      <c r="I1493" s="9" t="str">
        <f aca="false">IF(H1493=0,"—",IF(H1493=1,"unison (1:1)",IF(H1493=2,"octave (2:1)",IF(H1493=3,"fifth (3:2)",IF(H1493=4,"fourth (4:3)","?")))))</f>
        <v>octave (2:1)</v>
      </c>
      <c r="J1493" s="9" t="str">
        <f aca="false">IF(H1493=0,"—",IF(H1493=1,"ὁμώνυμον",IF(H1493=2,"διὰ πασῶν",IF(H1493=3,"διὰ πέντε",IF(H1493=4,"διὰ τεσσάρων","?")))))</f>
        <v>διὰ πασῶν</v>
      </c>
      <c r="K1493" s="10"/>
      <c r="L1493" s="14"/>
      <c r="M1493" s="13"/>
    </row>
    <row r="1494" customFormat="false" ht="15.75" hidden="false" customHeight="true" outlineLevel="0" collapsed="false">
      <c r="A1494" s="8" t="n">
        <f aca="false">A1493+1</f>
        <v>1492</v>
      </c>
      <c r="B1494" s="9" t="n">
        <f aca="false">MOD(4*A1494^2,10)</f>
        <v>6</v>
      </c>
      <c r="C1494" s="9" t="n">
        <f aca="false">(26*B1494-5*B1494^2)/24</f>
        <v>-1</v>
      </c>
      <c r="D1494" s="9" t="n">
        <f aca="false">(A1494^2+4*C1494)/5</f>
        <v>445212</v>
      </c>
      <c r="E1494" s="9" t="n">
        <f aca="false">MOD(D1494,10)</f>
        <v>2</v>
      </c>
      <c r="F1494" s="9" t="n">
        <f aca="false">2*D1494</f>
        <v>890424</v>
      </c>
      <c r="G1494" s="9" t="n">
        <f aca="false">MOD(F1494,10)</f>
        <v>4</v>
      </c>
      <c r="H1494" s="9" t="n">
        <f aca="false">G1494/2</f>
        <v>2</v>
      </c>
      <c r="I1494" s="9" t="str">
        <f aca="false">IF(H1494=0,"—",IF(H1494=1,"unison (1:1)",IF(H1494=2,"octave (2:1)",IF(H1494=3,"fifth (3:2)",IF(H1494=4,"fourth (4:3)","?")))))</f>
        <v>octave (2:1)</v>
      </c>
      <c r="J1494" s="9" t="str">
        <f aca="false">IF(H1494=0,"—",IF(H1494=1,"ὁμώνυμον",IF(H1494=2,"διὰ πασῶν",IF(H1494=3,"διὰ πέντε",IF(H1494=4,"διὰ τεσσάρων","?")))))</f>
        <v>διὰ πασῶν</v>
      </c>
      <c r="K1494" s="10"/>
      <c r="L1494" s="14"/>
      <c r="M1494" s="13"/>
    </row>
    <row r="1495" customFormat="false" ht="15.75" hidden="false" customHeight="true" outlineLevel="0" collapsed="false">
      <c r="A1495" s="8" t="n">
        <f aca="false">A1494+1</f>
        <v>1493</v>
      </c>
      <c r="B1495" s="9" t="n">
        <f aca="false">MOD(4*A1495^2,10)</f>
        <v>6</v>
      </c>
      <c r="C1495" s="9" t="n">
        <f aca="false">(26*B1495-5*B1495^2)/24</f>
        <v>-1</v>
      </c>
      <c r="D1495" s="9" t="n">
        <f aca="false">(A1495^2+4*C1495)/5</f>
        <v>445809</v>
      </c>
      <c r="E1495" s="9" t="n">
        <f aca="false">MOD(D1495,10)</f>
        <v>9</v>
      </c>
      <c r="F1495" s="9" t="n">
        <f aca="false">2*D1495</f>
        <v>891618</v>
      </c>
      <c r="G1495" s="9" t="n">
        <f aca="false">MOD(F1495,10)</f>
        <v>8</v>
      </c>
      <c r="H1495" s="9" t="n">
        <f aca="false">G1495/2</f>
        <v>4</v>
      </c>
      <c r="I1495" s="9" t="str">
        <f aca="false">IF(H1495=0,"—",IF(H1495=1,"unison (1:1)",IF(H1495=2,"octave (2:1)",IF(H1495=3,"fifth (3:2)",IF(H1495=4,"fourth (4:3)","?")))))</f>
        <v>fourth (4:3)</v>
      </c>
      <c r="J1495" s="9" t="str">
        <f aca="false">IF(H1495=0,"—",IF(H1495=1,"ὁμώνυμον",IF(H1495=2,"διὰ πασῶν",IF(H1495=3,"διὰ πέντε",IF(H1495=4,"διὰ τεσσάρων","?")))))</f>
        <v>διὰ τεσσάρων</v>
      </c>
      <c r="K1495" s="10"/>
      <c r="L1495" s="14"/>
      <c r="M1495" s="13"/>
    </row>
    <row r="1496" customFormat="false" ht="15.75" hidden="false" customHeight="true" outlineLevel="0" collapsed="false">
      <c r="A1496" s="8" t="n">
        <f aca="false">A1495+1</f>
        <v>1494</v>
      </c>
      <c r="B1496" s="9" t="n">
        <f aca="false">MOD(4*A1496^2,10)</f>
        <v>4</v>
      </c>
      <c r="C1496" s="9" t="n">
        <f aca="false">(26*B1496-5*B1496^2)/24</f>
        <v>1</v>
      </c>
      <c r="D1496" s="9" t="n">
        <f aca="false">(A1496^2+4*C1496)/5</f>
        <v>446408</v>
      </c>
      <c r="E1496" s="9" t="n">
        <f aca="false">MOD(D1496,10)</f>
        <v>8</v>
      </c>
      <c r="F1496" s="9" t="n">
        <f aca="false">2*D1496</f>
        <v>892816</v>
      </c>
      <c r="G1496" s="9" t="n">
        <f aca="false">MOD(F1496,10)</f>
        <v>6</v>
      </c>
      <c r="H1496" s="9" t="n">
        <f aca="false">G1496/2</f>
        <v>3</v>
      </c>
      <c r="I1496" s="9" t="str">
        <f aca="false">IF(H1496=0,"—",IF(H1496=1,"unison (1:1)",IF(H1496=2,"octave (2:1)",IF(H1496=3,"fifth (3:2)",IF(H1496=4,"fourth (4:3)","?")))))</f>
        <v>fifth (3:2)</v>
      </c>
      <c r="J1496" s="9" t="str">
        <f aca="false">IF(H1496=0,"—",IF(H1496=1,"ὁμώνυμον",IF(H1496=2,"διὰ πασῶν",IF(H1496=3,"διὰ πέντε",IF(H1496=4,"διὰ τεσσάρων","?")))))</f>
        <v>διὰ πέντε</v>
      </c>
      <c r="K1496" s="10"/>
      <c r="L1496" s="14"/>
      <c r="M1496" s="13"/>
    </row>
    <row r="1497" customFormat="false" ht="15.75" hidden="false" customHeight="true" outlineLevel="0" collapsed="false">
      <c r="A1497" s="8" t="n">
        <f aca="false">A1496+1</f>
        <v>1495</v>
      </c>
      <c r="B1497" s="9" t="n">
        <f aca="false">MOD(4*A1497^2,10)</f>
        <v>0</v>
      </c>
      <c r="C1497" s="9" t="n">
        <f aca="false">(26*B1497-5*B1497^2)/24</f>
        <v>0</v>
      </c>
      <c r="D1497" s="9" t="n">
        <f aca="false">(A1497^2+4*C1497)/5</f>
        <v>447005</v>
      </c>
      <c r="E1497" s="9" t="n">
        <f aca="false">MOD(D1497,10)</f>
        <v>5</v>
      </c>
      <c r="F1497" s="9" t="n">
        <f aca="false">2*D1497</f>
        <v>894010</v>
      </c>
      <c r="G1497" s="9" t="n">
        <f aca="false">MOD(F1497,10)</f>
        <v>0</v>
      </c>
      <c r="H1497" s="9" t="n">
        <f aca="false">G1497/2</f>
        <v>0</v>
      </c>
      <c r="I1497" s="9" t="str">
        <f aca="false">IF(H1497=0,"—",IF(H1497=1,"unison (1:1)",IF(H1497=2,"octave (2:1)",IF(H1497=3,"fifth (3:2)",IF(H1497=4,"fourth (4:3)","?")))))</f>
        <v>—</v>
      </c>
      <c r="J1497" s="9" t="str">
        <f aca="false">IF(H1497=0,"—",IF(H1497=1,"ὁμώνυμον",IF(H1497=2,"διὰ πασῶν",IF(H1497=3,"διὰ πέντε",IF(H1497=4,"διὰ τεσσάρων","?")))))</f>
        <v>—</v>
      </c>
      <c r="K1497" s="10"/>
      <c r="L1497" s="14"/>
      <c r="M1497" s="13"/>
    </row>
    <row r="1498" customFormat="false" ht="15.75" hidden="false" customHeight="true" outlineLevel="0" collapsed="false">
      <c r="A1498" s="8" t="n">
        <f aca="false">A1497+1</f>
        <v>1496</v>
      </c>
      <c r="B1498" s="9" t="n">
        <f aca="false">MOD(4*A1498^2,10)</f>
        <v>4</v>
      </c>
      <c r="C1498" s="9" t="n">
        <f aca="false">(26*B1498-5*B1498^2)/24</f>
        <v>1</v>
      </c>
      <c r="D1498" s="9" t="n">
        <f aca="false">(A1498^2+4*C1498)/5</f>
        <v>447604</v>
      </c>
      <c r="E1498" s="9" t="n">
        <f aca="false">MOD(D1498,10)</f>
        <v>4</v>
      </c>
      <c r="F1498" s="9" t="n">
        <f aca="false">2*D1498</f>
        <v>895208</v>
      </c>
      <c r="G1498" s="9" t="n">
        <f aca="false">MOD(F1498,10)</f>
        <v>8</v>
      </c>
      <c r="H1498" s="9" t="n">
        <f aca="false">G1498/2</f>
        <v>4</v>
      </c>
      <c r="I1498" s="9" t="str">
        <f aca="false">IF(H1498=0,"—",IF(H1498=1,"unison (1:1)",IF(H1498=2,"octave (2:1)",IF(H1498=3,"fifth (3:2)",IF(H1498=4,"fourth (4:3)","?")))))</f>
        <v>fourth (4:3)</v>
      </c>
      <c r="J1498" s="9" t="str">
        <f aca="false">IF(H1498=0,"—",IF(H1498=1,"ὁμώνυμον",IF(H1498=2,"διὰ πασῶν",IF(H1498=3,"διὰ πέντε",IF(H1498=4,"διὰ τεσσάρων","?")))))</f>
        <v>διὰ τεσσάρων</v>
      </c>
      <c r="K1498" s="10"/>
      <c r="L1498" s="14"/>
      <c r="M1498" s="13"/>
    </row>
    <row r="1499" customFormat="false" ht="15.75" hidden="false" customHeight="true" outlineLevel="0" collapsed="false">
      <c r="A1499" s="8" t="n">
        <f aca="false">A1498+1</f>
        <v>1497</v>
      </c>
      <c r="B1499" s="9" t="n">
        <f aca="false">MOD(4*A1499^2,10)</f>
        <v>6</v>
      </c>
      <c r="C1499" s="9" t="n">
        <f aca="false">(26*B1499-5*B1499^2)/24</f>
        <v>-1</v>
      </c>
      <c r="D1499" s="9" t="n">
        <f aca="false">(A1499^2+4*C1499)/5</f>
        <v>448201</v>
      </c>
      <c r="E1499" s="9" t="n">
        <f aca="false">MOD(D1499,10)</f>
        <v>1</v>
      </c>
      <c r="F1499" s="9" t="n">
        <f aca="false">2*D1499</f>
        <v>896402</v>
      </c>
      <c r="G1499" s="9" t="n">
        <f aca="false">MOD(F1499,10)</f>
        <v>2</v>
      </c>
      <c r="H1499" s="9" t="n">
        <f aca="false">G1499/2</f>
        <v>1</v>
      </c>
      <c r="I1499" s="9" t="str">
        <f aca="false">IF(H1499=0,"—",IF(H1499=1,"unison (1:1)",IF(H1499=2,"octave (2:1)",IF(H1499=3,"fifth (3:2)",IF(H1499=4,"fourth (4:3)","?")))))</f>
        <v>unison (1:1)</v>
      </c>
      <c r="J1499" s="9" t="str">
        <f aca="false">IF(H1499=0,"—",IF(H1499=1,"ὁμώνυμον",IF(H1499=2,"διὰ πασῶν",IF(H1499=3,"διὰ πέντε",IF(H1499=4,"διὰ τεσσάρων","?")))))</f>
        <v>ὁμώνυμον</v>
      </c>
      <c r="K1499" s="10"/>
      <c r="L1499" s="14"/>
      <c r="M1499" s="13"/>
    </row>
    <row r="1500" customFormat="false" ht="15.75" hidden="false" customHeight="true" outlineLevel="0" collapsed="false">
      <c r="A1500" s="8" t="n">
        <f aca="false">A1499+1</f>
        <v>1498</v>
      </c>
      <c r="B1500" s="9" t="n">
        <f aca="false">MOD(4*A1500^2,10)</f>
        <v>6</v>
      </c>
      <c r="C1500" s="9" t="n">
        <f aca="false">(26*B1500-5*B1500^2)/24</f>
        <v>-1</v>
      </c>
      <c r="D1500" s="9" t="n">
        <f aca="false">(A1500^2+4*C1500)/5</f>
        <v>448800</v>
      </c>
      <c r="E1500" s="9" t="n">
        <f aca="false">MOD(D1500,10)</f>
        <v>0</v>
      </c>
      <c r="F1500" s="9" t="n">
        <f aca="false">2*D1500</f>
        <v>897600</v>
      </c>
      <c r="G1500" s="9" t="n">
        <f aca="false">MOD(F1500,10)</f>
        <v>0</v>
      </c>
      <c r="H1500" s="9" t="n">
        <f aca="false">G1500/2</f>
        <v>0</v>
      </c>
      <c r="I1500" s="9" t="str">
        <f aca="false">IF(H1500=0,"—",IF(H1500=1,"unison (1:1)",IF(H1500=2,"octave (2:1)",IF(H1500=3,"fifth (3:2)",IF(H1500=4,"fourth (4:3)","?")))))</f>
        <v>—</v>
      </c>
      <c r="J1500" s="9" t="str">
        <f aca="false">IF(H1500=0,"—",IF(H1500=1,"ὁμώνυμον",IF(H1500=2,"διὰ πασῶν",IF(H1500=3,"διὰ πέντε",IF(H1500=4,"διὰ τεσσάρων","?")))))</f>
        <v>—</v>
      </c>
      <c r="K1500" s="10"/>
      <c r="L1500" s="14"/>
      <c r="M1500" s="13"/>
    </row>
    <row r="1501" customFormat="false" ht="15.75" hidden="false" customHeight="true" outlineLevel="0" collapsed="false">
      <c r="A1501" s="8" t="n">
        <f aca="false">A1500+1</f>
        <v>1499</v>
      </c>
      <c r="B1501" s="9" t="n">
        <f aca="false">MOD(4*A1501^2,10)</f>
        <v>4</v>
      </c>
      <c r="C1501" s="9" t="n">
        <f aca="false">(26*B1501-5*B1501^2)/24</f>
        <v>1</v>
      </c>
      <c r="D1501" s="9" t="n">
        <f aca="false">(A1501^2+4*C1501)/5</f>
        <v>449401</v>
      </c>
      <c r="E1501" s="9" t="n">
        <f aca="false">MOD(D1501,10)</f>
        <v>1</v>
      </c>
      <c r="F1501" s="9" t="n">
        <f aca="false">2*D1501</f>
        <v>898802</v>
      </c>
      <c r="G1501" s="9" t="n">
        <f aca="false">MOD(F1501,10)</f>
        <v>2</v>
      </c>
      <c r="H1501" s="9" t="n">
        <f aca="false">G1501/2</f>
        <v>1</v>
      </c>
      <c r="I1501" s="9" t="str">
        <f aca="false">IF(H1501=0,"—",IF(H1501=1,"unison (1:1)",IF(H1501=2,"octave (2:1)",IF(H1501=3,"fifth (3:2)",IF(H1501=4,"fourth (4:3)","?")))))</f>
        <v>unison (1:1)</v>
      </c>
      <c r="J1501" s="9" t="str">
        <f aca="false">IF(H1501=0,"—",IF(H1501=1,"ὁμώνυμον",IF(H1501=2,"διὰ πασῶν",IF(H1501=3,"διὰ πέντε",IF(H1501=4,"διὰ τεσσάρων","?")))))</f>
        <v>ὁμώνυμον</v>
      </c>
      <c r="K1501" s="10"/>
      <c r="L1501" s="14"/>
      <c r="M1501" s="13"/>
    </row>
    <row r="1502" customFormat="false" ht="15.75" hidden="false" customHeight="true" outlineLevel="0" collapsed="false">
      <c r="A1502" s="8" t="n">
        <f aca="false">A1501+1</f>
        <v>1500</v>
      </c>
      <c r="B1502" s="9" t="n">
        <f aca="false">MOD(4*A1502^2,10)</f>
        <v>0</v>
      </c>
      <c r="C1502" s="9" t="n">
        <f aca="false">(26*B1502-5*B1502^2)/24</f>
        <v>0</v>
      </c>
      <c r="D1502" s="9" t="n">
        <f aca="false">(A1502^2+4*C1502)/5</f>
        <v>450000</v>
      </c>
      <c r="E1502" s="9" t="n">
        <f aca="false">MOD(D1502,10)</f>
        <v>0</v>
      </c>
      <c r="F1502" s="9" t="n">
        <f aca="false">2*D1502</f>
        <v>900000</v>
      </c>
      <c r="G1502" s="9" t="n">
        <f aca="false">MOD(F1502,10)</f>
        <v>0</v>
      </c>
      <c r="H1502" s="9" t="n">
        <f aca="false">G1502/2</f>
        <v>0</v>
      </c>
      <c r="I1502" s="9" t="str">
        <f aca="false">IF(H1502=0,"—",IF(H1502=1,"unison (1:1)",IF(H1502=2,"octave (2:1)",IF(H1502=3,"fifth (3:2)",IF(H1502=4,"fourth (4:3)","?")))))</f>
        <v>—</v>
      </c>
      <c r="J1502" s="9" t="str">
        <f aca="false">IF(H1502=0,"—",IF(H1502=1,"ὁμώνυμον",IF(H1502=2,"διὰ πασῶν",IF(H1502=3,"διὰ πέντε",IF(H1502=4,"διὰ τεσσάρων","?")))))</f>
        <v>—</v>
      </c>
      <c r="K1502" s="10"/>
      <c r="L1502" s="14"/>
      <c r="M1502" s="13"/>
    </row>
    <row r="1503" customFormat="false" ht="15.75" hidden="false" customHeight="true" outlineLevel="0" collapsed="false">
      <c r="A1503" s="8" t="n">
        <f aca="false">A1502+1</f>
        <v>1501</v>
      </c>
      <c r="B1503" s="9" t="n">
        <f aca="false">MOD(4*A1503^2,10)</f>
        <v>4</v>
      </c>
      <c r="C1503" s="9" t="n">
        <f aca="false">(26*B1503-5*B1503^2)/24</f>
        <v>1</v>
      </c>
      <c r="D1503" s="9" t="n">
        <f aca="false">(A1503^2+4*C1503)/5</f>
        <v>450601</v>
      </c>
      <c r="E1503" s="9" t="n">
        <f aca="false">MOD(D1503,10)</f>
        <v>1</v>
      </c>
      <c r="F1503" s="9" t="n">
        <f aca="false">2*D1503</f>
        <v>901202</v>
      </c>
      <c r="G1503" s="9" t="n">
        <f aca="false">MOD(F1503,10)</f>
        <v>2</v>
      </c>
      <c r="H1503" s="9" t="n">
        <f aca="false">G1503/2</f>
        <v>1</v>
      </c>
      <c r="I1503" s="9" t="str">
        <f aca="false">IF(H1503=0,"—",IF(H1503=1,"unison (1:1)",IF(H1503=2,"octave (2:1)",IF(H1503=3,"fifth (3:2)",IF(H1503=4,"fourth (4:3)","?")))))</f>
        <v>unison (1:1)</v>
      </c>
      <c r="J1503" s="9" t="str">
        <f aca="false">IF(H1503=0,"—",IF(H1503=1,"ὁμώνυμον",IF(H1503=2,"διὰ πασῶν",IF(H1503=3,"διὰ πέντε",IF(H1503=4,"διὰ τεσσάρων","?")))))</f>
        <v>ὁμώνυμον</v>
      </c>
      <c r="K1503" s="10"/>
      <c r="L1503" s="14"/>
      <c r="M1503" s="13"/>
    </row>
    <row r="1504" customFormat="false" ht="15.75" hidden="false" customHeight="true" outlineLevel="0" collapsed="false">
      <c r="A1504" s="8" t="n">
        <f aca="false">A1503+1</f>
        <v>1502</v>
      </c>
      <c r="B1504" s="9" t="n">
        <f aca="false">MOD(4*A1504^2,10)</f>
        <v>6</v>
      </c>
      <c r="C1504" s="9" t="n">
        <f aca="false">(26*B1504-5*B1504^2)/24</f>
        <v>-1</v>
      </c>
      <c r="D1504" s="9" t="n">
        <f aca="false">(A1504^2+4*C1504)/5</f>
        <v>451200</v>
      </c>
      <c r="E1504" s="9" t="n">
        <f aca="false">MOD(D1504,10)</f>
        <v>0</v>
      </c>
      <c r="F1504" s="9" t="n">
        <f aca="false">2*D1504</f>
        <v>902400</v>
      </c>
      <c r="G1504" s="9" t="n">
        <f aca="false">MOD(F1504,10)</f>
        <v>0</v>
      </c>
      <c r="H1504" s="9" t="n">
        <f aca="false">G1504/2</f>
        <v>0</v>
      </c>
      <c r="I1504" s="9" t="str">
        <f aca="false">IF(H1504=0,"—",IF(H1504=1,"unison (1:1)",IF(H1504=2,"octave (2:1)",IF(H1504=3,"fifth (3:2)",IF(H1504=4,"fourth (4:3)","?")))))</f>
        <v>—</v>
      </c>
      <c r="J1504" s="9" t="str">
        <f aca="false">IF(H1504=0,"—",IF(H1504=1,"ὁμώνυμον",IF(H1504=2,"διὰ πασῶν",IF(H1504=3,"διὰ πέντε",IF(H1504=4,"διὰ τεσσάρων","?")))))</f>
        <v>—</v>
      </c>
      <c r="K1504" s="10"/>
      <c r="L1504" s="14"/>
      <c r="M1504" s="13"/>
    </row>
    <row r="1505" customFormat="false" ht="15.75" hidden="false" customHeight="true" outlineLevel="0" collapsed="false">
      <c r="A1505" s="8" t="n">
        <f aca="false">A1504+1</f>
        <v>1503</v>
      </c>
      <c r="B1505" s="9" t="n">
        <f aca="false">MOD(4*A1505^2,10)</f>
        <v>6</v>
      </c>
      <c r="C1505" s="9" t="n">
        <f aca="false">(26*B1505-5*B1505^2)/24</f>
        <v>-1</v>
      </c>
      <c r="D1505" s="9" t="n">
        <f aca="false">(A1505^2+4*C1505)/5</f>
        <v>451801</v>
      </c>
      <c r="E1505" s="9" t="n">
        <f aca="false">MOD(D1505,10)</f>
        <v>1</v>
      </c>
      <c r="F1505" s="9" t="n">
        <f aca="false">2*D1505</f>
        <v>903602</v>
      </c>
      <c r="G1505" s="9" t="n">
        <f aca="false">MOD(F1505,10)</f>
        <v>2</v>
      </c>
      <c r="H1505" s="9" t="n">
        <f aca="false">G1505/2</f>
        <v>1</v>
      </c>
      <c r="I1505" s="9" t="str">
        <f aca="false">IF(H1505=0,"—",IF(H1505=1,"unison (1:1)",IF(H1505=2,"octave (2:1)",IF(H1505=3,"fifth (3:2)",IF(H1505=4,"fourth (4:3)","?")))))</f>
        <v>unison (1:1)</v>
      </c>
      <c r="J1505" s="9" t="str">
        <f aca="false">IF(H1505=0,"—",IF(H1505=1,"ὁμώνυμον",IF(H1505=2,"διὰ πασῶν",IF(H1505=3,"διὰ πέντε",IF(H1505=4,"διὰ τεσσάρων","?")))))</f>
        <v>ὁμώνυμον</v>
      </c>
      <c r="K1505" s="10"/>
      <c r="L1505" s="14"/>
      <c r="M1505" s="13"/>
    </row>
    <row r="1506" customFormat="false" ht="15.75" hidden="false" customHeight="true" outlineLevel="0" collapsed="false">
      <c r="A1506" s="8" t="n">
        <f aca="false">A1505+1</f>
        <v>1504</v>
      </c>
      <c r="B1506" s="9" t="n">
        <f aca="false">MOD(4*A1506^2,10)</f>
        <v>4</v>
      </c>
      <c r="C1506" s="9" t="n">
        <f aca="false">(26*B1506-5*B1506^2)/24</f>
        <v>1</v>
      </c>
      <c r="D1506" s="9" t="n">
        <f aca="false">(A1506^2+4*C1506)/5</f>
        <v>452404</v>
      </c>
      <c r="E1506" s="9" t="n">
        <f aca="false">MOD(D1506,10)</f>
        <v>4</v>
      </c>
      <c r="F1506" s="9" t="n">
        <f aca="false">2*D1506</f>
        <v>904808</v>
      </c>
      <c r="G1506" s="9" t="n">
        <f aca="false">MOD(F1506,10)</f>
        <v>8</v>
      </c>
      <c r="H1506" s="9" t="n">
        <f aca="false">G1506/2</f>
        <v>4</v>
      </c>
      <c r="I1506" s="9" t="str">
        <f aca="false">IF(H1506=0,"—",IF(H1506=1,"unison (1:1)",IF(H1506=2,"octave (2:1)",IF(H1506=3,"fifth (3:2)",IF(H1506=4,"fourth (4:3)","?")))))</f>
        <v>fourth (4:3)</v>
      </c>
      <c r="J1506" s="9" t="str">
        <f aca="false">IF(H1506=0,"—",IF(H1506=1,"ὁμώνυμον",IF(H1506=2,"διὰ πασῶν",IF(H1506=3,"διὰ πέντε",IF(H1506=4,"διὰ τεσσάρων","?")))))</f>
        <v>διὰ τεσσάρων</v>
      </c>
      <c r="K1506" s="10"/>
      <c r="L1506" s="14"/>
      <c r="M1506" s="13"/>
    </row>
    <row r="1507" customFormat="false" ht="15.75" hidden="false" customHeight="true" outlineLevel="0" collapsed="false">
      <c r="A1507" s="8" t="n">
        <f aca="false">A1506+1</f>
        <v>1505</v>
      </c>
      <c r="B1507" s="9" t="n">
        <f aca="false">MOD(4*A1507^2,10)</f>
        <v>0</v>
      </c>
      <c r="C1507" s="9" t="n">
        <f aca="false">(26*B1507-5*B1507^2)/24</f>
        <v>0</v>
      </c>
      <c r="D1507" s="9" t="n">
        <f aca="false">(A1507^2+4*C1507)/5</f>
        <v>453005</v>
      </c>
      <c r="E1507" s="9" t="n">
        <f aca="false">MOD(D1507,10)</f>
        <v>5</v>
      </c>
      <c r="F1507" s="9" t="n">
        <f aca="false">2*D1507</f>
        <v>906010</v>
      </c>
      <c r="G1507" s="9" t="n">
        <f aca="false">MOD(F1507,10)</f>
        <v>0</v>
      </c>
      <c r="H1507" s="9" t="n">
        <f aca="false">G1507/2</f>
        <v>0</v>
      </c>
      <c r="I1507" s="9" t="str">
        <f aca="false">IF(H1507=0,"—",IF(H1507=1,"unison (1:1)",IF(H1507=2,"octave (2:1)",IF(H1507=3,"fifth (3:2)",IF(H1507=4,"fourth (4:3)","?")))))</f>
        <v>—</v>
      </c>
      <c r="J1507" s="9" t="str">
        <f aca="false">IF(H1507=0,"—",IF(H1507=1,"ὁμώνυμον",IF(H1507=2,"διὰ πασῶν",IF(H1507=3,"διὰ πέντε",IF(H1507=4,"διὰ τεσσάρων","?")))))</f>
        <v>—</v>
      </c>
      <c r="K1507" s="10"/>
      <c r="L1507" s="14"/>
      <c r="M1507" s="13"/>
    </row>
    <row r="1508" customFormat="false" ht="15.75" hidden="false" customHeight="true" outlineLevel="0" collapsed="false">
      <c r="A1508" s="8" t="n">
        <f aca="false">A1507+1</f>
        <v>1506</v>
      </c>
      <c r="B1508" s="9" t="n">
        <f aca="false">MOD(4*A1508^2,10)</f>
        <v>4</v>
      </c>
      <c r="C1508" s="9" t="n">
        <f aca="false">(26*B1508-5*B1508^2)/24</f>
        <v>1</v>
      </c>
      <c r="D1508" s="9" t="n">
        <f aca="false">(A1508^2+4*C1508)/5</f>
        <v>453608</v>
      </c>
      <c r="E1508" s="9" t="n">
        <f aca="false">MOD(D1508,10)</f>
        <v>8</v>
      </c>
      <c r="F1508" s="9" t="n">
        <f aca="false">2*D1508</f>
        <v>907216</v>
      </c>
      <c r="G1508" s="9" t="n">
        <f aca="false">MOD(F1508,10)</f>
        <v>6</v>
      </c>
      <c r="H1508" s="9" t="n">
        <f aca="false">G1508/2</f>
        <v>3</v>
      </c>
      <c r="I1508" s="9" t="str">
        <f aca="false">IF(H1508=0,"—",IF(H1508=1,"unison (1:1)",IF(H1508=2,"octave (2:1)",IF(H1508=3,"fifth (3:2)",IF(H1508=4,"fourth (4:3)","?")))))</f>
        <v>fifth (3:2)</v>
      </c>
      <c r="J1508" s="9" t="str">
        <f aca="false">IF(H1508=0,"—",IF(H1508=1,"ὁμώνυμον",IF(H1508=2,"διὰ πασῶν",IF(H1508=3,"διὰ πέντε",IF(H1508=4,"διὰ τεσσάρων","?")))))</f>
        <v>διὰ πέντε</v>
      </c>
      <c r="K1508" s="10"/>
      <c r="L1508" s="14"/>
      <c r="M1508" s="13"/>
    </row>
    <row r="1509" customFormat="false" ht="15.75" hidden="false" customHeight="true" outlineLevel="0" collapsed="false">
      <c r="A1509" s="8" t="n">
        <f aca="false">A1508+1</f>
        <v>1507</v>
      </c>
      <c r="B1509" s="9" t="n">
        <f aca="false">MOD(4*A1509^2,10)</f>
        <v>6</v>
      </c>
      <c r="C1509" s="9" t="n">
        <f aca="false">(26*B1509-5*B1509^2)/24</f>
        <v>-1</v>
      </c>
      <c r="D1509" s="9" t="n">
        <f aca="false">(A1509^2+4*C1509)/5</f>
        <v>454209</v>
      </c>
      <c r="E1509" s="9" t="n">
        <f aca="false">MOD(D1509,10)</f>
        <v>9</v>
      </c>
      <c r="F1509" s="9" t="n">
        <f aca="false">2*D1509</f>
        <v>908418</v>
      </c>
      <c r="G1509" s="9" t="n">
        <f aca="false">MOD(F1509,10)</f>
        <v>8</v>
      </c>
      <c r="H1509" s="9" t="n">
        <f aca="false">G1509/2</f>
        <v>4</v>
      </c>
      <c r="I1509" s="9" t="str">
        <f aca="false">IF(H1509=0,"—",IF(H1509=1,"unison (1:1)",IF(H1509=2,"octave (2:1)",IF(H1509=3,"fifth (3:2)",IF(H1509=4,"fourth (4:3)","?")))))</f>
        <v>fourth (4:3)</v>
      </c>
      <c r="J1509" s="9" t="str">
        <f aca="false">IF(H1509=0,"—",IF(H1509=1,"ὁμώνυμον",IF(H1509=2,"διὰ πασῶν",IF(H1509=3,"διὰ πέντε",IF(H1509=4,"διὰ τεσσάρων","?")))))</f>
        <v>διὰ τεσσάρων</v>
      </c>
      <c r="K1509" s="10"/>
      <c r="L1509" s="14"/>
      <c r="M1509" s="13"/>
    </row>
    <row r="1510" customFormat="false" ht="15.75" hidden="false" customHeight="true" outlineLevel="0" collapsed="false">
      <c r="A1510" s="8" t="n">
        <f aca="false">A1509+1</f>
        <v>1508</v>
      </c>
      <c r="B1510" s="9" t="n">
        <f aca="false">MOD(4*A1510^2,10)</f>
        <v>6</v>
      </c>
      <c r="C1510" s="9" t="n">
        <f aca="false">(26*B1510-5*B1510^2)/24</f>
        <v>-1</v>
      </c>
      <c r="D1510" s="9" t="n">
        <f aca="false">(A1510^2+4*C1510)/5</f>
        <v>454812</v>
      </c>
      <c r="E1510" s="9" t="n">
        <f aca="false">MOD(D1510,10)</f>
        <v>2</v>
      </c>
      <c r="F1510" s="9" t="n">
        <f aca="false">2*D1510</f>
        <v>909624</v>
      </c>
      <c r="G1510" s="9" t="n">
        <f aca="false">MOD(F1510,10)</f>
        <v>4</v>
      </c>
      <c r="H1510" s="9" t="n">
        <f aca="false">G1510/2</f>
        <v>2</v>
      </c>
      <c r="I1510" s="9" t="str">
        <f aca="false">IF(H1510=0,"—",IF(H1510=1,"unison (1:1)",IF(H1510=2,"octave (2:1)",IF(H1510=3,"fifth (3:2)",IF(H1510=4,"fourth (4:3)","?")))))</f>
        <v>octave (2:1)</v>
      </c>
      <c r="J1510" s="9" t="str">
        <f aca="false">IF(H1510=0,"—",IF(H1510=1,"ὁμώνυμον",IF(H1510=2,"διὰ πασῶν",IF(H1510=3,"διὰ πέντε",IF(H1510=4,"διὰ τεσσάρων","?")))))</f>
        <v>διὰ πασῶν</v>
      </c>
      <c r="K1510" s="10"/>
      <c r="L1510" s="14"/>
      <c r="M1510" s="13"/>
    </row>
    <row r="1511" customFormat="false" ht="15.75" hidden="false" customHeight="true" outlineLevel="0" collapsed="false">
      <c r="A1511" s="8" t="n">
        <f aca="false">A1510+1</f>
        <v>1509</v>
      </c>
      <c r="B1511" s="9" t="n">
        <f aca="false">MOD(4*A1511^2,10)</f>
        <v>4</v>
      </c>
      <c r="C1511" s="9" t="n">
        <f aca="false">(26*B1511-5*B1511^2)/24</f>
        <v>1</v>
      </c>
      <c r="D1511" s="9" t="n">
        <f aca="false">(A1511^2+4*C1511)/5</f>
        <v>455417</v>
      </c>
      <c r="E1511" s="9" t="n">
        <f aca="false">MOD(D1511,10)</f>
        <v>7</v>
      </c>
      <c r="F1511" s="9" t="n">
        <f aca="false">2*D1511</f>
        <v>910834</v>
      </c>
      <c r="G1511" s="9" t="n">
        <f aca="false">MOD(F1511,10)</f>
        <v>4</v>
      </c>
      <c r="H1511" s="9" t="n">
        <f aca="false">G1511/2</f>
        <v>2</v>
      </c>
      <c r="I1511" s="9" t="str">
        <f aca="false">IF(H1511=0,"—",IF(H1511=1,"unison (1:1)",IF(H1511=2,"octave (2:1)",IF(H1511=3,"fifth (3:2)",IF(H1511=4,"fourth (4:3)","?")))))</f>
        <v>octave (2:1)</v>
      </c>
      <c r="J1511" s="9" t="str">
        <f aca="false">IF(H1511=0,"—",IF(H1511=1,"ὁμώνυμον",IF(H1511=2,"διὰ πασῶν",IF(H1511=3,"διὰ πέντε",IF(H1511=4,"διὰ τεσσάρων","?")))))</f>
        <v>διὰ πασῶν</v>
      </c>
      <c r="K1511" s="10"/>
      <c r="L1511" s="14"/>
      <c r="M1511" s="13"/>
    </row>
    <row r="1512" customFormat="false" ht="15.75" hidden="false" customHeight="true" outlineLevel="0" collapsed="false">
      <c r="A1512" s="8" t="n">
        <f aca="false">A1511+1</f>
        <v>1510</v>
      </c>
      <c r="B1512" s="9" t="n">
        <f aca="false">MOD(4*A1512^2,10)</f>
        <v>0</v>
      </c>
      <c r="C1512" s="9" t="n">
        <f aca="false">(26*B1512-5*B1512^2)/24</f>
        <v>0</v>
      </c>
      <c r="D1512" s="9" t="n">
        <f aca="false">(A1512^2+4*C1512)/5</f>
        <v>456020</v>
      </c>
      <c r="E1512" s="9" t="n">
        <f aca="false">MOD(D1512,10)</f>
        <v>0</v>
      </c>
      <c r="F1512" s="9" t="n">
        <f aca="false">2*D1512</f>
        <v>912040</v>
      </c>
      <c r="G1512" s="9" t="n">
        <f aca="false">MOD(F1512,10)</f>
        <v>0</v>
      </c>
      <c r="H1512" s="9" t="n">
        <f aca="false">G1512/2</f>
        <v>0</v>
      </c>
      <c r="I1512" s="9" t="str">
        <f aca="false">IF(H1512=0,"—",IF(H1512=1,"unison (1:1)",IF(H1512=2,"octave (2:1)",IF(H1512=3,"fifth (3:2)",IF(H1512=4,"fourth (4:3)","?")))))</f>
        <v>—</v>
      </c>
      <c r="J1512" s="9" t="str">
        <f aca="false">IF(H1512=0,"—",IF(H1512=1,"ὁμώνυμον",IF(H1512=2,"διὰ πασῶν",IF(H1512=3,"διὰ πέντε",IF(H1512=4,"διὰ τεσσάρων","?")))))</f>
        <v>—</v>
      </c>
      <c r="K1512" s="10"/>
      <c r="L1512" s="14"/>
      <c r="M1512" s="13"/>
    </row>
    <row r="1513" customFormat="false" ht="15.75" hidden="false" customHeight="true" outlineLevel="0" collapsed="false">
      <c r="A1513" s="8" t="n">
        <f aca="false">A1512+1</f>
        <v>1511</v>
      </c>
      <c r="B1513" s="9" t="n">
        <f aca="false">MOD(4*A1513^2,10)</f>
        <v>4</v>
      </c>
      <c r="C1513" s="9" t="n">
        <f aca="false">(26*B1513-5*B1513^2)/24</f>
        <v>1</v>
      </c>
      <c r="D1513" s="9" t="n">
        <f aca="false">(A1513^2+4*C1513)/5</f>
        <v>456625</v>
      </c>
      <c r="E1513" s="9" t="n">
        <f aca="false">MOD(D1513,10)</f>
        <v>5</v>
      </c>
      <c r="F1513" s="9" t="n">
        <f aca="false">2*D1513</f>
        <v>913250</v>
      </c>
      <c r="G1513" s="9" t="n">
        <f aca="false">MOD(F1513,10)</f>
        <v>0</v>
      </c>
      <c r="H1513" s="9" t="n">
        <f aca="false">G1513/2</f>
        <v>0</v>
      </c>
      <c r="I1513" s="9" t="str">
        <f aca="false">IF(H1513=0,"—",IF(H1513=1,"unison (1:1)",IF(H1513=2,"octave (2:1)",IF(H1513=3,"fifth (3:2)",IF(H1513=4,"fourth (4:3)","?")))))</f>
        <v>—</v>
      </c>
      <c r="J1513" s="9" t="str">
        <f aca="false">IF(H1513=0,"—",IF(H1513=1,"ὁμώνυμον",IF(H1513=2,"διὰ πασῶν",IF(H1513=3,"διὰ πέντε",IF(H1513=4,"διὰ τεσσάρων","?")))))</f>
        <v>—</v>
      </c>
      <c r="K1513" s="10"/>
      <c r="L1513" s="14"/>
      <c r="M1513" s="13"/>
    </row>
    <row r="1514" customFormat="false" ht="15.75" hidden="false" customHeight="true" outlineLevel="0" collapsed="false">
      <c r="A1514" s="8" t="n">
        <f aca="false">A1513+1</f>
        <v>1512</v>
      </c>
      <c r="B1514" s="9" t="n">
        <f aca="false">MOD(4*A1514^2,10)</f>
        <v>6</v>
      </c>
      <c r="C1514" s="9" t="n">
        <f aca="false">(26*B1514-5*B1514^2)/24</f>
        <v>-1</v>
      </c>
      <c r="D1514" s="9" t="n">
        <f aca="false">(A1514^2+4*C1514)/5</f>
        <v>457228</v>
      </c>
      <c r="E1514" s="9" t="n">
        <f aca="false">MOD(D1514,10)</f>
        <v>8</v>
      </c>
      <c r="F1514" s="9" t="n">
        <f aca="false">2*D1514</f>
        <v>914456</v>
      </c>
      <c r="G1514" s="9" t="n">
        <f aca="false">MOD(F1514,10)</f>
        <v>6</v>
      </c>
      <c r="H1514" s="9" t="n">
        <f aca="false">G1514/2</f>
        <v>3</v>
      </c>
      <c r="I1514" s="9" t="str">
        <f aca="false">IF(H1514=0,"—",IF(H1514=1,"unison (1:1)",IF(H1514=2,"octave (2:1)",IF(H1514=3,"fifth (3:2)",IF(H1514=4,"fourth (4:3)","?")))))</f>
        <v>fifth (3:2)</v>
      </c>
      <c r="J1514" s="9" t="str">
        <f aca="false">IF(H1514=0,"—",IF(H1514=1,"ὁμώνυμον",IF(H1514=2,"διὰ πασῶν",IF(H1514=3,"διὰ πέντε",IF(H1514=4,"διὰ τεσσάρων","?")))))</f>
        <v>διὰ πέντε</v>
      </c>
      <c r="K1514" s="10"/>
      <c r="L1514" s="14"/>
      <c r="M1514" s="13"/>
    </row>
    <row r="1515" customFormat="false" ht="15.75" hidden="false" customHeight="true" outlineLevel="0" collapsed="false">
      <c r="A1515" s="8" t="n">
        <f aca="false">A1514+1</f>
        <v>1513</v>
      </c>
      <c r="B1515" s="9" t="n">
        <f aca="false">MOD(4*A1515^2,10)</f>
        <v>6</v>
      </c>
      <c r="C1515" s="9" t="n">
        <f aca="false">(26*B1515-5*B1515^2)/24</f>
        <v>-1</v>
      </c>
      <c r="D1515" s="9" t="n">
        <f aca="false">(A1515^2+4*C1515)/5</f>
        <v>457833</v>
      </c>
      <c r="E1515" s="9" t="n">
        <f aca="false">MOD(D1515,10)</f>
        <v>3</v>
      </c>
      <c r="F1515" s="9" t="n">
        <f aca="false">2*D1515</f>
        <v>915666</v>
      </c>
      <c r="G1515" s="9" t="n">
        <f aca="false">MOD(F1515,10)</f>
        <v>6</v>
      </c>
      <c r="H1515" s="9" t="n">
        <f aca="false">G1515/2</f>
        <v>3</v>
      </c>
      <c r="I1515" s="9" t="str">
        <f aca="false">IF(H1515=0,"—",IF(H1515=1,"unison (1:1)",IF(H1515=2,"octave (2:1)",IF(H1515=3,"fifth (3:2)",IF(H1515=4,"fourth (4:3)","?")))))</f>
        <v>fifth (3:2)</v>
      </c>
      <c r="J1515" s="9" t="str">
        <f aca="false">IF(H1515=0,"—",IF(H1515=1,"ὁμώνυμον",IF(H1515=2,"διὰ πασῶν",IF(H1515=3,"διὰ πέντε",IF(H1515=4,"διὰ τεσσάρων","?")))))</f>
        <v>διὰ πέντε</v>
      </c>
      <c r="K1515" s="10"/>
      <c r="L1515" s="14"/>
      <c r="M1515" s="13"/>
    </row>
    <row r="1516" customFormat="false" ht="15.75" hidden="false" customHeight="true" outlineLevel="0" collapsed="false">
      <c r="A1516" s="8" t="n">
        <f aca="false">A1515+1</f>
        <v>1514</v>
      </c>
      <c r="B1516" s="9" t="n">
        <f aca="false">MOD(4*A1516^2,10)</f>
        <v>4</v>
      </c>
      <c r="C1516" s="9" t="n">
        <f aca="false">(26*B1516-5*B1516^2)/24</f>
        <v>1</v>
      </c>
      <c r="D1516" s="9" t="n">
        <f aca="false">(A1516^2+4*C1516)/5</f>
        <v>458440</v>
      </c>
      <c r="E1516" s="9" t="n">
        <f aca="false">MOD(D1516,10)</f>
        <v>0</v>
      </c>
      <c r="F1516" s="9" t="n">
        <f aca="false">2*D1516</f>
        <v>916880</v>
      </c>
      <c r="G1516" s="9" t="n">
        <f aca="false">MOD(F1516,10)</f>
        <v>0</v>
      </c>
      <c r="H1516" s="9" t="n">
        <f aca="false">G1516/2</f>
        <v>0</v>
      </c>
      <c r="I1516" s="9" t="str">
        <f aca="false">IF(H1516=0,"—",IF(H1516=1,"unison (1:1)",IF(H1516=2,"octave (2:1)",IF(H1516=3,"fifth (3:2)",IF(H1516=4,"fourth (4:3)","?")))))</f>
        <v>—</v>
      </c>
      <c r="J1516" s="9" t="str">
        <f aca="false">IF(H1516=0,"—",IF(H1516=1,"ὁμώνυμον",IF(H1516=2,"διὰ πασῶν",IF(H1516=3,"διὰ πέντε",IF(H1516=4,"διὰ τεσσάρων","?")))))</f>
        <v>—</v>
      </c>
      <c r="K1516" s="10"/>
      <c r="L1516" s="14"/>
      <c r="M1516" s="13"/>
    </row>
    <row r="1517" customFormat="false" ht="15.75" hidden="false" customHeight="true" outlineLevel="0" collapsed="false">
      <c r="A1517" s="8" t="n">
        <f aca="false">A1516+1</f>
        <v>1515</v>
      </c>
      <c r="B1517" s="9" t="n">
        <f aca="false">MOD(4*A1517^2,10)</f>
        <v>0</v>
      </c>
      <c r="C1517" s="9" t="n">
        <f aca="false">(26*B1517-5*B1517^2)/24</f>
        <v>0</v>
      </c>
      <c r="D1517" s="9" t="n">
        <f aca="false">(A1517^2+4*C1517)/5</f>
        <v>459045</v>
      </c>
      <c r="E1517" s="9" t="n">
        <f aca="false">MOD(D1517,10)</f>
        <v>5</v>
      </c>
      <c r="F1517" s="9" t="n">
        <f aca="false">2*D1517</f>
        <v>918090</v>
      </c>
      <c r="G1517" s="9" t="n">
        <f aca="false">MOD(F1517,10)</f>
        <v>0</v>
      </c>
      <c r="H1517" s="9" t="n">
        <f aca="false">G1517/2</f>
        <v>0</v>
      </c>
      <c r="I1517" s="9" t="str">
        <f aca="false">IF(H1517=0,"—",IF(H1517=1,"unison (1:1)",IF(H1517=2,"octave (2:1)",IF(H1517=3,"fifth (3:2)",IF(H1517=4,"fourth (4:3)","?")))))</f>
        <v>—</v>
      </c>
      <c r="J1517" s="9" t="str">
        <f aca="false">IF(H1517=0,"—",IF(H1517=1,"ὁμώνυμον",IF(H1517=2,"διὰ πασῶν",IF(H1517=3,"διὰ πέντε",IF(H1517=4,"διὰ τεσσάρων","?")))))</f>
        <v>—</v>
      </c>
      <c r="K1517" s="10"/>
      <c r="L1517" s="14"/>
      <c r="M1517" s="13"/>
    </row>
    <row r="1518" customFormat="false" ht="15.75" hidden="false" customHeight="true" outlineLevel="0" collapsed="false">
      <c r="A1518" s="8" t="n">
        <f aca="false">A1517+1</f>
        <v>1516</v>
      </c>
      <c r="B1518" s="9" t="n">
        <f aca="false">MOD(4*A1518^2,10)</f>
        <v>4</v>
      </c>
      <c r="C1518" s="9" t="n">
        <f aca="false">(26*B1518-5*B1518^2)/24</f>
        <v>1</v>
      </c>
      <c r="D1518" s="9" t="n">
        <f aca="false">(A1518^2+4*C1518)/5</f>
        <v>459652</v>
      </c>
      <c r="E1518" s="9" t="n">
        <f aca="false">MOD(D1518,10)</f>
        <v>2</v>
      </c>
      <c r="F1518" s="9" t="n">
        <f aca="false">2*D1518</f>
        <v>919304</v>
      </c>
      <c r="G1518" s="9" t="n">
        <f aca="false">MOD(F1518,10)</f>
        <v>4</v>
      </c>
      <c r="H1518" s="9" t="n">
        <f aca="false">G1518/2</f>
        <v>2</v>
      </c>
      <c r="I1518" s="9" t="str">
        <f aca="false">IF(H1518=0,"—",IF(H1518=1,"unison (1:1)",IF(H1518=2,"octave (2:1)",IF(H1518=3,"fifth (3:2)",IF(H1518=4,"fourth (4:3)","?")))))</f>
        <v>octave (2:1)</v>
      </c>
      <c r="J1518" s="9" t="str">
        <f aca="false">IF(H1518=0,"—",IF(H1518=1,"ὁμώνυμον",IF(H1518=2,"διὰ πασῶν",IF(H1518=3,"διὰ πέντε",IF(H1518=4,"διὰ τεσσάρων","?")))))</f>
        <v>διὰ πασῶν</v>
      </c>
      <c r="K1518" s="10"/>
      <c r="L1518" s="14"/>
      <c r="M1518" s="13"/>
    </row>
    <row r="1519" customFormat="false" ht="15.75" hidden="false" customHeight="true" outlineLevel="0" collapsed="false">
      <c r="A1519" s="8" t="n">
        <f aca="false">A1518+1</f>
        <v>1517</v>
      </c>
      <c r="B1519" s="9" t="n">
        <f aca="false">MOD(4*A1519^2,10)</f>
        <v>6</v>
      </c>
      <c r="C1519" s="9" t="n">
        <f aca="false">(26*B1519-5*B1519^2)/24</f>
        <v>-1</v>
      </c>
      <c r="D1519" s="9" t="n">
        <f aca="false">(A1519^2+4*C1519)/5</f>
        <v>460257</v>
      </c>
      <c r="E1519" s="9" t="n">
        <f aca="false">MOD(D1519,10)</f>
        <v>7</v>
      </c>
      <c r="F1519" s="9" t="n">
        <f aca="false">2*D1519</f>
        <v>920514</v>
      </c>
      <c r="G1519" s="9" t="n">
        <f aca="false">MOD(F1519,10)</f>
        <v>4</v>
      </c>
      <c r="H1519" s="9" t="n">
        <f aca="false">G1519/2</f>
        <v>2</v>
      </c>
      <c r="I1519" s="9" t="str">
        <f aca="false">IF(H1519=0,"—",IF(H1519=1,"unison (1:1)",IF(H1519=2,"octave (2:1)",IF(H1519=3,"fifth (3:2)",IF(H1519=4,"fourth (4:3)","?")))))</f>
        <v>octave (2:1)</v>
      </c>
      <c r="J1519" s="9" t="str">
        <f aca="false">IF(H1519=0,"—",IF(H1519=1,"ὁμώνυμον",IF(H1519=2,"διὰ πασῶν",IF(H1519=3,"διὰ πέντε",IF(H1519=4,"διὰ τεσσάρων","?")))))</f>
        <v>διὰ πασῶν</v>
      </c>
      <c r="K1519" s="10"/>
      <c r="L1519" s="14"/>
      <c r="M1519" s="13"/>
    </row>
    <row r="1520" customFormat="false" ht="15.75" hidden="false" customHeight="true" outlineLevel="0" collapsed="false">
      <c r="A1520" s="8" t="n">
        <f aca="false">A1519+1</f>
        <v>1518</v>
      </c>
      <c r="B1520" s="9" t="n">
        <f aca="false">MOD(4*A1520^2,10)</f>
        <v>6</v>
      </c>
      <c r="C1520" s="9" t="n">
        <f aca="false">(26*B1520-5*B1520^2)/24</f>
        <v>-1</v>
      </c>
      <c r="D1520" s="9" t="n">
        <f aca="false">(A1520^2+4*C1520)/5</f>
        <v>460864</v>
      </c>
      <c r="E1520" s="9" t="n">
        <f aca="false">MOD(D1520,10)</f>
        <v>4</v>
      </c>
      <c r="F1520" s="9" t="n">
        <f aca="false">2*D1520</f>
        <v>921728</v>
      </c>
      <c r="G1520" s="9" t="n">
        <f aca="false">MOD(F1520,10)</f>
        <v>8</v>
      </c>
      <c r="H1520" s="9" t="n">
        <f aca="false">G1520/2</f>
        <v>4</v>
      </c>
      <c r="I1520" s="9" t="str">
        <f aca="false">IF(H1520=0,"—",IF(H1520=1,"unison (1:1)",IF(H1520=2,"octave (2:1)",IF(H1520=3,"fifth (3:2)",IF(H1520=4,"fourth (4:3)","?")))))</f>
        <v>fourth (4:3)</v>
      </c>
      <c r="J1520" s="9" t="str">
        <f aca="false">IF(H1520=0,"—",IF(H1520=1,"ὁμώνυμον",IF(H1520=2,"διὰ πασῶν",IF(H1520=3,"διὰ πέντε",IF(H1520=4,"διὰ τεσσάρων","?")))))</f>
        <v>διὰ τεσσάρων</v>
      </c>
      <c r="K1520" s="10"/>
      <c r="L1520" s="14"/>
      <c r="M1520" s="13"/>
    </row>
    <row r="1521" customFormat="false" ht="15.75" hidden="false" customHeight="true" outlineLevel="0" collapsed="false">
      <c r="A1521" s="8" t="n">
        <f aca="false">A1520+1</f>
        <v>1519</v>
      </c>
      <c r="B1521" s="9" t="n">
        <f aca="false">MOD(4*A1521^2,10)</f>
        <v>4</v>
      </c>
      <c r="C1521" s="9" t="n">
        <f aca="false">(26*B1521-5*B1521^2)/24</f>
        <v>1</v>
      </c>
      <c r="D1521" s="9" t="n">
        <f aca="false">(A1521^2+4*C1521)/5</f>
        <v>461473</v>
      </c>
      <c r="E1521" s="9" t="n">
        <f aca="false">MOD(D1521,10)</f>
        <v>3</v>
      </c>
      <c r="F1521" s="9" t="n">
        <f aca="false">2*D1521</f>
        <v>922946</v>
      </c>
      <c r="G1521" s="9" t="n">
        <f aca="false">MOD(F1521,10)</f>
        <v>6</v>
      </c>
      <c r="H1521" s="9" t="n">
        <f aca="false">G1521/2</f>
        <v>3</v>
      </c>
      <c r="I1521" s="9" t="str">
        <f aca="false">IF(H1521=0,"—",IF(H1521=1,"unison (1:1)",IF(H1521=2,"octave (2:1)",IF(H1521=3,"fifth (3:2)",IF(H1521=4,"fourth (4:3)","?")))))</f>
        <v>fifth (3:2)</v>
      </c>
      <c r="J1521" s="9" t="str">
        <f aca="false">IF(H1521=0,"—",IF(H1521=1,"ὁμώνυμον",IF(H1521=2,"διὰ πασῶν",IF(H1521=3,"διὰ πέντε",IF(H1521=4,"διὰ τεσσάρων","?")))))</f>
        <v>διὰ πέντε</v>
      </c>
      <c r="K1521" s="10"/>
      <c r="L1521" s="14"/>
      <c r="M1521" s="13"/>
    </row>
    <row r="1522" customFormat="false" ht="15.75" hidden="false" customHeight="true" outlineLevel="0" collapsed="false">
      <c r="A1522" s="8" t="n">
        <f aca="false">A1521+1</f>
        <v>1520</v>
      </c>
      <c r="B1522" s="9" t="n">
        <f aca="false">MOD(4*A1522^2,10)</f>
        <v>0</v>
      </c>
      <c r="C1522" s="9" t="n">
        <f aca="false">(26*B1522-5*B1522^2)/24</f>
        <v>0</v>
      </c>
      <c r="D1522" s="9" t="n">
        <f aca="false">(A1522^2+4*C1522)/5</f>
        <v>462080</v>
      </c>
      <c r="E1522" s="9" t="n">
        <f aca="false">MOD(D1522,10)</f>
        <v>0</v>
      </c>
      <c r="F1522" s="9" t="n">
        <f aca="false">2*D1522</f>
        <v>924160</v>
      </c>
      <c r="G1522" s="9" t="n">
        <f aca="false">MOD(F1522,10)</f>
        <v>0</v>
      </c>
      <c r="H1522" s="9" t="n">
        <f aca="false">G1522/2</f>
        <v>0</v>
      </c>
      <c r="I1522" s="9" t="str">
        <f aca="false">IF(H1522=0,"—",IF(H1522=1,"unison (1:1)",IF(H1522=2,"octave (2:1)",IF(H1522=3,"fifth (3:2)",IF(H1522=4,"fourth (4:3)","?")))))</f>
        <v>—</v>
      </c>
      <c r="J1522" s="9" t="str">
        <f aca="false">IF(H1522=0,"—",IF(H1522=1,"ὁμώνυμον",IF(H1522=2,"διὰ πασῶν",IF(H1522=3,"διὰ πέντε",IF(H1522=4,"διὰ τεσσάρων","?")))))</f>
        <v>—</v>
      </c>
      <c r="K1522" s="10"/>
      <c r="L1522" s="14"/>
      <c r="M1522" s="13"/>
    </row>
    <row r="1523" customFormat="false" ht="15.75" hidden="false" customHeight="true" outlineLevel="0" collapsed="false">
      <c r="A1523" s="8" t="n">
        <f aca="false">A1522+1</f>
        <v>1521</v>
      </c>
      <c r="B1523" s="9" t="n">
        <f aca="false">MOD(4*A1523^2,10)</f>
        <v>4</v>
      </c>
      <c r="C1523" s="9" t="n">
        <f aca="false">(26*B1523-5*B1523^2)/24</f>
        <v>1</v>
      </c>
      <c r="D1523" s="9" t="n">
        <f aca="false">(A1523^2+4*C1523)/5</f>
        <v>462689</v>
      </c>
      <c r="E1523" s="9" t="n">
        <f aca="false">MOD(D1523,10)</f>
        <v>9</v>
      </c>
      <c r="F1523" s="9" t="n">
        <f aca="false">2*D1523</f>
        <v>925378</v>
      </c>
      <c r="G1523" s="9" t="n">
        <f aca="false">MOD(F1523,10)</f>
        <v>8</v>
      </c>
      <c r="H1523" s="9" t="n">
        <f aca="false">G1523/2</f>
        <v>4</v>
      </c>
      <c r="I1523" s="9" t="str">
        <f aca="false">IF(H1523=0,"—",IF(H1523=1,"unison (1:1)",IF(H1523=2,"octave (2:1)",IF(H1523=3,"fifth (3:2)",IF(H1523=4,"fourth (4:3)","?")))))</f>
        <v>fourth (4:3)</v>
      </c>
      <c r="J1523" s="9" t="str">
        <f aca="false">IF(H1523=0,"—",IF(H1523=1,"ὁμώνυμον",IF(H1523=2,"διὰ πασῶν",IF(H1523=3,"διὰ πέντε",IF(H1523=4,"διὰ τεσσάρων","?")))))</f>
        <v>διὰ τεσσάρων</v>
      </c>
      <c r="K1523" s="10"/>
      <c r="L1523" s="14"/>
      <c r="M1523" s="13"/>
    </row>
    <row r="1524" customFormat="false" ht="15.75" hidden="false" customHeight="true" outlineLevel="0" collapsed="false">
      <c r="A1524" s="8" t="n">
        <f aca="false">A1523+1</f>
        <v>1522</v>
      </c>
      <c r="B1524" s="9" t="n">
        <f aca="false">MOD(4*A1524^2,10)</f>
        <v>6</v>
      </c>
      <c r="C1524" s="9" t="n">
        <f aca="false">(26*B1524-5*B1524^2)/24</f>
        <v>-1</v>
      </c>
      <c r="D1524" s="9" t="n">
        <f aca="false">(A1524^2+4*C1524)/5</f>
        <v>463296</v>
      </c>
      <c r="E1524" s="9" t="n">
        <f aca="false">MOD(D1524,10)</f>
        <v>6</v>
      </c>
      <c r="F1524" s="9" t="n">
        <f aca="false">2*D1524</f>
        <v>926592</v>
      </c>
      <c r="G1524" s="9" t="n">
        <f aca="false">MOD(F1524,10)</f>
        <v>2</v>
      </c>
      <c r="H1524" s="9" t="n">
        <f aca="false">G1524/2</f>
        <v>1</v>
      </c>
      <c r="I1524" s="9" t="str">
        <f aca="false">IF(H1524=0,"—",IF(H1524=1,"unison (1:1)",IF(H1524=2,"octave (2:1)",IF(H1524=3,"fifth (3:2)",IF(H1524=4,"fourth (4:3)","?")))))</f>
        <v>unison (1:1)</v>
      </c>
      <c r="J1524" s="9" t="str">
        <f aca="false">IF(H1524=0,"—",IF(H1524=1,"ὁμώνυμον",IF(H1524=2,"διὰ πασῶν",IF(H1524=3,"διὰ πέντε",IF(H1524=4,"διὰ τεσσάρων","?")))))</f>
        <v>ὁμώνυμον</v>
      </c>
      <c r="K1524" s="10"/>
      <c r="L1524" s="14"/>
      <c r="M1524" s="13"/>
    </row>
    <row r="1525" customFormat="false" ht="15.75" hidden="false" customHeight="true" outlineLevel="0" collapsed="false">
      <c r="A1525" s="8" t="n">
        <f aca="false">A1524+1</f>
        <v>1523</v>
      </c>
      <c r="B1525" s="9" t="n">
        <f aca="false">MOD(4*A1525^2,10)</f>
        <v>6</v>
      </c>
      <c r="C1525" s="9" t="n">
        <f aca="false">(26*B1525-5*B1525^2)/24</f>
        <v>-1</v>
      </c>
      <c r="D1525" s="9" t="n">
        <f aca="false">(A1525^2+4*C1525)/5</f>
        <v>463905</v>
      </c>
      <c r="E1525" s="9" t="n">
        <f aca="false">MOD(D1525,10)</f>
        <v>5</v>
      </c>
      <c r="F1525" s="9" t="n">
        <f aca="false">2*D1525</f>
        <v>927810</v>
      </c>
      <c r="G1525" s="9" t="n">
        <f aca="false">MOD(F1525,10)</f>
        <v>0</v>
      </c>
      <c r="H1525" s="9" t="n">
        <f aca="false">G1525/2</f>
        <v>0</v>
      </c>
      <c r="I1525" s="9" t="str">
        <f aca="false">IF(H1525=0,"—",IF(H1525=1,"unison (1:1)",IF(H1525=2,"octave (2:1)",IF(H1525=3,"fifth (3:2)",IF(H1525=4,"fourth (4:3)","?")))))</f>
        <v>—</v>
      </c>
      <c r="J1525" s="9" t="str">
        <f aca="false">IF(H1525=0,"—",IF(H1525=1,"ὁμώνυμον",IF(H1525=2,"διὰ πασῶν",IF(H1525=3,"διὰ πέντε",IF(H1525=4,"διὰ τεσσάρων","?")))))</f>
        <v>—</v>
      </c>
      <c r="K1525" s="10"/>
      <c r="L1525" s="14"/>
      <c r="M1525" s="13"/>
    </row>
    <row r="1526" customFormat="false" ht="15.75" hidden="false" customHeight="true" outlineLevel="0" collapsed="false">
      <c r="A1526" s="8" t="n">
        <f aca="false">A1525+1</f>
        <v>1524</v>
      </c>
      <c r="B1526" s="9" t="n">
        <f aca="false">MOD(4*A1526^2,10)</f>
        <v>4</v>
      </c>
      <c r="C1526" s="9" t="n">
        <f aca="false">(26*B1526-5*B1526^2)/24</f>
        <v>1</v>
      </c>
      <c r="D1526" s="9" t="n">
        <f aca="false">(A1526^2+4*C1526)/5</f>
        <v>464516</v>
      </c>
      <c r="E1526" s="9" t="n">
        <f aca="false">MOD(D1526,10)</f>
        <v>6</v>
      </c>
      <c r="F1526" s="9" t="n">
        <f aca="false">2*D1526</f>
        <v>929032</v>
      </c>
      <c r="G1526" s="9" t="n">
        <f aca="false">MOD(F1526,10)</f>
        <v>2</v>
      </c>
      <c r="H1526" s="9" t="n">
        <f aca="false">G1526/2</f>
        <v>1</v>
      </c>
      <c r="I1526" s="9" t="str">
        <f aca="false">IF(H1526=0,"—",IF(H1526=1,"unison (1:1)",IF(H1526=2,"octave (2:1)",IF(H1526=3,"fifth (3:2)",IF(H1526=4,"fourth (4:3)","?")))))</f>
        <v>unison (1:1)</v>
      </c>
      <c r="J1526" s="9" t="str">
        <f aca="false">IF(H1526=0,"—",IF(H1526=1,"ὁμώνυμον",IF(H1526=2,"διὰ πασῶν",IF(H1526=3,"διὰ πέντε",IF(H1526=4,"διὰ τεσσάρων","?")))))</f>
        <v>ὁμώνυμον</v>
      </c>
      <c r="K1526" s="10"/>
      <c r="L1526" s="14"/>
      <c r="M1526" s="13"/>
    </row>
    <row r="1527" customFormat="false" ht="15.75" hidden="false" customHeight="true" outlineLevel="0" collapsed="false">
      <c r="A1527" s="8" t="n">
        <f aca="false">A1526+1</f>
        <v>1525</v>
      </c>
      <c r="B1527" s="9" t="n">
        <f aca="false">MOD(4*A1527^2,10)</f>
        <v>0</v>
      </c>
      <c r="C1527" s="9" t="n">
        <f aca="false">(26*B1527-5*B1527^2)/24</f>
        <v>0</v>
      </c>
      <c r="D1527" s="9" t="n">
        <f aca="false">(A1527^2+4*C1527)/5</f>
        <v>465125</v>
      </c>
      <c r="E1527" s="9" t="n">
        <f aca="false">MOD(D1527,10)</f>
        <v>5</v>
      </c>
      <c r="F1527" s="9" t="n">
        <f aca="false">2*D1527</f>
        <v>930250</v>
      </c>
      <c r="G1527" s="9" t="n">
        <f aca="false">MOD(F1527,10)</f>
        <v>0</v>
      </c>
      <c r="H1527" s="9" t="n">
        <f aca="false">G1527/2</f>
        <v>0</v>
      </c>
      <c r="I1527" s="9" t="str">
        <f aca="false">IF(H1527=0,"—",IF(H1527=1,"unison (1:1)",IF(H1527=2,"octave (2:1)",IF(H1527=3,"fifth (3:2)",IF(H1527=4,"fourth (4:3)","?")))))</f>
        <v>—</v>
      </c>
      <c r="J1527" s="9" t="str">
        <f aca="false">IF(H1527=0,"—",IF(H1527=1,"ὁμώνυμον",IF(H1527=2,"διὰ πασῶν",IF(H1527=3,"διὰ πέντε",IF(H1527=4,"διὰ τεσσάρων","?")))))</f>
        <v>—</v>
      </c>
      <c r="K1527" s="10"/>
      <c r="L1527" s="14"/>
      <c r="M1527" s="13"/>
    </row>
    <row r="1528" customFormat="false" ht="15.75" hidden="false" customHeight="true" outlineLevel="0" collapsed="false">
      <c r="A1528" s="8" t="n">
        <f aca="false">A1527+1</f>
        <v>1526</v>
      </c>
      <c r="B1528" s="9" t="n">
        <f aca="false">MOD(4*A1528^2,10)</f>
        <v>4</v>
      </c>
      <c r="C1528" s="9" t="n">
        <f aca="false">(26*B1528-5*B1528^2)/24</f>
        <v>1</v>
      </c>
      <c r="D1528" s="9" t="n">
        <f aca="false">(A1528^2+4*C1528)/5</f>
        <v>465736</v>
      </c>
      <c r="E1528" s="9" t="n">
        <f aca="false">MOD(D1528,10)</f>
        <v>6</v>
      </c>
      <c r="F1528" s="9" t="n">
        <f aca="false">2*D1528</f>
        <v>931472</v>
      </c>
      <c r="G1528" s="9" t="n">
        <f aca="false">MOD(F1528,10)</f>
        <v>2</v>
      </c>
      <c r="H1528" s="9" t="n">
        <f aca="false">G1528/2</f>
        <v>1</v>
      </c>
      <c r="I1528" s="9" t="str">
        <f aca="false">IF(H1528=0,"—",IF(H1528=1,"unison (1:1)",IF(H1528=2,"octave (2:1)",IF(H1528=3,"fifth (3:2)",IF(H1528=4,"fourth (4:3)","?")))))</f>
        <v>unison (1:1)</v>
      </c>
      <c r="J1528" s="9" t="str">
        <f aca="false">IF(H1528=0,"—",IF(H1528=1,"ὁμώνυμον",IF(H1528=2,"διὰ πασῶν",IF(H1528=3,"διὰ πέντε",IF(H1528=4,"διὰ τεσσάρων","?")))))</f>
        <v>ὁμώνυμον</v>
      </c>
      <c r="K1528" s="10"/>
      <c r="L1528" s="14"/>
      <c r="M1528" s="13"/>
    </row>
    <row r="1529" customFormat="false" ht="15.75" hidden="false" customHeight="true" outlineLevel="0" collapsed="false">
      <c r="A1529" s="8" t="n">
        <f aca="false">A1528+1</f>
        <v>1527</v>
      </c>
      <c r="B1529" s="9" t="n">
        <f aca="false">MOD(4*A1529^2,10)</f>
        <v>6</v>
      </c>
      <c r="C1529" s="9" t="n">
        <f aca="false">(26*B1529-5*B1529^2)/24</f>
        <v>-1</v>
      </c>
      <c r="D1529" s="9" t="n">
        <f aca="false">(A1529^2+4*C1529)/5</f>
        <v>466345</v>
      </c>
      <c r="E1529" s="9" t="n">
        <f aca="false">MOD(D1529,10)</f>
        <v>5</v>
      </c>
      <c r="F1529" s="9" t="n">
        <f aca="false">2*D1529</f>
        <v>932690</v>
      </c>
      <c r="G1529" s="9" t="n">
        <f aca="false">MOD(F1529,10)</f>
        <v>0</v>
      </c>
      <c r="H1529" s="9" t="n">
        <f aca="false">G1529/2</f>
        <v>0</v>
      </c>
      <c r="I1529" s="9" t="str">
        <f aca="false">IF(H1529=0,"—",IF(H1529=1,"unison (1:1)",IF(H1529=2,"octave (2:1)",IF(H1529=3,"fifth (3:2)",IF(H1529=4,"fourth (4:3)","?")))))</f>
        <v>—</v>
      </c>
      <c r="J1529" s="9" t="str">
        <f aca="false">IF(H1529=0,"—",IF(H1529=1,"ὁμώνυμον",IF(H1529=2,"διὰ πασῶν",IF(H1529=3,"διὰ πέντε",IF(H1529=4,"διὰ τεσσάρων","?")))))</f>
        <v>—</v>
      </c>
      <c r="K1529" s="10"/>
      <c r="L1529" s="14"/>
      <c r="M1529" s="13"/>
    </row>
    <row r="1530" customFormat="false" ht="15.75" hidden="false" customHeight="true" outlineLevel="0" collapsed="false">
      <c r="A1530" s="8" t="n">
        <f aca="false">A1529+1</f>
        <v>1528</v>
      </c>
      <c r="B1530" s="9" t="n">
        <f aca="false">MOD(4*A1530^2,10)</f>
        <v>6</v>
      </c>
      <c r="C1530" s="9" t="n">
        <f aca="false">(26*B1530-5*B1530^2)/24</f>
        <v>-1</v>
      </c>
      <c r="D1530" s="9" t="n">
        <f aca="false">(A1530^2+4*C1530)/5</f>
        <v>466956</v>
      </c>
      <c r="E1530" s="9" t="n">
        <f aca="false">MOD(D1530,10)</f>
        <v>6</v>
      </c>
      <c r="F1530" s="9" t="n">
        <f aca="false">2*D1530</f>
        <v>933912</v>
      </c>
      <c r="G1530" s="9" t="n">
        <f aca="false">MOD(F1530,10)</f>
        <v>2</v>
      </c>
      <c r="H1530" s="9" t="n">
        <f aca="false">G1530/2</f>
        <v>1</v>
      </c>
      <c r="I1530" s="9" t="str">
        <f aca="false">IF(H1530=0,"—",IF(H1530=1,"unison (1:1)",IF(H1530=2,"octave (2:1)",IF(H1530=3,"fifth (3:2)",IF(H1530=4,"fourth (4:3)","?")))))</f>
        <v>unison (1:1)</v>
      </c>
      <c r="J1530" s="9" t="str">
        <f aca="false">IF(H1530=0,"—",IF(H1530=1,"ὁμώνυμον",IF(H1530=2,"διὰ πασῶν",IF(H1530=3,"διὰ πέντε",IF(H1530=4,"διὰ τεσσάρων","?")))))</f>
        <v>ὁμώνυμον</v>
      </c>
      <c r="K1530" s="10"/>
      <c r="L1530" s="14"/>
      <c r="M1530" s="13"/>
    </row>
    <row r="1531" customFormat="false" ht="15.75" hidden="false" customHeight="true" outlineLevel="0" collapsed="false">
      <c r="A1531" s="8" t="n">
        <f aca="false">A1530+1</f>
        <v>1529</v>
      </c>
      <c r="B1531" s="9" t="n">
        <f aca="false">MOD(4*A1531^2,10)</f>
        <v>4</v>
      </c>
      <c r="C1531" s="9" t="n">
        <f aca="false">(26*B1531-5*B1531^2)/24</f>
        <v>1</v>
      </c>
      <c r="D1531" s="9" t="n">
        <f aca="false">(A1531^2+4*C1531)/5</f>
        <v>467569</v>
      </c>
      <c r="E1531" s="9" t="n">
        <f aca="false">MOD(D1531,10)</f>
        <v>9</v>
      </c>
      <c r="F1531" s="9" t="n">
        <f aca="false">2*D1531</f>
        <v>935138</v>
      </c>
      <c r="G1531" s="9" t="n">
        <f aca="false">MOD(F1531,10)</f>
        <v>8</v>
      </c>
      <c r="H1531" s="9" t="n">
        <f aca="false">G1531/2</f>
        <v>4</v>
      </c>
      <c r="I1531" s="9" t="str">
        <f aca="false">IF(H1531=0,"—",IF(H1531=1,"unison (1:1)",IF(H1531=2,"octave (2:1)",IF(H1531=3,"fifth (3:2)",IF(H1531=4,"fourth (4:3)","?")))))</f>
        <v>fourth (4:3)</v>
      </c>
      <c r="J1531" s="9" t="str">
        <f aca="false">IF(H1531=0,"—",IF(H1531=1,"ὁμώνυμον",IF(H1531=2,"διὰ πασῶν",IF(H1531=3,"διὰ πέντε",IF(H1531=4,"διὰ τεσσάρων","?")))))</f>
        <v>διὰ τεσσάρων</v>
      </c>
      <c r="K1531" s="10"/>
      <c r="L1531" s="14"/>
      <c r="M1531" s="13"/>
    </row>
    <row r="1532" customFormat="false" ht="15.75" hidden="false" customHeight="true" outlineLevel="0" collapsed="false">
      <c r="A1532" s="8" t="n">
        <f aca="false">A1531+1</f>
        <v>1530</v>
      </c>
      <c r="B1532" s="9" t="n">
        <f aca="false">MOD(4*A1532^2,10)</f>
        <v>0</v>
      </c>
      <c r="C1532" s="9" t="n">
        <f aca="false">(26*B1532-5*B1532^2)/24</f>
        <v>0</v>
      </c>
      <c r="D1532" s="9" t="n">
        <f aca="false">(A1532^2+4*C1532)/5</f>
        <v>468180</v>
      </c>
      <c r="E1532" s="9" t="n">
        <f aca="false">MOD(D1532,10)</f>
        <v>0</v>
      </c>
      <c r="F1532" s="9" t="n">
        <f aca="false">2*D1532</f>
        <v>936360</v>
      </c>
      <c r="G1532" s="9" t="n">
        <f aca="false">MOD(F1532,10)</f>
        <v>0</v>
      </c>
      <c r="H1532" s="9" t="n">
        <f aca="false">G1532/2</f>
        <v>0</v>
      </c>
      <c r="I1532" s="9" t="str">
        <f aca="false">IF(H1532=0,"—",IF(H1532=1,"unison (1:1)",IF(H1532=2,"octave (2:1)",IF(H1532=3,"fifth (3:2)",IF(H1532=4,"fourth (4:3)","?")))))</f>
        <v>—</v>
      </c>
      <c r="J1532" s="9" t="str">
        <f aca="false">IF(H1532=0,"—",IF(H1532=1,"ὁμώνυμον",IF(H1532=2,"διὰ πασῶν",IF(H1532=3,"διὰ πέντε",IF(H1532=4,"διὰ τεσσάρων","?")))))</f>
        <v>—</v>
      </c>
      <c r="K1532" s="10"/>
      <c r="L1532" s="14"/>
      <c r="M1532" s="13"/>
    </row>
    <row r="1533" customFormat="false" ht="15.75" hidden="false" customHeight="true" outlineLevel="0" collapsed="false">
      <c r="A1533" s="8" t="n">
        <f aca="false">A1532+1</f>
        <v>1531</v>
      </c>
      <c r="B1533" s="9" t="n">
        <f aca="false">MOD(4*A1533^2,10)</f>
        <v>4</v>
      </c>
      <c r="C1533" s="9" t="n">
        <f aca="false">(26*B1533-5*B1533^2)/24</f>
        <v>1</v>
      </c>
      <c r="D1533" s="9" t="n">
        <f aca="false">(A1533^2+4*C1533)/5</f>
        <v>468793</v>
      </c>
      <c r="E1533" s="9" t="n">
        <f aca="false">MOD(D1533,10)</f>
        <v>3</v>
      </c>
      <c r="F1533" s="9" t="n">
        <f aca="false">2*D1533</f>
        <v>937586</v>
      </c>
      <c r="G1533" s="9" t="n">
        <f aca="false">MOD(F1533,10)</f>
        <v>6</v>
      </c>
      <c r="H1533" s="9" t="n">
        <f aca="false">G1533/2</f>
        <v>3</v>
      </c>
      <c r="I1533" s="9" t="str">
        <f aca="false">IF(H1533=0,"—",IF(H1533=1,"unison (1:1)",IF(H1533=2,"octave (2:1)",IF(H1533=3,"fifth (3:2)",IF(H1533=4,"fourth (4:3)","?")))))</f>
        <v>fifth (3:2)</v>
      </c>
      <c r="J1533" s="9" t="str">
        <f aca="false">IF(H1533=0,"—",IF(H1533=1,"ὁμώνυμον",IF(H1533=2,"διὰ πασῶν",IF(H1533=3,"διὰ πέντε",IF(H1533=4,"διὰ τεσσάρων","?")))))</f>
        <v>διὰ πέντε</v>
      </c>
      <c r="K1533" s="10"/>
      <c r="L1533" s="14"/>
      <c r="M1533" s="13"/>
    </row>
    <row r="1534" customFormat="false" ht="15.75" hidden="false" customHeight="true" outlineLevel="0" collapsed="false">
      <c r="A1534" s="8" t="n">
        <f aca="false">A1533+1</f>
        <v>1532</v>
      </c>
      <c r="B1534" s="9" t="n">
        <f aca="false">MOD(4*A1534^2,10)</f>
        <v>6</v>
      </c>
      <c r="C1534" s="9" t="n">
        <f aca="false">(26*B1534-5*B1534^2)/24</f>
        <v>-1</v>
      </c>
      <c r="D1534" s="9" t="n">
        <f aca="false">(A1534^2+4*C1534)/5</f>
        <v>469404</v>
      </c>
      <c r="E1534" s="9" t="n">
        <f aca="false">MOD(D1534,10)</f>
        <v>4</v>
      </c>
      <c r="F1534" s="9" t="n">
        <f aca="false">2*D1534</f>
        <v>938808</v>
      </c>
      <c r="G1534" s="9" t="n">
        <f aca="false">MOD(F1534,10)</f>
        <v>8</v>
      </c>
      <c r="H1534" s="9" t="n">
        <f aca="false">G1534/2</f>
        <v>4</v>
      </c>
      <c r="I1534" s="9" t="str">
        <f aca="false">IF(H1534=0,"—",IF(H1534=1,"unison (1:1)",IF(H1534=2,"octave (2:1)",IF(H1534=3,"fifth (3:2)",IF(H1534=4,"fourth (4:3)","?")))))</f>
        <v>fourth (4:3)</v>
      </c>
      <c r="J1534" s="9" t="str">
        <f aca="false">IF(H1534=0,"—",IF(H1534=1,"ὁμώνυμον",IF(H1534=2,"διὰ πασῶν",IF(H1534=3,"διὰ πέντε",IF(H1534=4,"διὰ τεσσάρων","?")))))</f>
        <v>διὰ τεσσάρων</v>
      </c>
      <c r="K1534" s="10"/>
      <c r="L1534" s="14"/>
      <c r="M1534" s="13"/>
    </row>
    <row r="1535" customFormat="false" ht="15.75" hidden="false" customHeight="true" outlineLevel="0" collapsed="false">
      <c r="A1535" s="8" t="n">
        <f aca="false">A1534+1</f>
        <v>1533</v>
      </c>
      <c r="B1535" s="9" t="n">
        <f aca="false">MOD(4*A1535^2,10)</f>
        <v>6</v>
      </c>
      <c r="C1535" s="9" t="n">
        <f aca="false">(26*B1535-5*B1535^2)/24</f>
        <v>-1</v>
      </c>
      <c r="D1535" s="9" t="n">
        <f aca="false">(A1535^2+4*C1535)/5</f>
        <v>470017</v>
      </c>
      <c r="E1535" s="9" t="n">
        <f aca="false">MOD(D1535,10)</f>
        <v>7</v>
      </c>
      <c r="F1535" s="9" t="n">
        <f aca="false">2*D1535</f>
        <v>940034</v>
      </c>
      <c r="G1535" s="9" t="n">
        <f aca="false">MOD(F1535,10)</f>
        <v>4</v>
      </c>
      <c r="H1535" s="9" t="n">
        <f aca="false">G1535/2</f>
        <v>2</v>
      </c>
      <c r="I1535" s="9" t="str">
        <f aca="false">IF(H1535=0,"—",IF(H1535=1,"unison (1:1)",IF(H1535=2,"octave (2:1)",IF(H1535=3,"fifth (3:2)",IF(H1535=4,"fourth (4:3)","?")))))</f>
        <v>octave (2:1)</v>
      </c>
      <c r="J1535" s="9" t="str">
        <f aca="false">IF(H1535=0,"—",IF(H1535=1,"ὁμώνυμον",IF(H1535=2,"διὰ πασῶν",IF(H1535=3,"διὰ πέντε",IF(H1535=4,"διὰ τεσσάρων","?")))))</f>
        <v>διὰ πασῶν</v>
      </c>
      <c r="K1535" s="10"/>
      <c r="L1535" s="14"/>
      <c r="M1535" s="13"/>
    </row>
    <row r="1536" customFormat="false" ht="15.75" hidden="false" customHeight="true" outlineLevel="0" collapsed="false">
      <c r="A1536" s="8" t="n">
        <f aca="false">A1535+1</f>
        <v>1534</v>
      </c>
      <c r="B1536" s="9" t="n">
        <f aca="false">MOD(4*A1536^2,10)</f>
        <v>4</v>
      </c>
      <c r="C1536" s="9" t="n">
        <f aca="false">(26*B1536-5*B1536^2)/24</f>
        <v>1</v>
      </c>
      <c r="D1536" s="9" t="n">
        <f aca="false">(A1536^2+4*C1536)/5</f>
        <v>470632</v>
      </c>
      <c r="E1536" s="9" t="n">
        <f aca="false">MOD(D1536,10)</f>
        <v>2</v>
      </c>
      <c r="F1536" s="9" t="n">
        <f aca="false">2*D1536</f>
        <v>941264</v>
      </c>
      <c r="G1536" s="9" t="n">
        <f aca="false">MOD(F1536,10)</f>
        <v>4</v>
      </c>
      <c r="H1536" s="9" t="n">
        <f aca="false">G1536/2</f>
        <v>2</v>
      </c>
      <c r="I1536" s="9" t="str">
        <f aca="false">IF(H1536=0,"—",IF(H1536=1,"unison (1:1)",IF(H1536=2,"octave (2:1)",IF(H1536=3,"fifth (3:2)",IF(H1536=4,"fourth (4:3)","?")))))</f>
        <v>octave (2:1)</v>
      </c>
      <c r="J1536" s="9" t="str">
        <f aca="false">IF(H1536=0,"—",IF(H1536=1,"ὁμώνυμον",IF(H1536=2,"διὰ πασῶν",IF(H1536=3,"διὰ πέντε",IF(H1536=4,"διὰ τεσσάρων","?")))))</f>
        <v>διὰ πασῶν</v>
      </c>
      <c r="K1536" s="10"/>
      <c r="L1536" s="14"/>
      <c r="M1536" s="13"/>
    </row>
    <row r="1537" customFormat="false" ht="15.75" hidden="false" customHeight="true" outlineLevel="0" collapsed="false">
      <c r="A1537" s="8" t="n">
        <f aca="false">A1536+1</f>
        <v>1535</v>
      </c>
      <c r="B1537" s="9" t="n">
        <f aca="false">MOD(4*A1537^2,10)</f>
        <v>0</v>
      </c>
      <c r="C1537" s="9" t="n">
        <f aca="false">(26*B1537-5*B1537^2)/24</f>
        <v>0</v>
      </c>
      <c r="D1537" s="9" t="n">
        <f aca="false">(A1537^2+4*C1537)/5</f>
        <v>471245</v>
      </c>
      <c r="E1537" s="9" t="n">
        <f aca="false">MOD(D1537,10)</f>
        <v>5</v>
      </c>
      <c r="F1537" s="9" t="n">
        <f aca="false">2*D1537</f>
        <v>942490</v>
      </c>
      <c r="G1537" s="9" t="n">
        <f aca="false">MOD(F1537,10)</f>
        <v>0</v>
      </c>
      <c r="H1537" s="9" t="n">
        <f aca="false">G1537/2</f>
        <v>0</v>
      </c>
      <c r="I1537" s="9" t="str">
        <f aca="false">IF(H1537=0,"—",IF(H1537=1,"unison (1:1)",IF(H1537=2,"octave (2:1)",IF(H1537=3,"fifth (3:2)",IF(H1537=4,"fourth (4:3)","?")))))</f>
        <v>—</v>
      </c>
      <c r="J1537" s="9" t="str">
        <f aca="false">IF(H1537=0,"—",IF(H1537=1,"ὁμώνυμον",IF(H1537=2,"διὰ πασῶν",IF(H1537=3,"διὰ πέντε",IF(H1537=4,"διὰ τεσσάρων","?")))))</f>
        <v>—</v>
      </c>
      <c r="K1537" s="10"/>
      <c r="L1537" s="14"/>
      <c r="M1537" s="13"/>
    </row>
    <row r="1538" customFormat="false" ht="15.75" hidden="false" customHeight="true" outlineLevel="0" collapsed="false">
      <c r="A1538" s="8" t="n">
        <f aca="false">A1537+1</f>
        <v>1536</v>
      </c>
      <c r="B1538" s="9" t="n">
        <f aca="false">MOD(4*A1538^2,10)</f>
        <v>4</v>
      </c>
      <c r="C1538" s="9" t="n">
        <f aca="false">(26*B1538-5*B1538^2)/24</f>
        <v>1</v>
      </c>
      <c r="D1538" s="9" t="n">
        <f aca="false">(A1538^2+4*C1538)/5</f>
        <v>471860</v>
      </c>
      <c r="E1538" s="9" t="n">
        <f aca="false">MOD(D1538,10)</f>
        <v>0</v>
      </c>
      <c r="F1538" s="9" t="n">
        <f aca="false">2*D1538</f>
        <v>943720</v>
      </c>
      <c r="G1538" s="9" t="n">
        <f aca="false">MOD(F1538,10)</f>
        <v>0</v>
      </c>
      <c r="H1538" s="9" t="n">
        <f aca="false">G1538/2</f>
        <v>0</v>
      </c>
      <c r="I1538" s="9" t="str">
        <f aca="false">IF(H1538=0,"—",IF(H1538=1,"unison (1:1)",IF(H1538=2,"octave (2:1)",IF(H1538=3,"fifth (3:2)",IF(H1538=4,"fourth (4:3)","?")))))</f>
        <v>—</v>
      </c>
      <c r="J1538" s="9" t="str">
        <f aca="false">IF(H1538=0,"—",IF(H1538=1,"ὁμώνυμον",IF(H1538=2,"διὰ πασῶν",IF(H1538=3,"διὰ πέντε",IF(H1538=4,"διὰ τεσσάρων","?")))))</f>
        <v>—</v>
      </c>
      <c r="K1538" s="10"/>
      <c r="L1538" s="14"/>
      <c r="M1538" s="13"/>
    </row>
    <row r="1539" customFormat="false" ht="15.75" hidden="false" customHeight="true" outlineLevel="0" collapsed="false">
      <c r="A1539" s="8" t="n">
        <f aca="false">A1538+1</f>
        <v>1537</v>
      </c>
      <c r="B1539" s="9" t="n">
        <f aca="false">MOD(4*A1539^2,10)</f>
        <v>6</v>
      </c>
      <c r="C1539" s="9" t="n">
        <f aca="false">(26*B1539-5*B1539^2)/24</f>
        <v>-1</v>
      </c>
      <c r="D1539" s="9" t="n">
        <f aca="false">(A1539^2+4*C1539)/5</f>
        <v>472473</v>
      </c>
      <c r="E1539" s="9" t="n">
        <f aca="false">MOD(D1539,10)</f>
        <v>3</v>
      </c>
      <c r="F1539" s="9" t="n">
        <f aca="false">2*D1539</f>
        <v>944946</v>
      </c>
      <c r="G1539" s="9" t="n">
        <f aca="false">MOD(F1539,10)</f>
        <v>6</v>
      </c>
      <c r="H1539" s="9" t="n">
        <f aca="false">G1539/2</f>
        <v>3</v>
      </c>
      <c r="I1539" s="9" t="str">
        <f aca="false">IF(H1539=0,"—",IF(H1539=1,"unison (1:1)",IF(H1539=2,"octave (2:1)",IF(H1539=3,"fifth (3:2)",IF(H1539=4,"fourth (4:3)","?")))))</f>
        <v>fifth (3:2)</v>
      </c>
      <c r="J1539" s="9" t="str">
        <f aca="false">IF(H1539=0,"—",IF(H1539=1,"ὁμώνυμον",IF(H1539=2,"διὰ πασῶν",IF(H1539=3,"διὰ πέντε",IF(H1539=4,"διὰ τεσσάρων","?")))))</f>
        <v>διὰ πέντε</v>
      </c>
      <c r="K1539" s="10"/>
      <c r="L1539" s="14"/>
      <c r="M1539" s="13"/>
    </row>
    <row r="1540" customFormat="false" ht="15.75" hidden="false" customHeight="true" outlineLevel="0" collapsed="false">
      <c r="A1540" s="8" t="n">
        <f aca="false">A1539+1</f>
        <v>1538</v>
      </c>
      <c r="B1540" s="9" t="n">
        <f aca="false">MOD(4*A1540^2,10)</f>
        <v>6</v>
      </c>
      <c r="C1540" s="9" t="n">
        <f aca="false">(26*B1540-5*B1540^2)/24</f>
        <v>-1</v>
      </c>
      <c r="D1540" s="9" t="n">
        <f aca="false">(A1540^2+4*C1540)/5</f>
        <v>473088</v>
      </c>
      <c r="E1540" s="9" t="n">
        <f aca="false">MOD(D1540,10)</f>
        <v>8</v>
      </c>
      <c r="F1540" s="9" t="n">
        <f aca="false">2*D1540</f>
        <v>946176</v>
      </c>
      <c r="G1540" s="9" t="n">
        <f aca="false">MOD(F1540,10)</f>
        <v>6</v>
      </c>
      <c r="H1540" s="9" t="n">
        <f aca="false">G1540/2</f>
        <v>3</v>
      </c>
      <c r="I1540" s="9" t="str">
        <f aca="false">IF(H1540=0,"—",IF(H1540=1,"unison (1:1)",IF(H1540=2,"octave (2:1)",IF(H1540=3,"fifth (3:2)",IF(H1540=4,"fourth (4:3)","?")))))</f>
        <v>fifth (3:2)</v>
      </c>
      <c r="J1540" s="9" t="str">
        <f aca="false">IF(H1540=0,"—",IF(H1540=1,"ὁμώνυμον",IF(H1540=2,"διὰ πασῶν",IF(H1540=3,"διὰ πέντε",IF(H1540=4,"διὰ τεσσάρων","?")))))</f>
        <v>διὰ πέντε</v>
      </c>
      <c r="K1540" s="10"/>
      <c r="L1540" s="14"/>
      <c r="M1540" s="13"/>
    </row>
    <row r="1541" customFormat="false" ht="15.75" hidden="false" customHeight="true" outlineLevel="0" collapsed="false">
      <c r="A1541" s="8" t="n">
        <f aca="false">A1540+1</f>
        <v>1539</v>
      </c>
      <c r="B1541" s="9" t="n">
        <f aca="false">MOD(4*A1541^2,10)</f>
        <v>4</v>
      </c>
      <c r="C1541" s="9" t="n">
        <f aca="false">(26*B1541-5*B1541^2)/24</f>
        <v>1</v>
      </c>
      <c r="D1541" s="9" t="n">
        <f aca="false">(A1541^2+4*C1541)/5</f>
        <v>473705</v>
      </c>
      <c r="E1541" s="9" t="n">
        <f aca="false">MOD(D1541,10)</f>
        <v>5</v>
      </c>
      <c r="F1541" s="9" t="n">
        <f aca="false">2*D1541</f>
        <v>947410</v>
      </c>
      <c r="G1541" s="9" t="n">
        <f aca="false">MOD(F1541,10)</f>
        <v>0</v>
      </c>
      <c r="H1541" s="9" t="n">
        <f aca="false">G1541/2</f>
        <v>0</v>
      </c>
      <c r="I1541" s="9" t="str">
        <f aca="false">IF(H1541=0,"—",IF(H1541=1,"unison (1:1)",IF(H1541=2,"octave (2:1)",IF(H1541=3,"fifth (3:2)",IF(H1541=4,"fourth (4:3)","?")))))</f>
        <v>—</v>
      </c>
      <c r="J1541" s="9" t="str">
        <f aca="false">IF(H1541=0,"—",IF(H1541=1,"ὁμώνυμον",IF(H1541=2,"διὰ πασῶν",IF(H1541=3,"διὰ πέντε",IF(H1541=4,"διὰ τεσσάρων","?")))))</f>
        <v>—</v>
      </c>
      <c r="K1541" s="10"/>
      <c r="L1541" s="14"/>
      <c r="M1541" s="13"/>
    </row>
    <row r="1542" customFormat="false" ht="15.75" hidden="false" customHeight="true" outlineLevel="0" collapsed="false">
      <c r="A1542" s="8" t="n">
        <f aca="false">A1541+1</f>
        <v>1540</v>
      </c>
      <c r="B1542" s="9" t="n">
        <f aca="false">MOD(4*A1542^2,10)</f>
        <v>0</v>
      </c>
      <c r="C1542" s="9" t="n">
        <f aca="false">(26*B1542-5*B1542^2)/24</f>
        <v>0</v>
      </c>
      <c r="D1542" s="9" t="n">
        <f aca="false">(A1542^2+4*C1542)/5</f>
        <v>474320</v>
      </c>
      <c r="E1542" s="9" t="n">
        <f aca="false">MOD(D1542,10)</f>
        <v>0</v>
      </c>
      <c r="F1542" s="9" t="n">
        <f aca="false">2*D1542</f>
        <v>948640</v>
      </c>
      <c r="G1542" s="9" t="n">
        <f aca="false">MOD(F1542,10)</f>
        <v>0</v>
      </c>
      <c r="H1542" s="9" t="n">
        <f aca="false">G1542/2</f>
        <v>0</v>
      </c>
      <c r="I1542" s="9" t="str">
        <f aca="false">IF(H1542=0,"—",IF(H1542=1,"unison (1:1)",IF(H1542=2,"octave (2:1)",IF(H1542=3,"fifth (3:2)",IF(H1542=4,"fourth (4:3)","?")))))</f>
        <v>—</v>
      </c>
      <c r="J1542" s="9" t="str">
        <f aca="false">IF(H1542=0,"—",IF(H1542=1,"ὁμώνυμον",IF(H1542=2,"διὰ πασῶν",IF(H1542=3,"διὰ πέντε",IF(H1542=4,"διὰ τεσσάρων","?")))))</f>
        <v>—</v>
      </c>
      <c r="K1542" s="10"/>
      <c r="L1542" s="14"/>
      <c r="M1542" s="13"/>
    </row>
    <row r="1543" customFormat="false" ht="15.75" hidden="false" customHeight="true" outlineLevel="0" collapsed="false">
      <c r="A1543" s="8" t="n">
        <f aca="false">A1542+1</f>
        <v>1541</v>
      </c>
      <c r="B1543" s="9" t="n">
        <f aca="false">MOD(4*A1543^2,10)</f>
        <v>4</v>
      </c>
      <c r="C1543" s="9" t="n">
        <f aca="false">(26*B1543-5*B1543^2)/24</f>
        <v>1</v>
      </c>
      <c r="D1543" s="9" t="n">
        <f aca="false">(A1543^2+4*C1543)/5</f>
        <v>474937</v>
      </c>
      <c r="E1543" s="9" t="n">
        <f aca="false">MOD(D1543,10)</f>
        <v>7</v>
      </c>
      <c r="F1543" s="9" t="n">
        <f aca="false">2*D1543</f>
        <v>949874</v>
      </c>
      <c r="G1543" s="9" t="n">
        <f aca="false">MOD(F1543,10)</f>
        <v>4</v>
      </c>
      <c r="H1543" s="9" t="n">
        <f aca="false">G1543/2</f>
        <v>2</v>
      </c>
      <c r="I1543" s="9" t="str">
        <f aca="false">IF(H1543=0,"—",IF(H1543=1,"unison (1:1)",IF(H1543=2,"octave (2:1)",IF(H1543=3,"fifth (3:2)",IF(H1543=4,"fourth (4:3)","?")))))</f>
        <v>octave (2:1)</v>
      </c>
      <c r="J1543" s="9" t="str">
        <f aca="false">IF(H1543=0,"—",IF(H1543=1,"ὁμώνυμον",IF(H1543=2,"διὰ πασῶν",IF(H1543=3,"διὰ πέντε",IF(H1543=4,"διὰ τεσσάρων","?")))))</f>
        <v>διὰ πασῶν</v>
      </c>
      <c r="K1543" s="10"/>
      <c r="L1543" s="14"/>
      <c r="M1543" s="13"/>
    </row>
    <row r="1544" customFormat="false" ht="15.75" hidden="false" customHeight="true" outlineLevel="0" collapsed="false">
      <c r="A1544" s="8" t="n">
        <f aca="false">A1543+1</f>
        <v>1542</v>
      </c>
      <c r="B1544" s="9" t="n">
        <f aca="false">MOD(4*A1544^2,10)</f>
        <v>6</v>
      </c>
      <c r="C1544" s="9" t="n">
        <f aca="false">(26*B1544-5*B1544^2)/24</f>
        <v>-1</v>
      </c>
      <c r="D1544" s="9" t="n">
        <f aca="false">(A1544^2+4*C1544)/5</f>
        <v>475552</v>
      </c>
      <c r="E1544" s="9" t="n">
        <f aca="false">MOD(D1544,10)</f>
        <v>2</v>
      </c>
      <c r="F1544" s="9" t="n">
        <f aca="false">2*D1544</f>
        <v>951104</v>
      </c>
      <c r="G1544" s="9" t="n">
        <f aca="false">MOD(F1544,10)</f>
        <v>4</v>
      </c>
      <c r="H1544" s="9" t="n">
        <f aca="false">G1544/2</f>
        <v>2</v>
      </c>
      <c r="I1544" s="9" t="str">
        <f aca="false">IF(H1544=0,"—",IF(H1544=1,"unison (1:1)",IF(H1544=2,"octave (2:1)",IF(H1544=3,"fifth (3:2)",IF(H1544=4,"fourth (4:3)","?")))))</f>
        <v>octave (2:1)</v>
      </c>
      <c r="J1544" s="9" t="str">
        <f aca="false">IF(H1544=0,"—",IF(H1544=1,"ὁμώνυμον",IF(H1544=2,"διὰ πασῶν",IF(H1544=3,"διὰ πέντε",IF(H1544=4,"διὰ τεσσάρων","?")))))</f>
        <v>διὰ πασῶν</v>
      </c>
      <c r="K1544" s="10"/>
      <c r="L1544" s="14"/>
      <c r="M1544" s="13"/>
    </row>
    <row r="1545" customFormat="false" ht="15.75" hidden="false" customHeight="true" outlineLevel="0" collapsed="false">
      <c r="A1545" s="8" t="n">
        <f aca="false">A1544+1</f>
        <v>1543</v>
      </c>
      <c r="B1545" s="9" t="n">
        <f aca="false">MOD(4*A1545^2,10)</f>
        <v>6</v>
      </c>
      <c r="C1545" s="9" t="n">
        <f aca="false">(26*B1545-5*B1545^2)/24</f>
        <v>-1</v>
      </c>
      <c r="D1545" s="9" t="n">
        <f aca="false">(A1545^2+4*C1545)/5</f>
        <v>476169</v>
      </c>
      <c r="E1545" s="9" t="n">
        <f aca="false">MOD(D1545,10)</f>
        <v>9</v>
      </c>
      <c r="F1545" s="9" t="n">
        <f aca="false">2*D1545</f>
        <v>952338</v>
      </c>
      <c r="G1545" s="9" t="n">
        <f aca="false">MOD(F1545,10)</f>
        <v>8</v>
      </c>
      <c r="H1545" s="9" t="n">
        <f aca="false">G1545/2</f>
        <v>4</v>
      </c>
      <c r="I1545" s="9" t="str">
        <f aca="false">IF(H1545=0,"—",IF(H1545=1,"unison (1:1)",IF(H1545=2,"octave (2:1)",IF(H1545=3,"fifth (3:2)",IF(H1545=4,"fourth (4:3)","?")))))</f>
        <v>fourth (4:3)</v>
      </c>
      <c r="J1545" s="9" t="str">
        <f aca="false">IF(H1545=0,"—",IF(H1545=1,"ὁμώνυμον",IF(H1545=2,"διὰ πασῶν",IF(H1545=3,"διὰ πέντε",IF(H1545=4,"διὰ τεσσάρων","?")))))</f>
        <v>διὰ τεσσάρων</v>
      </c>
      <c r="K1545" s="10"/>
      <c r="L1545" s="14"/>
      <c r="M1545" s="13"/>
    </row>
    <row r="1546" customFormat="false" ht="15.75" hidden="false" customHeight="true" outlineLevel="0" collapsed="false">
      <c r="A1546" s="8" t="n">
        <f aca="false">A1545+1</f>
        <v>1544</v>
      </c>
      <c r="B1546" s="9" t="n">
        <f aca="false">MOD(4*A1546^2,10)</f>
        <v>4</v>
      </c>
      <c r="C1546" s="9" t="n">
        <f aca="false">(26*B1546-5*B1546^2)/24</f>
        <v>1</v>
      </c>
      <c r="D1546" s="9" t="n">
        <f aca="false">(A1546^2+4*C1546)/5</f>
        <v>476788</v>
      </c>
      <c r="E1546" s="9" t="n">
        <f aca="false">MOD(D1546,10)</f>
        <v>8</v>
      </c>
      <c r="F1546" s="9" t="n">
        <f aca="false">2*D1546</f>
        <v>953576</v>
      </c>
      <c r="G1546" s="9" t="n">
        <f aca="false">MOD(F1546,10)</f>
        <v>6</v>
      </c>
      <c r="H1546" s="9" t="n">
        <f aca="false">G1546/2</f>
        <v>3</v>
      </c>
      <c r="I1546" s="9" t="str">
        <f aca="false">IF(H1546=0,"—",IF(H1546=1,"unison (1:1)",IF(H1546=2,"octave (2:1)",IF(H1546=3,"fifth (3:2)",IF(H1546=4,"fourth (4:3)","?")))))</f>
        <v>fifth (3:2)</v>
      </c>
      <c r="J1546" s="9" t="str">
        <f aca="false">IF(H1546=0,"—",IF(H1546=1,"ὁμώνυμον",IF(H1546=2,"διὰ πασῶν",IF(H1546=3,"διὰ πέντε",IF(H1546=4,"διὰ τεσσάρων","?")))))</f>
        <v>διὰ πέντε</v>
      </c>
      <c r="K1546" s="10"/>
      <c r="L1546" s="14"/>
      <c r="M1546" s="13"/>
    </row>
    <row r="1547" customFormat="false" ht="15.75" hidden="false" customHeight="true" outlineLevel="0" collapsed="false">
      <c r="A1547" s="8" t="n">
        <f aca="false">A1546+1</f>
        <v>1545</v>
      </c>
      <c r="B1547" s="9" t="n">
        <f aca="false">MOD(4*A1547^2,10)</f>
        <v>0</v>
      </c>
      <c r="C1547" s="9" t="n">
        <f aca="false">(26*B1547-5*B1547^2)/24</f>
        <v>0</v>
      </c>
      <c r="D1547" s="9" t="n">
        <f aca="false">(A1547^2+4*C1547)/5</f>
        <v>477405</v>
      </c>
      <c r="E1547" s="9" t="n">
        <f aca="false">MOD(D1547,10)</f>
        <v>5</v>
      </c>
      <c r="F1547" s="9" t="n">
        <f aca="false">2*D1547</f>
        <v>954810</v>
      </c>
      <c r="G1547" s="9" t="n">
        <f aca="false">MOD(F1547,10)</f>
        <v>0</v>
      </c>
      <c r="H1547" s="9" t="n">
        <f aca="false">G1547/2</f>
        <v>0</v>
      </c>
      <c r="I1547" s="9" t="str">
        <f aca="false">IF(H1547=0,"—",IF(H1547=1,"unison (1:1)",IF(H1547=2,"octave (2:1)",IF(H1547=3,"fifth (3:2)",IF(H1547=4,"fourth (4:3)","?")))))</f>
        <v>—</v>
      </c>
      <c r="J1547" s="9" t="str">
        <f aca="false">IF(H1547=0,"—",IF(H1547=1,"ὁμώνυμον",IF(H1547=2,"διὰ πασῶν",IF(H1547=3,"διὰ πέντε",IF(H1547=4,"διὰ τεσσάρων","?")))))</f>
        <v>—</v>
      </c>
      <c r="K1547" s="10"/>
      <c r="L1547" s="14"/>
      <c r="M1547" s="13"/>
    </row>
    <row r="1548" customFormat="false" ht="15.75" hidden="false" customHeight="true" outlineLevel="0" collapsed="false">
      <c r="A1548" s="8" t="n">
        <f aca="false">A1547+1</f>
        <v>1546</v>
      </c>
      <c r="B1548" s="9" t="n">
        <f aca="false">MOD(4*A1548^2,10)</f>
        <v>4</v>
      </c>
      <c r="C1548" s="9" t="n">
        <f aca="false">(26*B1548-5*B1548^2)/24</f>
        <v>1</v>
      </c>
      <c r="D1548" s="9" t="n">
        <f aca="false">(A1548^2+4*C1548)/5</f>
        <v>478024</v>
      </c>
      <c r="E1548" s="9" t="n">
        <f aca="false">MOD(D1548,10)</f>
        <v>4</v>
      </c>
      <c r="F1548" s="9" t="n">
        <f aca="false">2*D1548</f>
        <v>956048</v>
      </c>
      <c r="G1548" s="9" t="n">
        <f aca="false">MOD(F1548,10)</f>
        <v>8</v>
      </c>
      <c r="H1548" s="9" t="n">
        <f aca="false">G1548/2</f>
        <v>4</v>
      </c>
      <c r="I1548" s="9" t="str">
        <f aca="false">IF(H1548=0,"—",IF(H1548=1,"unison (1:1)",IF(H1548=2,"octave (2:1)",IF(H1548=3,"fifth (3:2)",IF(H1548=4,"fourth (4:3)","?")))))</f>
        <v>fourth (4:3)</v>
      </c>
      <c r="J1548" s="9" t="str">
        <f aca="false">IF(H1548=0,"—",IF(H1548=1,"ὁμώνυμον",IF(H1548=2,"διὰ πασῶν",IF(H1548=3,"διὰ πέντε",IF(H1548=4,"διὰ τεσσάρων","?")))))</f>
        <v>διὰ τεσσάρων</v>
      </c>
      <c r="K1548" s="10"/>
      <c r="L1548" s="14"/>
      <c r="M1548" s="13"/>
    </row>
    <row r="1549" customFormat="false" ht="15.75" hidden="false" customHeight="true" outlineLevel="0" collapsed="false">
      <c r="A1549" s="8" t="n">
        <f aca="false">A1548+1</f>
        <v>1547</v>
      </c>
      <c r="B1549" s="9" t="n">
        <f aca="false">MOD(4*A1549^2,10)</f>
        <v>6</v>
      </c>
      <c r="C1549" s="9" t="n">
        <f aca="false">(26*B1549-5*B1549^2)/24</f>
        <v>-1</v>
      </c>
      <c r="D1549" s="9" t="n">
        <f aca="false">(A1549^2+4*C1549)/5</f>
        <v>478641</v>
      </c>
      <c r="E1549" s="9" t="n">
        <f aca="false">MOD(D1549,10)</f>
        <v>1</v>
      </c>
      <c r="F1549" s="9" t="n">
        <f aca="false">2*D1549</f>
        <v>957282</v>
      </c>
      <c r="G1549" s="9" t="n">
        <f aca="false">MOD(F1549,10)</f>
        <v>2</v>
      </c>
      <c r="H1549" s="9" t="n">
        <f aca="false">G1549/2</f>
        <v>1</v>
      </c>
      <c r="I1549" s="9" t="str">
        <f aca="false">IF(H1549=0,"—",IF(H1549=1,"unison (1:1)",IF(H1549=2,"octave (2:1)",IF(H1549=3,"fifth (3:2)",IF(H1549=4,"fourth (4:3)","?")))))</f>
        <v>unison (1:1)</v>
      </c>
      <c r="J1549" s="9" t="str">
        <f aca="false">IF(H1549=0,"—",IF(H1549=1,"ὁμώνυμον",IF(H1549=2,"διὰ πασῶν",IF(H1549=3,"διὰ πέντε",IF(H1549=4,"διὰ τεσσάρων","?")))))</f>
        <v>ὁμώνυμον</v>
      </c>
      <c r="K1549" s="10"/>
      <c r="L1549" s="14"/>
      <c r="M1549" s="13"/>
    </row>
    <row r="1550" customFormat="false" ht="15.75" hidden="false" customHeight="true" outlineLevel="0" collapsed="false">
      <c r="A1550" s="8" t="n">
        <f aca="false">A1549+1</f>
        <v>1548</v>
      </c>
      <c r="B1550" s="9" t="n">
        <f aca="false">MOD(4*A1550^2,10)</f>
        <v>6</v>
      </c>
      <c r="C1550" s="9" t="n">
        <f aca="false">(26*B1550-5*B1550^2)/24</f>
        <v>-1</v>
      </c>
      <c r="D1550" s="9" t="n">
        <f aca="false">(A1550^2+4*C1550)/5</f>
        <v>479260</v>
      </c>
      <c r="E1550" s="9" t="n">
        <f aca="false">MOD(D1550,10)</f>
        <v>0</v>
      </c>
      <c r="F1550" s="9" t="n">
        <f aca="false">2*D1550</f>
        <v>958520</v>
      </c>
      <c r="G1550" s="9" t="n">
        <f aca="false">MOD(F1550,10)</f>
        <v>0</v>
      </c>
      <c r="H1550" s="9" t="n">
        <f aca="false">G1550/2</f>
        <v>0</v>
      </c>
      <c r="I1550" s="9" t="str">
        <f aca="false">IF(H1550=0,"—",IF(H1550=1,"unison (1:1)",IF(H1550=2,"octave (2:1)",IF(H1550=3,"fifth (3:2)",IF(H1550=4,"fourth (4:3)","?")))))</f>
        <v>—</v>
      </c>
      <c r="J1550" s="9" t="str">
        <f aca="false">IF(H1550=0,"—",IF(H1550=1,"ὁμώνυμον",IF(H1550=2,"διὰ πασῶν",IF(H1550=3,"διὰ πέντε",IF(H1550=4,"διὰ τεσσάρων","?")))))</f>
        <v>—</v>
      </c>
      <c r="K1550" s="10"/>
      <c r="L1550" s="14"/>
      <c r="M1550" s="13"/>
    </row>
    <row r="1551" customFormat="false" ht="15.75" hidden="false" customHeight="true" outlineLevel="0" collapsed="false">
      <c r="A1551" s="8" t="n">
        <f aca="false">A1550+1</f>
        <v>1549</v>
      </c>
      <c r="B1551" s="9" t="n">
        <f aca="false">MOD(4*A1551^2,10)</f>
        <v>4</v>
      </c>
      <c r="C1551" s="9" t="n">
        <f aca="false">(26*B1551-5*B1551^2)/24</f>
        <v>1</v>
      </c>
      <c r="D1551" s="9" t="n">
        <f aca="false">(A1551^2+4*C1551)/5</f>
        <v>479881</v>
      </c>
      <c r="E1551" s="9" t="n">
        <f aca="false">MOD(D1551,10)</f>
        <v>1</v>
      </c>
      <c r="F1551" s="9" t="n">
        <f aca="false">2*D1551</f>
        <v>959762</v>
      </c>
      <c r="G1551" s="9" t="n">
        <f aca="false">MOD(F1551,10)</f>
        <v>2</v>
      </c>
      <c r="H1551" s="9" t="n">
        <f aca="false">G1551/2</f>
        <v>1</v>
      </c>
      <c r="I1551" s="9" t="str">
        <f aca="false">IF(H1551=0,"—",IF(H1551=1,"unison (1:1)",IF(H1551=2,"octave (2:1)",IF(H1551=3,"fifth (3:2)",IF(H1551=4,"fourth (4:3)","?")))))</f>
        <v>unison (1:1)</v>
      </c>
      <c r="J1551" s="9" t="str">
        <f aca="false">IF(H1551=0,"—",IF(H1551=1,"ὁμώνυμον",IF(H1551=2,"διὰ πασῶν",IF(H1551=3,"διὰ πέντε",IF(H1551=4,"διὰ τεσσάρων","?")))))</f>
        <v>ὁμώνυμον</v>
      </c>
      <c r="K1551" s="10"/>
      <c r="L1551" s="14"/>
      <c r="M1551" s="13"/>
    </row>
    <row r="1552" customFormat="false" ht="15.75" hidden="false" customHeight="true" outlineLevel="0" collapsed="false">
      <c r="A1552" s="8" t="n">
        <f aca="false">A1551+1</f>
        <v>1550</v>
      </c>
      <c r="B1552" s="9" t="n">
        <f aca="false">MOD(4*A1552^2,10)</f>
        <v>0</v>
      </c>
      <c r="C1552" s="9" t="n">
        <f aca="false">(26*B1552-5*B1552^2)/24</f>
        <v>0</v>
      </c>
      <c r="D1552" s="9" t="n">
        <f aca="false">(A1552^2+4*C1552)/5</f>
        <v>480500</v>
      </c>
      <c r="E1552" s="9" t="n">
        <f aca="false">MOD(D1552,10)</f>
        <v>0</v>
      </c>
      <c r="F1552" s="9" t="n">
        <f aca="false">2*D1552</f>
        <v>961000</v>
      </c>
      <c r="G1552" s="9" t="n">
        <f aca="false">MOD(F1552,10)</f>
        <v>0</v>
      </c>
      <c r="H1552" s="9" t="n">
        <f aca="false">G1552/2</f>
        <v>0</v>
      </c>
      <c r="I1552" s="9" t="str">
        <f aca="false">IF(H1552=0,"—",IF(H1552=1,"unison (1:1)",IF(H1552=2,"octave (2:1)",IF(H1552=3,"fifth (3:2)",IF(H1552=4,"fourth (4:3)","?")))))</f>
        <v>—</v>
      </c>
      <c r="J1552" s="9" t="str">
        <f aca="false">IF(H1552=0,"—",IF(H1552=1,"ὁμώνυμον",IF(H1552=2,"διὰ πασῶν",IF(H1552=3,"διὰ πέντε",IF(H1552=4,"διὰ τεσσάρων","?")))))</f>
        <v>—</v>
      </c>
      <c r="K1552" s="10"/>
      <c r="L1552" s="14"/>
      <c r="M1552" s="13"/>
    </row>
    <row r="1553" customFormat="false" ht="15.75" hidden="false" customHeight="true" outlineLevel="0" collapsed="false">
      <c r="A1553" s="8" t="n">
        <f aca="false">A1552+1</f>
        <v>1551</v>
      </c>
      <c r="B1553" s="9" t="n">
        <f aca="false">MOD(4*A1553^2,10)</f>
        <v>4</v>
      </c>
      <c r="C1553" s="9" t="n">
        <f aca="false">(26*B1553-5*B1553^2)/24</f>
        <v>1</v>
      </c>
      <c r="D1553" s="9" t="n">
        <f aca="false">(A1553^2+4*C1553)/5</f>
        <v>481121</v>
      </c>
      <c r="E1553" s="9" t="n">
        <f aca="false">MOD(D1553,10)</f>
        <v>1</v>
      </c>
      <c r="F1553" s="9" t="n">
        <f aca="false">2*D1553</f>
        <v>962242</v>
      </c>
      <c r="G1553" s="9" t="n">
        <f aca="false">MOD(F1553,10)</f>
        <v>2</v>
      </c>
      <c r="H1553" s="9" t="n">
        <f aca="false">G1553/2</f>
        <v>1</v>
      </c>
      <c r="I1553" s="9" t="str">
        <f aca="false">IF(H1553=0,"—",IF(H1553=1,"unison (1:1)",IF(H1553=2,"octave (2:1)",IF(H1553=3,"fifth (3:2)",IF(H1553=4,"fourth (4:3)","?")))))</f>
        <v>unison (1:1)</v>
      </c>
      <c r="J1553" s="9" t="str">
        <f aca="false">IF(H1553=0,"—",IF(H1553=1,"ὁμώνυμον",IF(H1553=2,"διὰ πασῶν",IF(H1553=3,"διὰ πέντε",IF(H1553=4,"διὰ τεσσάρων","?")))))</f>
        <v>ὁμώνυμον</v>
      </c>
      <c r="K1553" s="10"/>
      <c r="L1553" s="14"/>
      <c r="M1553" s="13"/>
    </row>
    <row r="1554" customFormat="false" ht="15.75" hidden="false" customHeight="true" outlineLevel="0" collapsed="false">
      <c r="A1554" s="8" t="n">
        <f aca="false">A1553+1</f>
        <v>1552</v>
      </c>
      <c r="B1554" s="9" t="n">
        <f aca="false">MOD(4*A1554^2,10)</f>
        <v>6</v>
      </c>
      <c r="C1554" s="9" t="n">
        <f aca="false">(26*B1554-5*B1554^2)/24</f>
        <v>-1</v>
      </c>
      <c r="D1554" s="9" t="n">
        <f aca="false">(A1554^2+4*C1554)/5</f>
        <v>481740</v>
      </c>
      <c r="E1554" s="9" t="n">
        <f aca="false">MOD(D1554,10)</f>
        <v>0</v>
      </c>
      <c r="F1554" s="9" t="n">
        <f aca="false">2*D1554</f>
        <v>963480</v>
      </c>
      <c r="G1554" s="9" t="n">
        <f aca="false">MOD(F1554,10)</f>
        <v>0</v>
      </c>
      <c r="H1554" s="9" t="n">
        <f aca="false">G1554/2</f>
        <v>0</v>
      </c>
      <c r="I1554" s="9" t="str">
        <f aca="false">IF(H1554=0,"—",IF(H1554=1,"unison (1:1)",IF(H1554=2,"octave (2:1)",IF(H1554=3,"fifth (3:2)",IF(H1554=4,"fourth (4:3)","?")))))</f>
        <v>—</v>
      </c>
      <c r="J1554" s="9" t="str">
        <f aca="false">IF(H1554=0,"—",IF(H1554=1,"ὁμώνυμον",IF(H1554=2,"διὰ πασῶν",IF(H1554=3,"διὰ πέντε",IF(H1554=4,"διὰ τεσσάρων","?")))))</f>
        <v>—</v>
      </c>
      <c r="K1554" s="10"/>
      <c r="L1554" s="14"/>
      <c r="M1554" s="13"/>
    </row>
    <row r="1555" customFormat="false" ht="15.75" hidden="false" customHeight="true" outlineLevel="0" collapsed="false">
      <c r="A1555" s="8" t="n">
        <f aca="false">A1554+1</f>
        <v>1553</v>
      </c>
      <c r="B1555" s="9" t="n">
        <f aca="false">MOD(4*A1555^2,10)</f>
        <v>6</v>
      </c>
      <c r="C1555" s="9" t="n">
        <f aca="false">(26*B1555-5*B1555^2)/24</f>
        <v>-1</v>
      </c>
      <c r="D1555" s="9" t="n">
        <f aca="false">(A1555^2+4*C1555)/5</f>
        <v>482361</v>
      </c>
      <c r="E1555" s="9" t="n">
        <f aca="false">MOD(D1555,10)</f>
        <v>1</v>
      </c>
      <c r="F1555" s="9" t="n">
        <f aca="false">2*D1555</f>
        <v>964722</v>
      </c>
      <c r="G1555" s="9" t="n">
        <f aca="false">MOD(F1555,10)</f>
        <v>2</v>
      </c>
      <c r="H1555" s="9" t="n">
        <f aca="false">G1555/2</f>
        <v>1</v>
      </c>
      <c r="I1555" s="9" t="str">
        <f aca="false">IF(H1555=0,"—",IF(H1555=1,"unison (1:1)",IF(H1555=2,"octave (2:1)",IF(H1555=3,"fifth (3:2)",IF(H1555=4,"fourth (4:3)","?")))))</f>
        <v>unison (1:1)</v>
      </c>
      <c r="J1555" s="9" t="str">
        <f aca="false">IF(H1555=0,"—",IF(H1555=1,"ὁμώνυμον",IF(H1555=2,"διὰ πασῶν",IF(H1555=3,"διὰ πέντε",IF(H1555=4,"διὰ τεσσάρων","?")))))</f>
        <v>ὁμώνυμον</v>
      </c>
      <c r="K1555" s="10"/>
      <c r="L1555" s="14"/>
      <c r="M1555" s="13"/>
    </row>
    <row r="1556" customFormat="false" ht="15.75" hidden="false" customHeight="true" outlineLevel="0" collapsed="false">
      <c r="A1556" s="8" t="n">
        <f aca="false">A1555+1</f>
        <v>1554</v>
      </c>
      <c r="B1556" s="9" t="n">
        <f aca="false">MOD(4*A1556^2,10)</f>
        <v>4</v>
      </c>
      <c r="C1556" s="9" t="n">
        <f aca="false">(26*B1556-5*B1556^2)/24</f>
        <v>1</v>
      </c>
      <c r="D1556" s="9" t="n">
        <f aca="false">(A1556^2+4*C1556)/5</f>
        <v>482984</v>
      </c>
      <c r="E1556" s="9" t="n">
        <f aca="false">MOD(D1556,10)</f>
        <v>4</v>
      </c>
      <c r="F1556" s="9" t="n">
        <f aca="false">2*D1556</f>
        <v>965968</v>
      </c>
      <c r="G1556" s="9" t="n">
        <f aca="false">MOD(F1556,10)</f>
        <v>8</v>
      </c>
      <c r="H1556" s="9" t="n">
        <f aca="false">G1556/2</f>
        <v>4</v>
      </c>
      <c r="I1556" s="9" t="str">
        <f aca="false">IF(H1556=0,"—",IF(H1556=1,"unison (1:1)",IF(H1556=2,"octave (2:1)",IF(H1556=3,"fifth (3:2)",IF(H1556=4,"fourth (4:3)","?")))))</f>
        <v>fourth (4:3)</v>
      </c>
      <c r="J1556" s="9" t="str">
        <f aca="false">IF(H1556=0,"—",IF(H1556=1,"ὁμώνυμον",IF(H1556=2,"διὰ πασῶν",IF(H1556=3,"διὰ πέντε",IF(H1556=4,"διὰ τεσσάρων","?")))))</f>
        <v>διὰ τεσσάρων</v>
      </c>
      <c r="K1556" s="10"/>
      <c r="L1556" s="14"/>
      <c r="M1556" s="13"/>
    </row>
    <row r="1557" customFormat="false" ht="15.75" hidden="false" customHeight="true" outlineLevel="0" collapsed="false">
      <c r="A1557" s="8" t="n">
        <f aca="false">A1556+1</f>
        <v>1555</v>
      </c>
      <c r="B1557" s="9" t="n">
        <f aca="false">MOD(4*A1557^2,10)</f>
        <v>0</v>
      </c>
      <c r="C1557" s="9" t="n">
        <f aca="false">(26*B1557-5*B1557^2)/24</f>
        <v>0</v>
      </c>
      <c r="D1557" s="9" t="n">
        <f aca="false">(A1557^2+4*C1557)/5</f>
        <v>483605</v>
      </c>
      <c r="E1557" s="9" t="n">
        <f aca="false">MOD(D1557,10)</f>
        <v>5</v>
      </c>
      <c r="F1557" s="9" t="n">
        <f aca="false">2*D1557</f>
        <v>967210</v>
      </c>
      <c r="G1557" s="9" t="n">
        <f aca="false">MOD(F1557,10)</f>
        <v>0</v>
      </c>
      <c r="H1557" s="9" t="n">
        <f aca="false">G1557/2</f>
        <v>0</v>
      </c>
      <c r="I1557" s="9" t="str">
        <f aca="false">IF(H1557=0,"—",IF(H1557=1,"unison (1:1)",IF(H1557=2,"octave (2:1)",IF(H1557=3,"fifth (3:2)",IF(H1557=4,"fourth (4:3)","?")))))</f>
        <v>—</v>
      </c>
      <c r="J1557" s="9" t="str">
        <f aca="false">IF(H1557=0,"—",IF(H1557=1,"ὁμώνυμον",IF(H1557=2,"διὰ πασῶν",IF(H1557=3,"διὰ πέντε",IF(H1557=4,"διὰ τεσσάρων","?")))))</f>
        <v>—</v>
      </c>
      <c r="K1557" s="10"/>
      <c r="L1557" s="14"/>
      <c r="M1557" s="13"/>
    </row>
    <row r="1558" customFormat="false" ht="15.75" hidden="false" customHeight="true" outlineLevel="0" collapsed="false">
      <c r="A1558" s="8" t="n">
        <f aca="false">A1557+1</f>
        <v>1556</v>
      </c>
      <c r="B1558" s="9" t="n">
        <f aca="false">MOD(4*A1558^2,10)</f>
        <v>4</v>
      </c>
      <c r="C1558" s="9" t="n">
        <f aca="false">(26*B1558-5*B1558^2)/24</f>
        <v>1</v>
      </c>
      <c r="D1558" s="9" t="n">
        <f aca="false">(A1558^2+4*C1558)/5</f>
        <v>484228</v>
      </c>
      <c r="E1558" s="9" t="n">
        <f aca="false">MOD(D1558,10)</f>
        <v>8</v>
      </c>
      <c r="F1558" s="9" t="n">
        <f aca="false">2*D1558</f>
        <v>968456</v>
      </c>
      <c r="G1558" s="9" t="n">
        <f aca="false">MOD(F1558,10)</f>
        <v>6</v>
      </c>
      <c r="H1558" s="9" t="n">
        <f aca="false">G1558/2</f>
        <v>3</v>
      </c>
      <c r="I1558" s="9" t="str">
        <f aca="false">IF(H1558=0,"—",IF(H1558=1,"unison (1:1)",IF(H1558=2,"octave (2:1)",IF(H1558=3,"fifth (3:2)",IF(H1558=4,"fourth (4:3)","?")))))</f>
        <v>fifth (3:2)</v>
      </c>
      <c r="J1558" s="9" t="str">
        <f aca="false">IF(H1558=0,"—",IF(H1558=1,"ὁμώνυμον",IF(H1558=2,"διὰ πασῶν",IF(H1558=3,"διὰ πέντε",IF(H1558=4,"διὰ τεσσάρων","?")))))</f>
        <v>διὰ πέντε</v>
      </c>
      <c r="K1558" s="10"/>
      <c r="L1558" s="14"/>
      <c r="M1558" s="13"/>
    </row>
    <row r="1559" customFormat="false" ht="15.75" hidden="false" customHeight="true" outlineLevel="0" collapsed="false">
      <c r="A1559" s="8" t="n">
        <f aca="false">A1558+1</f>
        <v>1557</v>
      </c>
      <c r="B1559" s="9" t="n">
        <f aca="false">MOD(4*A1559^2,10)</f>
        <v>6</v>
      </c>
      <c r="C1559" s="9" t="n">
        <f aca="false">(26*B1559-5*B1559^2)/24</f>
        <v>-1</v>
      </c>
      <c r="D1559" s="9" t="n">
        <f aca="false">(A1559^2+4*C1559)/5</f>
        <v>484849</v>
      </c>
      <c r="E1559" s="9" t="n">
        <f aca="false">MOD(D1559,10)</f>
        <v>9</v>
      </c>
      <c r="F1559" s="9" t="n">
        <f aca="false">2*D1559</f>
        <v>969698</v>
      </c>
      <c r="G1559" s="9" t="n">
        <f aca="false">MOD(F1559,10)</f>
        <v>8</v>
      </c>
      <c r="H1559" s="9" t="n">
        <f aca="false">G1559/2</f>
        <v>4</v>
      </c>
      <c r="I1559" s="9" t="str">
        <f aca="false">IF(H1559=0,"—",IF(H1559=1,"unison (1:1)",IF(H1559=2,"octave (2:1)",IF(H1559=3,"fifth (3:2)",IF(H1559=4,"fourth (4:3)","?")))))</f>
        <v>fourth (4:3)</v>
      </c>
      <c r="J1559" s="9" t="str">
        <f aca="false">IF(H1559=0,"—",IF(H1559=1,"ὁμώνυμον",IF(H1559=2,"διὰ πασῶν",IF(H1559=3,"διὰ πέντε",IF(H1559=4,"διὰ τεσσάρων","?")))))</f>
        <v>διὰ τεσσάρων</v>
      </c>
      <c r="K1559" s="10"/>
      <c r="L1559" s="14"/>
      <c r="M1559" s="13"/>
    </row>
    <row r="1560" customFormat="false" ht="15.75" hidden="false" customHeight="true" outlineLevel="0" collapsed="false">
      <c r="A1560" s="8" t="n">
        <f aca="false">A1559+1</f>
        <v>1558</v>
      </c>
      <c r="B1560" s="9" t="n">
        <f aca="false">MOD(4*A1560^2,10)</f>
        <v>6</v>
      </c>
      <c r="C1560" s="9" t="n">
        <f aca="false">(26*B1560-5*B1560^2)/24</f>
        <v>-1</v>
      </c>
      <c r="D1560" s="9" t="n">
        <f aca="false">(A1560^2+4*C1560)/5</f>
        <v>485472</v>
      </c>
      <c r="E1560" s="9" t="n">
        <f aca="false">MOD(D1560,10)</f>
        <v>2</v>
      </c>
      <c r="F1560" s="9" t="n">
        <f aca="false">2*D1560</f>
        <v>970944</v>
      </c>
      <c r="G1560" s="9" t="n">
        <f aca="false">MOD(F1560,10)</f>
        <v>4</v>
      </c>
      <c r="H1560" s="9" t="n">
        <f aca="false">G1560/2</f>
        <v>2</v>
      </c>
      <c r="I1560" s="9" t="str">
        <f aca="false">IF(H1560=0,"—",IF(H1560=1,"unison (1:1)",IF(H1560=2,"octave (2:1)",IF(H1560=3,"fifth (3:2)",IF(H1560=4,"fourth (4:3)","?")))))</f>
        <v>octave (2:1)</v>
      </c>
      <c r="J1560" s="9" t="str">
        <f aca="false">IF(H1560=0,"—",IF(H1560=1,"ὁμώνυμον",IF(H1560=2,"διὰ πασῶν",IF(H1560=3,"διὰ πέντε",IF(H1560=4,"διὰ τεσσάρων","?")))))</f>
        <v>διὰ πασῶν</v>
      </c>
      <c r="K1560" s="10"/>
      <c r="L1560" s="14"/>
      <c r="M1560" s="13"/>
    </row>
    <row r="1561" customFormat="false" ht="15.75" hidden="false" customHeight="true" outlineLevel="0" collapsed="false">
      <c r="A1561" s="8" t="n">
        <f aca="false">A1560+1</f>
        <v>1559</v>
      </c>
      <c r="B1561" s="9" t="n">
        <f aca="false">MOD(4*A1561^2,10)</f>
        <v>4</v>
      </c>
      <c r="C1561" s="9" t="n">
        <f aca="false">(26*B1561-5*B1561^2)/24</f>
        <v>1</v>
      </c>
      <c r="D1561" s="9" t="n">
        <f aca="false">(A1561^2+4*C1561)/5</f>
        <v>486097</v>
      </c>
      <c r="E1561" s="9" t="n">
        <f aca="false">MOD(D1561,10)</f>
        <v>7</v>
      </c>
      <c r="F1561" s="9" t="n">
        <f aca="false">2*D1561</f>
        <v>972194</v>
      </c>
      <c r="G1561" s="9" t="n">
        <f aca="false">MOD(F1561,10)</f>
        <v>4</v>
      </c>
      <c r="H1561" s="9" t="n">
        <f aca="false">G1561/2</f>
        <v>2</v>
      </c>
      <c r="I1561" s="9" t="str">
        <f aca="false">IF(H1561=0,"—",IF(H1561=1,"unison (1:1)",IF(H1561=2,"octave (2:1)",IF(H1561=3,"fifth (3:2)",IF(H1561=4,"fourth (4:3)","?")))))</f>
        <v>octave (2:1)</v>
      </c>
      <c r="J1561" s="9" t="str">
        <f aca="false">IF(H1561=0,"—",IF(H1561=1,"ὁμώνυμον",IF(H1561=2,"διὰ πασῶν",IF(H1561=3,"διὰ πέντε",IF(H1561=4,"διὰ τεσσάρων","?")))))</f>
        <v>διὰ πασῶν</v>
      </c>
      <c r="K1561" s="10"/>
      <c r="L1561" s="14"/>
      <c r="M1561" s="13"/>
    </row>
    <row r="1562" customFormat="false" ht="15.75" hidden="false" customHeight="true" outlineLevel="0" collapsed="false">
      <c r="A1562" s="8" t="n">
        <f aca="false">A1561+1</f>
        <v>1560</v>
      </c>
      <c r="B1562" s="9" t="n">
        <f aca="false">MOD(4*A1562^2,10)</f>
        <v>0</v>
      </c>
      <c r="C1562" s="9" t="n">
        <f aca="false">(26*B1562-5*B1562^2)/24</f>
        <v>0</v>
      </c>
      <c r="D1562" s="9" t="n">
        <f aca="false">(A1562^2+4*C1562)/5</f>
        <v>486720</v>
      </c>
      <c r="E1562" s="9" t="n">
        <f aca="false">MOD(D1562,10)</f>
        <v>0</v>
      </c>
      <c r="F1562" s="9" t="n">
        <f aca="false">2*D1562</f>
        <v>973440</v>
      </c>
      <c r="G1562" s="9" t="n">
        <f aca="false">MOD(F1562,10)</f>
        <v>0</v>
      </c>
      <c r="H1562" s="9" t="n">
        <f aca="false">G1562/2</f>
        <v>0</v>
      </c>
      <c r="I1562" s="9" t="str">
        <f aca="false">IF(H1562=0,"—",IF(H1562=1,"unison (1:1)",IF(H1562=2,"octave (2:1)",IF(H1562=3,"fifth (3:2)",IF(H1562=4,"fourth (4:3)","?")))))</f>
        <v>—</v>
      </c>
      <c r="J1562" s="9" t="str">
        <f aca="false">IF(H1562=0,"—",IF(H1562=1,"ὁμώνυμον",IF(H1562=2,"διὰ πασῶν",IF(H1562=3,"διὰ πέντε",IF(H1562=4,"διὰ τεσσάρων","?")))))</f>
        <v>—</v>
      </c>
      <c r="K1562" s="10"/>
      <c r="L1562" s="14"/>
      <c r="M1562" s="13"/>
    </row>
    <row r="1563" customFormat="false" ht="15.75" hidden="false" customHeight="true" outlineLevel="0" collapsed="false">
      <c r="A1563" s="8" t="n">
        <f aca="false">A1562+1</f>
        <v>1561</v>
      </c>
      <c r="B1563" s="9" t="n">
        <f aca="false">MOD(4*A1563^2,10)</f>
        <v>4</v>
      </c>
      <c r="C1563" s="9" t="n">
        <f aca="false">(26*B1563-5*B1563^2)/24</f>
        <v>1</v>
      </c>
      <c r="D1563" s="9" t="n">
        <f aca="false">(A1563^2+4*C1563)/5</f>
        <v>487345</v>
      </c>
      <c r="E1563" s="9" t="n">
        <f aca="false">MOD(D1563,10)</f>
        <v>5</v>
      </c>
      <c r="F1563" s="9" t="n">
        <f aca="false">2*D1563</f>
        <v>974690</v>
      </c>
      <c r="G1563" s="9" t="n">
        <f aca="false">MOD(F1563,10)</f>
        <v>0</v>
      </c>
      <c r="H1563" s="9" t="n">
        <f aca="false">G1563/2</f>
        <v>0</v>
      </c>
      <c r="I1563" s="9" t="str">
        <f aca="false">IF(H1563=0,"—",IF(H1563=1,"unison (1:1)",IF(H1563=2,"octave (2:1)",IF(H1563=3,"fifth (3:2)",IF(H1563=4,"fourth (4:3)","?")))))</f>
        <v>—</v>
      </c>
      <c r="J1563" s="9" t="str">
        <f aca="false">IF(H1563=0,"—",IF(H1563=1,"ὁμώνυμον",IF(H1563=2,"διὰ πασῶν",IF(H1563=3,"διὰ πέντε",IF(H1563=4,"διὰ τεσσάρων","?")))))</f>
        <v>—</v>
      </c>
      <c r="K1563" s="10"/>
      <c r="L1563" s="14"/>
      <c r="M1563" s="13"/>
    </row>
    <row r="1564" customFormat="false" ht="15.75" hidden="false" customHeight="true" outlineLevel="0" collapsed="false">
      <c r="A1564" s="8" t="n">
        <f aca="false">A1563+1</f>
        <v>1562</v>
      </c>
      <c r="B1564" s="9" t="n">
        <f aca="false">MOD(4*A1564^2,10)</f>
        <v>6</v>
      </c>
      <c r="C1564" s="9" t="n">
        <f aca="false">(26*B1564-5*B1564^2)/24</f>
        <v>-1</v>
      </c>
      <c r="D1564" s="9" t="n">
        <f aca="false">(A1564^2+4*C1564)/5</f>
        <v>487968</v>
      </c>
      <c r="E1564" s="9" t="n">
        <f aca="false">MOD(D1564,10)</f>
        <v>8</v>
      </c>
      <c r="F1564" s="9" t="n">
        <f aca="false">2*D1564</f>
        <v>975936</v>
      </c>
      <c r="G1564" s="9" t="n">
        <f aca="false">MOD(F1564,10)</f>
        <v>6</v>
      </c>
      <c r="H1564" s="9" t="n">
        <f aca="false">G1564/2</f>
        <v>3</v>
      </c>
      <c r="I1564" s="9" t="str">
        <f aca="false">IF(H1564=0,"—",IF(H1564=1,"unison (1:1)",IF(H1564=2,"octave (2:1)",IF(H1564=3,"fifth (3:2)",IF(H1564=4,"fourth (4:3)","?")))))</f>
        <v>fifth (3:2)</v>
      </c>
      <c r="J1564" s="9" t="str">
        <f aca="false">IF(H1564=0,"—",IF(H1564=1,"ὁμώνυμον",IF(H1564=2,"διὰ πασῶν",IF(H1564=3,"διὰ πέντε",IF(H1564=4,"διὰ τεσσάρων","?")))))</f>
        <v>διὰ πέντε</v>
      </c>
      <c r="K1564" s="10"/>
      <c r="L1564" s="14"/>
      <c r="M1564" s="13"/>
    </row>
    <row r="1565" customFormat="false" ht="15.75" hidden="false" customHeight="true" outlineLevel="0" collapsed="false">
      <c r="A1565" s="8" t="n">
        <f aca="false">A1564+1</f>
        <v>1563</v>
      </c>
      <c r="B1565" s="9" t="n">
        <f aca="false">MOD(4*A1565^2,10)</f>
        <v>6</v>
      </c>
      <c r="C1565" s="9" t="n">
        <f aca="false">(26*B1565-5*B1565^2)/24</f>
        <v>-1</v>
      </c>
      <c r="D1565" s="9" t="n">
        <f aca="false">(A1565^2+4*C1565)/5</f>
        <v>488593</v>
      </c>
      <c r="E1565" s="9" t="n">
        <f aca="false">MOD(D1565,10)</f>
        <v>3</v>
      </c>
      <c r="F1565" s="9" t="n">
        <f aca="false">2*D1565</f>
        <v>977186</v>
      </c>
      <c r="G1565" s="9" t="n">
        <f aca="false">MOD(F1565,10)</f>
        <v>6</v>
      </c>
      <c r="H1565" s="9" t="n">
        <f aca="false">G1565/2</f>
        <v>3</v>
      </c>
      <c r="I1565" s="9" t="str">
        <f aca="false">IF(H1565=0,"—",IF(H1565=1,"unison (1:1)",IF(H1565=2,"octave (2:1)",IF(H1565=3,"fifth (3:2)",IF(H1565=4,"fourth (4:3)","?")))))</f>
        <v>fifth (3:2)</v>
      </c>
      <c r="J1565" s="9" t="str">
        <f aca="false">IF(H1565=0,"—",IF(H1565=1,"ὁμώνυμον",IF(H1565=2,"διὰ πασῶν",IF(H1565=3,"διὰ πέντε",IF(H1565=4,"διὰ τεσσάρων","?")))))</f>
        <v>διὰ πέντε</v>
      </c>
      <c r="K1565" s="10"/>
      <c r="L1565" s="14"/>
      <c r="M1565" s="13"/>
    </row>
    <row r="1566" customFormat="false" ht="15.75" hidden="false" customHeight="true" outlineLevel="0" collapsed="false">
      <c r="A1566" s="8" t="n">
        <f aca="false">A1565+1</f>
        <v>1564</v>
      </c>
      <c r="B1566" s="9" t="n">
        <f aca="false">MOD(4*A1566^2,10)</f>
        <v>4</v>
      </c>
      <c r="C1566" s="9" t="n">
        <f aca="false">(26*B1566-5*B1566^2)/24</f>
        <v>1</v>
      </c>
      <c r="D1566" s="9" t="n">
        <f aca="false">(A1566^2+4*C1566)/5</f>
        <v>489220</v>
      </c>
      <c r="E1566" s="9" t="n">
        <f aca="false">MOD(D1566,10)</f>
        <v>0</v>
      </c>
      <c r="F1566" s="9" t="n">
        <f aca="false">2*D1566</f>
        <v>978440</v>
      </c>
      <c r="G1566" s="9" t="n">
        <f aca="false">MOD(F1566,10)</f>
        <v>0</v>
      </c>
      <c r="H1566" s="9" t="n">
        <f aca="false">G1566/2</f>
        <v>0</v>
      </c>
      <c r="I1566" s="9" t="str">
        <f aca="false">IF(H1566=0,"—",IF(H1566=1,"unison (1:1)",IF(H1566=2,"octave (2:1)",IF(H1566=3,"fifth (3:2)",IF(H1566=4,"fourth (4:3)","?")))))</f>
        <v>—</v>
      </c>
      <c r="J1566" s="9" t="str">
        <f aca="false">IF(H1566=0,"—",IF(H1566=1,"ὁμώνυμον",IF(H1566=2,"διὰ πασῶν",IF(H1566=3,"διὰ πέντε",IF(H1566=4,"διὰ τεσσάρων","?")))))</f>
        <v>—</v>
      </c>
      <c r="K1566" s="10"/>
      <c r="L1566" s="14"/>
      <c r="M1566" s="13"/>
    </row>
    <row r="1567" customFormat="false" ht="15.75" hidden="false" customHeight="true" outlineLevel="0" collapsed="false">
      <c r="A1567" s="8" t="n">
        <f aca="false">A1566+1</f>
        <v>1565</v>
      </c>
      <c r="B1567" s="9" t="n">
        <f aca="false">MOD(4*A1567^2,10)</f>
        <v>0</v>
      </c>
      <c r="C1567" s="9" t="n">
        <f aca="false">(26*B1567-5*B1567^2)/24</f>
        <v>0</v>
      </c>
      <c r="D1567" s="9" t="n">
        <f aca="false">(A1567^2+4*C1567)/5</f>
        <v>489845</v>
      </c>
      <c r="E1567" s="9" t="n">
        <f aca="false">MOD(D1567,10)</f>
        <v>5</v>
      </c>
      <c r="F1567" s="9" t="n">
        <f aca="false">2*D1567</f>
        <v>979690</v>
      </c>
      <c r="G1567" s="9" t="n">
        <f aca="false">MOD(F1567,10)</f>
        <v>0</v>
      </c>
      <c r="H1567" s="9" t="n">
        <f aca="false">G1567/2</f>
        <v>0</v>
      </c>
      <c r="I1567" s="9" t="str">
        <f aca="false">IF(H1567=0,"—",IF(H1567=1,"unison (1:1)",IF(H1567=2,"octave (2:1)",IF(H1567=3,"fifth (3:2)",IF(H1567=4,"fourth (4:3)","?")))))</f>
        <v>—</v>
      </c>
      <c r="J1567" s="9" t="str">
        <f aca="false">IF(H1567=0,"—",IF(H1567=1,"ὁμώνυμον",IF(H1567=2,"διὰ πασῶν",IF(H1567=3,"διὰ πέντε",IF(H1567=4,"διὰ τεσσάρων","?")))))</f>
        <v>—</v>
      </c>
      <c r="K1567" s="10"/>
      <c r="L1567" s="14"/>
      <c r="M1567" s="13"/>
    </row>
    <row r="1568" customFormat="false" ht="15.75" hidden="false" customHeight="true" outlineLevel="0" collapsed="false">
      <c r="A1568" s="8" t="n">
        <f aca="false">A1567+1</f>
        <v>1566</v>
      </c>
      <c r="B1568" s="9" t="n">
        <f aca="false">MOD(4*A1568^2,10)</f>
        <v>4</v>
      </c>
      <c r="C1568" s="9" t="n">
        <f aca="false">(26*B1568-5*B1568^2)/24</f>
        <v>1</v>
      </c>
      <c r="D1568" s="9" t="n">
        <f aca="false">(A1568^2+4*C1568)/5</f>
        <v>490472</v>
      </c>
      <c r="E1568" s="9" t="n">
        <f aca="false">MOD(D1568,10)</f>
        <v>2</v>
      </c>
      <c r="F1568" s="9" t="n">
        <f aca="false">2*D1568</f>
        <v>980944</v>
      </c>
      <c r="G1568" s="9" t="n">
        <f aca="false">MOD(F1568,10)</f>
        <v>4</v>
      </c>
      <c r="H1568" s="9" t="n">
        <f aca="false">G1568/2</f>
        <v>2</v>
      </c>
      <c r="I1568" s="9" t="str">
        <f aca="false">IF(H1568=0,"—",IF(H1568=1,"unison (1:1)",IF(H1568=2,"octave (2:1)",IF(H1568=3,"fifth (3:2)",IF(H1568=4,"fourth (4:3)","?")))))</f>
        <v>octave (2:1)</v>
      </c>
      <c r="J1568" s="9" t="str">
        <f aca="false">IF(H1568=0,"—",IF(H1568=1,"ὁμώνυμον",IF(H1568=2,"διὰ πασῶν",IF(H1568=3,"διὰ πέντε",IF(H1568=4,"διὰ τεσσάρων","?")))))</f>
        <v>διὰ πασῶν</v>
      </c>
      <c r="K1568" s="10"/>
      <c r="L1568" s="14"/>
      <c r="M1568" s="13"/>
    </row>
    <row r="1569" customFormat="false" ht="15.75" hidden="false" customHeight="true" outlineLevel="0" collapsed="false">
      <c r="A1569" s="8" t="n">
        <f aca="false">A1568+1</f>
        <v>1567</v>
      </c>
      <c r="B1569" s="9" t="n">
        <f aca="false">MOD(4*A1569^2,10)</f>
        <v>6</v>
      </c>
      <c r="C1569" s="9" t="n">
        <f aca="false">(26*B1569-5*B1569^2)/24</f>
        <v>-1</v>
      </c>
      <c r="D1569" s="9" t="n">
        <f aca="false">(A1569^2+4*C1569)/5</f>
        <v>491097</v>
      </c>
      <c r="E1569" s="9" t="n">
        <f aca="false">MOD(D1569,10)</f>
        <v>7</v>
      </c>
      <c r="F1569" s="9" t="n">
        <f aca="false">2*D1569</f>
        <v>982194</v>
      </c>
      <c r="G1569" s="9" t="n">
        <f aca="false">MOD(F1569,10)</f>
        <v>4</v>
      </c>
      <c r="H1569" s="9" t="n">
        <f aca="false">G1569/2</f>
        <v>2</v>
      </c>
      <c r="I1569" s="9" t="str">
        <f aca="false">IF(H1569=0,"—",IF(H1569=1,"unison (1:1)",IF(H1569=2,"octave (2:1)",IF(H1569=3,"fifth (3:2)",IF(H1569=4,"fourth (4:3)","?")))))</f>
        <v>octave (2:1)</v>
      </c>
      <c r="J1569" s="9" t="str">
        <f aca="false">IF(H1569=0,"—",IF(H1569=1,"ὁμώνυμον",IF(H1569=2,"διὰ πασῶν",IF(H1569=3,"διὰ πέντε",IF(H1569=4,"διὰ τεσσάρων","?")))))</f>
        <v>διὰ πασῶν</v>
      </c>
      <c r="K1569" s="10"/>
      <c r="L1569" s="14"/>
      <c r="M1569" s="13"/>
    </row>
    <row r="1570" customFormat="false" ht="15.75" hidden="false" customHeight="true" outlineLevel="0" collapsed="false">
      <c r="A1570" s="8" t="n">
        <f aca="false">A1569+1</f>
        <v>1568</v>
      </c>
      <c r="B1570" s="9" t="n">
        <f aca="false">MOD(4*A1570^2,10)</f>
        <v>6</v>
      </c>
      <c r="C1570" s="9" t="n">
        <f aca="false">(26*B1570-5*B1570^2)/24</f>
        <v>-1</v>
      </c>
      <c r="D1570" s="9" t="n">
        <f aca="false">(A1570^2+4*C1570)/5</f>
        <v>491724</v>
      </c>
      <c r="E1570" s="9" t="n">
        <f aca="false">MOD(D1570,10)</f>
        <v>4</v>
      </c>
      <c r="F1570" s="9" t="n">
        <f aca="false">2*D1570</f>
        <v>983448</v>
      </c>
      <c r="G1570" s="9" t="n">
        <f aca="false">MOD(F1570,10)</f>
        <v>8</v>
      </c>
      <c r="H1570" s="9" t="n">
        <f aca="false">G1570/2</f>
        <v>4</v>
      </c>
      <c r="I1570" s="9" t="str">
        <f aca="false">IF(H1570=0,"—",IF(H1570=1,"unison (1:1)",IF(H1570=2,"octave (2:1)",IF(H1570=3,"fifth (3:2)",IF(H1570=4,"fourth (4:3)","?")))))</f>
        <v>fourth (4:3)</v>
      </c>
      <c r="J1570" s="9" t="str">
        <f aca="false">IF(H1570=0,"—",IF(H1570=1,"ὁμώνυμον",IF(H1570=2,"διὰ πασῶν",IF(H1570=3,"διὰ πέντε",IF(H1570=4,"διὰ τεσσάρων","?")))))</f>
        <v>διὰ τεσσάρων</v>
      </c>
      <c r="K1570" s="10"/>
      <c r="L1570" s="14"/>
      <c r="M1570" s="13"/>
    </row>
    <row r="1571" customFormat="false" ht="15.75" hidden="false" customHeight="true" outlineLevel="0" collapsed="false">
      <c r="A1571" s="8" t="n">
        <f aca="false">A1570+1</f>
        <v>1569</v>
      </c>
      <c r="B1571" s="9" t="n">
        <f aca="false">MOD(4*A1571^2,10)</f>
        <v>4</v>
      </c>
      <c r="C1571" s="9" t="n">
        <f aca="false">(26*B1571-5*B1571^2)/24</f>
        <v>1</v>
      </c>
      <c r="D1571" s="9" t="n">
        <f aca="false">(A1571^2+4*C1571)/5</f>
        <v>492353</v>
      </c>
      <c r="E1571" s="9" t="n">
        <f aca="false">MOD(D1571,10)</f>
        <v>3</v>
      </c>
      <c r="F1571" s="9" t="n">
        <f aca="false">2*D1571</f>
        <v>984706</v>
      </c>
      <c r="G1571" s="9" t="n">
        <f aca="false">MOD(F1571,10)</f>
        <v>6</v>
      </c>
      <c r="H1571" s="9" t="n">
        <f aca="false">G1571/2</f>
        <v>3</v>
      </c>
      <c r="I1571" s="9" t="str">
        <f aca="false">IF(H1571=0,"—",IF(H1571=1,"unison (1:1)",IF(H1571=2,"octave (2:1)",IF(H1571=3,"fifth (3:2)",IF(H1571=4,"fourth (4:3)","?")))))</f>
        <v>fifth (3:2)</v>
      </c>
      <c r="J1571" s="9" t="str">
        <f aca="false">IF(H1571=0,"—",IF(H1571=1,"ὁμώνυμον",IF(H1571=2,"διὰ πασῶν",IF(H1571=3,"διὰ πέντε",IF(H1571=4,"διὰ τεσσάρων","?")))))</f>
        <v>διὰ πέντε</v>
      </c>
      <c r="K1571" s="10"/>
      <c r="L1571" s="14"/>
      <c r="M1571" s="13"/>
    </row>
    <row r="1572" customFormat="false" ht="15.75" hidden="false" customHeight="true" outlineLevel="0" collapsed="false">
      <c r="A1572" s="8" t="n">
        <f aca="false">A1571+1</f>
        <v>1570</v>
      </c>
      <c r="B1572" s="9" t="n">
        <f aca="false">MOD(4*A1572^2,10)</f>
        <v>0</v>
      </c>
      <c r="C1572" s="9" t="n">
        <f aca="false">(26*B1572-5*B1572^2)/24</f>
        <v>0</v>
      </c>
      <c r="D1572" s="9" t="n">
        <f aca="false">(A1572^2+4*C1572)/5</f>
        <v>492980</v>
      </c>
      <c r="E1572" s="9" t="n">
        <f aca="false">MOD(D1572,10)</f>
        <v>0</v>
      </c>
      <c r="F1572" s="9" t="n">
        <f aca="false">2*D1572</f>
        <v>985960</v>
      </c>
      <c r="G1572" s="9" t="n">
        <f aca="false">MOD(F1572,10)</f>
        <v>0</v>
      </c>
      <c r="H1572" s="9" t="n">
        <f aca="false">G1572/2</f>
        <v>0</v>
      </c>
      <c r="I1572" s="9" t="str">
        <f aca="false">IF(H1572=0,"—",IF(H1572=1,"unison (1:1)",IF(H1572=2,"octave (2:1)",IF(H1572=3,"fifth (3:2)",IF(H1572=4,"fourth (4:3)","?")))))</f>
        <v>—</v>
      </c>
      <c r="J1572" s="9" t="str">
        <f aca="false">IF(H1572=0,"—",IF(H1572=1,"ὁμώνυμον",IF(H1572=2,"διὰ πασῶν",IF(H1572=3,"διὰ πέντε",IF(H1572=4,"διὰ τεσσάρων","?")))))</f>
        <v>—</v>
      </c>
      <c r="K1572" s="10"/>
      <c r="L1572" s="14"/>
      <c r="M1572" s="13"/>
    </row>
    <row r="1573" customFormat="false" ht="15.75" hidden="false" customHeight="true" outlineLevel="0" collapsed="false">
      <c r="A1573" s="8" t="n">
        <f aca="false">A1572+1</f>
        <v>1571</v>
      </c>
      <c r="B1573" s="9" t="n">
        <f aca="false">MOD(4*A1573^2,10)</f>
        <v>4</v>
      </c>
      <c r="C1573" s="9" t="n">
        <f aca="false">(26*B1573-5*B1573^2)/24</f>
        <v>1</v>
      </c>
      <c r="D1573" s="9" t="n">
        <f aca="false">(A1573^2+4*C1573)/5</f>
        <v>493609</v>
      </c>
      <c r="E1573" s="9" t="n">
        <f aca="false">MOD(D1573,10)</f>
        <v>9</v>
      </c>
      <c r="F1573" s="9" t="n">
        <f aca="false">2*D1573</f>
        <v>987218</v>
      </c>
      <c r="G1573" s="9" t="n">
        <f aca="false">MOD(F1573,10)</f>
        <v>8</v>
      </c>
      <c r="H1573" s="9" t="n">
        <f aca="false">G1573/2</f>
        <v>4</v>
      </c>
      <c r="I1573" s="9" t="str">
        <f aca="false">IF(H1573=0,"—",IF(H1573=1,"unison (1:1)",IF(H1573=2,"octave (2:1)",IF(H1573=3,"fifth (3:2)",IF(H1573=4,"fourth (4:3)","?")))))</f>
        <v>fourth (4:3)</v>
      </c>
      <c r="J1573" s="9" t="str">
        <f aca="false">IF(H1573=0,"—",IF(H1573=1,"ὁμώνυμον",IF(H1573=2,"διὰ πασῶν",IF(H1573=3,"διὰ πέντε",IF(H1573=4,"διὰ τεσσάρων","?")))))</f>
        <v>διὰ τεσσάρων</v>
      </c>
      <c r="K1573" s="10"/>
      <c r="L1573" s="14"/>
      <c r="M1573" s="13"/>
    </row>
    <row r="1574" customFormat="false" ht="15.75" hidden="false" customHeight="true" outlineLevel="0" collapsed="false">
      <c r="A1574" s="8" t="n">
        <f aca="false">A1573+1</f>
        <v>1572</v>
      </c>
      <c r="B1574" s="9" t="n">
        <f aca="false">MOD(4*A1574^2,10)</f>
        <v>6</v>
      </c>
      <c r="C1574" s="9" t="n">
        <f aca="false">(26*B1574-5*B1574^2)/24</f>
        <v>-1</v>
      </c>
      <c r="D1574" s="9" t="n">
        <f aca="false">(A1574^2+4*C1574)/5</f>
        <v>494236</v>
      </c>
      <c r="E1574" s="9" t="n">
        <f aca="false">MOD(D1574,10)</f>
        <v>6</v>
      </c>
      <c r="F1574" s="9" t="n">
        <f aca="false">2*D1574</f>
        <v>988472</v>
      </c>
      <c r="G1574" s="9" t="n">
        <f aca="false">MOD(F1574,10)</f>
        <v>2</v>
      </c>
      <c r="H1574" s="9" t="n">
        <f aca="false">G1574/2</f>
        <v>1</v>
      </c>
      <c r="I1574" s="9" t="str">
        <f aca="false">IF(H1574=0,"—",IF(H1574=1,"unison (1:1)",IF(H1574=2,"octave (2:1)",IF(H1574=3,"fifth (3:2)",IF(H1574=4,"fourth (4:3)","?")))))</f>
        <v>unison (1:1)</v>
      </c>
      <c r="J1574" s="9" t="str">
        <f aca="false">IF(H1574=0,"—",IF(H1574=1,"ὁμώνυμον",IF(H1574=2,"διὰ πασῶν",IF(H1574=3,"διὰ πέντε",IF(H1574=4,"διὰ τεσσάρων","?")))))</f>
        <v>ὁμώνυμον</v>
      </c>
      <c r="K1574" s="10"/>
      <c r="L1574" s="14"/>
      <c r="M1574" s="13"/>
    </row>
    <row r="1575" customFormat="false" ht="15.75" hidden="false" customHeight="true" outlineLevel="0" collapsed="false">
      <c r="A1575" s="8" t="n">
        <f aca="false">A1574+1</f>
        <v>1573</v>
      </c>
      <c r="B1575" s="9" t="n">
        <f aca="false">MOD(4*A1575^2,10)</f>
        <v>6</v>
      </c>
      <c r="C1575" s="9" t="n">
        <f aca="false">(26*B1575-5*B1575^2)/24</f>
        <v>-1</v>
      </c>
      <c r="D1575" s="9" t="n">
        <f aca="false">(A1575^2+4*C1575)/5</f>
        <v>494865</v>
      </c>
      <c r="E1575" s="9" t="n">
        <f aca="false">MOD(D1575,10)</f>
        <v>5</v>
      </c>
      <c r="F1575" s="9" t="n">
        <f aca="false">2*D1575</f>
        <v>989730</v>
      </c>
      <c r="G1575" s="9" t="n">
        <f aca="false">MOD(F1575,10)</f>
        <v>0</v>
      </c>
      <c r="H1575" s="9" t="n">
        <f aca="false">G1575/2</f>
        <v>0</v>
      </c>
      <c r="I1575" s="9" t="str">
        <f aca="false">IF(H1575=0,"—",IF(H1575=1,"unison (1:1)",IF(H1575=2,"octave (2:1)",IF(H1575=3,"fifth (3:2)",IF(H1575=4,"fourth (4:3)","?")))))</f>
        <v>—</v>
      </c>
      <c r="J1575" s="9" t="str">
        <f aca="false">IF(H1575=0,"—",IF(H1575=1,"ὁμώνυμον",IF(H1575=2,"διὰ πασῶν",IF(H1575=3,"διὰ πέντε",IF(H1575=4,"διὰ τεσσάρων","?")))))</f>
        <v>—</v>
      </c>
      <c r="K1575" s="10"/>
      <c r="L1575" s="14"/>
      <c r="M1575" s="13"/>
    </row>
    <row r="1576" customFormat="false" ht="15.75" hidden="false" customHeight="true" outlineLevel="0" collapsed="false">
      <c r="A1576" s="8" t="n">
        <f aca="false">A1575+1</f>
        <v>1574</v>
      </c>
      <c r="B1576" s="9" t="n">
        <f aca="false">MOD(4*A1576^2,10)</f>
        <v>4</v>
      </c>
      <c r="C1576" s="9" t="n">
        <f aca="false">(26*B1576-5*B1576^2)/24</f>
        <v>1</v>
      </c>
      <c r="D1576" s="9" t="n">
        <f aca="false">(A1576^2+4*C1576)/5</f>
        <v>495496</v>
      </c>
      <c r="E1576" s="9" t="n">
        <f aca="false">MOD(D1576,10)</f>
        <v>6</v>
      </c>
      <c r="F1576" s="9" t="n">
        <f aca="false">2*D1576</f>
        <v>990992</v>
      </c>
      <c r="G1576" s="9" t="n">
        <f aca="false">MOD(F1576,10)</f>
        <v>2</v>
      </c>
      <c r="H1576" s="9" t="n">
        <f aca="false">G1576/2</f>
        <v>1</v>
      </c>
      <c r="I1576" s="9" t="str">
        <f aca="false">IF(H1576=0,"—",IF(H1576=1,"unison (1:1)",IF(H1576=2,"octave (2:1)",IF(H1576=3,"fifth (3:2)",IF(H1576=4,"fourth (4:3)","?")))))</f>
        <v>unison (1:1)</v>
      </c>
      <c r="J1576" s="9" t="str">
        <f aca="false">IF(H1576=0,"—",IF(H1576=1,"ὁμώνυμον",IF(H1576=2,"διὰ πασῶν",IF(H1576=3,"διὰ πέντε",IF(H1576=4,"διὰ τεσσάρων","?")))))</f>
        <v>ὁμώνυμον</v>
      </c>
      <c r="K1576" s="10"/>
      <c r="L1576" s="14"/>
      <c r="M1576" s="13"/>
    </row>
    <row r="1577" customFormat="false" ht="15.75" hidden="false" customHeight="true" outlineLevel="0" collapsed="false">
      <c r="A1577" s="8" t="n">
        <f aca="false">A1576+1</f>
        <v>1575</v>
      </c>
      <c r="B1577" s="9" t="n">
        <f aca="false">MOD(4*A1577^2,10)</f>
        <v>0</v>
      </c>
      <c r="C1577" s="9" t="n">
        <f aca="false">(26*B1577-5*B1577^2)/24</f>
        <v>0</v>
      </c>
      <c r="D1577" s="9" t="n">
        <f aca="false">(A1577^2+4*C1577)/5</f>
        <v>496125</v>
      </c>
      <c r="E1577" s="9" t="n">
        <f aca="false">MOD(D1577,10)</f>
        <v>5</v>
      </c>
      <c r="F1577" s="9" t="n">
        <f aca="false">2*D1577</f>
        <v>992250</v>
      </c>
      <c r="G1577" s="9" t="n">
        <f aca="false">MOD(F1577,10)</f>
        <v>0</v>
      </c>
      <c r="H1577" s="9" t="n">
        <f aca="false">G1577/2</f>
        <v>0</v>
      </c>
      <c r="I1577" s="9" t="str">
        <f aca="false">IF(H1577=0,"—",IF(H1577=1,"unison (1:1)",IF(H1577=2,"octave (2:1)",IF(H1577=3,"fifth (3:2)",IF(H1577=4,"fourth (4:3)","?")))))</f>
        <v>—</v>
      </c>
      <c r="J1577" s="9" t="str">
        <f aca="false">IF(H1577=0,"—",IF(H1577=1,"ὁμώνυμον",IF(H1577=2,"διὰ πασῶν",IF(H1577=3,"διὰ πέντε",IF(H1577=4,"διὰ τεσσάρων","?")))))</f>
        <v>—</v>
      </c>
      <c r="K1577" s="10"/>
      <c r="L1577" s="14"/>
      <c r="M1577" s="13"/>
    </row>
    <row r="1578" customFormat="false" ht="15.75" hidden="false" customHeight="true" outlineLevel="0" collapsed="false">
      <c r="A1578" s="8" t="n">
        <f aca="false">A1577+1</f>
        <v>1576</v>
      </c>
      <c r="B1578" s="9" t="n">
        <f aca="false">MOD(4*A1578^2,10)</f>
        <v>4</v>
      </c>
      <c r="C1578" s="9" t="n">
        <f aca="false">(26*B1578-5*B1578^2)/24</f>
        <v>1</v>
      </c>
      <c r="D1578" s="9" t="n">
        <f aca="false">(A1578^2+4*C1578)/5</f>
        <v>496756</v>
      </c>
      <c r="E1578" s="9" t="n">
        <f aca="false">MOD(D1578,10)</f>
        <v>6</v>
      </c>
      <c r="F1578" s="9" t="n">
        <f aca="false">2*D1578</f>
        <v>993512</v>
      </c>
      <c r="G1578" s="9" t="n">
        <f aca="false">MOD(F1578,10)</f>
        <v>2</v>
      </c>
      <c r="H1578" s="9" t="n">
        <f aca="false">G1578/2</f>
        <v>1</v>
      </c>
      <c r="I1578" s="9" t="str">
        <f aca="false">IF(H1578=0,"—",IF(H1578=1,"unison (1:1)",IF(H1578=2,"octave (2:1)",IF(H1578=3,"fifth (3:2)",IF(H1578=4,"fourth (4:3)","?")))))</f>
        <v>unison (1:1)</v>
      </c>
      <c r="J1578" s="9" t="str">
        <f aca="false">IF(H1578=0,"—",IF(H1578=1,"ὁμώνυμον",IF(H1578=2,"διὰ πασῶν",IF(H1578=3,"διὰ πέντε",IF(H1578=4,"διὰ τεσσάρων","?")))))</f>
        <v>ὁμώνυμον</v>
      </c>
      <c r="K1578" s="10"/>
      <c r="L1578" s="14"/>
      <c r="M1578" s="13"/>
    </row>
    <row r="1579" customFormat="false" ht="15.75" hidden="false" customHeight="true" outlineLevel="0" collapsed="false">
      <c r="A1579" s="8" t="n">
        <f aca="false">A1578+1</f>
        <v>1577</v>
      </c>
      <c r="B1579" s="9" t="n">
        <f aca="false">MOD(4*A1579^2,10)</f>
        <v>6</v>
      </c>
      <c r="C1579" s="9" t="n">
        <f aca="false">(26*B1579-5*B1579^2)/24</f>
        <v>-1</v>
      </c>
      <c r="D1579" s="9" t="n">
        <f aca="false">(A1579^2+4*C1579)/5</f>
        <v>497385</v>
      </c>
      <c r="E1579" s="9" t="n">
        <f aca="false">MOD(D1579,10)</f>
        <v>5</v>
      </c>
      <c r="F1579" s="9" t="n">
        <f aca="false">2*D1579</f>
        <v>994770</v>
      </c>
      <c r="G1579" s="9" t="n">
        <f aca="false">MOD(F1579,10)</f>
        <v>0</v>
      </c>
      <c r="H1579" s="9" t="n">
        <f aca="false">G1579/2</f>
        <v>0</v>
      </c>
      <c r="I1579" s="9" t="str">
        <f aca="false">IF(H1579=0,"—",IF(H1579=1,"unison (1:1)",IF(H1579=2,"octave (2:1)",IF(H1579=3,"fifth (3:2)",IF(H1579=4,"fourth (4:3)","?")))))</f>
        <v>—</v>
      </c>
      <c r="J1579" s="9" t="str">
        <f aca="false">IF(H1579=0,"—",IF(H1579=1,"ὁμώνυμον",IF(H1579=2,"διὰ πασῶν",IF(H1579=3,"διὰ πέντε",IF(H1579=4,"διὰ τεσσάρων","?")))))</f>
        <v>—</v>
      </c>
      <c r="K1579" s="10"/>
      <c r="L1579" s="14"/>
      <c r="M1579" s="13"/>
    </row>
    <row r="1580" customFormat="false" ht="15.75" hidden="false" customHeight="true" outlineLevel="0" collapsed="false">
      <c r="A1580" s="8" t="n">
        <f aca="false">A1579+1</f>
        <v>1578</v>
      </c>
      <c r="B1580" s="9" t="n">
        <f aca="false">MOD(4*A1580^2,10)</f>
        <v>6</v>
      </c>
      <c r="C1580" s="9" t="n">
        <f aca="false">(26*B1580-5*B1580^2)/24</f>
        <v>-1</v>
      </c>
      <c r="D1580" s="9" t="n">
        <f aca="false">(A1580^2+4*C1580)/5</f>
        <v>498016</v>
      </c>
      <c r="E1580" s="9" t="n">
        <f aca="false">MOD(D1580,10)</f>
        <v>6</v>
      </c>
      <c r="F1580" s="9" t="n">
        <f aca="false">2*D1580</f>
        <v>996032</v>
      </c>
      <c r="G1580" s="9" t="n">
        <f aca="false">MOD(F1580,10)</f>
        <v>2</v>
      </c>
      <c r="H1580" s="9" t="n">
        <f aca="false">G1580/2</f>
        <v>1</v>
      </c>
      <c r="I1580" s="9" t="str">
        <f aca="false">IF(H1580=0,"—",IF(H1580=1,"unison (1:1)",IF(H1580=2,"octave (2:1)",IF(H1580=3,"fifth (3:2)",IF(H1580=4,"fourth (4:3)","?")))))</f>
        <v>unison (1:1)</v>
      </c>
      <c r="J1580" s="9" t="str">
        <f aca="false">IF(H1580=0,"—",IF(H1580=1,"ὁμώνυμον",IF(H1580=2,"διὰ πασῶν",IF(H1580=3,"διὰ πέντε",IF(H1580=4,"διὰ τεσσάρων","?")))))</f>
        <v>ὁμώνυμον</v>
      </c>
      <c r="K1580" s="10"/>
      <c r="L1580" s="14"/>
      <c r="M1580" s="13"/>
    </row>
    <row r="1581" customFormat="false" ht="15.75" hidden="false" customHeight="true" outlineLevel="0" collapsed="false">
      <c r="A1581" s="8" t="n">
        <f aca="false">A1580+1</f>
        <v>1579</v>
      </c>
      <c r="B1581" s="9" t="n">
        <f aca="false">MOD(4*A1581^2,10)</f>
        <v>4</v>
      </c>
      <c r="C1581" s="9" t="n">
        <f aca="false">(26*B1581-5*B1581^2)/24</f>
        <v>1</v>
      </c>
      <c r="D1581" s="9" t="n">
        <f aca="false">(A1581^2+4*C1581)/5</f>
        <v>498649</v>
      </c>
      <c r="E1581" s="9" t="n">
        <f aca="false">MOD(D1581,10)</f>
        <v>9</v>
      </c>
      <c r="F1581" s="9" t="n">
        <f aca="false">2*D1581</f>
        <v>997298</v>
      </c>
      <c r="G1581" s="9" t="n">
        <f aca="false">MOD(F1581,10)</f>
        <v>8</v>
      </c>
      <c r="H1581" s="9" t="n">
        <f aca="false">G1581/2</f>
        <v>4</v>
      </c>
      <c r="I1581" s="9" t="str">
        <f aca="false">IF(H1581=0,"—",IF(H1581=1,"unison (1:1)",IF(H1581=2,"octave (2:1)",IF(H1581=3,"fifth (3:2)",IF(H1581=4,"fourth (4:3)","?")))))</f>
        <v>fourth (4:3)</v>
      </c>
      <c r="J1581" s="9" t="str">
        <f aca="false">IF(H1581=0,"—",IF(H1581=1,"ὁμώνυμον",IF(H1581=2,"διὰ πασῶν",IF(H1581=3,"διὰ πέντε",IF(H1581=4,"διὰ τεσσάρων","?")))))</f>
        <v>διὰ τεσσάρων</v>
      </c>
      <c r="K1581" s="10"/>
      <c r="L1581" s="14"/>
      <c r="M1581" s="13"/>
    </row>
    <row r="1582" customFormat="false" ht="15.75" hidden="false" customHeight="true" outlineLevel="0" collapsed="false">
      <c r="A1582" s="8" t="n">
        <f aca="false">A1581+1</f>
        <v>1580</v>
      </c>
      <c r="B1582" s="9" t="n">
        <f aca="false">MOD(4*A1582^2,10)</f>
        <v>0</v>
      </c>
      <c r="C1582" s="9" t="n">
        <f aca="false">(26*B1582-5*B1582^2)/24</f>
        <v>0</v>
      </c>
      <c r="D1582" s="9" t="n">
        <f aca="false">(A1582^2+4*C1582)/5</f>
        <v>499280</v>
      </c>
      <c r="E1582" s="9" t="n">
        <f aca="false">MOD(D1582,10)</f>
        <v>0</v>
      </c>
      <c r="F1582" s="9" t="n">
        <f aca="false">2*D1582</f>
        <v>998560</v>
      </c>
      <c r="G1582" s="9" t="n">
        <f aca="false">MOD(F1582,10)</f>
        <v>0</v>
      </c>
      <c r="H1582" s="9" t="n">
        <f aca="false">G1582/2</f>
        <v>0</v>
      </c>
      <c r="I1582" s="9" t="str">
        <f aca="false">IF(H1582=0,"—",IF(H1582=1,"unison (1:1)",IF(H1582=2,"octave (2:1)",IF(H1582=3,"fifth (3:2)",IF(H1582=4,"fourth (4:3)","?")))))</f>
        <v>—</v>
      </c>
      <c r="J1582" s="9" t="str">
        <f aca="false">IF(H1582=0,"—",IF(H1582=1,"ὁμώνυμον",IF(H1582=2,"διὰ πασῶν",IF(H1582=3,"διὰ πέντε",IF(H1582=4,"διὰ τεσσάρων","?")))))</f>
        <v>—</v>
      </c>
      <c r="K1582" s="10"/>
      <c r="L1582" s="14"/>
      <c r="M1582" s="13"/>
    </row>
    <row r="1583" customFormat="false" ht="15.75" hidden="false" customHeight="true" outlineLevel="0" collapsed="false">
      <c r="A1583" s="8" t="n">
        <f aca="false">A1582+1</f>
        <v>1581</v>
      </c>
      <c r="B1583" s="9" t="n">
        <f aca="false">MOD(4*A1583^2,10)</f>
        <v>4</v>
      </c>
      <c r="C1583" s="9" t="n">
        <f aca="false">(26*B1583-5*B1583^2)/24</f>
        <v>1</v>
      </c>
      <c r="D1583" s="9" t="n">
        <f aca="false">(A1583^2+4*C1583)/5</f>
        <v>499913</v>
      </c>
      <c r="E1583" s="9" t="n">
        <f aca="false">MOD(D1583,10)</f>
        <v>3</v>
      </c>
      <c r="F1583" s="9" t="n">
        <f aca="false">2*D1583</f>
        <v>999826</v>
      </c>
      <c r="G1583" s="9" t="n">
        <f aca="false">MOD(F1583,10)</f>
        <v>6</v>
      </c>
      <c r="H1583" s="9" t="n">
        <f aca="false">G1583/2</f>
        <v>3</v>
      </c>
      <c r="I1583" s="9" t="str">
        <f aca="false">IF(H1583=0,"—",IF(H1583=1,"unison (1:1)",IF(H1583=2,"octave (2:1)",IF(H1583=3,"fifth (3:2)",IF(H1583=4,"fourth (4:3)","?")))))</f>
        <v>fifth (3:2)</v>
      </c>
      <c r="J1583" s="9" t="str">
        <f aca="false">IF(H1583=0,"—",IF(H1583=1,"ὁμώνυμον",IF(H1583=2,"διὰ πασῶν",IF(H1583=3,"διὰ πέντε",IF(H1583=4,"διὰ τεσσάρων","?")))))</f>
        <v>διὰ πέντε</v>
      </c>
      <c r="K1583" s="10"/>
      <c r="L1583" s="14"/>
      <c r="M1583" s="13"/>
    </row>
    <row r="1584" customFormat="false" ht="15.75" hidden="false" customHeight="true" outlineLevel="0" collapsed="false">
      <c r="A1584" s="8" t="n">
        <f aca="false">A1583+1</f>
        <v>1582</v>
      </c>
      <c r="B1584" s="9" t="n">
        <f aca="false">MOD(4*A1584^2,10)</f>
        <v>6</v>
      </c>
      <c r="C1584" s="9" t="n">
        <f aca="false">(26*B1584-5*B1584^2)/24</f>
        <v>-1</v>
      </c>
      <c r="D1584" s="9" t="n">
        <f aca="false">(A1584^2+4*C1584)/5</f>
        <v>500544</v>
      </c>
      <c r="E1584" s="9" t="n">
        <f aca="false">MOD(D1584,10)</f>
        <v>4</v>
      </c>
      <c r="F1584" s="9" t="n">
        <f aca="false">2*D1584</f>
        <v>1001088</v>
      </c>
      <c r="G1584" s="9" t="n">
        <f aca="false">MOD(F1584,10)</f>
        <v>8</v>
      </c>
      <c r="H1584" s="9" t="n">
        <f aca="false">G1584/2</f>
        <v>4</v>
      </c>
      <c r="I1584" s="9" t="str">
        <f aca="false">IF(H1584=0,"—",IF(H1584=1,"unison (1:1)",IF(H1584=2,"octave (2:1)",IF(H1584=3,"fifth (3:2)",IF(H1584=4,"fourth (4:3)","?")))))</f>
        <v>fourth (4:3)</v>
      </c>
      <c r="J1584" s="9" t="str">
        <f aca="false">IF(H1584=0,"—",IF(H1584=1,"ὁμώνυμον",IF(H1584=2,"διὰ πασῶν",IF(H1584=3,"διὰ πέντε",IF(H1584=4,"διὰ τεσσάρων","?")))))</f>
        <v>διὰ τεσσάρων</v>
      </c>
      <c r="K1584" s="10"/>
      <c r="L1584" s="14"/>
      <c r="M1584" s="13"/>
    </row>
    <row r="1585" customFormat="false" ht="15.75" hidden="false" customHeight="true" outlineLevel="0" collapsed="false">
      <c r="A1585" s="8" t="n">
        <f aca="false">A1584+1</f>
        <v>1583</v>
      </c>
      <c r="B1585" s="9" t="n">
        <f aca="false">MOD(4*A1585^2,10)</f>
        <v>6</v>
      </c>
      <c r="C1585" s="9" t="n">
        <f aca="false">(26*B1585-5*B1585^2)/24</f>
        <v>-1</v>
      </c>
      <c r="D1585" s="9" t="n">
        <f aca="false">(A1585^2+4*C1585)/5</f>
        <v>501177</v>
      </c>
      <c r="E1585" s="9" t="n">
        <f aca="false">MOD(D1585,10)</f>
        <v>7</v>
      </c>
      <c r="F1585" s="9" t="n">
        <f aca="false">2*D1585</f>
        <v>1002354</v>
      </c>
      <c r="G1585" s="9" t="n">
        <f aca="false">MOD(F1585,10)</f>
        <v>4</v>
      </c>
      <c r="H1585" s="9" t="n">
        <f aca="false">G1585/2</f>
        <v>2</v>
      </c>
      <c r="I1585" s="9" t="str">
        <f aca="false">IF(H1585=0,"—",IF(H1585=1,"unison (1:1)",IF(H1585=2,"octave (2:1)",IF(H1585=3,"fifth (3:2)",IF(H1585=4,"fourth (4:3)","?")))))</f>
        <v>octave (2:1)</v>
      </c>
      <c r="J1585" s="9" t="str">
        <f aca="false">IF(H1585=0,"—",IF(H1585=1,"ὁμώνυμον",IF(H1585=2,"διὰ πασῶν",IF(H1585=3,"διὰ πέντε",IF(H1585=4,"διὰ τεσσάρων","?")))))</f>
        <v>διὰ πασῶν</v>
      </c>
      <c r="K1585" s="10"/>
      <c r="L1585" s="14"/>
      <c r="M1585" s="13"/>
    </row>
    <row r="1586" customFormat="false" ht="15.75" hidden="false" customHeight="true" outlineLevel="0" collapsed="false">
      <c r="A1586" s="8" t="n">
        <f aca="false">A1585+1</f>
        <v>1584</v>
      </c>
      <c r="B1586" s="9" t="n">
        <f aca="false">MOD(4*A1586^2,10)</f>
        <v>4</v>
      </c>
      <c r="C1586" s="9" t="n">
        <f aca="false">(26*B1586-5*B1586^2)/24</f>
        <v>1</v>
      </c>
      <c r="D1586" s="9" t="n">
        <f aca="false">(A1586^2+4*C1586)/5</f>
        <v>501812</v>
      </c>
      <c r="E1586" s="9" t="n">
        <f aca="false">MOD(D1586,10)</f>
        <v>2</v>
      </c>
      <c r="F1586" s="9" t="n">
        <f aca="false">2*D1586</f>
        <v>1003624</v>
      </c>
      <c r="G1586" s="9" t="n">
        <f aca="false">MOD(F1586,10)</f>
        <v>4</v>
      </c>
      <c r="H1586" s="9" t="n">
        <f aca="false">G1586/2</f>
        <v>2</v>
      </c>
      <c r="I1586" s="9" t="str">
        <f aca="false">IF(H1586=0,"—",IF(H1586=1,"unison (1:1)",IF(H1586=2,"octave (2:1)",IF(H1586=3,"fifth (3:2)",IF(H1586=4,"fourth (4:3)","?")))))</f>
        <v>octave (2:1)</v>
      </c>
      <c r="J1586" s="9" t="str">
        <f aca="false">IF(H1586=0,"—",IF(H1586=1,"ὁμώνυμον",IF(H1586=2,"διὰ πασῶν",IF(H1586=3,"διὰ πέντε",IF(H1586=4,"διὰ τεσσάρων","?")))))</f>
        <v>διὰ πασῶν</v>
      </c>
      <c r="K1586" s="10"/>
      <c r="L1586" s="14"/>
      <c r="M1586" s="13"/>
    </row>
    <row r="1587" customFormat="false" ht="15.75" hidden="false" customHeight="true" outlineLevel="0" collapsed="false">
      <c r="A1587" s="8" t="n">
        <f aca="false">A1586+1</f>
        <v>1585</v>
      </c>
      <c r="B1587" s="9" t="n">
        <f aca="false">MOD(4*A1587^2,10)</f>
        <v>0</v>
      </c>
      <c r="C1587" s="9" t="n">
        <f aca="false">(26*B1587-5*B1587^2)/24</f>
        <v>0</v>
      </c>
      <c r="D1587" s="9" t="n">
        <f aca="false">(A1587^2+4*C1587)/5</f>
        <v>502445</v>
      </c>
      <c r="E1587" s="9" t="n">
        <f aca="false">MOD(D1587,10)</f>
        <v>5</v>
      </c>
      <c r="F1587" s="9" t="n">
        <f aca="false">2*D1587</f>
        <v>1004890</v>
      </c>
      <c r="G1587" s="9" t="n">
        <f aca="false">MOD(F1587,10)</f>
        <v>0</v>
      </c>
      <c r="H1587" s="9" t="n">
        <f aca="false">G1587/2</f>
        <v>0</v>
      </c>
      <c r="I1587" s="9" t="str">
        <f aca="false">IF(H1587=0,"—",IF(H1587=1,"unison (1:1)",IF(H1587=2,"octave (2:1)",IF(H1587=3,"fifth (3:2)",IF(H1587=4,"fourth (4:3)","?")))))</f>
        <v>—</v>
      </c>
      <c r="J1587" s="9" t="str">
        <f aca="false">IF(H1587=0,"—",IF(H1587=1,"ὁμώνυμον",IF(H1587=2,"διὰ πασῶν",IF(H1587=3,"διὰ πέντε",IF(H1587=4,"διὰ τεσσάρων","?")))))</f>
        <v>—</v>
      </c>
      <c r="K1587" s="10"/>
      <c r="L1587" s="14"/>
      <c r="M1587" s="13"/>
    </row>
    <row r="1588" customFormat="false" ht="15.75" hidden="false" customHeight="true" outlineLevel="0" collapsed="false">
      <c r="A1588" s="8" t="n">
        <f aca="false">A1587+1</f>
        <v>1586</v>
      </c>
      <c r="B1588" s="9" t="n">
        <f aca="false">MOD(4*A1588^2,10)</f>
        <v>4</v>
      </c>
      <c r="C1588" s="9" t="n">
        <f aca="false">(26*B1588-5*B1588^2)/24</f>
        <v>1</v>
      </c>
      <c r="D1588" s="9" t="n">
        <f aca="false">(A1588^2+4*C1588)/5</f>
        <v>503080</v>
      </c>
      <c r="E1588" s="9" t="n">
        <f aca="false">MOD(D1588,10)</f>
        <v>0</v>
      </c>
      <c r="F1588" s="9" t="n">
        <f aca="false">2*D1588</f>
        <v>1006160</v>
      </c>
      <c r="G1588" s="9" t="n">
        <f aca="false">MOD(F1588,10)</f>
        <v>0</v>
      </c>
      <c r="H1588" s="9" t="n">
        <f aca="false">G1588/2</f>
        <v>0</v>
      </c>
      <c r="I1588" s="9" t="str">
        <f aca="false">IF(H1588=0,"—",IF(H1588=1,"unison (1:1)",IF(H1588=2,"octave (2:1)",IF(H1588=3,"fifth (3:2)",IF(H1588=4,"fourth (4:3)","?")))))</f>
        <v>—</v>
      </c>
      <c r="J1588" s="9" t="str">
        <f aca="false">IF(H1588=0,"—",IF(H1588=1,"ὁμώνυμον",IF(H1588=2,"διὰ πασῶν",IF(H1588=3,"διὰ πέντε",IF(H1588=4,"διὰ τεσσάρων","?")))))</f>
        <v>—</v>
      </c>
      <c r="K1588" s="10"/>
      <c r="L1588" s="14"/>
      <c r="M1588" s="13"/>
    </row>
    <row r="1589" customFormat="false" ht="15.75" hidden="false" customHeight="true" outlineLevel="0" collapsed="false">
      <c r="A1589" s="8" t="n">
        <f aca="false">A1588+1</f>
        <v>1587</v>
      </c>
      <c r="B1589" s="9" t="n">
        <f aca="false">MOD(4*A1589^2,10)</f>
        <v>6</v>
      </c>
      <c r="C1589" s="9" t="n">
        <f aca="false">(26*B1589-5*B1589^2)/24</f>
        <v>-1</v>
      </c>
      <c r="D1589" s="9" t="n">
        <f aca="false">(A1589^2+4*C1589)/5</f>
        <v>503713</v>
      </c>
      <c r="E1589" s="9" t="n">
        <f aca="false">MOD(D1589,10)</f>
        <v>3</v>
      </c>
      <c r="F1589" s="9" t="n">
        <f aca="false">2*D1589</f>
        <v>1007426</v>
      </c>
      <c r="G1589" s="9" t="n">
        <f aca="false">MOD(F1589,10)</f>
        <v>6</v>
      </c>
      <c r="H1589" s="9" t="n">
        <f aca="false">G1589/2</f>
        <v>3</v>
      </c>
      <c r="I1589" s="9" t="str">
        <f aca="false">IF(H1589=0,"—",IF(H1589=1,"unison (1:1)",IF(H1589=2,"octave (2:1)",IF(H1589=3,"fifth (3:2)",IF(H1589=4,"fourth (4:3)","?")))))</f>
        <v>fifth (3:2)</v>
      </c>
      <c r="J1589" s="9" t="str">
        <f aca="false">IF(H1589=0,"—",IF(H1589=1,"ὁμώνυμον",IF(H1589=2,"διὰ πασῶν",IF(H1589=3,"διὰ πέντε",IF(H1589=4,"διὰ τεσσάρων","?")))))</f>
        <v>διὰ πέντε</v>
      </c>
      <c r="K1589" s="10"/>
      <c r="L1589" s="14"/>
      <c r="M1589" s="13"/>
    </row>
    <row r="1590" customFormat="false" ht="15.75" hidden="false" customHeight="true" outlineLevel="0" collapsed="false">
      <c r="A1590" s="8" t="n">
        <f aca="false">A1589+1</f>
        <v>1588</v>
      </c>
      <c r="B1590" s="9" t="n">
        <f aca="false">MOD(4*A1590^2,10)</f>
        <v>6</v>
      </c>
      <c r="C1590" s="9" t="n">
        <f aca="false">(26*B1590-5*B1590^2)/24</f>
        <v>-1</v>
      </c>
      <c r="D1590" s="9" t="n">
        <f aca="false">(A1590^2+4*C1590)/5</f>
        <v>504348</v>
      </c>
      <c r="E1590" s="9" t="n">
        <f aca="false">MOD(D1590,10)</f>
        <v>8</v>
      </c>
      <c r="F1590" s="9" t="n">
        <f aca="false">2*D1590</f>
        <v>1008696</v>
      </c>
      <c r="G1590" s="9" t="n">
        <f aca="false">MOD(F1590,10)</f>
        <v>6</v>
      </c>
      <c r="H1590" s="9" t="n">
        <f aca="false">G1590/2</f>
        <v>3</v>
      </c>
      <c r="I1590" s="9" t="str">
        <f aca="false">IF(H1590=0,"—",IF(H1590=1,"unison (1:1)",IF(H1590=2,"octave (2:1)",IF(H1590=3,"fifth (3:2)",IF(H1590=4,"fourth (4:3)","?")))))</f>
        <v>fifth (3:2)</v>
      </c>
      <c r="J1590" s="9" t="str">
        <f aca="false">IF(H1590=0,"—",IF(H1590=1,"ὁμώνυμον",IF(H1590=2,"διὰ πασῶν",IF(H1590=3,"διὰ πέντε",IF(H1590=4,"διὰ τεσσάρων","?")))))</f>
        <v>διὰ πέντε</v>
      </c>
      <c r="K1590" s="10"/>
      <c r="L1590" s="14"/>
      <c r="M1590" s="13"/>
    </row>
    <row r="1591" customFormat="false" ht="15.75" hidden="false" customHeight="true" outlineLevel="0" collapsed="false">
      <c r="A1591" s="8" t="n">
        <f aca="false">A1590+1</f>
        <v>1589</v>
      </c>
      <c r="B1591" s="9" t="n">
        <f aca="false">MOD(4*A1591^2,10)</f>
        <v>4</v>
      </c>
      <c r="C1591" s="9" t="n">
        <f aca="false">(26*B1591-5*B1591^2)/24</f>
        <v>1</v>
      </c>
      <c r="D1591" s="9" t="n">
        <f aca="false">(A1591^2+4*C1591)/5</f>
        <v>504985</v>
      </c>
      <c r="E1591" s="9" t="n">
        <f aca="false">MOD(D1591,10)</f>
        <v>5</v>
      </c>
      <c r="F1591" s="9" t="n">
        <f aca="false">2*D1591</f>
        <v>1009970</v>
      </c>
      <c r="G1591" s="9" t="n">
        <f aca="false">MOD(F1591,10)</f>
        <v>0</v>
      </c>
      <c r="H1591" s="9" t="n">
        <f aca="false">G1591/2</f>
        <v>0</v>
      </c>
      <c r="I1591" s="9" t="str">
        <f aca="false">IF(H1591=0,"—",IF(H1591=1,"unison (1:1)",IF(H1591=2,"octave (2:1)",IF(H1591=3,"fifth (3:2)",IF(H1591=4,"fourth (4:3)","?")))))</f>
        <v>—</v>
      </c>
      <c r="J1591" s="9" t="str">
        <f aca="false">IF(H1591=0,"—",IF(H1591=1,"ὁμώνυμον",IF(H1591=2,"διὰ πασῶν",IF(H1591=3,"διὰ πέντε",IF(H1591=4,"διὰ τεσσάρων","?")))))</f>
        <v>—</v>
      </c>
      <c r="K1591" s="10"/>
      <c r="L1591" s="14"/>
      <c r="M1591" s="13"/>
    </row>
    <row r="1592" customFormat="false" ht="15.75" hidden="false" customHeight="true" outlineLevel="0" collapsed="false">
      <c r="A1592" s="8" t="n">
        <f aca="false">A1591+1</f>
        <v>1590</v>
      </c>
      <c r="B1592" s="9" t="n">
        <f aca="false">MOD(4*A1592^2,10)</f>
        <v>0</v>
      </c>
      <c r="C1592" s="9" t="n">
        <f aca="false">(26*B1592-5*B1592^2)/24</f>
        <v>0</v>
      </c>
      <c r="D1592" s="9" t="n">
        <f aca="false">(A1592^2+4*C1592)/5</f>
        <v>505620</v>
      </c>
      <c r="E1592" s="9" t="n">
        <f aca="false">MOD(D1592,10)</f>
        <v>0</v>
      </c>
      <c r="F1592" s="9" t="n">
        <f aca="false">2*D1592</f>
        <v>1011240</v>
      </c>
      <c r="G1592" s="9" t="n">
        <f aca="false">MOD(F1592,10)</f>
        <v>0</v>
      </c>
      <c r="H1592" s="9" t="n">
        <f aca="false">G1592/2</f>
        <v>0</v>
      </c>
      <c r="I1592" s="9" t="str">
        <f aca="false">IF(H1592=0,"—",IF(H1592=1,"unison (1:1)",IF(H1592=2,"octave (2:1)",IF(H1592=3,"fifth (3:2)",IF(H1592=4,"fourth (4:3)","?")))))</f>
        <v>—</v>
      </c>
      <c r="J1592" s="9" t="str">
        <f aca="false">IF(H1592=0,"—",IF(H1592=1,"ὁμώνυμον",IF(H1592=2,"διὰ πασῶν",IF(H1592=3,"διὰ πέντε",IF(H1592=4,"διὰ τεσσάρων","?")))))</f>
        <v>—</v>
      </c>
      <c r="K1592" s="10"/>
      <c r="L1592" s="14"/>
      <c r="M1592" s="13"/>
    </row>
    <row r="1593" customFormat="false" ht="15.75" hidden="false" customHeight="true" outlineLevel="0" collapsed="false">
      <c r="A1593" s="8" t="n">
        <f aca="false">A1592+1</f>
        <v>1591</v>
      </c>
      <c r="B1593" s="9" t="n">
        <f aca="false">MOD(4*A1593^2,10)</f>
        <v>4</v>
      </c>
      <c r="C1593" s="9" t="n">
        <f aca="false">(26*B1593-5*B1593^2)/24</f>
        <v>1</v>
      </c>
      <c r="D1593" s="9" t="n">
        <f aca="false">(A1593^2+4*C1593)/5</f>
        <v>506257</v>
      </c>
      <c r="E1593" s="9" t="n">
        <f aca="false">MOD(D1593,10)</f>
        <v>7</v>
      </c>
      <c r="F1593" s="9" t="n">
        <f aca="false">2*D1593</f>
        <v>1012514</v>
      </c>
      <c r="G1593" s="9" t="n">
        <f aca="false">MOD(F1593,10)</f>
        <v>4</v>
      </c>
      <c r="H1593" s="9" t="n">
        <f aca="false">G1593/2</f>
        <v>2</v>
      </c>
      <c r="I1593" s="9" t="str">
        <f aca="false">IF(H1593=0,"—",IF(H1593=1,"unison (1:1)",IF(H1593=2,"octave (2:1)",IF(H1593=3,"fifth (3:2)",IF(H1593=4,"fourth (4:3)","?")))))</f>
        <v>octave (2:1)</v>
      </c>
      <c r="J1593" s="9" t="str">
        <f aca="false">IF(H1593=0,"—",IF(H1593=1,"ὁμώνυμον",IF(H1593=2,"διὰ πασῶν",IF(H1593=3,"διὰ πέντε",IF(H1593=4,"διὰ τεσσάρων","?")))))</f>
        <v>διὰ πασῶν</v>
      </c>
      <c r="K1593" s="10"/>
      <c r="L1593" s="14"/>
      <c r="M1593" s="13"/>
    </row>
    <row r="1594" customFormat="false" ht="15.75" hidden="false" customHeight="true" outlineLevel="0" collapsed="false">
      <c r="A1594" s="8" t="n">
        <f aca="false">A1593+1</f>
        <v>1592</v>
      </c>
      <c r="B1594" s="9" t="n">
        <f aca="false">MOD(4*A1594^2,10)</f>
        <v>6</v>
      </c>
      <c r="C1594" s="9" t="n">
        <f aca="false">(26*B1594-5*B1594^2)/24</f>
        <v>-1</v>
      </c>
      <c r="D1594" s="9" t="n">
        <f aca="false">(A1594^2+4*C1594)/5</f>
        <v>506892</v>
      </c>
      <c r="E1594" s="9" t="n">
        <f aca="false">MOD(D1594,10)</f>
        <v>2</v>
      </c>
      <c r="F1594" s="9" t="n">
        <f aca="false">2*D1594</f>
        <v>1013784</v>
      </c>
      <c r="G1594" s="9" t="n">
        <f aca="false">MOD(F1594,10)</f>
        <v>4</v>
      </c>
      <c r="H1594" s="9" t="n">
        <f aca="false">G1594/2</f>
        <v>2</v>
      </c>
      <c r="I1594" s="9" t="str">
        <f aca="false">IF(H1594=0,"—",IF(H1594=1,"unison (1:1)",IF(H1594=2,"octave (2:1)",IF(H1594=3,"fifth (3:2)",IF(H1594=4,"fourth (4:3)","?")))))</f>
        <v>octave (2:1)</v>
      </c>
      <c r="J1594" s="9" t="str">
        <f aca="false">IF(H1594=0,"—",IF(H1594=1,"ὁμώνυμον",IF(H1594=2,"διὰ πασῶν",IF(H1594=3,"διὰ πέντε",IF(H1594=4,"διὰ τεσσάρων","?")))))</f>
        <v>διὰ πασῶν</v>
      </c>
      <c r="K1594" s="10"/>
      <c r="L1594" s="14"/>
      <c r="M1594" s="13"/>
    </row>
    <row r="1595" customFormat="false" ht="15.75" hidden="false" customHeight="true" outlineLevel="0" collapsed="false">
      <c r="A1595" s="8" t="n">
        <f aca="false">A1594+1</f>
        <v>1593</v>
      </c>
      <c r="B1595" s="9" t="n">
        <f aca="false">MOD(4*A1595^2,10)</f>
        <v>6</v>
      </c>
      <c r="C1595" s="9" t="n">
        <f aca="false">(26*B1595-5*B1595^2)/24</f>
        <v>-1</v>
      </c>
      <c r="D1595" s="9" t="n">
        <f aca="false">(A1595^2+4*C1595)/5</f>
        <v>507529</v>
      </c>
      <c r="E1595" s="9" t="n">
        <f aca="false">MOD(D1595,10)</f>
        <v>9</v>
      </c>
      <c r="F1595" s="9" t="n">
        <f aca="false">2*D1595</f>
        <v>1015058</v>
      </c>
      <c r="G1595" s="9" t="n">
        <f aca="false">MOD(F1595,10)</f>
        <v>8</v>
      </c>
      <c r="H1595" s="9" t="n">
        <f aca="false">G1595/2</f>
        <v>4</v>
      </c>
      <c r="I1595" s="9" t="str">
        <f aca="false">IF(H1595=0,"—",IF(H1595=1,"unison (1:1)",IF(H1595=2,"octave (2:1)",IF(H1595=3,"fifth (3:2)",IF(H1595=4,"fourth (4:3)","?")))))</f>
        <v>fourth (4:3)</v>
      </c>
      <c r="J1595" s="9" t="str">
        <f aca="false">IF(H1595=0,"—",IF(H1595=1,"ὁμώνυμον",IF(H1595=2,"διὰ πασῶν",IF(H1595=3,"διὰ πέντε",IF(H1595=4,"διὰ τεσσάρων","?")))))</f>
        <v>διὰ τεσσάρων</v>
      </c>
      <c r="K1595" s="10"/>
      <c r="L1595" s="14"/>
      <c r="M1595" s="13"/>
    </row>
    <row r="1596" customFormat="false" ht="15.75" hidden="false" customHeight="true" outlineLevel="0" collapsed="false">
      <c r="A1596" s="8" t="n">
        <f aca="false">A1595+1</f>
        <v>1594</v>
      </c>
      <c r="B1596" s="9" t="n">
        <f aca="false">MOD(4*A1596^2,10)</f>
        <v>4</v>
      </c>
      <c r="C1596" s="9" t="n">
        <f aca="false">(26*B1596-5*B1596^2)/24</f>
        <v>1</v>
      </c>
      <c r="D1596" s="9" t="n">
        <f aca="false">(A1596^2+4*C1596)/5</f>
        <v>508168</v>
      </c>
      <c r="E1596" s="9" t="n">
        <f aca="false">MOD(D1596,10)</f>
        <v>8</v>
      </c>
      <c r="F1596" s="9" t="n">
        <f aca="false">2*D1596</f>
        <v>1016336</v>
      </c>
      <c r="G1596" s="9" t="n">
        <f aca="false">MOD(F1596,10)</f>
        <v>6</v>
      </c>
      <c r="H1596" s="9" t="n">
        <f aca="false">G1596/2</f>
        <v>3</v>
      </c>
      <c r="I1596" s="9" t="str">
        <f aca="false">IF(H1596=0,"—",IF(H1596=1,"unison (1:1)",IF(H1596=2,"octave (2:1)",IF(H1596=3,"fifth (3:2)",IF(H1596=4,"fourth (4:3)","?")))))</f>
        <v>fifth (3:2)</v>
      </c>
      <c r="J1596" s="9" t="str">
        <f aca="false">IF(H1596=0,"—",IF(H1596=1,"ὁμώνυμον",IF(H1596=2,"διὰ πασῶν",IF(H1596=3,"διὰ πέντε",IF(H1596=4,"διὰ τεσσάρων","?")))))</f>
        <v>διὰ πέντε</v>
      </c>
      <c r="K1596" s="10"/>
      <c r="L1596" s="14"/>
      <c r="M1596" s="13"/>
    </row>
    <row r="1597" customFormat="false" ht="15.75" hidden="false" customHeight="true" outlineLevel="0" collapsed="false">
      <c r="A1597" s="8" t="n">
        <f aca="false">A1596+1</f>
        <v>1595</v>
      </c>
      <c r="B1597" s="9" t="n">
        <f aca="false">MOD(4*A1597^2,10)</f>
        <v>0</v>
      </c>
      <c r="C1597" s="9" t="n">
        <f aca="false">(26*B1597-5*B1597^2)/24</f>
        <v>0</v>
      </c>
      <c r="D1597" s="9" t="n">
        <f aca="false">(A1597^2+4*C1597)/5</f>
        <v>508805</v>
      </c>
      <c r="E1597" s="9" t="n">
        <f aca="false">MOD(D1597,10)</f>
        <v>5</v>
      </c>
      <c r="F1597" s="9" t="n">
        <f aca="false">2*D1597</f>
        <v>1017610</v>
      </c>
      <c r="G1597" s="9" t="n">
        <f aca="false">MOD(F1597,10)</f>
        <v>0</v>
      </c>
      <c r="H1597" s="9" t="n">
        <f aca="false">G1597/2</f>
        <v>0</v>
      </c>
      <c r="I1597" s="9" t="str">
        <f aca="false">IF(H1597=0,"—",IF(H1597=1,"unison (1:1)",IF(H1597=2,"octave (2:1)",IF(H1597=3,"fifth (3:2)",IF(H1597=4,"fourth (4:3)","?")))))</f>
        <v>—</v>
      </c>
      <c r="J1597" s="9" t="str">
        <f aca="false">IF(H1597=0,"—",IF(H1597=1,"ὁμώνυμον",IF(H1597=2,"διὰ πασῶν",IF(H1597=3,"διὰ πέντε",IF(H1597=4,"διὰ τεσσάρων","?")))))</f>
        <v>—</v>
      </c>
      <c r="K1597" s="10"/>
      <c r="L1597" s="14"/>
      <c r="M1597" s="13"/>
    </row>
    <row r="1598" customFormat="false" ht="15.75" hidden="false" customHeight="true" outlineLevel="0" collapsed="false">
      <c r="A1598" s="8" t="n">
        <f aca="false">A1597+1</f>
        <v>1596</v>
      </c>
      <c r="B1598" s="9" t="n">
        <f aca="false">MOD(4*A1598^2,10)</f>
        <v>4</v>
      </c>
      <c r="C1598" s="9" t="n">
        <f aca="false">(26*B1598-5*B1598^2)/24</f>
        <v>1</v>
      </c>
      <c r="D1598" s="9" t="n">
        <f aca="false">(A1598^2+4*C1598)/5</f>
        <v>509444</v>
      </c>
      <c r="E1598" s="9" t="n">
        <f aca="false">MOD(D1598,10)</f>
        <v>4</v>
      </c>
      <c r="F1598" s="9" t="n">
        <f aca="false">2*D1598</f>
        <v>1018888</v>
      </c>
      <c r="G1598" s="9" t="n">
        <f aca="false">MOD(F1598,10)</f>
        <v>8</v>
      </c>
      <c r="H1598" s="9" t="n">
        <f aca="false">G1598/2</f>
        <v>4</v>
      </c>
      <c r="I1598" s="9" t="str">
        <f aca="false">IF(H1598=0,"—",IF(H1598=1,"unison (1:1)",IF(H1598=2,"octave (2:1)",IF(H1598=3,"fifth (3:2)",IF(H1598=4,"fourth (4:3)","?")))))</f>
        <v>fourth (4:3)</v>
      </c>
      <c r="J1598" s="9" t="str">
        <f aca="false">IF(H1598=0,"—",IF(H1598=1,"ὁμώνυμον",IF(H1598=2,"διὰ πασῶν",IF(H1598=3,"διὰ πέντε",IF(H1598=4,"διὰ τεσσάρων","?")))))</f>
        <v>διὰ τεσσάρων</v>
      </c>
      <c r="K1598" s="10"/>
      <c r="L1598" s="14"/>
      <c r="M1598" s="13"/>
    </row>
    <row r="1599" customFormat="false" ht="15.75" hidden="false" customHeight="true" outlineLevel="0" collapsed="false">
      <c r="A1599" s="8" t="n">
        <f aca="false">A1598+1</f>
        <v>1597</v>
      </c>
      <c r="B1599" s="9" t="n">
        <f aca="false">MOD(4*A1599^2,10)</f>
        <v>6</v>
      </c>
      <c r="C1599" s="9" t="n">
        <f aca="false">(26*B1599-5*B1599^2)/24</f>
        <v>-1</v>
      </c>
      <c r="D1599" s="9" t="n">
        <f aca="false">(A1599^2+4*C1599)/5</f>
        <v>510081</v>
      </c>
      <c r="E1599" s="9" t="n">
        <f aca="false">MOD(D1599,10)</f>
        <v>1</v>
      </c>
      <c r="F1599" s="9" t="n">
        <f aca="false">2*D1599</f>
        <v>1020162</v>
      </c>
      <c r="G1599" s="9" t="n">
        <f aca="false">MOD(F1599,10)</f>
        <v>2</v>
      </c>
      <c r="H1599" s="9" t="n">
        <f aca="false">G1599/2</f>
        <v>1</v>
      </c>
      <c r="I1599" s="9" t="str">
        <f aca="false">IF(H1599=0,"—",IF(H1599=1,"unison (1:1)",IF(H1599=2,"octave (2:1)",IF(H1599=3,"fifth (3:2)",IF(H1599=4,"fourth (4:3)","?")))))</f>
        <v>unison (1:1)</v>
      </c>
      <c r="J1599" s="9" t="str">
        <f aca="false">IF(H1599=0,"—",IF(H1599=1,"ὁμώνυμον",IF(H1599=2,"διὰ πασῶν",IF(H1599=3,"διὰ πέντε",IF(H1599=4,"διὰ τεσσάρων","?")))))</f>
        <v>ὁμώνυμον</v>
      </c>
      <c r="K1599" s="10"/>
      <c r="L1599" s="14"/>
      <c r="M1599" s="13"/>
    </row>
    <row r="1600" customFormat="false" ht="15.75" hidden="false" customHeight="true" outlineLevel="0" collapsed="false">
      <c r="A1600" s="8" t="n">
        <f aca="false">A1599+1</f>
        <v>1598</v>
      </c>
      <c r="B1600" s="9" t="n">
        <f aca="false">MOD(4*A1600^2,10)</f>
        <v>6</v>
      </c>
      <c r="C1600" s="9" t="n">
        <f aca="false">(26*B1600-5*B1600^2)/24</f>
        <v>-1</v>
      </c>
      <c r="D1600" s="9" t="n">
        <f aca="false">(A1600^2+4*C1600)/5</f>
        <v>510720</v>
      </c>
      <c r="E1600" s="9" t="n">
        <f aca="false">MOD(D1600,10)</f>
        <v>0</v>
      </c>
      <c r="F1600" s="9" t="n">
        <f aca="false">2*D1600</f>
        <v>1021440</v>
      </c>
      <c r="G1600" s="9" t="n">
        <f aca="false">MOD(F1600,10)</f>
        <v>0</v>
      </c>
      <c r="H1600" s="9" t="n">
        <f aca="false">G1600/2</f>
        <v>0</v>
      </c>
      <c r="I1600" s="9" t="str">
        <f aca="false">IF(H1600=0,"—",IF(H1600=1,"unison (1:1)",IF(H1600=2,"octave (2:1)",IF(H1600=3,"fifth (3:2)",IF(H1600=4,"fourth (4:3)","?")))))</f>
        <v>—</v>
      </c>
      <c r="J1600" s="9" t="str">
        <f aca="false">IF(H1600=0,"—",IF(H1600=1,"ὁμώνυμον",IF(H1600=2,"διὰ πασῶν",IF(H1600=3,"διὰ πέντε",IF(H1600=4,"διὰ τεσσάρων","?")))))</f>
        <v>—</v>
      </c>
      <c r="K1600" s="10"/>
      <c r="L1600" s="14"/>
      <c r="M1600" s="13"/>
    </row>
    <row r="1601" customFormat="false" ht="15.75" hidden="false" customHeight="true" outlineLevel="0" collapsed="false">
      <c r="A1601" s="8" t="n">
        <f aca="false">A1600+1</f>
        <v>1599</v>
      </c>
      <c r="B1601" s="9" t="n">
        <f aca="false">MOD(4*A1601^2,10)</f>
        <v>4</v>
      </c>
      <c r="C1601" s="9" t="n">
        <f aca="false">(26*B1601-5*B1601^2)/24</f>
        <v>1</v>
      </c>
      <c r="D1601" s="9" t="n">
        <f aca="false">(A1601^2+4*C1601)/5</f>
        <v>511361</v>
      </c>
      <c r="E1601" s="9" t="n">
        <f aca="false">MOD(D1601,10)</f>
        <v>1</v>
      </c>
      <c r="F1601" s="9" t="n">
        <f aca="false">2*D1601</f>
        <v>1022722</v>
      </c>
      <c r="G1601" s="9" t="n">
        <f aca="false">MOD(F1601,10)</f>
        <v>2</v>
      </c>
      <c r="H1601" s="9" t="n">
        <f aca="false">G1601/2</f>
        <v>1</v>
      </c>
      <c r="I1601" s="9" t="str">
        <f aca="false">IF(H1601=0,"—",IF(H1601=1,"unison (1:1)",IF(H1601=2,"octave (2:1)",IF(H1601=3,"fifth (3:2)",IF(H1601=4,"fourth (4:3)","?")))))</f>
        <v>unison (1:1)</v>
      </c>
      <c r="J1601" s="9" t="str">
        <f aca="false">IF(H1601=0,"—",IF(H1601=1,"ὁμώνυμον",IF(H1601=2,"διὰ πασῶν",IF(H1601=3,"διὰ πέντε",IF(H1601=4,"διὰ τεσσάρων","?")))))</f>
        <v>ὁμώνυμον</v>
      </c>
      <c r="K1601" s="10"/>
      <c r="L1601" s="14"/>
      <c r="M1601" s="13"/>
    </row>
    <row r="1602" customFormat="false" ht="15.75" hidden="false" customHeight="true" outlineLevel="0" collapsed="false">
      <c r="A1602" s="8" t="n">
        <f aca="false">A1601+1</f>
        <v>1600</v>
      </c>
      <c r="B1602" s="9" t="n">
        <f aca="false">MOD(4*A1602^2,10)</f>
        <v>0</v>
      </c>
      <c r="C1602" s="9" t="n">
        <f aca="false">(26*B1602-5*B1602^2)/24</f>
        <v>0</v>
      </c>
      <c r="D1602" s="9" t="n">
        <f aca="false">(A1602^2+4*C1602)/5</f>
        <v>512000</v>
      </c>
      <c r="E1602" s="9" t="n">
        <f aca="false">MOD(D1602,10)</f>
        <v>0</v>
      </c>
      <c r="F1602" s="9" t="n">
        <f aca="false">2*D1602</f>
        <v>1024000</v>
      </c>
      <c r="G1602" s="9" t="n">
        <f aca="false">MOD(F1602,10)</f>
        <v>0</v>
      </c>
      <c r="H1602" s="9" t="n">
        <f aca="false">G1602/2</f>
        <v>0</v>
      </c>
      <c r="I1602" s="9" t="str">
        <f aca="false">IF(H1602=0,"—",IF(H1602=1,"unison (1:1)",IF(H1602=2,"octave (2:1)",IF(H1602=3,"fifth (3:2)",IF(H1602=4,"fourth (4:3)","?")))))</f>
        <v>—</v>
      </c>
      <c r="J1602" s="9" t="str">
        <f aca="false">IF(H1602=0,"—",IF(H1602=1,"ὁμώνυμον",IF(H1602=2,"διὰ πασῶν",IF(H1602=3,"διὰ πέντε",IF(H1602=4,"διὰ τεσσάρων","?")))))</f>
        <v>—</v>
      </c>
      <c r="K1602" s="10"/>
      <c r="L1602" s="14"/>
      <c r="M1602" s="13"/>
    </row>
    <row r="1603" customFormat="false" ht="15.75" hidden="false" customHeight="true" outlineLevel="0" collapsed="false">
      <c r="A1603" s="8" t="n">
        <f aca="false">A1602+1</f>
        <v>1601</v>
      </c>
      <c r="B1603" s="9" t="n">
        <f aca="false">MOD(4*A1603^2,10)</f>
        <v>4</v>
      </c>
      <c r="C1603" s="9" t="n">
        <f aca="false">(26*B1603-5*B1603^2)/24</f>
        <v>1</v>
      </c>
      <c r="D1603" s="9" t="n">
        <f aca="false">(A1603^2+4*C1603)/5</f>
        <v>512641</v>
      </c>
      <c r="E1603" s="9" t="n">
        <f aca="false">MOD(D1603,10)</f>
        <v>1</v>
      </c>
      <c r="F1603" s="9" t="n">
        <f aca="false">2*D1603</f>
        <v>1025282</v>
      </c>
      <c r="G1603" s="9" t="n">
        <f aca="false">MOD(F1603,10)</f>
        <v>2</v>
      </c>
      <c r="H1603" s="9" t="n">
        <f aca="false">G1603/2</f>
        <v>1</v>
      </c>
      <c r="I1603" s="9" t="str">
        <f aca="false">IF(H1603=0,"—",IF(H1603=1,"unison (1:1)",IF(H1603=2,"octave (2:1)",IF(H1603=3,"fifth (3:2)",IF(H1603=4,"fourth (4:3)","?")))))</f>
        <v>unison (1:1)</v>
      </c>
      <c r="J1603" s="9" t="str">
        <f aca="false">IF(H1603=0,"—",IF(H1603=1,"ὁμώνυμον",IF(H1603=2,"διὰ πασῶν",IF(H1603=3,"διὰ πέντε",IF(H1603=4,"διὰ τεσσάρων","?")))))</f>
        <v>ὁμώνυμον</v>
      </c>
      <c r="K1603" s="10"/>
      <c r="L1603" s="14"/>
      <c r="M1603" s="13"/>
    </row>
    <row r="1604" customFormat="false" ht="15.75" hidden="false" customHeight="true" outlineLevel="0" collapsed="false">
      <c r="A1604" s="8" t="n">
        <f aca="false">A1603+1</f>
        <v>1602</v>
      </c>
      <c r="B1604" s="9" t="n">
        <f aca="false">MOD(4*A1604^2,10)</f>
        <v>6</v>
      </c>
      <c r="C1604" s="9" t="n">
        <f aca="false">(26*B1604-5*B1604^2)/24</f>
        <v>-1</v>
      </c>
      <c r="D1604" s="9" t="n">
        <f aca="false">(A1604^2+4*C1604)/5</f>
        <v>513280</v>
      </c>
      <c r="E1604" s="9" t="n">
        <f aca="false">MOD(D1604,10)</f>
        <v>0</v>
      </c>
      <c r="F1604" s="9" t="n">
        <f aca="false">2*D1604</f>
        <v>1026560</v>
      </c>
      <c r="G1604" s="9" t="n">
        <f aca="false">MOD(F1604,10)</f>
        <v>0</v>
      </c>
      <c r="H1604" s="9" t="n">
        <f aca="false">G1604/2</f>
        <v>0</v>
      </c>
      <c r="I1604" s="9" t="str">
        <f aca="false">IF(H1604=0,"—",IF(H1604=1,"unison (1:1)",IF(H1604=2,"octave (2:1)",IF(H1604=3,"fifth (3:2)",IF(H1604=4,"fourth (4:3)","?")))))</f>
        <v>—</v>
      </c>
      <c r="J1604" s="9" t="str">
        <f aca="false">IF(H1604=0,"—",IF(H1604=1,"ὁμώνυμον",IF(H1604=2,"διὰ πασῶν",IF(H1604=3,"διὰ πέντε",IF(H1604=4,"διὰ τεσσάρων","?")))))</f>
        <v>—</v>
      </c>
      <c r="K1604" s="10"/>
      <c r="L1604" s="14"/>
      <c r="M1604" s="13"/>
    </row>
    <row r="1605" customFormat="false" ht="15.75" hidden="false" customHeight="true" outlineLevel="0" collapsed="false">
      <c r="A1605" s="8" t="n">
        <f aca="false">A1604+1</f>
        <v>1603</v>
      </c>
      <c r="B1605" s="9" t="n">
        <f aca="false">MOD(4*A1605^2,10)</f>
        <v>6</v>
      </c>
      <c r="C1605" s="9" t="n">
        <f aca="false">(26*B1605-5*B1605^2)/24</f>
        <v>-1</v>
      </c>
      <c r="D1605" s="9" t="n">
        <f aca="false">(A1605^2+4*C1605)/5</f>
        <v>513921</v>
      </c>
      <c r="E1605" s="9" t="n">
        <f aca="false">MOD(D1605,10)</f>
        <v>1</v>
      </c>
      <c r="F1605" s="9" t="n">
        <f aca="false">2*D1605</f>
        <v>1027842</v>
      </c>
      <c r="G1605" s="9" t="n">
        <f aca="false">MOD(F1605,10)</f>
        <v>2</v>
      </c>
      <c r="H1605" s="9" t="n">
        <f aca="false">G1605/2</f>
        <v>1</v>
      </c>
      <c r="I1605" s="9" t="str">
        <f aca="false">IF(H1605=0,"—",IF(H1605=1,"unison (1:1)",IF(H1605=2,"octave (2:1)",IF(H1605=3,"fifth (3:2)",IF(H1605=4,"fourth (4:3)","?")))))</f>
        <v>unison (1:1)</v>
      </c>
      <c r="J1605" s="9" t="str">
        <f aca="false">IF(H1605=0,"—",IF(H1605=1,"ὁμώνυμον",IF(H1605=2,"διὰ πασῶν",IF(H1605=3,"διὰ πέντε",IF(H1605=4,"διὰ τεσσάρων","?")))))</f>
        <v>ὁμώνυμον</v>
      </c>
      <c r="K1605" s="10"/>
      <c r="L1605" s="14"/>
      <c r="M1605" s="13"/>
    </row>
    <row r="1606" customFormat="false" ht="15.75" hidden="false" customHeight="true" outlineLevel="0" collapsed="false">
      <c r="A1606" s="8" t="n">
        <f aca="false">A1605+1</f>
        <v>1604</v>
      </c>
      <c r="B1606" s="9" t="n">
        <f aca="false">MOD(4*A1606^2,10)</f>
        <v>4</v>
      </c>
      <c r="C1606" s="9" t="n">
        <f aca="false">(26*B1606-5*B1606^2)/24</f>
        <v>1</v>
      </c>
      <c r="D1606" s="9" t="n">
        <f aca="false">(A1606^2+4*C1606)/5</f>
        <v>514564</v>
      </c>
      <c r="E1606" s="9" t="n">
        <f aca="false">MOD(D1606,10)</f>
        <v>4</v>
      </c>
      <c r="F1606" s="9" t="n">
        <f aca="false">2*D1606</f>
        <v>1029128</v>
      </c>
      <c r="G1606" s="9" t="n">
        <f aca="false">MOD(F1606,10)</f>
        <v>8</v>
      </c>
      <c r="H1606" s="9" t="n">
        <f aca="false">G1606/2</f>
        <v>4</v>
      </c>
      <c r="I1606" s="9" t="str">
        <f aca="false">IF(H1606=0,"—",IF(H1606=1,"unison (1:1)",IF(H1606=2,"octave (2:1)",IF(H1606=3,"fifth (3:2)",IF(H1606=4,"fourth (4:3)","?")))))</f>
        <v>fourth (4:3)</v>
      </c>
      <c r="J1606" s="9" t="str">
        <f aca="false">IF(H1606=0,"—",IF(H1606=1,"ὁμώνυμον",IF(H1606=2,"διὰ πασῶν",IF(H1606=3,"διὰ πέντε",IF(H1606=4,"διὰ τεσσάρων","?")))))</f>
        <v>διὰ τεσσάρων</v>
      </c>
      <c r="K1606" s="10"/>
      <c r="L1606" s="14"/>
      <c r="M1606" s="13"/>
    </row>
    <row r="1607" customFormat="false" ht="15.75" hidden="false" customHeight="true" outlineLevel="0" collapsed="false">
      <c r="A1607" s="8" t="n">
        <f aca="false">A1606+1</f>
        <v>1605</v>
      </c>
      <c r="B1607" s="9" t="n">
        <f aca="false">MOD(4*A1607^2,10)</f>
        <v>0</v>
      </c>
      <c r="C1607" s="9" t="n">
        <f aca="false">(26*B1607-5*B1607^2)/24</f>
        <v>0</v>
      </c>
      <c r="D1607" s="9" t="n">
        <f aca="false">(A1607^2+4*C1607)/5</f>
        <v>515205</v>
      </c>
      <c r="E1607" s="9" t="n">
        <f aca="false">MOD(D1607,10)</f>
        <v>5</v>
      </c>
      <c r="F1607" s="9" t="n">
        <f aca="false">2*D1607</f>
        <v>1030410</v>
      </c>
      <c r="G1607" s="9" t="n">
        <f aca="false">MOD(F1607,10)</f>
        <v>0</v>
      </c>
      <c r="H1607" s="9" t="n">
        <f aca="false">G1607/2</f>
        <v>0</v>
      </c>
      <c r="I1607" s="9" t="str">
        <f aca="false">IF(H1607=0,"—",IF(H1607=1,"unison (1:1)",IF(H1607=2,"octave (2:1)",IF(H1607=3,"fifth (3:2)",IF(H1607=4,"fourth (4:3)","?")))))</f>
        <v>—</v>
      </c>
      <c r="J1607" s="9" t="str">
        <f aca="false">IF(H1607=0,"—",IF(H1607=1,"ὁμώνυμον",IF(H1607=2,"διὰ πασῶν",IF(H1607=3,"διὰ πέντε",IF(H1607=4,"διὰ τεσσάρων","?")))))</f>
        <v>—</v>
      </c>
      <c r="K1607" s="10"/>
      <c r="L1607" s="14"/>
      <c r="M1607" s="13"/>
    </row>
    <row r="1608" customFormat="false" ht="15.75" hidden="false" customHeight="true" outlineLevel="0" collapsed="false">
      <c r="A1608" s="8" t="n">
        <f aca="false">A1607+1</f>
        <v>1606</v>
      </c>
      <c r="B1608" s="9" t="n">
        <f aca="false">MOD(4*A1608^2,10)</f>
        <v>4</v>
      </c>
      <c r="C1608" s="9" t="n">
        <f aca="false">(26*B1608-5*B1608^2)/24</f>
        <v>1</v>
      </c>
      <c r="D1608" s="9" t="n">
        <f aca="false">(A1608^2+4*C1608)/5</f>
        <v>515848</v>
      </c>
      <c r="E1608" s="9" t="n">
        <f aca="false">MOD(D1608,10)</f>
        <v>8</v>
      </c>
      <c r="F1608" s="9" t="n">
        <f aca="false">2*D1608</f>
        <v>1031696</v>
      </c>
      <c r="G1608" s="9" t="n">
        <f aca="false">MOD(F1608,10)</f>
        <v>6</v>
      </c>
      <c r="H1608" s="9" t="n">
        <f aca="false">G1608/2</f>
        <v>3</v>
      </c>
      <c r="I1608" s="9" t="str">
        <f aca="false">IF(H1608=0,"—",IF(H1608=1,"unison (1:1)",IF(H1608=2,"octave (2:1)",IF(H1608=3,"fifth (3:2)",IF(H1608=4,"fourth (4:3)","?")))))</f>
        <v>fifth (3:2)</v>
      </c>
      <c r="J1608" s="9" t="str">
        <f aca="false">IF(H1608=0,"—",IF(H1608=1,"ὁμώνυμον",IF(H1608=2,"διὰ πασῶν",IF(H1608=3,"διὰ πέντε",IF(H1608=4,"διὰ τεσσάρων","?")))))</f>
        <v>διὰ πέντε</v>
      </c>
      <c r="K1608" s="10"/>
      <c r="L1608" s="14"/>
      <c r="M1608" s="13"/>
    </row>
    <row r="1609" customFormat="false" ht="15.75" hidden="false" customHeight="true" outlineLevel="0" collapsed="false">
      <c r="A1609" s="8" t="n">
        <f aca="false">A1608+1</f>
        <v>1607</v>
      </c>
      <c r="B1609" s="9" t="n">
        <f aca="false">MOD(4*A1609^2,10)</f>
        <v>6</v>
      </c>
      <c r="C1609" s="9" t="n">
        <f aca="false">(26*B1609-5*B1609^2)/24</f>
        <v>-1</v>
      </c>
      <c r="D1609" s="9" t="n">
        <f aca="false">(A1609^2+4*C1609)/5</f>
        <v>516489</v>
      </c>
      <c r="E1609" s="9" t="n">
        <f aca="false">MOD(D1609,10)</f>
        <v>9</v>
      </c>
      <c r="F1609" s="9" t="n">
        <f aca="false">2*D1609</f>
        <v>1032978</v>
      </c>
      <c r="G1609" s="9" t="n">
        <f aca="false">MOD(F1609,10)</f>
        <v>8</v>
      </c>
      <c r="H1609" s="9" t="n">
        <f aca="false">G1609/2</f>
        <v>4</v>
      </c>
      <c r="I1609" s="9" t="str">
        <f aca="false">IF(H1609=0,"—",IF(H1609=1,"unison (1:1)",IF(H1609=2,"octave (2:1)",IF(H1609=3,"fifth (3:2)",IF(H1609=4,"fourth (4:3)","?")))))</f>
        <v>fourth (4:3)</v>
      </c>
      <c r="J1609" s="9" t="str">
        <f aca="false">IF(H1609=0,"—",IF(H1609=1,"ὁμώνυμον",IF(H1609=2,"διὰ πασῶν",IF(H1609=3,"διὰ πέντε",IF(H1609=4,"διὰ τεσσάρων","?")))))</f>
        <v>διὰ τεσσάρων</v>
      </c>
      <c r="K1609" s="10"/>
      <c r="L1609" s="14"/>
      <c r="M1609" s="13"/>
    </row>
    <row r="1610" customFormat="false" ht="15.75" hidden="false" customHeight="true" outlineLevel="0" collapsed="false">
      <c r="A1610" s="8" t="n">
        <f aca="false">A1609+1</f>
        <v>1608</v>
      </c>
      <c r="B1610" s="9" t="n">
        <f aca="false">MOD(4*A1610^2,10)</f>
        <v>6</v>
      </c>
      <c r="C1610" s="9" t="n">
        <f aca="false">(26*B1610-5*B1610^2)/24</f>
        <v>-1</v>
      </c>
      <c r="D1610" s="9" t="n">
        <f aca="false">(A1610^2+4*C1610)/5</f>
        <v>517132</v>
      </c>
      <c r="E1610" s="9" t="n">
        <f aca="false">MOD(D1610,10)</f>
        <v>2</v>
      </c>
      <c r="F1610" s="9" t="n">
        <f aca="false">2*D1610</f>
        <v>1034264</v>
      </c>
      <c r="G1610" s="9" t="n">
        <f aca="false">MOD(F1610,10)</f>
        <v>4</v>
      </c>
      <c r="H1610" s="9" t="n">
        <f aca="false">G1610/2</f>
        <v>2</v>
      </c>
      <c r="I1610" s="9" t="str">
        <f aca="false">IF(H1610=0,"—",IF(H1610=1,"unison (1:1)",IF(H1610=2,"octave (2:1)",IF(H1610=3,"fifth (3:2)",IF(H1610=4,"fourth (4:3)","?")))))</f>
        <v>octave (2:1)</v>
      </c>
      <c r="J1610" s="9" t="str">
        <f aca="false">IF(H1610=0,"—",IF(H1610=1,"ὁμώνυμον",IF(H1610=2,"διὰ πασῶν",IF(H1610=3,"διὰ πέντε",IF(H1610=4,"διὰ τεσσάρων","?")))))</f>
        <v>διὰ πασῶν</v>
      </c>
      <c r="K1610" s="10"/>
      <c r="L1610" s="14"/>
      <c r="M1610" s="13"/>
    </row>
    <row r="1611" customFormat="false" ht="15.75" hidden="false" customHeight="true" outlineLevel="0" collapsed="false">
      <c r="A1611" s="8" t="n">
        <f aca="false">A1610+1</f>
        <v>1609</v>
      </c>
      <c r="B1611" s="9" t="n">
        <f aca="false">MOD(4*A1611^2,10)</f>
        <v>4</v>
      </c>
      <c r="C1611" s="9" t="n">
        <f aca="false">(26*B1611-5*B1611^2)/24</f>
        <v>1</v>
      </c>
      <c r="D1611" s="9" t="n">
        <f aca="false">(A1611^2+4*C1611)/5</f>
        <v>517777</v>
      </c>
      <c r="E1611" s="9" t="n">
        <f aca="false">MOD(D1611,10)</f>
        <v>7</v>
      </c>
      <c r="F1611" s="9" t="n">
        <f aca="false">2*D1611</f>
        <v>1035554</v>
      </c>
      <c r="G1611" s="9" t="n">
        <f aca="false">MOD(F1611,10)</f>
        <v>4</v>
      </c>
      <c r="H1611" s="9" t="n">
        <f aca="false">G1611/2</f>
        <v>2</v>
      </c>
      <c r="I1611" s="9" t="str">
        <f aca="false">IF(H1611=0,"—",IF(H1611=1,"unison (1:1)",IF(H1611=2,"octave (2:1)",IF(H1611=3,"fifth (3:2)",IF(H1611=4,"fourth (4:3)","?")))))</f>
        <v>octave (2:1)</v>
      </c>
      <c r="J1611" s="9" t="str">
        <f aca="false">IF(H1611=0,"—",IF(H1611=1,"ὁμώνυμον",IF(H1611=2,"διὰ πασῶν",IF(H1611=3,"διὰ πέντε",IF(H1611=4,"διὰ τεσσάρων","?")))))</f>
        <v>διὰ πασῶν</v>
      </c>
      <c r="K1611" s="10"/>
      <c r="L1611" s="14"/>
      <c r="M1611" s="13"/>
    </row>
    <row r="1612" customFormat="false" ht="15.75" hidden="false" customHeight="true" outlineLevel="0" collapsed="false">
      <c r="A1612" s="8" t="n">
        <f aca="false">A1611+1</f>
        <v>1610</v>
      </c>
      <c r="B1612" s="9" t="n">
        <f aca="false">MOD(4*A1612^2,10)</f>
        <v>0</v>
      </c>
      <c r="C1612" s="9" t="n">
        <f aca="false">(26*B1612-5*B1612^2)/24</f>
        <v>0</v>
      </c>
      <c r="D1612" s="9" t="n">
        <f aca="false">(A1612^2+4*C1612)/5</f>
        <v>518420</v>
      </c>
      <c r="E1612" s="9" t="n">
        <f aca="false">MOD(D1612,10)</f>
        <v>0</v>
      </c>
      <c r="F1612" s="9" t="n">
        <f aca="false">2*D1612</f>
        <v>1036840</v>
      </c>
      <c r="G1612" s="9" t="n">
        <f aca="false">MOD(F1612,10)</f>
        <v>0</v>
      </c>
      <c r="H1612" s="9" t="n">
        <f aca="false">G1612/2</f>
        <v>0</v>
      </c>
      <c r="I1612" s="9" t="str">
        <f aca="false">IF(H1612=0,"—",IF(H1612=1,"unison (1:1)",IF(H1612=2,"octave (2:1)",IF(H1612=3,"fifth (3:2)",IF(H1612=4,"fourth (4:3)","?")))))</f>
        <v>—</v>
      </c>
      <c r="J1612" s="9" t="str">
        <f aca="false">IF(H1612=0,"—",IF(H1612=1,"ὁμώνυμον",IF(H1612=2,"διὰ πασῶν",IF(H1612=3,"διὰ πέντε",IF(H1612=4,"διὰ τεσσάρων","?")))))</f>
        <v>—</v>
      </c>
      <c r="K1612" s="10"/>
      <c r="L1612" s="14"/>
      <c r="M1612" s="13"/>
    </row>
    <row r="1613" customFormat="false" ht="15.75" hidden="false" customHeight="true" outlineLevel="0" collapsed="false">
      <c r="A1613" s="8" t="n">
        <f aca="false">A1612+1</f>
        <v>1611</v>
      </c>
      <c r="B1613" s="9" t="n">
        <f aca="false">MOD(4*A1613^2,10)</f>
        <v>4</v>
      </c>
      <c r="C1613" s="9" t="n">
        <f aca="false">(26*B1613-5*B1613^2)/24</f>
        <v>1</v>
      </c>
      <c r="D1613" s="9" t="n">
        <f aca="false">(A1613^2+4*C1613)/5</f>
        <v>519065</v>
      </c>
      <c r="E1613" s="9" t="n">
        <f aca="false">MOD(D1613,10)</f>
        <v>5</v>
      </c>
      <c r="F1613" s="9" t="n">
        <f aca="false">2*D1613</f>
        <v>1038130</v>
      </c>
      <c r="G1613" s="9" t="n">
        <f aca="false">MOD(F1613,10)</f>
        <v>0</v>
      </c>
      <c r="H1613" s="9" t="n">
        <f aca="false">G1613/2</f>
        <v>0</v>
      </c>
      <c r="I1613" s="9" t="str">
        <f aca="false">IF(H1613=0,"—",IF(H1613=1,"unison (1:1)",IF(H1613=2,"octave (2:1)",IF(H1613=3,"fifth (3:2)",IF(H1613=4,"fourth (4:3)","?")))))</f>
        <v>—</v>
      </c>
      <c r="J1613" s="9" t="str">
        <f aca="false">IF(H1613=0,"—",IF(H1613=1,"ὁμώνυμον",IF(H1613=2,"διὰ πασῶν",IF(H1613=3,"διὰ πέντε",IF(H1613=4,"διὰ τεσσάρων","?")))))</f>
        <v>—</v>
      </c>
      <c r="K1613" s="10"/>
      <c r="L1613" s="14"/>
      <c r="M1613" s="13"/>
    </row>
    <row r="1614" customFormat="false" ht="15.75" hidden="false" customHeight="true" outlineLevel="0" collapsed="false">
      <c r="A1614" s="8" t="n">
        <f aca="false">A1613+1</f>
        <v>1612</v>
      </c>
      <c r="B1614" s="9" t="n">
        <f aca="false">MOD(4*A1614^2,10)</f>
        <v>6</v>
      </c>
      <c r="C1614" s="9" t="n">
        <f aca="false">(26*B1614-5*B1614^2)/24</f>
        <v>-1</v>
      </c>
      <c r="D1614" s="9" t="n">
        <f aca="false">(A1614^2+4*C1614)/5</f>
        <v>519708</v>
      </c>
      <c r="E1614" s="9" t="n">
        <f aca="false">MOD(D1614,10)</f>
        <v>8</v>
      </c>
      <c r="F1614" s="9" t="n">
        <f aca="false">2*D1614</f>
        <v>1039416</v>
      </c>
      <c r="G1614" s="9" t="n">
        <f aca="false">MOD(F1614,10)</f>
        <v>6</v>
      </c>
      <c r="H1614" s="9" t="n">
        <f aca="false">G1614/2</f>
        <v>3</v>
      </c>
      <c r="I1614" s="9" t="str">
        <f aca="false">IF(H1614=0,"—",IF(H1614=1,"unison (1:1)",IF(H1614=2,"octave (2:1)",IF(H1614=3,"fifth (3:2)",IF(H1614=4,"fourth (4:3)","?")))))</f>
        <v>fifth (3:2)</v>
      </c>
      <c r="J1614" s="9" t="str">
        <f aca="false">IF(H1614=0,"—",IF(H1614=1,"ὁμώνυμον",IF(H1614=2,"διὰ πασῶν",IF(H1614=3,"διὰ πέντε",IF(H1614=4,"διὰ τεσσάρων","?")))))</f>
        <v>διὰ πέντε</v>
      </c>
      <c r="K1614" s="10"/>
      <c r="L1614" s="14"/>
      <c r="M1614" s="13"/>
    </row>
    <row r="1615" customFormat="false" ht="15.75" hidden="false" customHeight="true" outlineLevel="0" collapsed="false">
      <c r="A1615" s="8" t="n">
        <f aca="false">A1614+1</f>
        <v>1613</v>
      </c>
      <c r="B1615" s="9" t="n">
        <f aca="false">MOD(4*A1615^2,10)</f>
        <v>6</v>
      </c>
      <c r="C1615" s="9" t="n">
        <f aca="false">(26*B1615-5*B1615^2)/24</f>
        <v>-1</v>
      </c>
      <c r="D1615" s="9" t="n">
        <f aca="false">(A1615^2+4*C1615)/5</f>
        <v>520353</v>
      </c>
      <c r="E1615" s="9" t="n">
        <f aca="false">MOD(D1615,10)</f>
        <v>3</v>
      </c>
      <c r="F1615" s="9" t="n">
        <f aca="false">2*D1615</f>
        <v>1040706</v>
      </c>
      <c r="G1615" s="9" t="n">
        <f aca="false">MOD(F1615,10)</f>
        <v>6</v>
      </c>
      <c r="H1615" s="9" t="n">
        <f aca="false">G1615/2</f>
        <v>3</v>
      </c>
      <c r="I1615" s="9" t="str">
        <f aca="false">IF(H1615=0,"—",IF(H1615=1,"unison (1:1)",IF(H1615=2,"octave (2:1)",IF(H1615=3,"fifth (3:2)",IF(H1615=4,"fourth (4:3)","?")))))</f>
        <v>fifth (3:2)</v>
      </c>
      <c r="J1615" s="9" t="str">
        <f aca="false">IF(H1615=0,"—",IF(H1615=1,"ὁμώνυμον",IF(H1615=2,"διὰ πασῶν",IF(H1615=3,"διὰ πέντε",IF(H1615=4,"διὰ τεσσάρων","?")))))</f>
        <v>διὰ πέντε</v>
      </c>
      <c r="K1615" s="10"/>
      <c r="L1615" s="14"/>
      <c r="M1615" s="13"/>
    </row>
    <row r="1616" customFormat="false" ht="15.75" hidden="false" customHeight="true" outlineLevel="0" collapsed="false">
      <c r="A1616" s="8" t="n">
        <f aca="false">A1615+1</f>
        <v>1614</v>
      </c>
      <c r="B1616" s="9" t="n">
        <f aca="false">MOD(4*A1616^2,10)</f>
        <v>4</v>
      </c>
      <c r="C1616" s="9" t="n">
        <f aca="false">(26*B1616-5*B1616^2)/24</f>
        <v>1</v>
      </c>
      <c r="D1616" s="9" t="n">
        <f aca="false">(A1616^2+4*C1616)/5</f>
        <v>521000</v>
      </c>
      <c r="E1616" s="9" t="n">
        <f aca="false">MOD(D1616,10)</f>
        <v>0</v>
      </c>
      <c r="F1616" s="9" t="n">
        <f aca="false">2*D1616</f>
        <v>1042000</v>
      </c>
      <c r="G1616" s="9" t="n">
        <f aca="false">MOD(F1616,10)</f>
        <v>0</v>
      </c>
      <c r="H1616" s="9" t="n">
        <f aca="false">G1616/2</f>
        <v>0</v>
      </c>
      <c r="I1616" s="9" t="str">
        <f aca="false">IF(H1616=0,"—",IF(H1616=1,"unison (1:1)",IF(H1616=2,"octave (2:1)",IF(H1616=3,"fifth (3:2)",IF(H1616=4,"fourth (4:3)","?")))))</f>
        <v>—</v>
      </c>
      <c r="J1616" s="9" t="str">
        <f aca="false">IF(H1616=0,"—",IF(H1616=1,"ὁμώνυμον",IF(H1616=2,"διὰ πασῶν",IF(H1616=3,"διὰ πέντε",IF(H1616=4,"διὰ τεσσάρων","?")))))</f>
        <v>—</v>
      </c>
      <c r="K1616" s="10"/>
      <c r="L1616" s="14"/>
      <c r="M1616" s="13"/>
    </row>
    <row r="1617" customFormat="false" ht="15.75" hidden="false" customHeight="true" outlineLevel="0" collapsed="false">
      <c r="A1617" s="8" t="n">
        <f aca="false">A1616+1</f>
        <v>1615</v>
      </c>
      <c r="B1617" s="9" t="n">
        <f aca="false">MOD(4*A1617^2,10)</f>
        <v>0</v>
      </c>
      <c r="C1617" s="9" t="n">
        <f aca="false">(26*B1617-5*B1617^2)/24</f>
        <v>0</v>
      </c>
      <c r="D1617" s="9" t="n">
        <f aca="false">(A1617^2+4*C1617)/5</f>
        <v>521645</v>
      </c>
      <c r="E1617" s="9" t="n">
        <f aca="false">MOD(D1617,10)</f>
        <v>5</v>
      </c>
      <c r="F1617" s="9" t="n">
        <f aca="false">2*D1617</f>
        <v>1043290</v>
      </c>
      <c r="G1617" s="9" t="n">
        <f aca="false">MOD(F1617,10)</f>
        <v>0</v>
      </c>
      <c r="H1617" s="9" t="n">
        <f aca="false">G1617/2</f>
        <v>0</v>
      </c>
      <c r="I1617" s="9" t="str">
        <f aca="false">IF(H1617=0,"—",IF(H1617=1,"unison (1:1)",IF(H1617=2,"octave (2:1)",IF(H1617=3,"fifth (3:2)",IF(H1617=4,"fourth (4:3)","?")))))</f>
        <v>—</v>
      </c>
      <c r="J1617" s="9" t="str">
        <f aca="false">IF(H1617=0,"—",IF(H1617=1,"ὁμώνυμον",IF(H1617=2,"διὰ πασῶν",IF(H1617=3,"διὰ πέντε",IF(H1617=4,"διὰ τεσσάρων","?")))))</f>
        <v>—</v>
      </c>
      <c r="K1617" s="10"/>
      <c r="L1617" s="14"/>
      <c r="M1617" s="13"/>
    </row>
    <row r="1618" customFormat="false" ht="15.75" hidden="false" customHeight="true" outlineLevel="0" collapsed="false">
      <c r="A1618" s="8" t="n">
        <f aca="false">A1617+1</f>
        <v>1616</v>
      </c>
      <c r="B1618" s="9" t="n">
        <f aca="false">MOD(4*A1618^2,10)</f>
        <v>4</v>
      </c>
      <c r="C1618" s="9" t="n">
        <f aca="false">(26*B1618-5*B1618^2)/24</f>
        <v>1</v>
      </c>
      <c r="D1618" s="9" t="n">
        <f aca="false">(A1618^2+4*C1618)/5</f>
        <v>522292</v>
      </c>
      <c r="E1618" s="9" t="n">
        <f aca="false">MOD(D1618,10)</f>
        <v>2</v>
      </c>
      <c r="F1618" s="9" t="n">
        <f aca="false">2*D1618</f>
        <v>1044584</v>
      </c>
      <c r="G1618" s="9" t="n">
        <f aca="false">MOD(F1618,10)</f>
        <v>4</v>
      </c>
      <c r="H1618" s="9" t="n">
        <f aca="false">G1618/2</f>
        <v>2</v>
      </c>
      <c r="I1618" s="9" t="str">
        <f aca="false">IF(H1618=0,"—",IF(H1618=1,"unison (1:1)",IF(H1618=2,"octave (2:1)",IF(H1618=3,"fifth (3:2)",IF(H1618=4,"fourth (4:3)","?")))))</f>
        <v>octave (2:1)</v>
      </c>
      <c r="J1618" s="9" t="str">
        <f aca="false">IF(H1618=0,"—",IF(H1618=1,"ὁμώνυμον",IF(H1618=2,"διὰ πασῶν",IF(H1618=3,"διὰ πέντε",IF(H1618=4,"διὰ τεσσάρων","?")))))</f>
        <v>διὰ πασῶν</v>
      </c>
      <c r="K1618" s="10"/>
      <c r="L1618" s="14"/>
      <c r="M1618" s="13"/>
    </row>
    <row r="1619" customFormat="false" ht="15.75" hidden="false" customHeight="true" outlineLevel="0" collapsed="false">
      <c r="A1619" s="8" t="n">
        <f aca="false">A1618+1</f>
        <v>1617</v>
      </c>
      <c r="B1619" s="9" t="n">
        <f aca="false">MOD(4*A1619^2,10)</f>
        <v>6</v>
      </c>
      <c r="C1619" s="9" t="n">
        <f aca="false">(26*B1619-5*B1619^2)/24</f>
        <v>-1</v>
      </c>
      <c r="D1619" s="9" t="n">
        <f aca="false">(A1619^2+4*C1619)/5</f>
        <v>522937</v>
      </c>
      <c r="E1619" s="9" t="n">
        <f aca="false">MOD(D1619,10)</f>
        <v>7</v>
      </c>
      <c r="F1619" s="9" t="n">
        <f aca="false">2*D1619</f>
        <v>1045874</v>
      </c>
      <c r="G1619" s="9" t="n">
        <f aca="false">MOD(F1619,10)</f>
        <v>4</v>
      </c>
      <c r="H1619" s="9" t="n">
        <f aca="false">G1619/2</f>
        <v>2</v>
      </c>
      <c r="I1619" s="9" t="str">
        <f aca="false">IF(H1619=0,"—",IF(H1619=1,"unison (1:1)",IF(H1619=2,"octave (2:1)",IF(H1619=3,"fifth (3:2)",IF(H1619=4,"fourth (4:3)","?")))))</f>
        <v>octave (2:1)</v>
      </c>
      <c r="J1619" s="9" t="str">
        <f aca="false">IF(H1619=0,"—",IF(H1619=1,"ὁμώνυμον",IF(H1619=2,"διὰ πασῶν",IF(H1619=3,"διὰ πέντε",IF(H1619=4,"διὰ τεσσάρων","?")))))</f>
        <v>διὰ πασῶν</v>
      </c>
      <c r="K1619" s="10"/>
      <c r="L1619" s="14"/>
      <c r="M1619" s="13"/>
    </row>
    <row r="1620" customFormat="false" ht="15.75" hidden="false" customHeight="true" outlineLevel="0" collapsed="false">
      <c r="A1620" s="8" t="n">
        <f aca="false">A1619+1</f>
        <v>1618</v>
      </c>
      <c r="B1620" s="9" t="n">
        <f aca="false">MOD(4*A1620^2,10)</f>
        <v>6</v>
      </c>
      <c r="C1620" s="9" t="n">
        <f aca="false">(26*B1620-5*B1620^2)/24</f>
        <v>-1</v>
      </c>
      <c r="D1620" s="9" t="n">
        <f aca="false">(A1620^2+4*C1620)/5</f>
        <v>523584</v>
      </c>
      <c r="E1620" s="9" t="n">
        <f aca="false">MOD(D1620,10)</f>
        <v>4</v>
      </c>
      <c r="F1620" s="9" t="n">
        <f aca="false">2*D1620</f>
        <v>1047168</v>
      </c>
      <c r="G1620" s="9" t="n">
        <f aca="false">MOD(F1620,10)</f>
        <v>8</v>
      </c>
      <c r="H1620" s="9" t="n">
        <f aca="false">G1620/2</f>
        <v>4</v>
      </c>
      <c r="I1620" s="9" t="str">
        <f aca="false">IF(H1620=0,"—",IF(H1620=1,"unison (1:1)",IF(H1620=2,"octave (2:1)",IF(H1620=3,"fifth (3:2)",IF(H1620=4,"fourth (4:3)","?")))))</f>
        <v>fourth (4:3)</v>
      </c>
      <c r="J1620" s="9" t="str">
        <f aca="false">IF(H1620=0,"—",IF(H1620=1,"ὁμώνυμον",IF(H1620=2,"διὰ πασῶν",IF(H1620=3,"διὰ πέντε",IF(H1620=4,"διὰ τεσσάρων","?")))))</f>
        <v>διὰ τεσσάρων</v>
      </c>
      <c r="K1620" s="10"/>
      <c r="L1620" s="14"/>
      <c r="M1620" s="13"/>
    </row>
    <row r="1621" customFormat="false" ht="15.75" hidden="false" customHeight="true" outlineLevel="0" collapsed="false">
      <c r="A1621" s="8" t="n">
        <f aca="false">A1620+1</f>
        <v>1619</v>
      </c>
      <c r="B1621" s="9" t="n">
        <f aca="false">MOD(4*A1621^2,10)</f>
        <v>4</v>
      </c>
      <c r="C1621" s="9" t="n">
        <f aca="false">(26*B1621-5*B1621^2)/24</f>
        <v>1</v>
      </c>
      <c r="D1621" s="9" t="n">
        <f aca="false">(A1621^2+4*C1621)/5</f>
        <v>524233</v>
      </c>
      <c r="E1621" s="9" t="n">
        <f aca="false">MOD(D1621,10)</f>
        <v>3</v>
      </c>
      <c r="F1621" s="9" t="n">
        <f aca="false">2*D1621</f>
        <v>1048466</v>
      </c>
      <c r="G1621" s="9" t="n">
        <f aca="false">MOD(F1621,10)</f>
        <v>6</v>
      </c>
      <c r="H1621" s="9" t="n">
        <f aca="false">G1621/2</f>
        <v>3</v>
      </c>
      <c r="I1621" s="9" t="str">
        <f aca="false">IF(H1621=0,"—",IF(H1621=1,"unison (1:1)",IF(H1621=2,"octave (2:1)",IF(H1621=3,"fifth (3:2)",IF(H1621=4,"fourth (4:3)","?")))))</f>
        <v>fifth (3:2)</v>
      </c>
      <c r="J1621" s="9" t="str">
        <f aca="false">IF(H1621=0,"—",IF(H1621=1,"ὁμώνυμον",IF(H1621=2,"διὰ πασῶν",IF(H1621=3,"διὰ πέντε",IF(H1621=4,"διὰ τεσσάρων","?")))))</f>
        <v>διὰ πέντε</v>
      </c>
      <c r="K1621" s="10"/>
      <c r="L1621" s="14"/>
      <c r="M1621" s="13"/>
    </row>
    <row r="1622" customFormat="false" ht="15.75" hidden="false" customHeight="true" outlineLevel="0" collapsed="false">
      <c r="A1622" s="8" t="n">
        <f aca="false">A1621+1</f>
        <v>1620</v>
      </c>
      <c r="B1622" s="9" t="n">
        <f aca="false">MOD(4*A1622^2,10)</f>
        <v>0</v>
      </c>
      <c r="C1622" s="9" t="n">
        <f aca="false">(26*B1622-5*B1622^2)/24</f>
        <v>0</v>
      </c>
      <c r="D1622" s="9" t="n">
        <f aca="false">(A1622^2+4*C1622)/5</f>
        <v>524880</v>
      </c>
      <c r="E1622" s="9" t="n">
        <f aca="false">MOD(D1622,10)</f>
        <v>0</v>
      </c>
      <c r="F1622" s="9" t="n">
        <f aca="false">2*D1622</f>
        <v>1049760</v>
      </c>
      <c r="G1622" s="9" t="n">
        <f aca="false">MOD(F1622,10)</f>
        <v>0</v>
      </c>
      <c r="H1622" s="9" t="n">
        <f aca="false">G1622/2</f>
        <v>0</v>
      </c>
      <c r="I1622" s="9" t="str">
        <f aca="false">IF(H1622=0,"—",IF(H1622=1,"unison (1:1)",IF(H1622=2,"octave (2:1)",IF(H1622=3,"fifth (3:2)",IF(H1622=4,"fourth (4:3)","?")))))</f>
        <v>—</v>
      </c>
      <c r="J1622" s="9" t="str">
        <f aca="false">IF(H1622=0,"—",IF(H1622=1,"ὁμώνυμον",IF(H1622=2,"διὰ πασῶν",IF(H1622=3,"διὰ πέντε",IF(H1622=4,"διὰ τεσσάρων","?")))))</f>
        <v>—</v>
      </c>
      <c r="K1622" s="10"/>
      <c r="L1622" s="14"/>
      <c r="M1622" s="13"/>
    </row>
    <row r="1623" customFormat="false" ht="15.75" hidden="false" customHeight="true" outlineLevel="0" collapsed="false">
      <c r="A1623" s="8" t="n">
        <f aca="false">A1622+1</f>
        <v>1621</v>
      </c>
      <c r="B1623" s="9" t="n">
        <f aca="false">MOD(4*A1623^2,10)</f>
        <v>4</v>
      </c>
      <c r="C1623" s="9" t="n">
        <f aca="false">(26*B1623-5*B1623^2)/24</f>
        <v>1</v>
      </c>
      <c r="D1623" s="9" t="n">
        <f aca="false">(A1623^2+4*C1623)/5</f>
        <v>525529</v>
      </c>
      <c r="E1623" s="9" t="n">
        <f aca="false">MOD(D1623,10)</f>
        <v>9</v>
      </c>
      <c r="F1623" s="9" t="n">
        <f aca="false">2*D1623</f>
        <v>1051058</v>
      </c>
      <c r="G1623" s="9" t="n">
        <f aca="false">MOD(F1623,10)</f>
        <v>8</v>
      </c>
      <c r="H1623" s="9" t="n">
        <f aca="false">G1623/2</f>
        <v>4</v>
      </c>
      <c r="I1623" s="9" t="str">
        <f aca="false">IF(H1623=0,"—",IF(H1623=1,"unison (1:1)",IF(H1623=2,"octave (2:1)",IF(H1623=3,"fifth (3:2)",IF(H1623=4,"fourth (4:3)","?")))))</f>
        <v>fourth (4:3)</v>
      </c>
      <c r="J1623" s="9" t="str">
        <f aca="false">IF(H1623=0,"—",IF(H1623=1,"ὁμώνυμον",IF(H1623=2,"διὰ πασῶν",IF(H1623=3,"διὰ πέντε",IF(H1623=4,"διὰ τεσσάρων","?")))))</f>
        <v>διὰ τεσσάρων</v>
      </c>
      <c r="K1623" s="10"/>
      <c r="L1623" s="14"/>
      <c r="M1623" s="13"/>
    </row>
    <row r="1624" customFormat="false" ht="15.75" hidden="false" customHeight="true" outlineLevel="0" collapsed="false">
      <c r="A1624" s="8" t="n">
        <f aca="false">A1623+1</f>
        <v>1622</v>
      </c>
      <c r="B1624" s="9" t="n">
        <f aca="false">MOD(4*A1624^2,10)</f>
        <v>6</v>
      </c>
      <c r="C1624" s="9" t="n">
        <f aca="false">(26*B1624-5*B1624^2)/24</f>
        <v>-1</v>
      </c>
      <c r="D1624" s="9" t="n">
        <f aca="false">(A1624^2+4*C1624)/5</f>
        <v>526176</v>
      </c>
      <c r="E1624" s="9" t="n">
        <f aca="false">MOD(D1624,10)</f>
        <v>6</v>
      </c>
      <c r="F1624" s="9" t="n">
        <f aca="false">2*D1624</f>
        <v>1052352</v>
      </c>
      <c r="G1624" s="9" t="n">
        <f aca="false">MOD(F1624,10)</f>
        <v>2</v>
      </c>
      <c r="H1624" s="9" t="n">
        <f aca="false">G1624/2</f>
        <v>1</v>
      </c>
      <c r="I1624" s="9" t="str">
        <f aca="false">IF(H1624=0,"—",IF(H1624=1,"unison (1:1)",IF(H1624=2,"octave (2:1)",IF(H1624=3,"fifth (3:2)",IF(H1624=4,"fourth (4:3)","?")))))</f>
        <v>unison (1:1)</v>
      </c>
      <c r="J1624" s="9" t="str">
        <f aca="false">IF(H1624=0,"—",IF(H1624=1,"ὁμώνυμον",IF(H1624=2,"διὰ πασῶν",IF(H1624=3,"διὰ πέντε",IF(H1624=4,"διὰ τεσσάρων","?")))))</f>
        <v>ὁμώνυμον</v>
      </c>
      <c r="K1624" s="10"/>
      <c r="L1624" s="14"/>
      <c r="M1624" s="13"/>
    </row>
    <row r="1625" customFormat="false" ht="15.75" hidden="false" customHeight="true" outlineLevel="0" collapsed="false">
      <c r="A1625" s="8" t="n">
        <f aca="false">A1624+1</f>
        <v>1623</v>
      </c>
      <c r="B1625" s="9" t="n">
        <f aca="false">MOD(4*A1625^2,10)</f>
        <v>6</v>
      </c>
      <c r="C1625" s="9" t="n">
        <f aca="false">(26*B1625-5*B1625^2)/24</f>
        <v>-1</v>
      </c>
      <c r="D1625" s="9" t="n">
        <f aca="false">(A1625^2+4*C1625)/5</f>
        <v>526825</v>
      </c>
      <c r="E1625" s="9" t="n">
        <f aca="false">MOD(D1625,10)</f>
        <v>5</v>
      </c>
      <c r="F1625" s="9" t="n">
        <f aca="false">2*D1625</f>
        <v>1053650</v>
      </c>
      <c r="G1625" s="9" t="n">
        <f aca="false">MOD(F1625,10)</f>
        <v>0</v>
      </c>
      <c r="H1625" s="9" t="n">
        <f aca="false">G1625/2</f>
        <v>0</v>
      </c>
      <c r="I1625" s="9" t="str">
        <f aca="false">IF(H1625=0,"—",IF(H1625=1,"unison (1:1)",IF(H1625=2,"octave (2:1)",IF(H1625=3,"fifth (3:2)",IF(H1625=4,"fourth (4:3)","?")))))</f>
        <v>—</v>
      </c>
      <c r="J1625" s="9" t="str">
        <f aca="false">IF(H1625=0,"—",IF(H1625=1,"ὁμώνυμον",IF(H1625=2,"διὰ πασῶν",IF(H1625=3,"διὰ πέντε",IF(H1625=4,"διὰ τεσσάρων","?")))))</f>
        <v>—</v>
      </c>
      <c r="K1625" s="10"/>
      <c r="L1625" s="14"/>
      <c r="M1625" s="13"/>
    </row>
    <row r="1626" customFormat="false" ht="15.75" hidden="false" customHeight="true" outlineLevel="0" collapsed="false">
      <c r="A1626" s="8" t="n">
        <f aca="false">A1625+1</f>
        <v>1624</v>
      </c>
      <c r="B1626" s="9" t="n">
        <f aca="false">MOD(4*A1626^2,10)</f>
        <v>4</v>
      </c>
      <c r="C1626" s="9" t="n">
        <f aca="false">(26*B1626-5*B1626^2)/24</f>
        <v>1</v>
      </c>
      <c r="D1626" s="9" t="n">
        <f aca="false">(A1626^2+4*C1626)/5</f>
        <v>527476</v>
      </c>
      <c r="E1626" s="9" t="n">
        <f aca="false">MOD(D1626,10)</f>
        <v>6</v>
      </c>
      <c r="F1626" s="9" t="n">
        <f aca="false">2*D1626</f>
        <v>1054952</v>
      </c>
      <c r="G1626" s="9" t="n">
        <f aca="false">MOD(F1626,10)</f>
        <v>2</v>
      </c>
      <c r="H1626" s="9" t="n">
        <f aca="false">G1626/2</f>
        <v>1</v>
      </c>
      <c r="I1626" s="9" t="str">
        <f aca="false">IF(H1626=0,"—",IF(H1626=1,"unison (1:1)",IF(H1626=2,"octave (2:1)",IF(H1626=3,"fifth (3:2)",IF(H1626=4,"fourth (4:3)","?")))))</f>
        <v>unison (1:1)</v>
      </c>
      <c r="J1626" s="9" t="str">
        <f aca="false">IF(H1626=0,"—",IF(H1626=1,"ὁμώνυμον",IF(H1626=2,"διὰ πασῶν",IF(H1626=3,"διὰ πέντε",IF(H1626=4,"διὰ τεσσάρων","?")))))</f>
        <v>ὁμώνυμον</v>
      </c>
      <c r="K1626" s="10"/>
      <c r="L1626" s="14"/>
      <c r="M1626" s="13"/>
    </row>
    <row r="1627" customFormat="false" ht="15.75" hidden="false" customHeight="true" outlineLevel="0" collapsed="false">
      <c r="A1627" s="8" t="n">
        <f aca="false">A1626+1</f>
        <v>1625</v>
      </c>
      <c r="B1627" s="9" t="n">
        <f aca="false">MOD(4*A1627^2,10)</f>
        <v>0</v>
      </c>
      <c r="C1627" s="9" t="n">
        <f aca="false">(26*B1627-5*B1627^2)/24</f>
        <v>0</v>
      </c>
      <c r="D1627" s="9" t="n">
        <f aca="false">(A1627^2+4*C1627)/5</f>
        <v>528125</v>
      </c>
      <c r="E1627" s="9" t="n">
        <f aca="false">MOD(D1627,10)</f>
        <v>5</v>
      </c>
      <c r="F1627" s="9" t="n">
        <f aca="false">2*D1627</f>
        <v>1056250</v>
      </c>
      <c r="G1627" s="9" t="n">
        <f aca="false">MOD(F1627,10)</f>
        <v>0</v>
      </c>
      <c r="H1627" s="9" t="n">
        <f aca="false">G1627/2</f>
        <v>0</v>
      </c>
      <c r="I1627" s="9" t="str">
        <f aca="false">IF(H1627=0,"—",IF(H1627=1,"unison (1:1)",IF(H1627=2,"octave (2:1)",IF(H1627=3,"fifth (3:2)",IF(H1627=4,"fourth (4:3)","?")))))</f>
        <v>—</v>
      </c>
      <c r="J1627" s="9" t="str">
        <f aca="false">IF(H1627=0,"—",IF(H1627=1,"ὁμώνυμον",IF(H1627=2,"διὰ πασῶν",IF(H1627=3,"διὰ πέντε",IF(H1627=4,"διὰ τεσσάρων","?")))))</f>
        <v>—</v>
      </c>
      <c r="K1627" s="10"/>
      <c r="L1627" s="14"/>
      <c r="M1627" s="13"/>
    </row>
    <row r="1628" customFormat="false" ht="15.75" hidden="false" customHeight="true" outlineLevel="0" collapsed="false">
      <c r="A1628" s="8" t="n">
        <f aca="false">A1627+1</f>
        <v>1626</v>
      </c>
      <c r="B1628" s="9" t="n">
        <f aca="false">MOD(4*A1628^2,10)</f>
        <v>4</v>
      </c>
      <c r="C1628" s="9" t="n">
        <f aca="false">(26*B1628-5*B1628^2)/24</f>
        <v>1</v>
      </c>
      <c r="D1628" s="9" t="n">
        <f aca="false">(A1628^2+4*C1628)/5</f>
        <v>528776</v>
      </c>
      <c r="E1628" s="9" t="n">
        <f aca="false">MOD(D1628,10)</f>
        <v>6</v>
      </c>
      <c r="F1628" s="9" t="n">
        <f aca="false">2*D1628</f>
        <v>1057552</v>
      </c>
      <c r="G1628" s="9" t="n">
        <f aca="false">MOD(F1628,10)</f>
        <v>2</v>
      </c>
      <c r="H1628" s="9" t="n">
        <f aca="false">G1628/2</f>
        <v>1</v>
      </c>
      <c r="I1628" s="9" t="str">
        <f aca="false">IF(H1628=0,"—",IF(H1628=1,"unison (1:1)",IF(H1628=2,"octave (2:1)",IF(H1628=3,"fifth (3:2)",IF(H1628=4,"fourth (4:3)","?")))))</f>
        <v>unison (1:1)</v>
      </c>
      <c r="J1628" s="9" t="str">
        <f aca="false">IF(H1628=0,"—",IF(H1628=1,"ὁμώνυμον",IF(H1628=2,"διὰ πασῶν",IF(H1628=3,"διὰ πέντε",IF(H1628=4,"διὰ τεσσάρων","?")))))</f>
        <v>ὁμώνυμον</v>
      </c>
      <c r="K1628" s="10"/>
      <c r="L1628" s="14"/>
      <c r="M1628" s="13"/>
    </row>
    <row r="1629" customFormat="false" ht="15.75" hidden="false" customHeight="true" outlineLevel="0" collapsed="false">
      <c r="A1629" s="8" t="n">
        <f aca="false">A1628+1</f>
        <v>1627</v>
      </c>
      <c r="B1629" s="9" t="n">
        <f aca="false">MOD(4*A1629^2,10)</f>
        <v>6</v>
      </c>
      <c r="C1629" s="9" t="n">
        <f aca="false">(26*B1629-5*B1629^2)/24</f>
        <v>-1</v>
      </c>
      <c r="D1629" s="9" t="n">
        <f aca="false">(A1629^2+4*C1629)/5</f>
        <v>529425</v>
      </c>
      <c r="E1629" s="9" t="n">
        <f aca="false">MOD(D1629,10)</f>
        <v>5</v>
      </c>
      <c r="F1629" s="9" t="n">
        <f aca="false">2*D1629</f>
        <v>1058850</v>
      </c>
      <c r="G1629" s="9" t="n">
        <f aca="false">MOD(F1629,10)</f>
        <v>0</v>
      </c>
      <c r="H1629" s="9" t="n">
        <f aca="false">G1629/2</f>
        <v>0</v>
      </c>
      <c r="I1629" s="9" t="str">
        <f aca="false">IF(H1629=0,"—",IF(H1629=1,"unison (1:1)",IF(H1629=2,"octave (2:1)",IF(H1629=3,"fifth (3:2)",IF(H1629=4,"fourth (4:3)","?")))))</f>
        <v>—</v>
      </c>
      <c r="J1629" s="9" t="str">
        <f aca="false">IF(H1629=0,"—",IF(H1629=1,"ὁμώνυμον",IF(H1629=2,"διὰ πασῶν",IF(H1629=3,"διὰ πέντε",IF(H1629=4,"διὰ τεσσάρων","?")))))</f>
        <v>—</v>
      </c>
      <c r="K1629" s="10"/>
      <c r="L1629" s="14"/>
      <c r="M1629" s="13"/>
    </row>
    <row r="1630" customFormat="false" ht="15.75" hidden="false" customHeight="true" outlineLevel="0" collapsed="false">
      <c r="A1630" s="8" t="n">
        <f aca="false">A1629+1</f>
        <v>1628</v>
      </c>
      <c r="B1630" s="9" t="n">
        <f aca="false">MOD(4*A1630^2,10)</f>
        <v>6</v>
      </c>
      <c r="C1630" s="9" t="n">
        <f aca="false">(26*B1630-5*B1630^2)/24</f>
        <v>-1</v>
      </c>
      <c r="D1630" s="9" t="n">
        <f aca="false">(A1630^2+4*C1630)/5</f>
        <v>530076</v>
      </c>
      <c r="E1630" s="9" t="n">
        <f aca="false">MOD(D1630,10)</f>
        <v>6</v>
      </c>
      <c r="F1630" s="9" t="n">
        <f aca="false">2*D1630</f>
        <v>1060152</v>
      </c>
      <c r="G1630" s="9" t="n">
        <f aca="false">MOD(F1630,10)</f>
        <v>2</v>
      </c>
      <c r="H1630" s="9" t="n">
        <f aca="false">G1630/2</f>
        <v>1</v>
      </c>
      <c r="I1630" s="9" t="str">
        <f aca="false">IF(H1630=0,"—",IF(H1630=1,"unison (1:1)",IF(H1630=2,"octave (2:1)",IF(H1630=3,"fifth (3:2)",IF(H1630=4,"fourth (4:3)","?")))))</f>
        <v>unison (1:1)</v>
      </c>
      <c r="J1630" s="9" t="str">
        <f aca="false">IF(H1630=0,"—",IF(H1630=1,"ὁμώνυμον",IF(H1630=2,"διὰ πασῶν",IF(H1630=3,"διὰ πέντε",IF(H1630=4,"διὰ τεσσάρων","?")))))</f>
        <v>ὁμώνυμον</v>
      </c>
      <c r="K1630" s="10"/>
      <c r="L1630" s="14"/>
      <c r="M1630" s="13"/>
    </row>
    <row r="1631" customFormat="false" ht="15.75" hidden="false" customHeight="true" outlineLevel="0" collapsed="false">
      <c r="A1631" s="8" t="n">
        <f aca="false">A1630+1</f>
        <v>1629</v>
      </c>
      <c r="B1631" s="9" t="n">
        <f aca="false">MOD(4*A1631^2,10)</f>
        <v>4</v>
      </c>
      <c r="C1631" s="9" t="n">
        <f aca="false">(26*B1631-5*B1631^2)/24</f>
        <v>1</v>
      </c>
      <c r="D1631" s="9" t="n">
        <f aca="false">(A1631^2+4*C1631)/5</f>
        <v>530729</v>
      </c>
      <c r="E1631" s="9" t="n">
        <f aca="false">MOD(D1631,10)</f>
        <v>9</v>
      </c>
      <c r="F1631" s="9" t="n">
        <f aca="false">2*D1631</f>
        <v>1061458</v>
      </c>
      <c r="G1631" s="9" t="n">
        <f aca="false">MOD(F1631,10)</f>
        <v>8</v>
      </c>
      <c r="H1631" s="9" t="n">
        <f aca="false">G1631/2</f>
        <v>4</v>
      </c>
      <c r="I1631" s="9" t="str">
        <f aca="false">IF(H1631=0,"—",IF(H1631=1,"unison (1:1)",IF(H1631=2,"octave (2:1)",IF(H1631=3,"fifth (3:2)",IF(H1631=4,"fourth (4:3)","?")))))</f>
        <v>fourth (4:3)</v>
      </c>
      <c r="J1631" s="9" t="str">
        <f aca="false">IF(H1631=0,"—",IF(H1631=1,"ὁμώνυμον",IF(H1631=2,"διὰ πασῶν",IF(H1631=3,"διὰ πέντε",IF(H1631=4,"διὰ τεσσάρων","?")))))</f>
        <v>διὰ τεσσάρων</v>
      </c>
      <c r="K1631" s="10"/>
      <c r="L1631" s="14"/>
      <c r="M1631" s="13"/>
    </row>
    <row r="1632" customFormat="false" ht="15.75" hidden="false" customHeight="true" outlineLevel="0" collapsed="false">
      <c r="A1632" s="8" t="n">
        <f aca="false">A1631+1</f>
        <v>1630</v>
      </c>
      <c r="B1632" s="9" t="n">
        <f aca="false">MOD(4*A1632^2,10)</f>
        <v>0</v>
      </c>
      <c r="C1632" s="9" t="n">
        <f aca="false">(26*B1632-5*B1632^2)/24</f>
        <v>0</v>
      </c>
      <c r="D1632" s="9" t="n">
        <f aca="false">(A1632^2+4*C1632)/5</f>
        <v>531380</v>
      </c>
      <c r="E1632" s="9" t="n">
        <f aca="false">MOD(D1632,10)</f>
        <v>0</v>
      </c>
      <c r="F1632" s="9" t="n">
        <f aca="false">2*D1632</f>
        <v>1062760</v>
      </c>
      <c r="G1632" s="9" t="n">
        <f aca="false">MOD(F1632,10)</f>
        <v>0</v>
      </c>
      <c r="H1632" s="9" t="n">
        <f aca="false">G1632/2</f>
        <v>0</v>
      </c>
      <c r="I1632" s="9" t="str">
        <f aca="false">IF(H1632=0,"—",IF(H1632=1,"unison (1:1)",IF(H1632=2,"octave (2:1)",IF(H1632=3,"fifth (3:2)",IF(H1632=4,"fourth (4:3)","?")))))</f>
        <v>—</v>
      </c>
      <c r="J1632" s="9" t="str">
        <f aca="false">IF(H1632=0,"—",IF(H1632=1,"ὁμώνυμον",IF(H1632=2,"διὰ πασῶν",IF(H1632=3,"διὰ πέντε",IF(H1632=4,"διὰ τεσσάρων","?")))))</f>
        <v>—</v>
      </c>
      <c r="K1632" s="10"/>
      <c r="L1632" s="14"/>
      <c r="M1632" s="13"/>
    </row>
    <row r="1633" customFormat="false" ht="15.75" hidden="false" customHeight="true" outlineLevel="0" collapsed="false">
      <c r="A1633" s="8" t="n">
        <f aca="false">A1632+1</f>
        <v>1631</v>
      </c>
      <c r="B1633" s="9" t="n">
        <f aca="false">MOD(4*A1633^2,10)</f>
        <v>4</v>
      </c>
      <c r="C1633" s="9" t="n">
        <f aca="false">(26*B1633-5*B1633^2)/24</f>
        <v>1</v>
      </c>
      <c r="D1633" s="9" t="n">
        <f aca="false">(A1633^2+4*C1633)/5</f>
        <v>532033</v>
      </c>
      <c r="E1633" s="9" t="n">
        <f aca="false">MOD(D1633,10)</f>
        <v>3</v>
      </c>
      <c r="F1633" s="9" t="n">
        <f aca="false">2*D1633</f>
        <v>1064066</v>
      </c>
      <c r="G1633" s="9" t="n">
        <f aca="false">MOD(F1633,10)</f>
        <v>6</v>
      </c>
      <c r="H1633" s="9" t="n">
        <f aca="false">G1633/2</f>
        <v>3</v>
      </c>
      <c r="I1633" s="9" t="str">
        <f aca="false">IF(H1633=0,"—",IF(H1633=1,"unison (1:1)",IF(H1633=2,"octave (2:1)",IF(H1633=3,"fifth (3:2)",IF(H1633=4,"fourth (4:3)","?")))))</f>
        <v>fifth (3:2)</v>
      </c>
      <c r="J1633" s="9" t="str">
        <f aca="false">IF(H1633=0,"—",IF(H1633=1,"ὁμώνυμον",IF(H1633=2,"διὰ πασῶν",IF(H1633=3,"διὰ πέντε",IF(H1633=4,"διὰ τεσσάρων","?")))))</f>
        <v>διὰ πέντε</v>
      </c>
      <c r="K1633" s="10"/>
      <c r="L1633" s="14"/>
      <c r="M1633" s="13"/>
    </row>
    <row r="1634" customFormat="false" ht="15.75" hidden="false" customHeight="true" outlineLevel="0" collapsed="false">
      <c r="A1634" s="8" t="n">
        <f aca="false">A1633+1</f>
        <v>1632</v>
      </c>
      <c r="B1634" s="9" t="n">
        <f aca="false">MOD(4*A1634^2,10)</f>
        <v>6</v>
      </c>
      <c r="C1634" s="9" t="n">
        <f aca="false">(26*B1634-5*B1634^2)/24</f>
        <v>-1</v>
      </c>
      <c r="D1634" s="9" t="n">
        <f aca="false">(A1634^2+4*C1634)/5</f>
        <v>532684</v>
      </c>
      <c r="E1634" s="9" t="n">
        <f aca="false">MOD(D1634,10)</f>
        <v>4</v>
      </c>
      <c r="F1634" s="9" t="n">
        <f aca="false">2*D1634</f>
        <v>1065368</v>
      </c>
      <c r="G1634" s="9" t="n">
        <f aca="false">MOD(F1634,10)</f>
        <v>8</v>
      </c>
      <c r="H1634" s="9" t="n">
        <f aca="false">G1634/2</f>
        <v>4</v>
      </c>
      <c r="I1634" s="9" t="str">
        <f aca="false">IF(H1634=0,"—",IF(H1634=1,"unison (1:1)",IF(H1634=2,"octave (2:1)",IF(H1634=3,"fifth (3:2)",IF(H1634=4,"fourth (4:3)","?")))))</f>
        <v>fourth (4:3)</v>
      </c>
      <c r="J1634" s="9" t="str">
        <f aca="false">IF(H1634=0,"—",IF(H1634=1,"ὁμώνυμον",IF(H1634=2,"διὰ πασῶν",IF(H1634=3,"διὰ πέντε",IF(H1634=4,"διὰ τεσσάρων","?")))))</f>
        <v>διὰ τεσσάρων</v>
      </c>
      <c r="K1634" s="10"/>
      <c r="L1634" s="14"/>
      <c r="M1634" s="13"/>
    </row>
    <row r="1635" customFormat="false" ht="15.75" hidden="false" customHeight="true" outlineLevel="0" collapsed="false">
      <c r="A1635" s="8" t="n">
        <f aca="false">A1634+1</f>
        <v>1633</v>
      </c>
      <c r="B1635" s="9" t="n">
        <f aca="false">MOD(4*A1635^2,10)</f>
        <v>6</v>
      </c>
      <c r="C1635" s="9" t="n">
        <f aca="false">(26*B1635-5*B1635^2)/24</f>
        <v>-1</v>
      </c>
      <c r="D1635" s="9" t="n">
        <f aca="false">(A1635^2+4*C1635)/5</f>
        <v>533337</v>
      </c>
      <c r="E1635" s="9" t="n">
        <f aca="false">MOD(D1635,10)</f>
        <v>7</v>
      </c>
      <c r="F1635" s="9" t="n">
        <f aca="false">2*D1635</f>
        <v>1066674</v>
      </c>
      <c r="G1635" s="9" t="n">
        <f aca="false">MOD(F1635,10)</f>
        <v>4</v>
      </c>
      <c r="H1635" s="9" t="n">
        <f aca="false">G1635/2</f>
        <v>2</v>
      </c>
      <c r="I1635" s="9" t="str">
        <f aca="false">IF(H1635=0,"—",IF(H1635=1,"unison (1:1)",IF(H1635=2,"octave (2:1)",IF(H1635=3,"fifth (3:2)",IF(H1635=4,"fourth (4:3)","?")))))</f>
        <v>octave (2:1)</v>
      </c>
      <c r="J1635" s="9" t="str">
        <f aca="false">IF(H1635=0,"—",IF(H1635=1,"ὁμώνυμον",IF(H1635=2,"διὰ πασῶν",IF(H1635=3,"διὰ πέντε",IF(H1635=4,"διὰ τεσσάρων","?")))))</f>
        <v>διὰ πασῶν</v>
      </c>
      <c r="K1635" s="10"/>
      <c r="L1635" s="14"/>
      <c r="M1635" s="13"/>
    </row>
    <row r="1636" customFormat="false" ht="15.75" hidden="false" customHeight="true" outlineLevel="0" collapsed="false">
      <c r="A1636" s="8" t="n">
        <f aca="false">A1635+1</f>
        <v>1634</v>
      </c>
      <c r="B1636" s="9" t="n">
        <f aca="false">MOD(4*A1636^2,10)</f>
        <v>4</v>
      </c>
      <c r="C1636" s="9" t="n">
        <f aca="false">(26*B1636-5*B1636^2)/24</f>
        <v>1</v>
      </c>
      <c r="D1636" s="9" t="n">
        <f aca="false">(A1636^2+4*C1636)/5</f>
        <v>533992</v>
      </c>
      <c r="E1636" s="9" t="n">
        <f aca="false">MOD(D1636,10)</f>
        <v>2</v>
      </c>
      <c r="F1636" s="9" t="n">
        <f aca="false">2*D1636</f>
        <v>1067984</v>
      </c>
      <c r="G1636" s="9" t="n">
        <f aca="false">MOD(F1636,10)</f>
        <v>4</v>
      </c>
      <c r="H1636" s="9" t="n">
        <f aca="false">G1636/2</f>
        <v>2</v>
      </c>
      <c r="I1636" s="9" t="str">
        <f aca="false">IF(H1636=0,"—",IF(H1636=1,"unison (1:1)",IF(H1636=2,"octave (2:1)",IF(H1636=3,"fifth (3:2)",IF(H1636=4,"fourth (4:3)","?")))))</f>
        <v>octave (2:1)</v>
      </c>
      <c r="J1636" s="9" t="str">
        <f aca="false">IF(H1636=0,"—",IF(H1636=1,"ὁμώνυμον",IF(H1636=2,"διὰ πασῶν",IF(H1636=3,"διὰ πέντε",IF(H1636=4,"διὰ τεσσάρων","?")))))</f>
        <v>διὰ πασῶν</v>
      </c>
      <c r="K1636" s="10"/>
      <c r="L1636" s="14"/>
      <c r="M1636" s="13"/>
    </row>
    <row r="1637" customFormat="false" ht="15.75" hidden="false" customHeight="true" outlineLevel="0" collapsed="false">
      <c r="A1637" s="8" t="n">
        <f aca="false">A1636+1</f>
        <v>1635</v>
      </c>
      <c r="B1637" s="9" t="n">
        <f aca="false">MOD(4*A1637^2,10)</f>
        <v>0</v>
      </c>
      <c r="C1637" s="9" t="n">
        <f aca="false">(26*B1637-5*B1637^2)/24</f>
        <v>0</v>
      </c>
      <c r="D1637" s="9" t="n">
        <f aca="false">(A1637^2+4*C1637)/5</f>
        <v>534645</v>
      </c>
      <c r="E1637" s="9" t="n">
        <f aca="false">MOD(D1637,10)</f>
        <v>5</v>
      </c>
      <c r="F1637" s="9" t="n">
        <f aca="false">2*D1637</f>
        <v>1069290</v>
      </c>
      <c r="G1637" s="9" t="n">
        <f aca="false">MOD(F1637,10)</f>
        <v>0</v>
      </c>
      <c r="H1637" s="9" t="n">
        <f aca="false">G1637/2</f>
        <v>0</v>
      </c>
      <c r="I1637" s="9" t="str">
        <f aca="false">IF(H1637=0,"—",IF(H1637=1,"unison (1:1)",IF(H1637=2,"octave (2:1)",IF(H1637=3,"fifth (3:2)",IF(H1637=4,"fourth (4:3)","?")))))</f>
        <v>—</v>
      </c>
      <c r="J1637" s="9" t="str">
        <f aca="false">IF(H1637=0,"—",IF(H1637=1,"ὁμώνυμον",IF(H1637=2,"διὰ πασῶν",IF(H1637=3,"διὰ πέντε",IF(H1637=4,"διὰ τεσσάρων","?")))))</f>
        <v>—</v>
      </c>
      <c r="K1637" s="10"/>
      <c r="L1637" s="14"/>
      <c r="M1637" s="13"/>
    </row>
    <row r="1638" customFormat="false" ht="15.75" hidden="false" customHeight="true" outlineLevel="0" collapsed="false">
      <c r="A1638" s="8" t="n">
        <f aca="false">A1637+1</f>
        <v>1636</v>
      </c>
      <c r="B1638" s="9" t="n">
        <f aca="false">MOD(4*A1638^2,10)</f>
        <v>4</v>
      </c>
      <c r="C1638" s="9" t="n">
        <f aca="false">(26*B1638-5*B1638^2)/24</f>
        <v>1</v>
      </c>
      <c r="D1638" s="9" t="n">
        <f aca="false">(A1638^2+4*C1638)/5</f>
        <v>535300</v>
      </c>
      <c r="E1638" s="9" t="n">
        <f aca="false">MOD(D1638,10)</f>
        <v>0</v>
      </c>
      <c r="F1638" s="9" t="n">
        <f aca="false">2*D1638</f>
        <v>1070600</v>
      </c>
      <c r="G1638" s="9" t="n">
        <f aca="false">MOD(F1638,10)</f>
        <v>0</v>
      </c>
      <c r="H1638" s="9" t="n">
        <f aca="false">G1638/2</f>
        <v>0</v>
      </c>
      <c r="I1638" s="9" t="str">
        <f aca="false">IF(H1638=0,"—",IF(H1638=1,"unison (1:1)",IF(H1638=2,"octave (2:1)",IF(H1638=3,"fifth (3:2)",IF(H1638=4,"fourth (4:3)","?")))))</f>
        <v>—</v>
      </c>
      <c r="J1638" s="9" t="str">
        <f aca="false">IF(H1638=0,"—",IF(H1638=1,"ὁμώνυμον",IF(H1638=2,"διὰ πασῶν",IF(H1638=3,"διὰ πέντε",IF(H1638=4,"διὰ τεσσάρων","?")))))</f>
        <v>—</v>
      </c>
      <c r="K1638" s="10"/>
      <c r="L1638" s="14"/>
      <c r="M1638" s="13"/>
    </row>
    <row r="1639" customFormat="false" ht="15.75" hidden="false" customHeight="true" outlineLevel="0" collapsed="false">
      <c r="A1639" s="8" t="n">
        <f aca="false">A1638+1</f>
        <v>1637</v>
      </c>
      <c r="B1639" s="9" t="n">
        <f aca="false">MOD(4*A1639^2,10)</f>
        <v>6</v>
      </c>
      <c r="C1639" s="9" t="n">
        <f aca="false">(26*B1639-5*B1639^2)/24</f>
        <v>-1</v>
      </c>
      <c r="D1639" s="9" t="n">
        <f aca="false">(A1639^2+4*C1639)/5</f>
        <v>535953</v>
      </c>
      <c r="E1639" s="9" t="n">
        <f aca="false">MOD(D1639,10)</f>
        <v>3</v>
      </c>
      <c r="F1639" s="9" t="n">
        <f aca="false">2*D1639</f>
        <v>1071906</v>
      </c>
      <c r="G1639" s="9" t="n">
        <f aca="false">MOD(F1639,10)</f>
        <v>6</v>
      </c>
      <c r="H1639" s="9" t="n">
        <f aca="false">G1639/2</f>
        <v>3</v>
      </c>
      <c r="I1639" s="9" t="str">
        <f aca="false">IF(H1639=0,"—",IF(H1639=1,"unison (1:1)",IF(H1639=2,"octave (2:1)",IF(H1639=3,"fifth (3:2)",IF(H1639=4,"fourth (4:3)","?")))))</f>
        <v>fifth (3:2)</v>
      </c>
      <c r="J1639" s="9" t="str">
        <f aca="false">IF(H1639=0,"—",IF(H1639=1,"ὁμώνυμον",IF(H1639=2,"διὰ πασῶν",IF(H1639=3,"διὰ πέντε",IF(H1639=4,"διὰ τεσσάρων","?")))))</f>
        <v>διὰ πέντε</v>
      </c>
      <c r="K1639" s="10"/>
      <c r="L1639" s="14"/>
      <c r="M1639" s="13"/>
    </row>
    <row r="1640" customFormat="false" ht="15.75" hidden="false" customHeight="true" outlineLevel="0" collapsed="false">
      <c r="A1640" s="8" t="n">
        <f aca="false">A1639+1</f>
        <v>1638</v>
      </c>
      <c r="B1640" s="9" t="n">
        <f aca="false">MOD(4*A1640^2,10)</f>
        <v>6</v>
      </c>
      <c r="C1640" s="9" t="n">
        <f aca="false">(26*B1640-5*B1640^2)/24</f>
        <v>-1</v>
      </c>
      <c r="D1640" s="9" t="n">
        <f aca="false">(A1640^2+4*C1640)/5</f>
        <v>536608</v>
      </c>
      <c r="E1640" s="9" t="n">
        <f aca="false">MOD(D1640,10)</f>
        <v>8</v>
      </c>
      <c r="F1640" s="9" t="n">
        <f aca="false">2*D1640</f>
        <v>1073216</v>
      </c>
      <c r="G1640" s="9" t="n">
        <f aca="false">MOD(F1640,10)</f>
        <v>6</v>
      </c>
      <c r="H1640" s="9" t="n">
        <f aca="false">G1640/2</f>
        <v>3</v>
      </c>
      <c r="I1640" s="9" t="str">
        <f aca="false">IF(H1640=0,"—",IF(H1640=1,"unison (1:1)",IF(H1640=2,"octave (2:1)",IF(H1640=3,"fifth (3:2)",IF(H1640=4,"fourth (4:3)","?")))))</f>
        <v>fifth (3:2)</v>
      </c>
      <c r="J1640" s="9" t="str">
        <f aca="false">IF(H1640=0,"—",IF(H1640=1,"ὁμώνυμον",IF(H1640=2,"διὰ πασῶν",IF(H1640=3,"διὰ πέντε",IF(H1640=4,"διὰ τεσσάρων","?")))))</f>
        <v>διὰ πέντε</v>
      </c>
      <c r="K1640" s="10"/>
      <c r="L1640" s="14"/>
      <c r="M1640" s="13"/>
    </row>
    <row r="1641" customFormat="false" ht="15.75" hidden="false" customHeight="true" outlineLevel="0" collapsed="false">
      <c r="A1641" s="8" t="n">
        <f aca="false">A1640+1</f>
        <v>1639</v>
      </c>
      <c r="B1641" s="9" t="n">
        <f aca="false">MOD(4*A1641^2,10)</f>
        <v>4</v>
      </c>
      <c r="C1641" s="9" t="n">
        <f aca="false">(26*B1641-5*B1641^2)/24</f>
        <v>1</v>
      </c>
      <c r="D1641" s="9" t="n">
        <f aca="false">(A1641^2+4*C1641)/5</f>
        <v>537265</v>
      </c>
      <c r="E1641" s="9" t="n">
        <f aca="false">MOD(D1641,10)</f>
        <v>5</v>
      </c>
      <c r="F1641" s="9" t="n">
        <f aca="false">2*D1641</f>
        <v>1074530</v>
      </c>
      <c r="G1641" s="9" t="n">
        <f aca="false">MOD(F1641,10)</f>
        <v>0</v>
      </c>
      <c r="H1641" s="9" t="n">
        <f aca="false">G1641/2</f>
        <v>0</v>
      </c>
      <c r="I1641" s="9" t="str">
        <f aca="false">IF(H1641=0,"—",IF(H1641=1,"unison (1:1)",IF(H1641=2,"octave (2:1)",IF(H1641=3,"fifth (3:2)",IF(H1641=4,"fourth (4:3)","?")))))</f>
        <v>—</v>
      </c>
      <c r="J1641" s="9" t="str">
        <f aca="false">IF(H1641=0,"—",IF(H1641=1,"ὁμώνυμον",IF(H1641=2,"διὰ πασῶν",IF(H1641=3,"διὰ πέντε",IF(H1641=4,"διὰ τεσσάρων","?")))))</f>
        <v>—</v>
      </c>
      <c r="K1641" s="10"/>
      <c r="L1641" s="14"/>
      <c r="M1641" s="13"/>
    </row>
    <row r="1642" customFormat="false" ht="15.75" hidden="false" customHeight="true" outlineLevel="0" collapsed="false">
      <c r="A1642" s="8" t="n">
        <f aca="false">A1641+1</f>
        <v>1640</v>
      </c>
      <c r="B1642" s="9" t="n">
        <f aca="false">MOD(4*A1642^2,10)</f>
        <v>0</v>
      </c>
      <c r="C1642" s="9" t="n">
        <f aca="false">(26*B1642-5*B1642^2)/24</f>
        <v>0</v>
      </c>
      <c r="D1642" s="9" t="n">
        <f aca="false">(A1642^2+4*C1642)/5</f>
        <v>537920</v>
      </c>
      <c r="E1642" s="9" t="n">
        <f aca="false">MOD(D1642,10)</f>
        <v>0</v>
      </c>
      <c r="F1642" s="9" t="n">
        <f aca="false">2*D1642</f>
        <v>1075840</v>
      </c>
      <c r="G1642" s="9" t="n">
        <f aca="false">MOD(F1642,10)</f>
        <v>0</v>
      </c>
      <c r="H1642" s="9" t="n">
        <f aca="false">G1642/2</f>
        <v>0</v>
      </c>
      <c r="I1642" s="9" t="str">
        <f aca="false">IF(H1642=0,"—",IF(H1642=1,"unison (1:1)",IF(H1642=2,"octave (2:1)",IF(H1642=3,"fifth (3:2)",IF(H1642=4,"fourth (4:3)","?")))))</f>
        <v>—</v>
      </c>
      <c r="J1642" s="9" t="str">
        <f aca="false">IF(H1642=0,"—",IF(H1642=1,"ὁμώνυμον",IF(H1642=2,"διὰ πασῶν",IF(H1642=3,"διὰ πέντε",IF(H1642=4,"διὰ τεσσάρων","?")))))</f>
        <v>—</v>
      </c>
      <c r="K1642" s="10"/>
      <c r="L1642" s="14"/>
      <c r="M1642" s="13"/>
    </row>
    <row r="1643" customFormat="false" ht="15.75" hidden="false" customHeight="true" outlineLevel="0" collapsed="false">
      <c r="A1643" s="8" t="n">
        <f aca="false">A1642+1</f>
        <v>1641</v>
      </c>
      <c r="B1643" s="9" t="n">
        <f aca="false">MOD(4*A1643^2,10)</f>
        <v>4</v>
      </c>
      <c r="C1643" s="9" t="n">
        <f aca="false">(26*B1643-5*B1643^2)/24</f>
        <v>1</v>
      </c>
      <c r="D1643" s="9" t="n">
        <f aca="false">(A1643^2+4*C1643)/5</f>
        <v>538577</v>
      </c>
      <c r="E1643" s="9" t="n">
        <f aca="false">MOD(D1643,10)</f>
        <v>7</v>
      </c>
      <c r="F1643" s="9" t="n">
        <f aca="false">2*D1643</f>
        <v>1077154</v>
      </c>
      <c r="G1643" s="9" t="n">
        <f aca="false">MOD(F1643,10)</f>
        <v>4</v>
      </c>
      <c r="H1643" s="9" t="n">
        <f aca="false">G1643/2</f>
        <v>2</v>
      </c>
      <c r="I1643" s="9" t="str">
        <f aca="false">IF(H1643=0,"—",IF(H1643=1,"unison (1:1)",IF(H1643=2,"octave (2:1)",IF(H1643=3,"fifth (3:2)",IF(H1643=4,"fourth (4:3)","?")))))</f>
        <v>octave (2:1)</v>
      </c>
      <c r="J1643" s="9" t="str">
        <f aca="false">IF(H1643=0,"—",IF(H1643=1,"ὁμώνυμον",IF(H1643=2,"διὰ πασῶν",IF(H1643=3,"διὰ πέντε",IF(H1643=4,"διὰ τεσσάρων","?")))))</f>
        <v>διὰ πασῶν</v>
      </c>
      <c r="K1643" s="10"/>
      <c r="L1643" s="14"/>
      <c r="M1643" s="13"/>
    </row>
    <row r="1644" customFormat="false" ht="15.75" hidden="false" customHeight="true" outlineLevel="0" collapsed="false">
      <c r="A1644" s="8" t="n">
        <f aca="false">A1643+1</f>
        <v>1642</v>
      </c>
      <c r="B1644" s="9" t="n">
        <f aca="false">MOD(4*A1644^2,10)</f>
        <v>6</v>
      </c>
      <c r="C1644" s="9" t="n">
        <f aca="false">(26*B1644-5*B1644^2)/24</f>
        <v>-1</v>
      </c>
      <c r="D1644" s="9" t="n">
        <f aca="false">(A1644^2+4*C1644)/5</f>
        <v>539232</v>
      </c>
      <c r="E1644" s="9" t="n">
        <f aca="false">MOD(D1644,10)</f>
        <v>2</v>
      </c>
      <c r="F1644" s="9" t="n">
        <f aca="false">2*D1644</f>
        <v>1078464</v>
      </c>
      <c r="G1644" s="9" t="n">
        <f aca="false">MOD(F1644,10)</f>
        <v>4</v>
      </c>
      <c r="H1644" s="9" t="n">
        <f aca="false">G1644/2</f>
        <v>2</v>
      </c>
      <c r="I1644" s="9" t="str">
        <f aca="false">IF(H1644=0,"—",IF(H1644=1,"unison (1:1)",IF(H1644=2,"octave (2:1)",IF(H1644=3,"fifth (3:2)",IF(H1644=4,"fourth (4:3)","?")))))</f>
        <v>octave (2:1)</v>
      </c>
      <c r="J1644" s="9" t="str">
        <f aca="false">IF(H1644=0,"—",IF(H1644=1,"ὁμώνυμον",IF(H1644=2,"διὰ πασῶν",IF(H1644=3,"διὰ πέντε",IF(H1644=4,"διὰ τεσσάρων","?")))))</f>
        <v>διὰ πασῶν</v>
      </c>
      <c r="K1644" s="10"/>
      <c r="L1644" s="14"/>
      <c r="M1644" s="13"/>
    </row>
    <row r="1645" customFormat="false" ht="15.75" hidden="false" customHeight="true" outlineLevel="0" collapsed="false">
      <c r="A1645" s="8" t="n">
        <f aca="false">A1644+1</f>
        <v>1643</v>
      </c>
      <c r="B1645" s="9" t="n">
        <f aca="false">MOD(4*A1645^2,10)</f>
        <v>6</v>
      </c>
      <c r="C1645" s="9" t="n">
        <f aca="false">(26*B1645-5*B1645^2)/24</f>
        <v>-1</v>
      </c>
      <c r="D1645" s="9" t="n">
        <f aca="false">(A1645^2+4*C1645)/5</f>
        <v>539889</v>
      </c>
      <c r="E1645" s="9" t="n">
        <f aca="false">MOD(D1645,10)</f>
        <v>9</v>
      </c>
      <c r="F1645" s="9" t="n">
        <f aca="false">2*D1645</f>
        <v>1079778</v>
      </c>
      <c r="G1645" s="9" t="n">
        <f aca="false">MOD(F1645,10)</f>
        <v>8</v>
      </c>
      <c r="H1645" s="9" t="n">
        <f aca="false">G1645/2</f>
        <v>4</v>
      </c>
      <c r="I1645" s="9" t="str">
        <f aca="false">IF(H1645=0,"—",IF(H1645=1,"unison (1:1)",IF(H1645=2,"octave (2:1)",IF(H1645=3,"fifth (3:2)",IF(H1645=4,"fourth (4:3)","?")))))</f>
        <v>fourth (4:3)</v>
      </c>
      <c r="J1645" s="9" t="str">
        <f aca="false">IF(H1645=0,"—",IF(H1645=1,"ὁμώνυμον",IF(H1645=2,"διὰ πασῶν",IF(H1645=3,"διὰ πέντε",IF(H1645=4,"διὰ τεσσάρων","?")))))</f>
        <v>διὰ τεσσάρων</v>
      </c>
      <c r="K1645" s="10"/>
      <c r="L1645" s="14"/>
      <c r="M1645" s="13"/>
    </row>
    <row r="1646" customFormat="false" ht="15.75" hidden="false" customHeight="true" outlineLevel="0" collapsed="false">
      <c r="A1646" s="8" t="n">
        <f aca="false">A1645+1</f>
        <v>1644</v>
      </c>
      <c r="B1646" s="9" t="n">
        <f aca="false">MOD(4*A1646^2,10)</f>
        <v>4</v>
      </c>
      <c r="C1646" s="9" t="n">
        <f aca="false">(26*B1646-5*B1646^2)/24</f>
        <v>1</v>
      </c>
      <c r="D1646" s="9" t="n">
        <f aca="false">(A1646^2+4*C1646)/5</f>
        <v>540548</v>
      </c>
      <c r="E1646" s="9" t="n">
        <f aca="false">MOD(D1646,10)</f>
        <v>8</v>
      </c>
      <c r="F1646" s="9" t="n">
        <f aca="false">2*D1646</f>
        <v>1081096</v>
      </c>
      <c r="G1646" s="9" t="n">
        <f aca="false">MOD(F1646,10)</f>
        <v>6</v>
      </c>
      <c r="H1646" s="9" t="n">
        <f aca="false">G1646/2</f>
        <v>3</v>
      </c>
      <c r="I1646" s="9" t="str">
        <f aca="false">IF(H1646=0,"—",IF(H1646=1,"unison (1:1)",IF(H1646=2,"octave (2:1)",IF(H1646=3,"fifth (3:2)",IF(H1646=4,"fourth (4:3)","?")))))</f>
        <v>fifth (3:2)</v>
      </c>
      <c r="J1646" s="9" t="str">
        <f aca="false">IF(H1646=0,"—",IF(H1646=1,"ὁμώνυμον",IF(H1646=2,"διὰ πασῶν",IF(H1646=3,"διὰ πέντε",IF(H1646=4,"διὰ τεσσάρων","?")))))</f>
        <v>διὰ πέντε</v>
      </c>
      <c r="K1646" s="10"/>
      <c r="L1646" s="14"/>
      <c r="M1646" s="13"/>
    </row>
    <row r="1647" customFormat="false" ht="15.75" hidden="false" customHeight="true" outlineLevel="0" collapsed="false">
      <c r="A1647" s="8" t="n">
        <f aca="false">A1646+1</f>
        <v>1645</v>
      </c>
      <c r="B1647" s="9" t="n">
        <f aca="false">MOD(4*A1647^2,10)</f>
        <v>0</v>
      </c>
      <c r="C1647" s="9" t="n">
        <f aca="false">(26*B1647-5*B1647^2)/24</f>
        <v>0</v>
      </c>
      <c r="D1647" s="9" t="n">
        <f aca="false">(A1647^2+4*C1647)/5</f>
        <v>541205</v>
      </c>
      <c r="E1647" s="9" t="n">
        <f aca="false">MOD(D1647,10)</f>
        <v>5</v>
      </c>
      <c r="F1647" s="9" t="n">
        <f aca="false">2*D1647</f>
        <v>1082410</v>
      </c>
      <c r="G1647" s="9" t="n">
        <f aca="false">MOD(F1647,10)</f>
        <v>0</v>
      </c>
      <c r="H1647" s="9" t="n">
        <f aca="false">G1647/2</f>
        <v>0</v>
      </c>
      <c r="I1647" s="9" t="str">
        <f aca="false">IF(H1647=0,"—",IF(H1647=1,"unison (1:1)",IF(H1647=2,"octave (2:1)",IF(H1647=3,"fifth (3:2)",IF(H1647=4,"fourth (4:3)","?")))))</f>
        <v>—</v>
      </c>
      <c r="J1647" s="9" t="str">
        <f aca="false">IF(H1647=0,"—",IF(H1647=1,"ὁμώνυμον",IF(H1647=2,"διὰ πασῶν",IF(H1647=3,"διὰ πέντε",IF(H1647=4,"διὰ τεσσάρων","?")))))</f>
        <v>—</v>
      </c>
      <c r="K1647" s="10"/>
      <c r="L1647" s="14"/>
      <c r="M1647" s="13"/>
    </row>
    <row r="1648" customFormat="false" ht="15.75" hidden="false" customHeight="true" outlineLevel="0" collapsed="false">
      <c r="A1648" s="8" t="n">
        <f aca="false">A1647+1</f>
        <v>1646</v>
      </c>
      <c r="B1648" s="9" t="n">
        <f aca="false">MOD(4*A1648^2,10)</f>
        <v>4</v>
      </c>
      <c r="C1648" s="9" t="n">
        <f aca="false">(26*B1648-5*B1648^2)/24</f>
        <v>1</v>
      </c>
      <c r="D1648" s="9" t="n">
        <f aca="false">(A1648^2+4*C1648)/5</f>
        <v>541864</v>
      </c>
      <c r="E1648" s="9" t="n">
        <f aca="false">MOD(D1648,10)</f>
        <v>4</v>
      </c>
      <c r="F1648" s="9" t="n">
        <f aca="false">2*D1648</f>
        <v>1083728</v>
      </c>
      <c r="G1648" s="9" t="n">
        <f aca="false">MOD(F1648,10)</f>
        <v>8</v>
      </c>
      <c r="H1648" s="9" t="n">
        <f aca="false">G1648/2</f>
        <v>4</v>
      </c>
      <c r="I1648" s="9" t="str">
        <f aca="false">IF(H1648=0,"—",IF(H1648=1,"unison (1:1)",IF(H1648=2,"octave (2:1)",IF(H1648=3,"fifth (3:2)",IF(H1648=4,"fourth (4:3)","?")))))</f>
        <v>fourth (4:3)</v>
      </c>
      <c r="J1648" s="9" t="str">
        <f aca="false">IF(H1648=0,"—",IF(H1648=1,"ὁμώνυμον",IF(H1648=2,"διὰ πασῶν",IF(H1648=3,"διὰ πέντε",IF(H1648=4,"διὰ τεσσάρων","?")))))</f>
        <v>διὰ τεσσάρων</v>
      </c>
      <c r="K1648" s="10"/>
      <c r="L1648" s="14"/>
      <c r="M1648" s="13"/>
    </row>
    <row r="1649" customFormat="false" ht="15.75" hidden="false" customHeight="true" outlineLevel="0" collapsed="false">
      <c r="A1649" s="8" t="n">
        <f aca="false">A1648+1</f>
        <v>1647</v>
      </c>
      <c r="B1649" s="9" t="n">
        <f aca="false">MOD(4*A1649^2,10)</f>
        <v>6</v>
      </c>
      <c r="C1649" s="9" t="n">
        <f aca="false">(26*B1649-5*B1649^2)/24</f>
        <v>-1</v>
      </c>
      <c r="D1649" s="9" t="n">
        <f aca="false">(A1649^2+4*C1649)/5</f>
        <v>542521</v>
      </c>
      <c r="E1649" s="9" t="n">
        <f aca="false">MOD(D1649,10)</f>
        <v>1</v>
      </c>
      <c r="F1649" s="9" t="n">
        <f aca="false">2*D1649</f>
        <v>1085042</v>
      </c>
      <c r="G1649" s="9" t="n">
        <f aca="false">MOD(F1649,10)</f>
        <v>2</v>
      </c>
      <c r="H1649" s="9" t="n">
        <f aca="false">G1649/2</f>
        <v>1</v>
      </c>
      <c r="I1649" s="9" t="str">
        <f aca="false">IF(H1649=0,"—",IF(H1649=1,"unison (1:1)",IF(H1649=2,"octave (2:1)",IF(H1649=3,"fifth (3:2)",IF(H1649=4,"fourth (4:3)","?")))))</f>
        <v>unison (1:1)</v>
      </c>
      <c r="J1649" s="9" t="str">
        <f aca="false">IF(H1649=0,"—",IF(H1649=1,"ὁμώνυμον",IF(H1649=2,"διὰ πασῶν",IF(H1649=3,"διὰ πέντε",IF(H1649=4,"διὰ τεσσάρων","?")))))</f>
        <v>ὁμώνυμον</v>
      </c>
      <c r="K1649" s="10"/>
      <c r="L1649" s="14"/>
      <c r="M1649" s="13"/>
    </row>
    <row r="1650" customFormat="false" ht="15.75" hidden="false" customHeight="true" outlineLevel="0" collapsed="false">
      <c r="A1650" s="8" t="n">
        <f aca="false">A1649+1</f>
        <v>1648</v>
      </c>
      <c r="B1650" s="9" t="n">
        <f aca="false">MOD(4*A1650^2,10)</f>
        <v>6</v>
      </c>
      <c r="C1650" s="9" t="n">
        <f aca="false">(26*B1650-5*B1650^2)/24</f>
        <v>-1</v>
      </c>
      <c r="D1650" s="9" t="n">
        <f aca="false">(A1650^2+4*C1650)/5</f>
        <v>543180</v>
      </c>
      <c r="E1650" s="9" t="n">
        <f aca="false">MOD(D1650,10)</f>
        <v>0</v>
      </c>
      <c r="F1650" s="9" t="n">
        <f aca="false">2*D1650</f>
        <v>1086360</v>
      </c>
      <c r="G1650" s="9" t="n">
        <f aca="false">MOD(F1650,10)</f>
        <v>0</v>
      </c>
      <c r="H1650" s="9" t="n">
        <f aca="false">G1650/2</f>
        <v>0</v>
      </c>
      <c r="I1650" s="9" t="str">
        <f aca="false">IF(H1650=0,"—",IF(H1650=1,"unison (1:1)",IF(H1650=2,"octave (2:1)",IF(H1650=3,"fifth (3:2)",IF(H1650=4,"fourth (4:3)","?")))))</f>
        <v>—</v>
      </c>
      <c r="J1650" s="9" t="str">
        <f aca="false">IF(H1650=0,"—",IF(H1650=1,"ὁμώνυμον",IF(H1650=2,"διὰ πασῶν",IF(H1650=3,"διὰ πέντε",IF(H1650=4,"διὰ τεσσάρων","?")))))</f>
        <v>—</v>
      </c>
      <c r="K1650" s="10"/>
      <c r="L1650" s="14"/>
      <c r="M1650" s="13"/>
    </row>
    <row r="1651" customFormat="false" ht="15.75" hidden="false" customHeight="true" outlineLevel="0" collapsed="false">
      <c r="A1651" s="8" t="n">
        <f aca="false">A1650+1</f>
        <v>1649</v>
      </c>
      <c r="B1651" s="9" t="n">
        <f aca="false">MOD(4*A1651^2,10)</f>
        <v>4</v>
      </c>
      <c r="C1651" s="9" t="n">
        <f aca="false">(26*B1651-5*B1651^2)/24</f>
        <v>1</v>
      </c>
      <c r="D1651" s="9" t="n">
        <f aca="false">(A1651^2+4*C1651)/5</f>
        <v>543841</v>
      </c>
      <c r="E1651" s="9" t="n">
        <f aca="false">MOD(D1651,10)</f>
        <v>1</v>
      </c>
      <c r="F1651" s="9" t="n">
        <f aca="false">2*D1651</f>
        <v>1087682</v>
      </c>
      <c r="G1651" s="9" t="n">
        <f aca="false">MOD(F1651,10)</f>
        <v>2</v>
      </c>
      <c r="H1651" s="9" t="n">
        <f aca="false">G1651/2</f>
        <v>1</v>
      </c>
      <c r="I1651" s="9" t="str">
        <f aca="false">IF(H1651=0,"—",IF(H1651=1,"unison (1:1)",IF(H1651=2,"octave (2:1)",IF(H1651=3,"fifth (3:2)",IF(H1651=4,"fourth (4:3)","?")))))</f>
        <v>unison (1:1)</v>
      </c>
      <c r="J1651" s="9" t="str">
        <f aca="false">IF(H1651=0,"—",IF(H1651=1,"ὁμώνυμον",IF(H1651=2,"διὰ πασῶν",IF(H1651=3,"διὰ πέντε",IF(H1651=4,"διὰ τεσσάρων","?")))))</f>
        <v>ὁμώνυμον</v>
      </c>
      <c r="K1651" s="10"/>
      <c r="L1651" s="14"/>
      <c r="M1651" s="13"/>
    </row>
    <row r="1652" customFormat="false" ht="15.75" hidden="false" customHeight="true" outlineLevel="0" collapsed="false">
      <c r="A1652" s="8" t="n">
        <f aca="false">A1651+1</f>
        <v>1650</v>
      </c>
      <c r="B1652" s="9" t="n">
        <f aca="false">MOD(4*A1652^2,10)</f>
        <v>0</v>
      </c>
      <c r="C1652" s="9" t="n">
        <f aca="false">(26*B1652-5*B1652^2)/24</f>
        <v>0</v>
      </c>
      <c r="D1652" s="9" t="n">
        <f aca="false">(A1652^2+4*C1652)/5</f>
        <v>544500</v>
      </c>
      <c r="E1652" s="9" t="n">
        <f aca="false">MOD(D1652,10)</f>
        <v>0</v>
      </c>
      <c r="F1652" s="9" t="n">
        <f aca="false">2*D1652</f>
        <v>1089000</v>
      </c>
      <c r="G1652" s="9" t="n">
        <f aca="false">MOD(F1652,10)</f>
        <v>0</v>
      </c>
      <c r="H1652" s="9" t="n">
        <f aca="false">G1652/2</f>
        <v>0</v>
      </c>
      <c r="I1652" s="9" t="str">
        <f aca="false">IF(H1652=0,"—",IF(H1652=1,"unison (1:1)",IF(H1652=2,"octave (2:1)",IF(H1652=3,"fifth (3:2)",IF(H1652=4,"fourth (4:3)","?")))))</f>
        <v>—</v>
      </c>
      <c r="J1652" s="9" t="str">
        <f aca="false">IF(H1652=0,"—",IF(H1652=1,"ὁμώνυμον",IF(H1652=2,"διὰ πασῶν",IF(H1652=3,"διὰ πέντε",IF(H1652=4,"διὰ τεσσάρων","?")))))</f>
        <v>—</v>
      </c>
      <c r="K1652" s="10"/>
      <c r="L1652" s="14"/>
      <c r="M1652" s="13"/>
    </row>
    <row r="1653" customFormat="false" ht="15.75" hidden="false" customHeight="true" outlineLevel="0" collapsed="false">
      <c r="A1653" s="8" t="n">
        <f aca="false">A1652+1</f>
        <v>1651</v>
      </c>
      <c r="B1653" s="9" t="n">
        <f aca="false">MOD(4*A1653^2,10)</f>
        <v>4</v>
      </c>
      <c r="C1653" s="9" t="n">
        <f aca="false">(26*B1653-5*B1653^2)/24</f>
        <v>1</v>
      </c>
      <c r="D1653" s="9" t="n">
        <f aca="false">(A1653^2+4*C1653)/5</f>
        <v>545161</v>
      </c>
      <c r="E1653" s="9" t="n">
        <f aca="false">MOD(D1653,10)</f>
        <v>1</v>
      </c>
      <c r="F1653" s="9" t="n">
        <f aca="false">2*D1653</f>
        <v>1090322</v>
      </c>
      <c r="G1653" s="9" t="n">
        <f aca="false">MOD(F1653,10)</f>
        <v>2</v>
      </c>
      <c r="H1653" s="9" t="n">
        <f aca="false">G1653/2</f>
        <v>1</v>
      </c>
      <c r="I1653" s="9" t="str">
        <f aca="false">IF(H1653=0,"—",IF(H1653=1,"unison (1:1)",IF(H1653=2,"octave (2:1)",IF(H1653=3,"fifth (3:2)",IF(H1653=4,"fourth (4:3)","?")))))</f>
        <v>unison (1:1)</v>
      </c>
      <c r="J1653" s="9" t="str">
        <f aca="false">IF(H1653=0,"—",IF(H1653=1,"ὁμώνυμον",IF(H1653=2,"διὰ πασῶν",IF(H1653=3,"διὰ πέντε",IF(H1653=4,"διὰ τεσσάρων","?")))))</f>
        <v>ὁμώνυμον</v>
      </c>
      <c r="K1653" s="10"/>
      <c r="L1653" s="14"/>
      <c r="M1653" s="13"/>
    </row>
    <row r="1654" customFormat="false" ht="15.75" hidden="false" customHeight="true" outlineLevel="0" collapsed="false">
      <c r="A1654" s="8" t="n">
        <f aca="false">A1653+1</f>
        <v>1652</v>
      </c>
      <c r="B1654" s="9" t="n">
        <f aca="false">MOD(4*A1654^2,10)</f>
        <v>6</v>
      </c>
      <c r="C1654" s="9" t="n">
        <f aca="false">(26*B1654-5*B1654^2)/24</f>
        <v>-1</v>
      </c>
      <c r="D1654" s="9" t="n">
        <f aca="false">(A1654^2+4*C1654)/5</f>
        <v>545820</v>
      </c>
      <c r="E1654" s="9" t="n">
        <f aca="false">MOD(D1654,10)</f>
        <v>0</v>
      </c>
      <c r="F1654" s="9" t="n">
        <f aca="false">2*D1654</f>
        <v>1091640</v>
      </c>
      <c r="G1654" s="9" t="n">
        <f aca="false">MOD(F1654,10)</f>
        <v>0</v>
      </c>
      <c r="H1654" s="9" t="n">
        <f aca="false">G1654/2</f>
        <v>0</v>
      </c>
      <c r="I1654" s="9" t="str">
        <f aca="false">IF(H1654=0,"—",IF(H1654=1,"unison (1:1)",IF(H1654=2,"octave (2:1)",IF(H1654=3,"fifth (3:2)",IF(H1654=4,"fourth (4:3)","?")))))</f>
        <v>—</v>
      </c>
      <c r="J1654" s="9" t="str">
        <f aca="false">IF(H1654=0,"—",IF(H1654=1,"ὁμώνυμον",IF(H1654=2,"διὰ πασῶν",IF(H1654=3,"διὰ πέντε",IF(H1654=4,"διὰ τεσσάρων","?")))))</f>
        <v>—</v>
      </c>
      <c r="K1654" s="10"/>
      <c r="L1654" s="14"/>
      <c r="M1654" s="13"/>
    </row>
    <row r="1655" customFormat="false" ht="15.75" hidden="false" customHeight="true" outlineLevel="0" collapsed="false">
      <c r="A1655" s="8" t="n">
        <f aca="false">A1654+1</f>
        <v>1653</v>
      </c>
      <c r="B1655" s="9" t="n">
        <f aca="false">MOD(4*A1655^2,10)</f>
        <v>6</v>
      </c>
      <c r="C1655" s="9" t="n">
        <f aca="false">(26*B1655-5*B1655^2)/24</f>
        <v>-1</v>
      </c>
      <c r="D1655" s="9" t="n">
        <f aca="false">(A1655^2+4*C1655)/5</f>
        <v>546481</v>
      </c>
      <c r="E1655" s="9" t="n">
        <f aca="false">MOD(D1655,10)</f>
        <v>1</v>
      </c>
      <c r="F1655" s="9" t="n">
        <f aca="false">2*D1655</f>
        <v>1092962</v>
      </c>
      <c r="G1655" s="9" t="n">
        <f aca="false">MOD(F1655,10)</f>
        <v>2</v>
      </c>
      <c r="H1655" s="9" t="n">
        <f aca="false">G1655/2</f>
        <v>1</v>
      </c>
      <c r="I1655" s="9" t="str">
        <f aca="false">IF(H1655=0,"—",IF(H1655=1,"unison (1:1)",IF(H1655=2,"octave (2:1)",IF(H1655=3,"fifth (3:2)",IF(H1655=4,"fourth (4:3)","?")))))</f>
        <v>unison (1:1)</v>
      </c>
      <c r="J1655" s="9" t="str">
        <f aca="false">IF(H1655=0,"—",IF(H1655=1,"ὁμώνυμον",IF(H1655=2,"διὰ πασῶν",IF(H1655=3,"διὰ πέντε",IF(H1655=4,"διὰ τεσσάρων","?")))))</f>
        <v>ὁμώνυμον</v>
      </c>
      <c r="K1655" s="10"/>
      <c r="L1655" s="14"/>
      <c r="M1655" s="13"/>
    </row>
    <row r="1656" customFormat="false" ht="15.75" hidden="false" customHeight="true" outlineLevel="0" collapsed="false">
      <c r="A1656" s="8" t="n">
        <f aca="false">A1655+1</f>
        <v>1654</v>
      </c>
      <c r="B1656" s="9" t="n">
        <f aca="false">MOD(4*A1656^2,10)</f>
        <v>4</v>
      </c>
      <c r="C1656" s="9" t="n">
        <f aca="false">(26*B1656-5*B1656^2)/24</f>
        <v>1</v>
      </c>
      <c r="D1656" s="9" t="n">
        <f aca="false">(A1656^2+4*C1656)/5</f>
        <v>547144</v>
      </c>
      <c r="E1656" s="9" t="n">
        <f aca="false">MOD(D1656,10)</f>
        <v>4</v>
      </c>
      <c r="F1656" s="9" t="n">
        <f aca="false">2*D1656</f>
        <v>1094288</v>
      </c>
      <c r="G1656" s="9" t="n">
        <f aca="false">MOD(F1656,10)</f>
        <v>8</v>
      </c>
      <c r="H1656" s="9" t="n">
        <f aca="false">G1656/2</f>
        <v>4</v>
      </c>
      <c r="I1656" s="9" t="str">
        <f aca="false">IF(H1656=0,"—",IF(H1656=1,"unison (1:1)",IF(H1656=2,"octave (2:1)",IF(H1656=3,"fifth (3:2)",IF(H1656=4,"fourth (4:3)","?")))))</f>
        <v>fourth (4:3)</v>
      </c>
      <c r="J1656" s="9" t="str">
        <f aca="false">IF(H1656=0,"—",IF(H1656=1,"ὁμώνυμον",IF(H1656=2,"διὰ πασῶν",IF(H1656=3,"διὰ πέντε",IF(H1656=4,"διὰ τεσσάρων","?")))))</f>
        <v>διὰ τεσσάρων</v>
      </c>
      <c r="K1656" s="10"/>
      <c r="L1656" s="14"/>
      <c r="M1656" s="13"/>
    </row>
    <row r="1657" customFormat="false" ht="15.75" hidden="false" customHeight="true" outlineLevel="0" collapsed="false">
      <c r="A1657" s="8" t="n">
        <f aca="false">A1656+1</f>
        <v>1655</v>
      </c>
      <c r="B1657" s="9" t="n">
        <f aca="false">MOD(4*A1657^2,10)</f>
        <v>0</v>
      </c>
      <c r="C1657" s="9" t="n">
        <f aca="false">(26*B1657-5*B1657^2)/24</f>
        <v>0</v>
      </c>
      <c r="D1657" s="9" t="n">
        <f aca="false">(A1657^2+4*C1657)/5</f>
        <v>547805</v>
      </c>
      <c r="E1657" s="9" t="n">
        <f aca="false">MOD(D1657,10)</f>
        <v>5</v>
      </c>
      <c r="F1657" s="9" t="n">
        <f aca="false">2*D1657</f>
        <v>1095610</v>
      </c>
      <c r="G1657" s="9" t="n">
        <f aca="false">MOD(F1657,10)</f>
        <v>0</v>
      </c>
      <c r="H1657" s="9" t="n">
        <f aca="false">G1657/2</f>
        <v>0</v>
      </c>
      <c r="I1657" s="9" t="str">
        <f aca="false">IF(H1657=0,"—",IF(H1657=1,"unison (1:1)",IF(H1657=2,"octave (2:1)",IF(H1657=3,"fifth (3:2)",IF(H1657=4,"fourth (4:3)","?")))))</f>
        <v>—</v>
      </c>
      <c r="J1657" s="9" t="str">
        <f aca="false">IF(H1657=0,"—",IF(H1657=1,"ὁμώνυμον",IF(H1657=2,"διὰ πασῶν",IF(H1657=3,"διὰ πέντε",IF(H1657=4,"διὰ τεσσάρων","?")))))</f>
        <v>—</v>
      </c>
      <c r="K1657" s="10"/>
      <c r="L1657" s="14"/>
      <c r="M1657" s="13"/>
    </row>
    <row r="1658" customFormat="false" ht="15.75" hidden="false" customHeight="true" outlineLevel="0" collapsed="false">
      <c r="A1658" s="8" t="n">
        <f aca="false">A1657+1</f>
        <v>1656</v>
      </c>
      <c r="B1658" s="9" t="n">
        <f aca="false">MOD(4*A1658^2,10)</f>
        <v>4</v>
      </c>
      <c r="C1658" s="9" t="n">
        <f aca="false">(26*B1658-5*B1658^2)/24</f>
        <v>1</v>
      </c>
      <c r="D1658" s="9" t="n">
        <f aca="false">(A1658^2+4*C1658)/5</f>
        <v>548468</v>
      </c>
      <c r="E1658" s="9" t="n">
        <f aca="false">MOD(D1658,10)</f>
        <v>8</v>
      </c>
      <c r="F1658" s="9" t="n">
        <f aca="false">2*D1658</f>
        <v>1096936</v>
      </c>
      <c r="G1658" s="9" t="n">
        <f aca="false">MOD(F1658,10)</f>
        <v>6</v>
      </c>
      <c r="H1658" s="9" t="n">
        <f aca="false">G1658/2</f>
        <v>3</v>
      </c>
      <c r="I1658" s="9" t="str">
        <f aca="false">IF(H1658=0,"—",IF(H1658=1,"unison (1:1)",IF(H1658=2,"octave (2:1)",IF(H1658=3,"fifth (3:2)",IF(H1658=4,"fourth (4:3)","?")))))</f>
        <v>fifth (3:2)</v>
      </c>
      <c r="J1658" s="9" t="str">
        <f aca="false">IF(H1658=0,"—",IF(H1658=1,"ὁμώνυμον",IF(H1658=2,"διὰ πασῶν",IF(H1658=3,"διὰ πέντε",IF(H1658=4,"διὰ τεσσάρων","?")))))</f>
        <v>διὰ πέντε</v>
      </c>
      <c r="K1658" s="10"/>
      <c r="L1658" s="14"/>
      <c r="M1658" s="13"/>
    </row>
    <row r="1659" customFormat="false" ht="15.75" hidden="false" customHeight="true" outlineLevel="0" collapsed="false">
      <c r="A1659" s="8" t="n">
        <f aca="false">A1658+1</f>
        <v>1657</v>
      </c>
      <c r="B1659" s="9" t="n">
        <f aca="false">MOD(4*A1659^2,10)</f>
        <v>6</v>
      </c>
      <c r="C1659" s="9" t="n">
        <f aca="false">(26*B1659-5*B1659^2)/24</f>
        <v>-1</v>
      </c>
      <c r="D1659" s="9" t="n">
        <f aca="false">(A1659^2+4*C1659)/5</f>
        <v>549129</v>
      </c>
      <c r="E1659" s="9" t="n">
        <f aca="false">MOD(D1659,10)</f>
        <v>9</v>
      </c>
      <c r="F1659" s="9" t="n">
        <f aca="false">2*D1659</f>
        <v>1098258</v>
      </c>
      <c r="G1659" s="9" t="n">
        <f aca="false">MOD(F1659,10)</f>
        <v>8</v>
      </c>
      <c r="H1659" s="9" t="n">
        <f aca="false">G1659/2</f>
        <v>4</v>
      </c>
      <c r="I1659" s="9" t="str">
        <f aca="false">IF(H1659=0,"—",IF(H1659=1,"unison (1:1)",IF(H1659=2,"octave (2:1)",IF(H1659=3,"fifth (3:2)",IF(H1659=4,"fourth (4:3)","?")))))</f>
        <v>fourth (4:3)</v>
      </c>
      <c r="J1659" s="9" t="str">
        <f aca="false">IF(H1659=0,"—",IF(H1659=1,"ὁμώνυμον",IF(H1659=2,"διὰ πασῶν",IF(H1659=3,"διὰ πέντε",IF(H1659=4,"διὰ τεσσάρων","?")))))</f>
        <v>διὰ τεσσάρων</v>
      </c>
      <c r="K1659" s="10"/>
      <c r="L1659" s="14"/>
      <c r="M1659" s="13"/>
    </row>
    <row r="1660" customFormat="false" ht="15.75" hidden="false" customHeight="true" outlineLevel="0" collapsed="false">
      <c r="A1660" s="8" t="n">
        <f aca="false">A1659+1</f>
        <v>1658</v>
      </c>
      <c r="B1660" s="9" t="n">
        <f aca="false">MOD(4*A1660^2,10)</f>
        <v>6</v>
      </c>
      <c r="C1660" s="9" t="n">
        <f aca="false">(26*B1660-5*B1660^2)/24</f>
        <v>-1</v>
      </c>
      <c r="D1660" s="9" t="n">
        <f aca="false">(A1660^2+4*C1660)/5</f>
        <v>549792</v>
      </c>
      <c r="E1660" s="9" t="n">
        <f aca="false">MOD(D1660,10)</f>
        <v>2</v>
      </c>
      <c r="F1660" s="9" t="n">
        <f aca="false">2*D1660</f>
        <v>1099584</v>
      </c>
      <c r="G1660" s="9" t="n">
        <f aca="false">MOD(F1660,10)</f>
        <v>4</v>
      </c>
      <c r="H1660" s="9" t="n">
        <f aca="false">G1660/2</f>
        <v>2</v>
      </c>
      <c r="I1660" s="9" t="str">
        <f aca="false">IF(H1660=0,"—",IF(H1660=1,"unison (1:1)",IF(H1660=2,"octave (2:1)",IF(H1660=3,"fifth (3:2)",IF(H1660=4,"fourth (4:3)","?")))))</f>
        <v>octave (2:1)</v>
      </c>
      <c r="J1660" s="9" t="str">
        <f aca="false">IF(H1660=0,"—",IF(H1660=1,"ὁμώνυμον",IF(H1660=2,"διὰ πασῶν",IF(H1660=3,"διὰ πέντε",IF(H1660=4,"διὰ τεσσάρων","?")))))</f>
        <v>διὰ πασῶν</v>
      </c>
      <c r="K1660" s="10"/>
      <c r="L1660" s="14"/>
      <c r="M1660" s="13"/>
    </row>
    <row r="1661" customFormat="false" ht="15.75" hidden="false" customHeight="true" outlineLevel="0" collapsed="false">
      <c r="A1661" s="8" t="n">
        <f aca="false">A1660+1</f>
        <v>1659</v>
      </c>
      <c r="B1661" s="9" t="n">
        <f aca="false">MOD(4*A1661^2,10)</f>
        <v>4</v>
      </c>
      <c r="C1661" s="9" t="n">
        <f aca="false">(26*B1661-5*B1661^2)/24</f>
        <v>1</v>
      </c>
      <c r="D1661" s="9" t="n">
        <f aca="false">(A1661^2+4*C1661)/5</f>
        <v>550457</v>
      </c>
      <c r="E1661" s="9" t="n">
        <f aca="false">MOD(D1661,10)</f>
        <v>7</v>
      </c>
      <c r="F1661" s="9" t="n">
        <f aca="false">2*D1661</f>
        <v>1100914</v>
      </c>
      <c r="G1661" s="9" t="n">
        <f aca="false">MOD(F1661,10)</f>
        <v>4</v>
      </c>
      <c r="H1661" s="9" t="n">
        <f aca="false">G1661/2</f>
        <v>2</v>
      </c>
      <c r="I1661" s="9" t="str">
        <f aca="false">IF(H1661=0,"—",IF(H1661=1,"unison (1:1)",IF(H1661=2,"octave (2:1)",IF(H1661=3,"fifth (3:2)",IF(H1661=4,"fourth (4:3)","?")))))</f>
        <v>octave (2:1)</v>
      </c>
      <c r="J1661" s="9" t="str">
        <f aca="false">IF(H1661=0,"—",IF(H1661=1,"ὁμώνυμον",IF(H1661=2,"διὰ πασῶν",IF(H1661=3,"διὰ πέντε",IF(H1661=4,"διὰ τεσσάρων","?")))))</f>
        <v>διὰ πασῶν</v>
      </c>
      <c r="K1661" s="10"/>
      <c r="L1661" s="14"/>
      <c r="M1661" s="13"/>
    </row>
    <row r="1662" customFormat="false" ht="15.75" hidden="false" customHeight="true" outlineLevel="0" collapsed="false">
      <c r="A1662" s="8" t="n">
        <f aca="false">A1661+1</f>
        <v>1660</v>
      </c>
      <c r="B1662" s="9" t="n">
        <f aca="false">MOD(4*A1662^2,10)</f>
        <v>0</v>
      </c>
      <c r="C1662" s="9" t="n">
        <f aca="false">(26*B1662-5*B1662^2)/24</f>
        <v>0</v>
      </c>
      <c r="D1662" s="9" t="n">
        <f aca="false">(A1662^2+4*C1662)/5</f>
        <v>551120</v>
      </c>
      <c r="E1662" s="9" t="n">
        <f aca="false">MOD(D1662,10)</f>
        <v>0</v>
      </c>
      <c r="F1662" s="9" t="n">
        <f aca="false">2*D1662</f>
        <v>1102240</v>
      </c>
      <c r="G1662" s="9" t="n">
        <f aca="false">MOD(F1662,10)</f>
        <v>0</v>
      </c>
      <c r="H1662" s="9" t="n">
        <f aca="false">G1662/2</f>
        <v>0</v>
      </c>
      <c r="I1662" s="9" t="str">
        <f aca="false">IF(H1662=0,"—",IF(H1662=1,"unison (1:1)",IF(H1662=2,"octave (2:1)",IF(H1662=3,"fifth (3:2)",IF(H1662=4,"fourth (4:3)","?")))))</f>
        <v>—</v>
      </c>
      <c r="J1662" s="9" t="str">
        <f aca="false">IF(H1662=0,"—",IF(H1662=1,"ὁμώνυμον",IF(H1662=2,"διὰ πασῶν",IF(H1662=3,"διὰ πέντε",IF(H1662=4,"διὰ τεσσάρων","?")))))</f>
        <v>—</v>
      </c>
      <c r="K1662" s="10"/>
      <c r="L1662" s="14"/>
      <c r="M1662" s="13"/>
    </row>
    <row r="1663" customFormat="false" ht="15.75" hidden="false" customHeight="true" outlineLevel="0" collapsed="false">
      <c r="A1663" s="8" t="n">
        <f aca="false">A1662+1</f>
        <v>1661</v>
      </c>
      <c r="B1663" s="9" t="n">
        <f aca="false">MOD(4*A1663^2,10)</f>
        <v>4</v>
      </c>
      <c r="C1663" s="9" t="n">
        <f aca="false">(26*B1663-5*B1663^2)/24</f>
        <v>1</v>
      </c>
      <c r="D1663" s="9" t="n">
        <f aca="false">(A1663^2+4*C1663)/5</f>
        <v>551785</v>
      </c>
      <c r="E1663" s="9" t="n">
        <f aca="false">MOD(D1663,10)</f>
        <v>5</v>
      </c>
      <c r="F1663" s="9" t="n">
        <f aca="false">2*D1663</f>
        <v>1103570</v>
      </c>
      <c r="G1663" s="9" t="n">
        <f aca="false">MOD(F1663,10)</f>
        <v>0</v>
      </c>
      <c r="H1663" s="9" t="n">
        <f aca="false">G1663/2</f>
        <v>0</v>
      </c>
      <c r="I1663" s="9" t="str">
        <f aca="false">IF(H1663=0,"—",IF(H1663=1,"unison (1:1)",IF(H1663=2,"octave (2:1)",IF(H1663=3,"fifth (3:2)",IF(H1663=4,"fourth (4:3)","?")))))</f>
        <v>—</v>
      </c>
      <c r="J1663" s="9" t="str">
        <f aca="false">IF(H1663=0,"—",IF(H1663=1,"ὁμώνυμον",IF(H1663=2,"διὰ πασῶν",IF(H1663=3,"διὰ πέντε",IF(H1663=4,"διὰ τεσσάρων","?")))))</f>
        <v>—</v>
      </c>
      <c r="K1663" s="10"/>
      <c r="L1663" s="14"/>
      <c r="M1663" s="13"/>
    </row>
    <row r="1664" customFormat="false" ht="15.75" hidden="false" customHeight="true" outlineLevel="0" collapsed="false">
      <c r="A1664" s="8" t="n">
        <f aca="false">A1663+1</f>
        <v>1662</v>
      </c>
      <c r="B1664" s="9" t="n">
        <f aca="false">MOD(4*A1664^2,10)</f>
        <v>6</v>
      </c>
      <c r="C1664" s="9" t="n">
        <f aca="false">(26*B1664-5*B1664^2)/24</f>
        <v>-1</v>
      </c>
      <c r="D1664" s="9" t="n">
        <f aca="false">(A1664^2+4*C1664)/5</f>
        <v>552448</v>
      </c>
      <c r="E1664" s="9" t="n">
        <f aca="false">MOD(D1664,10)</f>
        <v>8</v>
      </c>
      <c r="F1664" s="9" t="n">
        <f aca="false">2*D1664</f>
        <v>1104896</v>
      </c>
      <c r="G1664" s="9" t="n">
        <f aca="false">MOD(F1664,10)</f>
        <v>6</v>
      </c>
      <c r="H1664" s="9" t="n">
        <f aca="false">G1664/2</f>
        <v>3</v>
      </c>
      <c r="I1664" s="9" t="str">
        <f aca="false">IF(H1664=0,"—",IF(H1664=1,"unison (1:1)",IF(H1664=2,"octave (2:1)",IF(H1664=3,"fifth (3:2)",IF(H1664=4,"fourth (4:3)","?")))))</f>
        <v>fifth (3:2)</v>
      </c>
      <c r="J1664" s="9" t="str">
        <f aca="false">IF(H1664=0,"—",IF(H1664=1,"ὁμώνυμον",IF(H1664=2,"διὰ πασῶν",IF(H1664=3,"διὰ πέντε",IF(H1664=4,"διὰ τεσσάρων","?")))))</f>
        <v>διὰ πέντε</v>
      </c>
      <c r="K1664" s="10"/>
      <c r="L1664" s="14"/>
      <c r="M1664" s="13"/>
    </row>
    <row r="1665" customFormat="false" ht="15.75" hidden="false" customHeight="true" outlineLevel="0" collapsed="false">
      <c r="A1665" s="8" t="n">
        <f aca="false">A1664+1</f>
        <v>1663</v>
      </c>
      <c r="B1665" s="9" t="n">
        <f aca="false">MOD(4*A1665^2,10)</f>
        <v>6</v>
      </c>
      <c r="C1665" s="9" t="n">
        <f aca="false">(26*B1665-5*B1665^2)/24</f>
        <v>-1</v>
      </c>
      <c r="D1665" s="9" t="n">
        <f aca="false">(A1665^2+4*C1665)/5</f>
        <v>553113</v>
      </c>
      <c r="E1665" s="9" t="n">
        <f aca="false">MOD(D1665,10)</f>
        <v>3</v>
      </c>
      <c r="F1665" s="9" t="n">
        <f aca="false">2*D1665</f>
        <v>1106226</v>
      </c>
      <c r="G1665" s="9" t="n">
        <f aca="false">MOD(F1665,10)</f>
        <v>6</v>
      </c>
      <c r="H1665" s="9" t="n">
        <f aca="false">G1665/2</f>
        <v>3</v>
      </c>
      <c r="I1665" s="9" t="str">
        <f aca="false">IF(H1665=0,"—",IF(H1665=1,"unison (1:1)",IF(H1665=2,"octave (2:1)",IF(H1665=3,"fifth (3:2)",IF(H1665=4,"fourth (4:3)","?")))))</f>
        <v>fifth (3:2)</v>
      </c>
      <c r="J1665" s="9" t="str">
        <f aca="false">IF(H1665=0,"—",IF(H1665=1,"ὁμώνυμον",IF(H1665=2,"διὰ πασῶν",IF(H1665=3,"διὰ πέντε",IF(H1665=4,"διὰ τεσσάρων","?")))))</f>
        <v>διὰ πέντε</v>
      </c>
      <c r="K1665" s="10"/>
      <c r="L1665" s="14"/>
      <c r="M1665" s="13"/>
    </row>
    <row r="1666" customFormat="false" ht="15.75" hidden="false" customHeight="true" outlineLevel="0" collapsed="false">
      <c r="A1666" s="8" t="n">
        <f aca="false">A1665+1</f>
        <v>1664</v>
      </c>
      <c r="B1666" s="9" t="n">
        <f aca="false">MOD(4*A1666^2,10)</f>
        <v>4</v>
      </c>
      <c r="C1666" s="9" t="n">
        <f aca="false">(26*B1666-5*B1666^2)/24</f>
        <v>1</v>
      </c>
      <c r="D1666" s="9" t="n">
        <f aca="false">(A1666^2+4*C1666)/5</f>
        <v>553780</v>
      </c>
      <c r="E1666" s="9" t="n">
        <f aca="false">MOD(D1666,10)</f>
        <v>0</v>
      </c>
      <c r="F1666" s="9" t="n">
        <f aca="false">2*D1666</f>
        <v>1107560</v>
      </c>
      <c r="G1666" s="9" t="n">
        <f aca="false">MOD(F1666,10)</f>
        <v>0</v>
      </c>
      <c r="H1666" s="9" t="n">
        <f aca="false">G1666/2</f>
        <v>0</v>
      </c>
      <c r="I1666" s="9" t="str">
        <f aca="false">IF(H1666=0,"—",IF(H1666=1,"unison (1:1)",IF(H1666=2,"octave (2:1)",IF(H1666=3,"fifth (3:2)",IF(H1666=4,"fourth (4:3)","?")))))</f>
        <v>—</v>
      </c>
      <c r="J1666" s="9" t="str">
        <f aca="false">IF(H1666=0,"—",IF(H1666=1,"ὁμώνυμον",IF(H1666=2,"διὰ πασῶν",IF(H1666=3,"διὰ πέντε",IF(H1666=4,"διὰ τεσσάρων","?")))))</f>
        <v>—</v>
      </c>
      <c r="K1666" s="10"/>
      <c r="L1666" s="14"/>
      <c r="M1666" s="13"/>
    </row>
    <row r="1667" customFormat="false" ht="15.75" hidden="false" customHeight="true" outlineLevel="0" collapsed="false">
      <c r="A1667" s="8" t="n">
        <f aca="false">A1666+1</f>
        <v>1665</v>
      </c>
      <c r="B1667" s="9" t="n">
        <f aca="false">MOD(4*A1667^2,10)</f>
        <v>0</v>
      </c>
      <c r="C1667" s="9" t="n">
        <f aca="false">(26*B1667-5*B1667^2)/24</f>
        <v>0</v>
      </c>
      <c r="D1667" s="9" t="n">
        <f aca="false">(A1667^2+4*C1667)/5</f>
        <v>554445</v>
      </c>
      <c r="E1667" s="9" t="n">
        <f aca="false">MOD(D1667,10)</f>
        <v>5</v>
      </c>
      <c r="F1667" s="9" t="n">
        <f aca="false">2*D1667</f>
        <v>1108890</v>
      </c>
      <c r="G1667" s="9" t="n">
        <f aca="false">MOD(F1667,10)</f>
        <v>0</v>
      </c>
      <c r="H1667" s="9" t="n">
        <f aca="false">G1667/2</f>
        <v>0</v>
      </c>
      <c r="I1667" s="9" t="str">
        <f aca="false">IF(H1667=0,"—",IF(H1667=1,"unison (1:1)",IF(H1667=2,"octave (2:1)",IF(H1667=3,"fifth (3:2)",IF(H1667=4,"fourth (4:3)","?")))))</f>
        <v>—</v>
      </c>
      <c r="J1667" s="9" t="str">
        <f aca="false">IF(H1667=0,"—",IF(H1667=1,"ὁμώνυμον",IF(H1667=2,"διὰ πασῶν",IF(H1667=3,"διὰ πέντε",IF(H1667=4,"διὰ τεσσάρων","?")))))</f>
        <v>—</v>
      </c>
      <c r="K1667" s="10"/>
      <c r="L1667" s="14"/>
      <c r="M1667" s="13"/>
    </row>
    <row r="1668" customFormat="false" ht="15.75" hidden="false" customHeight="true" outlineLevel="0" collapsed="false">
      <c r="A1668" s="8" t="n">
        <f aca="false">A1667+1</f>
        <v>1666</v>
      </c>
      <c r="B1668" s="9" t="n">
        <f aca="false">MOD(4*A1668^2,10)</f>
        <v>4</v>
      </c>
      <c r="C1668" s="9" t="n">
        <f aca="false">(26*B1668-5*B1668^2)/24</f>
        <v>1</v>
      </c>
      <c r="D1668" s="9" t="n">
        <f aca="false">(A1668^2+4*C1668)/5</f>
        <v>555112</v>
      </c>
      <c r="E1668" s="9" t="n">
        <f aca="false">MOD(D1668,10)</f>
        <v>2</v>
      </c>
      <c r="F1668" s="9" t="n">
        <f aca="false">2*D1668</f>
        <v>1110224</v>
      </c>
      <c r="G1668" s="9" t="n">
        <f aca="false">MOD(F1668,10)</f>
        <v>4</v>
      </c>
      <c r="H1668" s="9" t="n">
        <f aca="false">G1668/2</f>
        <v>2</v>
      </c>
      <c r="I1668" s="9" t="str">
        <f aca="false">IF(H1668=0,"—",IF(H1668=1,"unison (1:1)",IF(H1668=2,"octave (2:1)",IF(H1668=3,"fifth (3:2)",IF(H1668=4,"fourth (4:3)","?")))))</f>
        <v>octave (2:1)</v>
      </c>
      <c r="J1668" s="9" t="str">
        <f aca="false">IF(H1668=0,"—",IF(H1668=1,"ὁμώνυμον",IF(H1668=2,"διὰ πασῶν",IF(H1668=3,"διὰ πέντε",IF(H1668=4,"διὰ τεσσάρων","?")))))</f>
        <v>διὰ πασῶν</v>
      </c>
      <c r="K1668" s="10"/>
      <c r="L1668" s="14"/>
      <c r="M1668" s="13"/>
    </row>
    <row r="1669" customFormat="false" ht="15.75" hidden="false" customHeight="true" outlineLevel="0" collapsed="false">
      <c r="A1669" s="8" t="n">
        <f aca="false">A1668+1</f>
        <v>1667</v>
      </c>
      <c r="B1669" s="9" t="n">
        <f aca="false">MOD(4*A1669^2,10)</f>
        <v>6</v>
      </c>
      <c r="C1669" s="9" t="n">
        <f aca="false">(26*B1669-5*B1669^2)/24</f>
        <v>-1</v>
      </c>
      <c r="D1669" s="9" t="n">
        <f aca="false">(A1669^2+4*C1669)/5</f>
        <v>555777</v>
      </c>
      <c r="E1669" s="9" t="n">
        <f aca="false">MOD(D1669,10)</f>
        <v>7</v>
      </c>
      <c r="F1669" s="9" t="n">
        <f aca="false">2*D1669</f>
        <v>1111554</v>
      </c>
      <c r="G1669" s="9" t="n">
        <f aca="false">MOD(F1669,10)</f>
        <v>4</v>
      </c>
      <c r="H1669" s="9" t="n">
        <f aca="false">G1669/2</f>
        <v>2</v>
      </c>
      <c r="I1669" s="9" t="str">
        <f aca="false">IF(H1669=0,"—",IF(H1669=1,"unison (1:1)",IF(H1669=2,"octave (2:1)",IF(H1669=3,"fifth (3:2)",IF(H1669=4,"fourth (4:3)","?")))))</f>
        <v>octave (2:1)</v>
      </c>
      <c r="J1669" s="9" t="str">
        <f aca="false">IF(H1669=0,"—",IF(H1669=1,"ὁμώνυμον",IF(H1669=2,"διὰ πασῶν",IF(H1669=3,"διὰ πέντε",IF(H1669=4,"διὰ τεσσάρων","?")))))</f>
        <v>διὰ πασῶν</v>
      </c>
      <c r="K1669" s="10"/>
      <c r="L1669" s="14"/>
      <c r="M1669" s="13"/>
    </row>
    <row r="1670" customFormat="false" ht="15.75" hidden="false" customHeight="true" outlineLevel="0" collapsed="false">
      <c r="A1670" s="8" t="n">
        <f aca="false">A1669+1</f>
        <v>1668</v>
      </c>
      <c r="B1670" s="9" t="n">
        <f aca="false">MOD(4*A1670^2,10)</f>
        <v>6</v>
      </c>
      <c r="C1670" s="9" t="n">
        <f aca="false">(26*B1670-5*B1670^2)/24</f>
        <v>-1</v>
      </c>
      <c r="D1670" s="9" t="n">
        <f aca="false">(A1670^2+4*C1670)/5</f>
        <v>556444</v>
      </c>
      <c r="E1670" s="9" t="n">
        <f aca="false">MOD(D1670,10)</f>
        <v>4</v>
      </c>
      <c r="F1670" s="9" t="n">
        <f aca="false">2*D1670</f>
        <v>1112888</v>
      </c>
      <c r="G1670" s="9" t="n">
        <f aca="false">MOD(F1670,10)</f>
        <v>8</v>
      </c>
      <c r="H1670" s="9" t="n">
        <f aca="false">G1670/2</f>
        <v>4</v>
      </c>
      <c r="I1670" s="9" t="str">
        <f aca="false">IF(H1670=0,"—",IF(H1670=1,"unison (1:1)",IF(H1670=2,"octave (2:1)",IF(H1670=3,"fifth (3:2)",IF(H1670=4,"fourth (4:3)","?")))))</f>
        <v>fourth (4:3)</v>
      </c>
      <c r="J1670" s="9" t="str">
        <f aca="false">IF(H1670=0,"—",IF(H1670=1,"ὁμώνυμον",IF(H1670=2,"διὰ πασῶν",IF(H1670=3,"διὰ πέντε",IF(H1670=4,"διὰ τεσσάρων","?")))))</f>
        <v>διὰ τεσσάρων</v>
      </c>
      <c r="K1670" s="10"/>
      <c r="L1670" s="14"/>
      <c r="M1670" s="13"/>
    </row>
    <row r="1671" customFormat="false" ht="15.75" hidden="false" customHeight="true" outlineLevel="0" collapsed="false">
      <c r="A1671" s="8" t="n">
        <f aca="false">A1670+1</f>
        <v>1669</v>
      </c>
      <c r="B1671" s="9" t="n">
        <f aca="false">MOD(4*A1671^2,10)</f>
        <v>4</v>
      </c>
      <c r="C1671" s="9" t="n">
        <f aca="false">(26*B1671-5*B1671^2)/24</f>
        <v>1</v>
      </c>
      <c r="D1671" s="9" t="n">
        <f aca="false">(A1671^2+4*C1671)/5</f>
        <v>557113</v>
      </c>
      <c r="E1671" s="9" t="n">
        <f aca="false">MOD(D1671,10)</f>
        <v>3</v>
      </c>
      <c r="F1671" s="9" t="n">
        <f aca="false">2*D1671</f>
        <v>1114226</v>
      </c>
      <c r="G1671" s="9" t="n">
        <f aca="false">MOD(F1671,10)</f>
        <v>6</v>
      </c>
      <c r="H1671" s="9" t="n">
        <f aca="false">G1671/2</f>
        <v>3</v>
      </c>
      <c r="I1671" s="9" t="str">
        <f aca="false">IF(H1671=0,"—",IF(H1671=1,"unison (1:1)",IF(H1671=2,"octave (2:1)",IF(H1671=3,"fifth (3:2)",IF(H1671=4,"fourth (4:3)","?")))))</f>
        <v>fifth (3:2)</v>
      </c>
      <c r="J1671" s="9" t="str">
        <f aca="false">IF(H1671=0,"—",IF(H1671=1,"ὁμώνυμον",IF(H1671=2,"διὰ πασῶν",IF(H1671=3,"διὰ πέντε",IF(H1671=4,"διὰ τεσσάρων","?")))))</f>
        <v>διὰ πέντε</v>
      </c>
      <c r="K1671" s="10"/>
      <c r="L1671" s="14"/>
      <c r="M1671" s="13"/>
    </row>
    <row r="1672" customFormat="false" ht="15.75" hidden="false" customHeight="true" outlineLevel="0" collapsed="false">
      <c r="A1672" s="8" t="n">
        <f aca="false">A1671+1</f>
        <v>1670</v>
      </c>
      <c r="B1672" s="9" t="n">
        <f aca="false">MOD(4*A1672^2,10)</f>
        <v>0</v>
      </c>
      <c r="C1672" s="9" t="n">
        <f aca="false">(26*B1672-5*B1672^2)/24</f>
        <v>0</v>
      </c>
      <c r="D1672" s="9" t="n">
        <f aca="false">(A1672^2+4*C1672)/5</f>
        <v>557780</v>
      </c>
      <c r="E1672" s="9" t="n">
        <f aca="false">MOD(D1672,10)</f>
        <v>0</v>
      </c>
      <c r="F1672" s="9" t="n">
        <f aca="false">2*D1672</f>
        <v>1115560</v>
      </c>
      <c r="G1672" s="9" t="n">
        <f aca="false">MOD(F1672,10)</f>
        <v>0</v>
      </c>
      <c r="H1672" s="9" t="n">
        <f aca="false">G1672/2</f>
        <v>0</v>
      </c>
      <c r="I1672" s="9" t="str">
        <f aca="false">IF(H1672=0,"—",IF(H1672=1,"unison (1:1)",IF(H1672=2,"octave (2:1)",IF(H1672=3,"fifth (3:2)",IF(H1672=4,"fourth (4:3)","?")))))</f>
        <v>—</v>
      </c>
      <c r="J1672" s="9" t="str">
        <f aca="false">IF(H1672=0,"—",IF(H1672=1,"ὁμώνυμον",IF(H1672=2,"διὰ πασῶν",IF(H1672=3,"διὰ πέντε",IF(H1672=4,"διὰ τεσσάρων","?")))))</f>
        <v>—</v>
      </c>
      <c r="K1672" s="10"/>
      <c r="L1672" s="14"/>
      <c r="M1672" s="13"/>
    </row>
    <row r="1673" customFormat="false" ht="15.75" hidden="false" customHeight="true" outlineLevel="0" collapsed="false">
      <c r="A1673" s="8" t="n">
        <f aca="false">A1672+1</f>
        <v>1671</v>
      </c>
      <c r="B1673" s="9" t="n">
        <f aca="false">MOD(4*A1673^2,10)</f>
        <v>4</v>
      </c>
      <c r="C1673" s="9" t="n">
        <f aca="false">(26*B1673-5*B1673^2)/24</f>
        <v>1</v>
      </c>
      <c r="D1673" s="9" t="n">
        <f aca="false">(A1673^2+4*C1673)/5</f>
        <v>558449</v>
      </c>
      <c r="E1673" s="9" t="n">
        <f aca="false">MOD(D1673,10)</f>
        <v>9</v>
      </c>
      <c r="F1673" s="9" t="n">
        <f aca="false">2*D1673</f>
        <v>1116898</v>
      </c>
      <c r="G1673" s="9" t="n">
        <f aca="false">MOD(F1673,10)</f>
        <v>8</v>
      </c>
      <c r="H1673" s="9" t="n">
        <f aca="false">G1673/2</f>
        <v>4</v>
      </c>
      <c r="I1673" s="9" t="str">
        <f aca="false">IF(H1673=0,"—",IF(H1673=1,"unison (1:1)",IF(H1673=2,"octave (2:1)",IF(H1673=3,"fifth (3:2)",IF(H1673=4,"fourth (4:3)","?")))))</f>
        <v>fourth (4:3)</v>
      </c>
      <c r="J1673" s="9" t="str">
        <f aca="false">IF(H1673=0,"—",IF(H1673=1,"ὁμώνυμον",IF(H1673=2,"διὰ πασῶν",IF(H1673=3,"διὰ πέντε",IF(H1673=4,"διὰ τεσσάρων","?")))))</f>
        <v>διὰ τεσσάρων</v>
      </c>
      <c r="K1673" s="10"/>
      <c r="L1673" s="14"/>
      <c r="M1673" s="13"/>
    </row>
    <row r="1674" customFormat="false" ht="15.75" hidden="false" customHeight="true" outlineLevel="0" collapsed="false">
      <c r="A1674" s="8" t="n">
        <f aca="false">A1673+1</f>
        <v>1672</v>
      </c>
      <c r="B1674" s="9" t="n">
        <f aca="false">MOD(4*A1674^2,10)</f>
        <v>6</v>
      </c>
      <c r="C1674" s="9" t="n">
        <f aca="false">(26*B1674-5*B1674^2)/24</f>
        <v>-1</v>
      </c>
      <c r="D1674" s="9" t="n">
        <f aca="false">(A1674^2+4*C1674)/5</f>
        <v>559116</v>
      </c>
      <c r="E1674" s="9" t="n">
        <f aca="false">MOD(D1674,10)</f>
        <v>6</v>
      </c>
      <c r="F1674" s="9" t="n">
        <f aca="false">2*D1674</f>
        <v>1118232</v>
      </c>
      <c r="G1674" s="9" t="n">
        <f aca="false">MOD(F1674,10)</f>
        <v>2</v>
      </c>
      <c r="H1674" s="9" t="n">
        <f aca="false">G1674/2</f>
        <v>1</v>
      </c>
      <c r="I1674" s="9" t="str">
        <f aca="false">IF(H1674=0,"—",IF(H1674=1,"unison (1:1)",IF(H1674=2,"octave (2:1)",IF(H1674=3,"fifth (3:2)",IF(H1674=4,"fourth (4:3)","?")))))</f>
        <v>unison (1:1)</v>
      </c>
      <c r="J1674" s="9" t="str">
        <f aca="false">IF(H1674=0,"—",IF(H1674=1,"ὁμώνυμον",IF(H1674=2,"διὰ πασῶν",IF(H1674=3,"διὰ πέντε",IF(H1674=4,"διὰ τεσσάρων","?")))))</f>
        <v>ὁμώνυμον</v>
      </c>
      <c r="K1674" s="10"/>
      <c r="L1674" s="14"/>
      <c r="M1674" s="13"/>
    </row>
    <row r="1675" customFormat="false" ht="15.75" hidden="false" customHeight="true" outlineLevel="0" collapsed="false">
      <c r="A1675" s="8" t="n">
        <f aca="false">A1674+1</f>
        <v>1673</v>
      </c>
      <c r="B1675" s="9" t="n">
        <f aca="false">MOD(4*A1675^2,10)</f>
        <v>6</v>
      </c>
      <c r="C1675" s="9" t="n">
        <f aca="false">(26*B1675-5*B1675^2)/24</f>
        <v>-1</v>
      </c>
      <c r="D1675" s="9" t="n">
        <f aca="false">(A1675^2+4*C1675)/5</f>
        <v>559785</v>
      </c>
      <c r="E1675" s="9" t="n">
        <f aca="false">MOD(D1675,10)</f>
        <v>5</v>
      </c>
      <c r="F1675" s="9" t="n">
        <f aca="false">2*D1675</f>
        <v>1119570</v>
      </c>
      <c r="G1675" s="9" t="n">
        <f aca="false">MOD(F1675,10)</f>
        <v>0</v>
      </c>
      <c r="H1675" s="9" t="n">
        <f aca="false">G1675/2</f>
        <v>0</v>
      </c>
      <c r="I1675" s="9" t="str">
        <f aca="false">IF(H1675=0,"—",IF(H1675=1,"unison (1:1)",IF(H1675=2,"octave (2:1)",IF(H1675=3,"fifth (3:2)",IF(H1675=4,"fourth (4:3)","?")))))</f>
        <v>—</v>
      </c>
      <c r="J1675" s="9" t="str">
        <f aca="false">IF(H1675=0,"—",IF(H1675=1,"ὁμώνυμον",IF(H1675=2,"διὰ πασῶν",IF(H1675=3,"διὰ πέντε",IF(H1675=4,"διὰ τεσσάρων","?")))))</f>
        <v>—</v>
      </c>
      <c r="K1675" s="10"/>
      <c r="L1675" s="14"/>
      <c r="M1675" s="13"/>
    </row>
    <row r="1676" customFormat="false" ht="15.75" hidden="false" customHeight="true" outlineLevel="0" collapsed="false">
      <c r="A1676" s="8" t="n">
        <f aca="false">A1675+1</f>
        <v>1674</v>
      </c>
      <c r="B1676" s="9" t="n">
        <f aca="false">MOD(4*A1676^2,10)</f>
        <v>4</v>
      </c>
      <c r="C1676" s="9" t="n">
        <f aca="false">(26*B1676-5*B1676^2)/24</f>
        <v>1</v>
      </c>
      <c r="D1676" s="9" t="n">
        <f aca="false">(A1676^2+4*C1676)/5</f>
        <v>560456</v>
      </c>
      <c r="E1676" s="9" t="n">
        <f aca="false">MOD(D1676,10)</f>
        <v>6</v>
      </c>
      <c r="F1676" s="9" t="n">
        <f aca="false">2*D1676</f>
        <v>1120912</v>
      </c>
      <c r="G1676" s="9" t="n">
        <f aca="false">MOD(F1676,10)</f>
        <v>2</v>
      </c>
      <c r="H1676" s="9" t="n">
        <f aca="false">G1676/2</f>
        <v>1</v>
      </c>
      <c r="I1676" s="9" t="str">
        <f aca="false">IF(H1676=0,"—",IF(H1676=1,"unison (1:1)",IF(H1676=2,"octave (2:1)",IF(H1676=3,"fifth (3:2)",IF(H1676=4,"fourth (4:3)","?")))))</f>
        <v>unison (1:1)</v>
      </c>
      <c r="J1676" s="9" t="str">
        <f aca="false">IF(H1676=0,"—",IF(H1676=1,"ὁμώνυμον",IF(H1676=2,"διὰ πασῶν",IF(H1676=3,"διὰ πέντε",IF(H1676=4,"διὰ τεσσάρων","?")))))</f>
        <v>ὁμώνυμον</v>
      </c>
      <c r="K1676" s="10"/>
      <c r="L1676" s="14"/>
      <c r="M1676" s="13"/>
    </row>
    <row r="1677" customFormat="false" ht="15.75" hidden="false" customHeight="true" outlineLevel="0" collapsed="false">
      <c r="A1677" s="8" t="n">
        <f aca="false">A1676+1</f>
        <v>1675</v>
      </c>
      <c r="B1677" s="9" t="n">
        <f aca="false">MOD(4*A1677^2,10)</f>
        <v>0</v>
      </c>
      <c r="C1677" s="9" t="n">
        <f aca="false">(26*B1677-5*B1677^2)/24</f>
        <v>0</v>
      </c>
      <c r="D1677" s="9" t="n">
        <f aca="false">(A1677^2+4*C1677)/5</f>
        <v>561125</v>
      </c>
      <c r="E1677" s="9" t="n">
        <f aca="false">MOD(D1677,10)</f>
        <v>5</v>
      </c>
      <c r="F1677" s="9" t="n">
        <f aca="false">2*D1677</f>
        <v>1122250</v>
      </c>
      <c r="G1677" s="9" t="n">
        <f aca="false">MOD(F1677,10)</f>
        <v>0</v>
      </c>
      <c r="H1677" s="9" t="n">
        <f aca="false">G1677/2</f>
        <v>0</v>
      </c>
      <c r="I1677" s="9" t="str">
        <f aca="false">IF(H1677=0,"—",IF(H1677=1,"unison (1:1)",IF(H1677=2,"octave (2:1)",IF(H1677=3,"fifth (3:2)",IF(H1677=4,"fourth (4:3)","?")))))</f>
        <v>—</v>
      </c>
      <c r="J1677" s="9" t="str">
        <f aca="false">IF(H1677=0,"—",IF(H1677=1,"ὁμώνυμον",IF(H1677=2,"διὰ πασῶν",IF(H1677=3,"διὰ πέντε",IF(H1677=4,"διὰ τεσσάρων","?")))))</f>
        <v>—</v>
      </c>
      <c r="K1677" s="10"/>
      <c r="L1677" s="14"/>
      <c r="M1677" s="13"/>
    </row>
    <row r="1678" customFormat="false" ht="15.75" hidden="false" customHeight="true" outlineLevel="0" collapsed="false">
      <c r="A1678" s="8" t="n">
        <f aca="false">A1677+1</f>
        <v>1676</v>
      </c>
      <c r="B1678" s="9" t="n">
        <f aca="false">MOD(4*A1678^2,10)</f>
        <v>4</v>
      </c>
      <c r="C1678" s="9" t="n">
        <f aca="false">(26*B1678-5*B1678^2)/24</f>
        <v>1</v>
      </c>
      <c r="D1678" s="9" t="n">
        <f aca="false">(A1678^2+4*C1678)/5</f>
        <v>561796</v>
      </c>
      <c r="E1678" s="9" t="n">
        <f aca="false">MOD(D1678,10)</f>
        <v>6</v>
      </c>
      <c r="F1678" s="9" t="n">
        <f aca="false">2*D1678</f>
        <v>1123592</v>
      </c>
      <c r="G1678" s="9" t="n">
        <f aca="false">MOD(F1678,10)</f>
        <v>2</v>
      </c>
      <c r="H1678" s="9" t="n">
        <f aca="false">G1678/2</f>
        <v>1</v>
      </c>
      <c r="I1678" s="9" t="str">
        <f aca="false">IF(H1678=0,"—",IF(H1678=1,"unison (1:1)",IF(H1678=2,"octave (2:1)",IF(H1678=3,"fifth (3:2)",IF(H1678=4,"fourth (4:3)","?")))))</f>
        <v>unison (1:1)</v>
      </c>
      <c r="J1678" s="9" t="str">
        <f aca="false">IF(H1678=0,"—",IF(H1678=1,"ὁμώνυμον",IF(H1678=2,"διὰ πασῶν",IF(H1678=3,"διὰ πέντε",IF(H1678=4,"διὰ τεσσάρων","?")))))</f>
        <v>ὁμώνυμον</v>
      </c>
      <c r="K1678" s="10"/>
      <c r="L1678" s="14"/>
      <c r="M1678" s="13"/>
    </row>
    <row r="1679" customFormat="false" ht="15.75" hidden="false" customHeight="true" outlineLevel="0" collapsed="false">
      <c r="A1679" s="8" t="n">
        <f aca="false">A1678+1</f>
        <v>1677</v>
      </c>
      <c r="B1679" s="9" t="n">
        <f aca="false">MOD(4*A1679^2,10)</f>
        <v>6</v>
      </c>
      <c r="C1679" s="9" t="n">
        <f aca="false">(26*B1679-5*B1679^2)/24</f>
        <v>-1</v>
      </c>
      <c r="D1679" s="9" t="n">
        <f aca="false">(A1679^2+4*C1679)/5</f>
        <v>562465</v>
      </c>
      <c r="E1679" s="9" t="n">
        <f aca="false">MOD(D1679,10)</f>
        <v>5</v>
      </c>
      <c r="F1679" s="9" t="n">
        <f aca="false">2*D1679</f>
        <v>1124930</v>
      </c>
      <c r="G1679" s="9" t="n">
        <f aca="false">MOD(F1679,10)</f>
        <v>0</v>
      </c>
      <c r="H1679" s="9" t="n">
        <f aca="false">G1679/2</f>
        <v>0</v>
      </c>
      <c r="I1679" s="9" t="str">
        <f aca="false">IF(H1679=0,"—",IF(H1679=1,"unison (1:1)",IF(H1679=2,"octave (2:1)",IF(H1679=3,"fifth (3:2)",IF(H1679=4,"fourth (4:3)","?")))))</f>
        <v>—</v>
      </c>
      <c r="J1679" s="9" t="str">
        <f aca="false">IF(H1679=0,"—",IF(H1679=1,"ὁμώνυμον",IF(H1679=2,"διὰ πασῶν",IF(H1679=3,"διὰ πέντε",IF(H1679=4,"διὰ τεσσάρων","?")))))</f>
        <v>—</v>
      </c>
      <c r="K1679" s="10"/>
      <c r="L1679" s="14"/>
      <c r="M1679" s="13"/>
    </row>
    <row r="1680" customFormat="false" ht="15.75" hidden="false" customHeight="true" outlineLevel="0" collapsed="false">
      <c r="A1680" s="8" t="n">
        <f aca="false">A1679+1</f>
        <v>1678</v>
      </c>
      <c r="B1680" s="9" t="n">
        <f aca="false">MOD(4*A1680^2,10)</f>
        <v>6</v>
      </c>
      <c r="C1680" s="9" t="n">
        <f aca="false">(26*B1680-5*B1680^2)/24</f>
        <v>-1</v>
      </c>
      <c r="D1680" s="9" t="n">
        <f aca="false">(A1680^2+4*C1680)/5</f>
        <v>563136</v>
      </c>
      <c r="E1680" s="9" t="n">
        <f aca="false">MOD(D1680,10)</f>
        <v>6</v>
      </c>
      <c r="F1680" s="9" t="n">
        <f aca="false">2*D1680</f>
        <v>1126272</v>
      </c>
      <c r="G1680" s="9" t="n">
        <f aca="false">MOD(F1680,10)</f>
        <v>2</v>
      </c>
      <c r="H1680" s="9" t="n">
        <f aca="false">G1680/2</f>
        <v>1</v>
      </c>
      <c r="I1680" s="9" t="str">
        <f aca="false">IF(H1680=0,"—",IF(H1680=1,"unison (1:1)",IF(H1680=2,"octave (2:1)",IF(H1680=3,"fifth (3:2)",IF(H1680=4,"fourth (4:3)","?")))))</f>
        <v>unison (1:1)</v>
      </c>
      <c r="J1680" s="9" t="str">
        <f aca="false">IF(H1680=0,"—",IF(H1680=1,"ὁμώνυμον",IF(H1680=2,"διὰ πασῶν",IF(H1680=3,"διὰ πέντε",IF(H1680=4,"διὰ τεσσάρων","?")))))</f>
        <v>ὁμώνυμον</v>
      </c>
      <c r="K1680" s="10"/>
      <c r="L1680" s="14"/>
      <c r="M1680" s="13"/>
    </row>
    <row r="1681" customFormat="false" ht="15.75" hidden="false" customHeight="true" outlineLevel="0" collapsed="false">
      <c r="A1681" s="8" t="n">
        <f aca="false">A1680+1</f>
        <v>1679</v>
      </c>
      <c r="B1681" s="9" t="n">
        <f aca="false">MOD(4*A1681^2,10)</f>
        <v>4</v>
      </c>
      <c r="C1681" s="9" t="n">
        <f aca="false">(26*B1681-5*B1681^2)/24</f>
        <v>1</v>
      </c>
      <c r="D1681" s="9" t="n">
        <f aca="false">(A1681^2+4*C1681)/5</f>
        <v>563809</v>
      </c>
      <c r="E1681" s="9" t="n">
        <f aca="false">MOD(D1681,10)</f>
        <v>9</v>
      </c>
      <c r="F1681" s="9" t="n">
        <f aca="false">2*D1681</f>
        <v>1127618</v>
      </c>
      <c r="G1681" s="9" t="n">
        <f aca="false">MOD(F1681,10)</f>
        <v>8</v>
      </c>
      <c r="H1681" s="9" t="n">
        <f aca="false">G1681/2</f>
        <v>4</v>
      </c>
      <c r="I1681" s="9" t="str">
        <f aca="false">IF(H1681=0,"—",IF(H1681=1,"unison (1:1)",IF(H1681=2,"octave (2:1)",IF(H1681=3,"fifth (3:2)",IF(H1681=4,"fourth (4:3)","?")))))</f>
        <v>fourth (4:3)</v>
      </c>
      <c r="J1681" s="9" t="str">
        <f aca="false">IF(H1681=0,"—",IF(H1681=1,"ὁμώνυμον",IF(H1681=2,"διὰ πασῶν",IF(H1681=3,"διὰ πέντε",IF(H1681=4,"διὰ τεσσάρων","?")))))</f>
        <v>διὰ τεσσάρων</v>
      </c>
      <c r="K1681" s="10"/>
      <c r="L1681" s="14"/>
      <c r="M1681" s="13"/>
    </row>
    <row r="1682" customFormat="false" ht="15.75" hidden="false" customHeight="true" outlineLevel="0" collapsed="false">
      <c r="A1682" s="8" t="n">
        <f aca="false">A1681+1</f>
        <v>1680</v>
      </c>
      <c r="B1682" s="9" t="n">
        <f aca="false">MOD(4*A1682^2,10)</f>
        <v>0</v>
      </c>
      <c r="C1682" s="9" t="n">
        <f aca="false">(26*B1682-5*B1682^2)/24</f>
        <v>0</v>
      </c>
      <c r="D1682" s="9" t="n">
        <f aca="false">(A1682^2+4*C1682)/5</f>
        <v>564480</v>
      </c>
      <c r="E1682" s="9" t="n">
        <f aca="false">MOD(D1682,10)</f>
        <v>0</v>
      </c>
      <c r="F1682" s="9" t="n">
        <f aca="false">2*D1682</f>
        <v>1128960</v>
      </c>
      <c r="G1682" s="9" t="n">
        <f aca="false">MOD(F1682,10)</f>
        <v>0</v>
      </c>
      <c r="H1682" s="9" t="n">
        <f aca="false">G1682/2</f>
        <v>0</v>
      </c>
      <c r="I1682" s="9" t="str">
        <f aca="false">IF(H1682=0,"—",IF(H1682=1,"unison (1:1)",IF(H1682=2,"octave (2:1)",IF(H1682=3,"fifth (3:2)",IF(H1682=4,"fourth (4:3)","?")))))</f>
        <v>—</v>
      </c>
      <c r="J1682" s="9" t="str">
        <f aca="false">IF(H1682=0,"—",IF(H1682=1,"ὁμώνυμον",IF(H1682=2,"διὰ πασῶν",IF(H1682=3,"διὰ πέντε",IF(H1682=4,"διὰ τεσσάρων","?")))))</f>
        <v>—</v>
      </c>
      <c r="K1682" s="10"/>
      <c r="L1682" s="14"/>
      <c r="M1682" s="13"/>
    </row>
    <row r="1683" customFormat="false" ht="15.75" hidden="false" customHeight="true" outlineLevel="0" collapsed="false">
      <c r="A1683" s="8" t="n">
        <f aca="false">A1682+1</f>
        <v>1681</v>
      </c>
      <c r="B1683" s="9" t="n">
        <f aca="false">MOD(4*A1683^2,10)</f>
        <v>4</v>
      </c>
      <c r="C1683" s="9" t="n">
        <f aca="false">(26*B1683-5*B1683^2)/24</f>
        <v>1</v>
      </c>
      <c r="D1683" s="9" t="n">
        <f aca="false">(A1683^2+4*C1683)/5</f>
        <v>565153</v>
      </c>
      <c r="E1683" s="9" t="n">
        <f aca="false">MOD(D1683,10)</f>
        <v>3</v>
      </c>
      <c r="F1683" s="9" t="n">
        <f aca="false">2*D1683</f>
        <v>1130306</v>
      </c>
      <c r="G1683" s="9" t="n">
        <f aca="false">MOD(F1683,10)</f>
        <v>6</v>
      </c>
      <c r="H1683" s="9" t="n">
        <f aca="false">G1683/2</f>
        <v>3</v>
      </c>
      <c r="I1683" s="9" t="str">
        <f aca="false">IF(H1683=0,"—",IF(H1683=1,"unison (1:1)",IF(H1683=2,"octave (2:1)",IF(H1683=3,"fifth (3:2)",IF(H1683=4,"fourth (4:3)","?")))))</f>
        <v>fifth (3:2)</v>
      </c>
      <c r="J1683" s="9" t="str">
        <f aca="false">IF(H1683=0,"—",IF(H1683=1,"ὁμώνυμον",IF(H1683=2,"διὰ πασῶν",IF(H1683=3,"διὰ πέντε",IF(H1683=4,"διὰ τεσσάρων","?")))))</f>
        <v>διὰ πέντε</v>
      </c>
      <c r="K1683" s="10"/>
      <c r="L1683" s="14"/>
      <c r="M1683" s="13"/>
    </row>
    <row r="1684" customFormat="false" ht="15.75" hidden="false" customHeight="true" outlineLevel="0" collapsed="false">
      <c r="A1684" s="8" t="n">
        <f aca="false">A1683+1</f>
        <v>1682</v>
      </c>
      <c r="B1684" s="9" t="n">
        <f aca="false">MOD(4*A1684^2,10)</f>
        <v>6</v>
      </c>
      <c r="C1684" s="9" t="n">
        <f aca="false">(26*B1684-5*B1684^2)/24</f>
        <v>-1</v>
      </c>
      <c r="D1684" s="9" t="n">
        <f aca="false">(A1684^2+4*C1684)/5</f>
        <v>565824</v>
      </c>
      <c r="E1684" s="9" t="n">
        <f aca="false">MOD(D1684,10)</f>
        <v>4</v>
      </c>
      <c r="F1684" s="9" t="n">
        <f aca="false">2*D1684</f>
        <v>1131648</v>
      </c>
      <c r="G1684" s="9" t="n">
        <f aca="false">MOD(F1684,10)</f>
        <v>8</v>
      </c>
      <c r="H1684" s="9" t="n">
        <f aca="false">G1684/2</f>
        <v>4</v>
      </c>
      <c r="I1684" s="9" t="str">
        <f aca="false">IF(H1684=0,"—",IF(H1684=1,"unison (1:1)",IF(H1684=2,"octave (2:1)",IF(H1684=3,"fifth (3:2)",IF(H1684=4,"fourth (4:3)","?")))))</f>
        <v>fourth (4:3)</v>
      </c>
      <c r="J1684" s="9" t="str">
        <f aca="false">IF(H1684=0,"—",IF(H1684=1,"ὁμώνυμον",IF(H1684=2,"διὰ πασῶν",IF(H1684=3,"διὰ πέντε",IF(H1684=4,"διὰ τεσσάρων","?")))))</f>
        <v>διὰ τεσσάρων</v>
      </c>
      <c r="K1684" s="10"/>
      <c r="L1684" s="14"/>
      <c r="M1684" s="13"/>
    </row>
    <row r="1685" customFormat="false" ht="15.75" hidden="false" customHeight="true" outlineLevel="0" collapsed="false">
      <c r="A1685" s="8" t="n">
        <f aca="false">A1684+1</f>
        <v>1683</v>
      </c>
      <c r="B1685" s="9" t="n">
        <f aca="false">MOD(4*A1685^2,10)</f>
        <v>6</v>
      </c>
      <c r="C1685" s="9" t="n">
        <f aca="false">(26*B1685-5*B1685^2)/24</f>
        <v>-1</v>
      </c>
      <c r="D1685" s="9" t="n">
        <f aca="false">(A1685^2+4*C1685)/5</f>
        <v>566497</v>
      </c>
      <c r="E1685" s="9" t="n">
        <f aca="false">MOD(D1685,10)</f>
        <v>7</v>
      </c>
      <c r="F1685" s="9" t="n">
        <f aca="false">2*D1685</f>
        <v>1132994</v>
      </c>
      <c r="G1685" s="9" t="n">
        <f aca="false">MOD(F1685,10)</f>
        <v>4</v>
      </c>
      <c r="H1685" s="9" t="n">
        <f aca="false">G1685/2</f>
        <v>2</v>
      </c>
      <c r="I1685" s="9" t="str">
        <f aca="false">IF(H1685=0,"—",IF(H1685=1,"unison (1:1)",IF(H1685=2,"octave (2:1)",IF(H1685=3,"fifth (3:2)",IF(H1685=4,"fourth (4:3)","?")))))</f>
        <v>octave (2:1)</v>
      </c>
      <c r="J1685" s="9" t="str">
        <f aca="false">IF(H1685=0,"—",IF(H1685=1,"ὁμώνυμον",IF(H1685=2,"διὰ πασῶν",IF(H1685=3,"διὰ πέντε",IF(H1685=4,"διὰ τεσσάρων","?")))))</f>
        <v>διὰ πασῶν</v>
      </c>
      <c r="K1685" s="10"/>
      <c r="L1685" s="14"/>
      <c r="M1685" s="13"/>
    </row>
    <row r="1686" customFormat="false" ht="15.75" hidden="false" customHeight="true" outlineLevel="0" collapsed="false">
      <c r="A1686" s="8" t="n">
        <f aca="false">A1685+1</f>
        <v>1684</v>
      </c>
      <c r="B1686" s="9" t="n">
        <f aca="false">MOD(4*A1686^2,10)</f>
        <v>4</v>
      </c>
      <c r="C1686" s="9" t="n">
        <f aca="false">(26*B1686-5*B1686^2)/24</f>
        <v>1</v>
      </c>
      <c r="D1686" s="9" t="n">
        <f aca="false">(A1686^2+4*C1686)/5</f>
        <v>567172</v>
      </c>
      <c r="E1686" s="9" t="n">
        <f aca="false">MOD(D1686,10)</f>
        <v>2</v>
      </c>
      <c r="F1686" s="9" t="n">
        <f aca="false">2*D1686</f>
        <v>1134344</v>
      </c>
      <c r="G1686" s="9" t="n">
        <f aca="false">MOD(F1686,10)</f>
        <v>4</v>
      </c>
      <c r="H1686" s="9" t="n">
        <f aca="false">G1686/2</f>
        <v>2</v>
      </c>
      <c r="I1686" s="9" t="str">
        <f aca="false">IF(H1686=0,"—",IF(H1686=1,"unison (1:1)",IF(H1686=2,"octave (2:1)",IF(H1686=3,"fifth (3:2)",IF(H1686=4,"fourth (4:3)","?")))))</f>
        <v>octave (2:1)</v>
      </c>
      <c r="J1686" s="9" t="str">
        <f aca="false">IF(H1686=0,"—",IF(H1686=1,"ὁμώνυμον",IF(H1686=2,"διὰ πασῶν",IF(H1686=3,"διὰ πέντε",IF(H1686=4,"διὰ τεσσάρων","?")))))</f>
        <v>διὰ πασῶν</v>
      </c>
      <c r="K1686" s="10"/>
      <c r="L1686" s="14"/>
      <c r="M1686" s="13"/>
    </row>
    <row r="1687" customFormat="false" ht="15.75" hidden="false" customHeight="true" outlineLevel="0" collapsed="false">
      <c r="A1687" s="8" t="n">
        <f aca="false">A1686+1</f>
        <v>1685</v>
      </c>
      <c r="B1687" s="9" t="n">
        <f aca="false">MOD(4*A1687^2,10)</f>
        <v>0</v>
      </c>
      <c r="C1687" s="9" t="n">
        <f aca="false">(26*B1687-5*B1687^2)/24</f>
        <v>0</v>
      </c>
      <c r="D1687" s="9" t="n">
        <f aca="false">(A1687^2+4*C1687)/5</f>
        <v>567845</v>
      </c>
      <c r="E1687" s="9" t="n">
        <f aca="false">MOD(D1687,10)</f>
        <v>5</v>
      </c>
      <c r="F1687" s="9" t="n">
        <f aca="false">2*D1687</f>
        <v>1135690</v>
      </c>
      <c r="G1687" s="9" t="n">
        <f aca="false">MOD(F1687,10)</f>
        <v>0</v>
      </c>
      <c r="H1687" s="9" t="n">
        <f aca="false">G1687/2</f>
        <v>0</v>
      </c>
      <c r="I1687" s="9" t="str">
        <f aca="false">IF(H1687=0,"—",IF(H1687=1,"unison (1:1)",IF(H1687=2,"octave (2:1)",IF(H1687=3,"fifth (3:2)",IF(H1687=4,"fourth (4:3)","?")))))</f>
        <v>—</v>
      </c>
      <c r="J1687" s="9" t="str">
        <f aca="false">IF(H1687=0,"—",IF(H1687=1,"ὁμώνυμον",IF(H1687=2,"διὰ πασῶν",IF(H1687=3,"διὰ πέντε",IF(H1687=4,"διὰ τεσσάρων","?")))))</f>
        <v>—</v>
      </c>
      <c r="K1687" s="10"/>
      <c r="L1687" s="14"/>
      <c r="M1687" s="13"/>
    </row>
    <row r="1688" customFormat="false" ht="15.75" hidden="false" customHeight="true" outlineLevel="0" collapsed="false">
      <c r="A1688" s="8" t="n">
        <f aca="false">A1687+1</f>
        <v>1686</v>
      </c>
      <c r="B1688" s="9" t="n">
        <f aca="false">MOD(4*A1688^2,10)</f>
        <v>4</v>
      </c>
      <c r="C1688" s="9" t="n">
        <f aca="false">(26*B1688-5*B1688^2)/24</f>
        <v>1</v>
      </c>
      <c r="D1688" s="9" t="n">
        <f aca="false">(A1688^2+4*C1688)/5</f>
        <v>568520</v>
      </c>
      <c r="E1688" s="9" t="n">
        <f aca="false">MOD(D1688,10)</f>
        <v>0</v>
      </c>
      <c r="F1688" s="9" t="n">
        <f aca="false">2*D1688</f>
        <v>1137040</v>
      </c>
      <c r="G1688" s="9" t="n">
        <f aca="false">MOD(F1688,10)</f>
        <v>0</v>
      </c>
      <c r="H1688" s="9" t="n">
        <f aca="false">G1688/2</f>
        <v>0</v>
      </c>
      <c r="I1688" s="9" t="str">
        <f aca="false">IF(H1688=0,"—",IF(H1688=1,"unison (1:1)",IF(H1688=2,"octave (2:1)",IF(H1688=3,"fifth (3:2)",IF(H1688=4,"fourth (4:3)","?")))))</f>
        <v>—</v>
      </c>
      <c r="J1688" s="9" t="str">
        <f aca="false">IF(H1688=0,"—",IF(H1688=1,"ὁμώνυμον",IF(H1688=2,"διὰ πασῶν",IF(H1688=3,"διὰ πέντε",IF(H1688=4,"διὰ τεσσάρων","?")))))</f>
        <v>—</v>
      </c>
      <c r="K1688" s="10"/>
      <c r="L1688" s="14"/>
      <c r="M1688" s="13"/>
    </row>
    <row r="1689" customFormat="false" ht="15.75" hidden="false" customHeight="true" outlineLevel="0" collapsed="false">
      <c r="A1689" s="8" t="n">
        <f aca="false">A1688+1</f>
        <v>1687</v>
      </c>
      <c r="B1689" s="9" t="n">
        <f aca="false">MOD(4*A1689^2,10)</f>
        <v>6</v>
      </c>
      <c r="C1689" s="9" t="n">
        <f aca="false">(26*B1689-5*B1689^2)/24</f>
        <v>-1</v>
      </c>
      <c r="D1689" s="9" t="n">
        <f aca="false">(A1689^2+4*C1689)/5</f>
        <v>569193</v>
      </c>
      <c r="E1689" s="9" t="n">
        <f aca="false">MOD(D1689,10)</f>
        <v>3</v>
      </c>
      <c r="F1689" s="9" t="n">
        <f aca="false">2*D1689</f>
        <v>1138386</v>
      </c>
      <c r="G1689" s="9" t="n">
        <f aca="false">MOD(F1689,10)</f>
        <v>6</v>
      </c>
      <c r="H1689" s="9" t="n">
        <f aca="false">G1689/2</f>
        <v>3</v>
      </c>
      <c r="I1689" s="9" t="str">
        <f aca="false">IF(H1689=0,"—",IF(H1689=1,"unison (1:1)",IF(H1689=2,"octave (2:1)",IF(H1689=3,"fifth (3:2)",IF(H1689=4,"fourth (4:3)","?")))))</f>
        <v>fifth (3:2)</v>
      </c>
      <c r="J1689" s="9" t="str">
        <f aca="false">IF(H1689=0,"—",IF(H1689=1,"ὁμώνυμον",IF(H1689=2,"διὰ πασῶν",IF(H1689=3,"διὰ πέντε",IF(H1689=4,"διὰ τεσσάρων","?")))))</f>
        <v>διὰ πέντε</v>
      </c>
      <c r="K1689" s="10"/>
      <c r="L1689" s="14"/>
      <c r="M1689" s="13"/>
    </row>
    <row r="1690" customFormat="false" ht="15.75" hidden="false" customHeight="true" outlineLevel="0" collapsed="false">
      <c r="A1690" s="8" t="n">
        <f aca="false">A1689+1</f>
        <v>1688</v>
      </c>
      <c r="B1690" s="9" t="n">
        <f aca="false">MOD(4*A1690^2,10)</f>
        <v>6</v>
      </c>
      <c r="C1690" s="9" t="n">
        <f aca="false">(26*B1690-5*B1690^2)/24</f>
        <v>-1</v>
      </c>
      <c r="D1690" s="9" t="n">
        <f aca="false">(A1690^2+4*C1690)/5</f>
        <v>569868</v>
      </c>
      <c r="E1690" s="9" t="n">
        <f aca="false">MOD(D1690,10)</f>
        <v>8</v>
      </c>
      <c r="F1690" s="9" t="n">
        <f aca="false">2*D1690</f>
        <v>1139736</v>
      </c>
      <c r="G1690" s="9" t="n">
        <f aca="false">MOD(F1690,10)</f>
        <v>6</v>
      </c>
      <c r="H1690" s="9" t="n">
        <f aca="false">G1690/2</f>
        <v>3</v>
      </c>
      <c r="I1690" s="9" t="str">
        <f aca="false">IF(H1690=0,"—",IF(H1690=1,"unison (1:1)",IF(H1690=2,"octave (2:1)",IF(H1690=3,"fifth (3:2)",IF(H1690=4,"fourth (4:3)","?")))))</f>
        <v>fifth (3:2)</v>
      </c>
      <c r="J1690" s="9" t="str">
        <f aca="false">IF(H1690=0,"—",IF(H1690=1,"ὁμώνυμον",IF(H1690=2,"διὰ πασῶν",IF(H1690=3,"διὰ πέντε",IF(H1690=4,"διὰ τεσσάρων","?")))))</f>
        <v>διὰ πέντε</v>
      </c>
      <c r="K1690" s="10"/>
      <c r="L1690" s="14"/>
      <c r="M1690" s="13"/>
    </row>
    <row r="1691" customFormat="false" ht="15.75" hidden="false" customHeight="true" outlineLevel="0" collapsed="false">
      <c r="A1691" s="8" t="n">
        <f aca="false">A1690+1</f>
        <v>1689</v>
      </c>
      <c r="B1691" s="9" t="n">
        <f aca="false">MOD(4*A1691^2,10)</f>
        <v>4</v>
      </c>
      <c r="C1691" s="9" t="n">
        <f aca="false">(26*B1691-5*B1691^2)/24</f>
        <v>1</v>
      </c>
      <c r="D1691" s="9" t="n">
        <f aca="false">(A1691^2+4*C1691)/5</f>
        <v>570545</v>
      </c>
      <c r="E1691" s="9" t="n">
        <f aca="false">MOD(D1691,10)</f>
        <v>5</v>
      </c>
      <c r="F1691" s="9" t="n">
        <f aca="false">2*D1691</f>
        <v>1141090</v>
      </c>
      <c r="G1691" s="9" t="n">
        <f aca="false">MOD(F1691,10)</f>
        <v>0</v>
      </c>
      <c r="H1691" s="9" t="n">
        <f aca="false">G1691/2</f>
        <v>0</v>
      </c>
      <c r="I1691" s="9" t="str">
        <f aca="false">IF(H1691=0,"—",IF(H1691=1,"unison (1:1)",IF(H1691=2,"octave (2:1)",IF(H1691=3,"fifth (3:2)",IF(H1691=4,"fourth (4:3)","?")))))</f>
        <v>—</v>
      </c>
      <c r="J1691" s="9" t="str">
        <f aca="false">IF(H1691=0,"—",IF(H1691=1,"ὁμώνυμον",IF(H1691=2,"διὰ πασῶν",IF(H1691=3,"διὰ πέντε",IF(H1691=4,"διὰ τεσσάρων","?")))))</f>
        <v>—</v>
      </c>
      <c r="K1691" s="10"/>
      <c r="L1691" s="14"/>
      <c r="M1691" s="13"/>
    </row>
    <row r="1692" customFormat="false" ht="15.75" hidden="false" customHeight="true" outlineLevel="0" collapsed="false">
      <c r="A1692" s="8" t="n">
        <f aca="false">A1691+1</f>
        <v>1690</v>
      </c>
      <c r="B1692" s="9" t="n">
        <f aca="false">MOD(4*A1692^2,10)</f>
        <v>0</v>
      </c>
      <c r="C1692" s="9" t="n">
        <f aca="false">(26*B1692-5*B1692^2)/24</f>
        <v>0</v>
      </c>
      <c r="D1692" s="9" t="n">
        <f aca="false">(A1692^2+4*C1692)/5</f>
        <v>571220</v>
      </c>
      <c r="E1692" s="9" t="n">
        <f aca="false">MOD(D1692,10)</f>
        <v>0</v>
      </c>
      <c r="F1692" s="9" t="n">
        <f aca="false">2*D1692</f>
        <v>1142440</v>
      </c>
      <c r="G1692" s="9" t="n">
        <f aca="false">MOD(F1692,10)</f>
        <v>0</v>
      </c>
      <c r="H1692" s="9" t="n">
        <f aca="false">G1692/2</f>
        <v>0</v>
      </c>
      <c r="I1692" s="9" t="str">
        <f aca="false">IF(H1692=0,"—",IF(H1692=1,"unison (1:1)",IF(H1692=2,"octave (2:1)",IF(H1692=3,"fifth (3:2)",IF(H1692=4,"fourth (4:3)","?")))))</f>
        <v>—</v>
      </c>
      <c r="J1692" s="9" t="str">
        <f aca="false">IF(H1692=0,"—",IF(H1692=1,"ὁμώνυμον",IF(H1692=2,"διὰ πασῶν",IF(H1692=3,"διὰ πέντε",IF(H1692=4,"διὰ τεσσάρων","?")))))</f>
        <v>—</v>
      </c>
      <c r="K1692" s="10"/>
      <c r="L1692" s="14"/>
      <c r="M1692" s="13"/>
    </row>
    <row r="1693" customFormat="false" ht="15.75" hidden="false" customHeight="true" outlineLevel="0" collapsed="false">
      <c r="A1693" s="8" t="n">
        <f aca="false">A1692+1</f>
        <v>1691</v>
      </c>
      <c r="B1693" s="9" t="n">
        <f aca="false">MOD(4*A1693^2,10)</f>
        <v>4</v>
      </c>
      <c r="C1693" s="9" t="n">
        <f aca="false">(26*B1693-5*B1693^2)/24</f>
        <v>1</v>
      </c>
      <c r="D1693" s="9" t="n">
        <f aca="false">(A1693^2+4*C1693)/5</f>
        <v>571897</v>
      </c>
      <c r="E1693" s="9" t="n">
        <f aca="false">MOD(D1693,10)</f>
        <v>7</v>
      </c>
      <c r="F1693" s="9" t="n">
        <f aca="false">2*D1693</f>
        <v>1143794</v>
      </c>
      <c r="G1693" s="9" t="n">
        <f aca="false">MOD(F1693,10)</f>
        <v>4</v>
      </c>
      <c r="H1693" s="9" t="n">
        <f aca="false">G1693/2</f>
        <v>2</v>
      </c>
      <c r="I1693" s="9" t="str">
        <f aca="false">IF(H1693=0,"—",IF(H1693=1,"unison (1:1)",IF(H1693=2,"octave (2:1)",IF(H1693=3,"fifth (3:2)",IF(H1693=4,"fourth (4:3)","?")))))</f>
        <v>octave (2:1)</v>
      </c>
      <c r="J1693" s="9" t="str">
        <f aca="false">IF(H1693=0,"—",IF(H1693=1,"ὁμώνυμον",IF(H1693=2,"διὰ πασῶν",IF(H1693=3,"διὰ πέντε",IF(H1693=4,"διὰ τεσσάρων","?")))))</f>
        <v>διὰ πασῶν</v>
      </c>
      <c r="K1693" s="10"/>
      <c r="L1693" s="14"/>
      <c r="M1693" s="13"/>
    </row>
    <row r="1694" customFormat="false" ht="15.75" hidden="false" customHeight="true" outlineLevel="0" collapsed="false">
      <c r="A1694" s="8" t="n">
        <f aca="false">A1693+1</f>
        <v>1692</v>
      </c>
      <c r="B1694" s="9" t="n">
        <f aca="false">MOD(4*A1694^2,10)</f>
        <v>6</v>
      </c>
      <c r="C1694" s="9" t="n">
        <f aca="false">(26*B1694-5*B1694^2)/24</f>
        <v>-1</v>
      </c>
      <c r="D1694" s="9" t="n">
        <f aca="false">(A1694^2+4*C1694)/5</f>
        <v>572572</v>
      </c>
      <c r="E1694" s="9" t="n">
        <f aca="false">MOD(D1694,10)</f>
        <v>2</v>
      </c>
      <c r="F1694" s="9" t="n">
        <f aca="false">2*D1694</f>
        <v>1145144</v>
      </c>
      <c r="G1694" s="9" t="n">
        <f aca="false">MOD(F1694,10)</f>
        <v>4</v>
      </c>
      <c r="H1694" s="9" t="n">
        <f aca="false">G1694/2</f>
        <v>2</v>
      </c>
      <c r="I1694" s="9" t="str">
        <f aca="false">IF(H1694=0,"—",IF(H1694=1,"unison (1:1)",IF(H1694=2,"octave (2:1)",IF(H1694=3,"fifth (3:2)",IF(H1694=4,"fourth (4:3)","?")))))</f>
        <v>octave (2:1)</v>
      </c>
      <c r="J1694" s="9" t="str">
        <f aca="false">IF(H1694=0,"—",IF(H1694=1,"ὁμώνυμον",IF(H1694=2,"διὰ πασῶν",IF(H1694=3,"διὰ πέντε",IF(H1694=4,"διὰ τεσσάρων","?")))))</f>
        <v>διὰ πασῶν</v>
      </c>
      <c r="K1694" s="10"/>
      <c r="L1694" s="14"/>
      <c r="M1694" s="13"/>
    </row>
    <row r="1695" customFormat="false" ht="15.75" hidden="false" customHeight="true" outlineLevel="0" collapsed="false">
      <c r="A1695" s="8" t="n">
        <f aca="false">A1694+1</f>
        <v>1693</v>
      </c>
      <c r="B1695" s="9" t="n">
        <f aca="false">MOD(4*A1695^2,10)</f>
        <v>6</v>
      </c>
      <c r="C1695" s="9" t="n">
        <f aca="false">(26*B1695-5*B1695^2)/24</f>
        <v>-1</v>
      </c>
      <c r="D1695" s="9" t="n">
        <f aca="false">(A1695^2+4*C1695)/5</f>
        <v>573249</v>
      </c>
      <c r="E1695" s="9" t="n">
        <f aca="false">MOD(D1695,10)</f>
        <v>9</v>
      </c>
      <c r="F1695" s="9" t="n">
        <f aca="false">2*D1695</f>
        <v>1146498</v>
      </c>
      <c r="G1695" s="9" t="n">
        <f aca="false">MOD(F1695,10)</f>
        <v>8</v>
      </c>
      <c r="H1695" s="9" t="n">
        <f aca="false">G1695/2</f>
        <v>4</v>
      </c>
      <c r="I1695" s="9" t="str">
        <f aca="false">IF(H1695=0,"—",IF(H1695=1,"unison (1:1)",IF(H1695=2,"octave (2:1)",IF(H1695=3,"fifth (3:2)",IF(H1695=4,"fourth (4:3)","?")))))</f>
        <v>fourth (4:3)</v>
      </c>
      <c r="J1695" s="9" t="str">
        <f aca="false">IF(H1695=0,"—",IF(H1695=1,"ὁμώνυμον",IF(H1695=2,"διὰ πασῶν",IF(H1695=3,"διὰ πέντε",IF(H1695=4,"διὰ τεσσάρων","?")))))</f>
        <v>διὰ τεσσάρων</v>
      </c>
      <c r="K1695" s="10"/>
      <c r="L1695" s="14"/>
      <c r="M1695" s="13"/>
    </row>
    <row r="1696" customFormat="false" ht="15.75" hidden="false" customHeight="true" outlineLevel="0" collapsed="false">
      <c r="A1696" s="8" t="n">
        <f aca="false">A1695+1</f>
        <v>1694</v>
      </c>
      <c r="B1696" s="9" t="n">
        <f aca="false">MOD(4*A1696^2,10)</f>
        <v>4</v>
      </c>
      <c r="C1696" s="9" t="n">
        <f aca="false">(26*B1696-5*B1696^2)/24</f>
        <v>1</v>
      </c>
      <c r="D1696" s="9" t="n">
        <f aca="false">(A1696^2+4*C1696)/5</f>
        <v>573928</v>
      </c>
      <c r="E1696" s="9" t="n">
        <f aca="false">MOD(D1696,10)</f>
        <v>8</v>
      </c>
      <c r="F1696" s="9" t="n">
        <f aca="false">2*D1696</f>
        <v>1147856</v>
      </c>
      <c r="G1696" s="9" t="n">
        <f aca="false">MOD(F1696,10)</f>
        <v>6</v>
      </c>
      <c r="H1696" s="9" t="n">
        <f aca="false">G1696/2</f>
        <v>3</v>
      </c>
      <c r="I1696" s="9" t="str">
        <f aca="false">IF(H1696=0,"—",IF(H1696=1,"unison (1:1)",IF(H1696=2,"octave (2:1)",IF(H1696=3,"fifth (3:2)",IF(H1696=4,"fourth (4:3)","?")))))</f>
        <v>fifth (3:2)</v>
      </c>
      <c r="J1696" s="9" t="str">
        <f aca="false">IF(H1696=0,"—",IF(H1696=1,"ὁμώνυμον",IF(H1696=2,"διὰ πασῶν",IF(H1696=3,"διὰ πέντε",IF(H1696=4,"διὰ τεσσάρων","?")))))</f>
        <v>διὰ πέντε</v>
      </c>
      <c r="K1696" s="10"/>
      <c r="L1696" s="14"/>
      <c r="M1696" s="13"/>
    </row>
    <row r="1697" customFormat="false" ht="15.75" hidden="false" customHeight="true" outlineLevel="0" collapsed="false">
      <c r="A1697" s="8" t="n">
        <f aca="false">A1696+1</f>
        <v>1695</v>
      </c>
      <c r="B1697" s="9" t="n">
        <f aca="false">MOD(4*A1697^2,10)</f>
        <v>0</v>
      </c>
      <c r="C1697" s="9" t="n">
        <f aca="false">(26*B1697-5*B1697^2)/24</f>
        <v>0</v>
      </c>
      <c r="D1697" s="9" t="n">
        <f aca="false">(A1697^2+4*C1697)/5</f>
        <v>574605</v>
      </c>
      <c r="E1697" s="9" t="n">
        <f aca="false">MOD(D1697,10)</f>
        <v>5</v>
      </c>
      <c r="F1697" s="9" t="n">
        <f aca="false">2*D1697</f>
        <v>1149210</v>
      </c>
      <c r="G1697" s="9" t="n">
        <f aca="false">MOD(F1697,10)</f>
        <v>0</v>
      </c>
      <c r="H1697" s="9" t="n">
        <f aca="false">G1697/2</f>
        <v>0</v>
      </c>
      <c r="I1697" s="9" t="str">
        <f aca="false">IF(H1697=0,"—",IF(H1697=1,"unison (1:1)",IF(H1697=2,"octave (2:1)",IF(H1697=3,"fifth (3:2)",IF(H1697=4,"fourth (4:3)","?")))))</f>
        <v>—</v>
      </c>
      <c r="J1697" s="9" t="str">
        <f aca="false">IF(H1697=0,"—",IF(H1697=1,"ὁμώνυμον",IF(H1697=2,"διὰ πασῶν",IF(H1697=3,"διὰ πέντε",IF(H1697=4,"διὰ τεσσάρων","?")))))</f>
        <v>—</v>
      </c>
      <c r="K1697" s="10"/>
      <c r="L1697" s="14"/>
      <c r="M1697" s="13"/>
    </row>
    <row r="1698" customFormat="false" ht="15.75" hidden="false" customHeight="true" outlineLevel="0" collapsed="false">
      <c r="A1698" s="8" t="n">
        <f aca="false">A1697+1</f>
        <v>1696</v>
      </c>
      <c r="B1698" s="9" t="n">
        <f aca="false">MOD(4*A1698^2,10)</f>
        <v>4</v>
      </c>
      <c r="C1698" s="9" t="n">
        <f aca="false">(26*B1698-5*B1698^2)/24</f>
        <v>1</v>
      </c>
      <c r="D1698" s="9" t="n">
        <f aca="false">(A1698^2+4*C1698)/5</f>
        <v>575284</v>
      </c>
      <c r="E1698" s="9" t="n">
        <f aca="false">MOD(D1698,10)</f>
        <v>4</v>
      </c>
      <c r="F1698" s="9" t="n">
        <f aca="false">2*D1698</f>
        <v>1150568</v>
      </c>
      <c r="G1698" s="9" t="n">
        <f aca="false">MOD(F1698,10)</f>
        <v>8</v>
      </c>
      <c r="H1698" s="9" t="n">
        <f aca="false">G1698/2</f>
        <v>4</v>
      </c>
      <c r="I1698" s="9" t="str">
        <f aca="false">IF(H1698=0,"—",IF(H1698=1,"unison (1:1)",IF(H1698=2,"octave (2:1)",IF(H1698=3,"fifth (3:2)",IF(H1698=4,"fourth (4:3)","?")))))</f>
        <v>fourth (4:3)</v>
      </c>
      <c r="J1698" s="9" t="str">
        <f aca="false">IF(H1698=0,"—",IF(H1698=1,"ὁμώνυμον",IF(H1698=2,"διὰ πασῶν",IF(H1698=3,"διὰ πέντε",IF(H1698=4,"διὰ τεσσάρων","?")))))</f>
        <v>διὰ τεσσάρων</v>
      </c>
      <c r="K1698" s="10"/>
      <c r="L1698" s="14"/>
      <c r="M1698" s="13"/>
    </row>
    <row r="1699" customFormat="false" ht="15.75" hidden="false" customHeight="true" outlineLevel="0" collapsed="false">
      <c r="A1699" s="8" t="n">
        <f aca="false">A1698+1</f>
        <v>1697</v>
      </c>
      <c r="B1699" s="9" t="n">
        <f aca="false">MOD(4*A1699^2,10)</f>
        <v>6</v>
      </c>
      <c r="C1699" s="9" t="n">
        <f aca="false">(26*B1699-5*B1699^2)/24</f>
        <v>-1</v>
      </c>
      <c r="D1699" s="9" t="n">
        <f aca="false">(A1699^2+4*C1699)/5</f>
        <v>575961</v>
      </c>
      <c r="E1699" s="9" t="n">
        <f aca="false">MOD(D1699,10)</f>
        <v>1</v>
      </c>
      <c r="F1699" s="9" t="n">
        <f aca="false">2*D1699</f>
        <v>1151922</v>
      </c>
      <c r="G1699" s="9" t="n">
        <f aca="false">MOD(F1699,10)</f>
        <v>2</v>
      </c>
      <c r="H1699" s="9" t="n">
        <f aca="false">G1699/2</f>
        <v>1</v>
      </c>
      <c r="I1699" s="9" t="str">
        <f aca="false">IF(H1699=0,"—",IF(H1699=1,"unison (1:1)",IF(H1699=2,"octave (2:1)",IF(H1699=3,"fifth (3:2)",IF(H1699=4,"fourth (4:3)","?")))))</f>
        <v>unison (1:1)</v>
      </c>
      <c r="J1699" s="9" t="str">
        <f aca="false">IF(H1699=0,"—",IF(H1699=1,"ὁμώνυμον",IF(H1699=2,"διὰ πασῶν",IF(H1699=3,"διὰ πέντε",IF(H1699=4,"διὰ τεσσάρων","?")))))</f>
        <v>ὁμώνυμον</v>
      </c>
      <c r="K1699" s="10"/>
      <c r="L1699" s="14"/>
      <c r="M1699" s="13"/>
    </row>
    <row r="1700" customFormat="false" ht="15.75" hidden="false" customHeight="true" outlineLevel="0" collapsed="false">
      <c r="A1700" s="8" t="n">
        <f aca="false">A1699+1</f>
        <v>1698</v>
      </c>
      <c r="B1700" s="9" t="n">
        <f aca="false">MOD(4*A1700^2,10)</f>
        <v>6</v>
      </c>
      <c r="C1700" s="9" t="n">
        <f aca="false">(26*B1700-5*B1700^2)/24</f>
        <v>-1</v>
      </c>
      <c r="D1700" s="9" t="n">
        <f aca="false">(A1700^2+4*C1700)/5</f>
        <v>576640</v>
      </c>
      <c r="E1700" s="9" t="n">
        <f aca="false">MOD(D1700,10)</f>
        <v>0</v>
      </c>
      <c r="F1700" s="9" t="n">
        <f aca="false">2*D1700</f>
        <v>1153280</v>
      </c>
      <c r="G1700" s="9" t="n">
        <f aca="false">MOD(F1700,10)</f>
        <v>0</v>
      </c>
      <c r="H1700" s="9" t="n">
        <f aca="false">G1700/2</f>
        <v>0</v>
      </c>
      <c r="I1700" s="9" t="str">
        <f aca="false">IF(H1700=0,"—",IF(H1700=1,"unison (1:1)",IF(H1700=2,"octave (2:1)",IF(H1700=3,"fifth (3:2)",IF(H1700=4,"fourth (4:3)","?")))))</f>
        <v>—</v>
      </c>
      <c r="J1700" s="9" t="str">
        <f aca="false">IF(H1700=0,"—",IF(H1700=1,"ὁμώνυμον",IF(H1700=2,"διὰ πασῶν",IF(H1700=3,"διὰ πέντε",IF(H1700=4,"διὰ τεσσάρων","?")))))</f>
        <v>—</v>
      </c>
      <c r="K1700" s="10"/>
      <c r="L1700" s="14"/>
      <c r="M1700" s="13"/>
    </row>
    <row r="1701" customFormat="false" ht="15.75" hidden="false" customHeight="true" outlineLevel="0" collapsed="false">
      <c r="A1701" s="8" t="n">
        <f aca="false">A1700+1</f>
        <v>1699</v>
      </c>
      <c r="B1701" s="9" t="n">
        <f aca="false">MOD(4*A1701^2,10)</f>
        <v>4</v>
      </c>
      <c r="C1701" s="9" t="n">
        <f aca="false">(26*B1701-5*B1701^2)/24</f>
        <v>1</v>
      </c>
      <c r="D1701" s="9" t="n">
        <f aca="false">(A1701^2+4*C1701)/5</f>
        <v>577321</v>
      </c>
      <c r="E1701" s="9" t="n">
        <f aca="false">MOD(D1701,10)</f>
        <v>1</v>
      </c>
      <c r="F1701" s="9" t="n">
        <f aca="false">2*D1701</f>
        <v>1154642</v>
      </c>
      <c r="G1701" s="9" t="n">
        <f aca="false">MOD(F1701,10)</f>
        <v>2</v>
      </c>
      <c r="H1701" s="9" t="n">
        <f aca="false">G1701/2</f>
        <v>1</v>
      </c>
      <c r="I1701" s="9" t="str">
        <f aca="false">IF(H1701=0,"—",IF(H1701=1,"unison (1:1)",IF(H1701=2,"octave (2:1)",IF(H1701=3,"fifth (3:2)",IF(H1701=4,"fourth (4:3)","?")))))</f>
        <v>unison (1:1)</v>
      </c>
      <c r="J1701" s="9" t="str">
        <f aca="false">IF(H1701=0,"—",IF(H1701=1,"ὁμώνυμον",IF(H1701=2,"διὰ πασῶν",IF(H1701=3,"διὰ πέντε",IF(H1701=4,"διὰ τεσσάρων","?")))))</f>
        <v>ὁμώνυμον</v>
      </c>
      <c r="K1701" s="10"/>
      <c r="L1701" s="14"/>
      <c r="M1701" s="13"/>
    </row>
    <row r="1702" customFormat="false" ht="15.75" hidden="false" customHeight="true" outlineLevel="0" collapsed="false">
      <c r="A1702" s="8" t="n">
        <f aca="false">A1701+1</f>
        <v>1700</v>
      </c>
      <c r="B1702" s="9" t="n">
        <f aca="false">MOD(4*A1702^2,10)</f>
        <v>0</v>
      </c>
      <c r="C1702" s="9" t="n">
        <f aca="false">(26*B1702-5*B1702^2)/24</f>
        <v>0</v>
      </c>
      <c r="D1702" s="9" t="n">
        <f aca="false">(A1702^2+4*C1702)/5</f>
        <v>578000</v>
      </c>
      <c r="E1702" s="9" t="n">
        <f aca="false">MOD(D1702,10)</f>
        <v>0</v>
      </c>
      <c r="F1702" s="9" t="n">
        <f aca="false">2*D1702</f>
        <v>1156000</v>
      </c>
      <c r="G1702" s="9" t="n">
        <f aca="false">MOD(F1702,10)</f>
        <v>0</v>
      </c>
      <c r="H1702" s="9" t="n">
        <f aca="false">G1702/2</f>
        <v>0</v>
      </c>
      <c r="I1702" s="9" t="str">
        <f aca="false">IF(H1702=0,"—",IF(H1702=1,"unison (1:1)",IF(H1702=2,"octave (2:1)",IF(H1702=3,"fifth (3:2)",IF(H1702=4,"fourth (4:3)","?")))))</f>
        <v>—</v>
      </c>
      <c r="J1702" s="9" t="str">
        <f aca="false">IF(H1702=0,"—",IF(H1702=1,"ὁμώνυμον",IF(H1702=2,"διὰ πασῶν",IF(H1702=3,"διὰ πέντε",IF(H1702=4,"διὰ τεσσάρων","?")))))</f>
        <v>—</v>
      </c>
      <c r="K1702" s="10"/>
      <c r="L1702" s="14"/>
      <c r="M1702" s="13"/>
    </row>
    <row r="1703" customFormat="false" ht="15.75" hidden="false" customHeight="true" outlineLevel="0" collapsed="false">
      <c r="A1703" s="8" t="n">
        <f aca="false">A1702+1</f>
        <v>1701</v>
      </c>
      <c r="B1703" s="9" t="n">
        <f aca="false">MOD(4*A1703^2,10)</f>
        <v>4</v>
      </c>
      <c r="C1703" s="9" t="n">
        <f aca="false">(26*B1703-5*B1703^2)/24</f>
        <v>1</v>
      </c>
      <c r="D1703" s="9" t="n">
        <f aca="false">(A1703^2+4*C1703)/5</f>
        <v>578681</v>
      </c>
      <c r="E1703" s="9" t="n">
        <f aca="false">MOD(D1703,10)</f>
        <v>1</v>
      </c>
      <c r="F1703" s="9" t="n">
        <f aca="false">2*D1703</f>
        <v>1157362</v>
      </c>
      <c r="G1703" s="9" t="n">
        <f aca="false">MOD(F1703,10)</f>
        <v>2</v>
      </c>
      <c r="H1703" s="9" t="n">
        <f aca="false">G1703/2</f>
        <v>1</v>
      </c>
      <c r="I1703" s="9" t="str">
        <f aca="false">IF(H1703=0,"—",IF(H1703=1,"unison (1:1)",IF(H1703=2,"octave (2:1)",IF(H1703=3,"fifth (3:2)",IF(H1703=4,"fourth (4:3)","?")))))</f>
        <v>unison (1:1)</v>
      </c>
      <c r="J1703" s="9" t="str">
        <f aca="false">IF(H1703=0,"—",IF(H1703=1,"ὁμώνυμον",IF(H1703=2,"διὰ πασῶν",IF(H1703=3,"διὰ πέντε",IF(H1703=4,"διὰ τεσσάρων","?")))))</f>
        <v>ὁμώνυμον</v>
      </c>
      <c r="K1703" s="10"/>
      <c r="L1703" s="14"/>
      <c r="M1703" s="13"/>
    </row>
    <row r="1704" customFormat="false" ht="15.75" hidden="false" customHeight="true" outlineLevel="0" collapsed="false">
      <c r="A1704" s="8" t="n">
        <f aca="false">A1703+1</f>
        <v>1702</v>
      </c>
      <c r="B1704" s="9" t="n">
        <f aca="false">MOD(4*A1704^2,10)</f>
        <v>6</v>
      </c>
      <c r="C1704" s="9" t="n">
        <f aca="false">(26*B1704-5*B1704^2)/24</f>
        <v>-1</v>
      </c>
      <c r="D1704" s="9" t="n">
        <f aca="false">(A1704^2+4*C1704)/5</f>
        <v>579360</v>
      </c>
      <c r="E1704" s="9" t="n">
        <f aca="false">MOD(D1704,10)</f>
        <v>0</v>
      </c>
      <c r="F1704" s="9" t="n">
        <f aca="false">2*D1704</f>
        <v>1158720</v>
      </c>
      <c r="G1704" s="9" t="n">
        <f aca="false">MOD(F1704,10)</f>
        <v>0</v>
      </c>
      <c r="H1704" s="9" t="n">
        <f aca="false">G1704/2</f>
        <v>0</v>
      </c>
      <c r="I1704" s="9" t="str">
        <f aca="false">IF(H1704=0,"—",IF(H1704=1,"unison (1:1)",IF(H1704=2,"octave (2:1)",IF(H1704=3,"fifth (3:2)",IF(H1704=4,"fourth (4:3)","?")))))</f>
        <v>—</v>
      </c>
      <c r="J1704" s="9" t="str">
        <f aca="false">IF(H1704=0,"—",IF(H1704=1,"ὁμώνυμον",IF(H1704=2,"διὰ πασῶν",IF(H1704=3,"διὰ πέντε",IF(H1704=4,"διὰ τεσσάρων","?")))))</f>
        <v>—</v>
      </c>
      <c r="K1704" s="10"/>
      <c r="L1704" s="14"/>
      <c r="M1704" s="13"/>
    </row>
    <row r="1705" customFormat="false" ht="15.75" hidden="false" customHeight="true" outlineLevel="0" collapsed="false">
      <c r="A1705" s="8" t="n">
        <f aca="false">A1704+1</f>
        <v>1703</v>
      </c>
      <c r="B1705" s="9" t="n">
        <f aca="false">MOD(4*A1705^2,10)</f>
        <v>6</v>
      </c>
      <c r="C1705" s="9" t="n">
        <f aca="false">(26*B1705-5*B1705^2)/24</f>
        <v>-1</v>
      </c>
      <c r="D1705" s="9" t="n">
        <f aca="false">(A1705^2+4*C1705)/5</f>
        <v>580041</v>
      </c>
      <c r="E1705" s="9" t="n">
        <f aca="false">MOD(D1705,10)</f>
        <v>1</v>
      </c>
      <c r="F1705" s="9" t="n">
        <f aca="false">2*D1705</f>
        <v>1160082</v>
      </c>
      <c r="G1705" s="9" t="n">
        <f aca="false">MOD(F1705,10)</f>
        <v>2</v>
      </c>
      <c r="H1705" s="9" t="n">
        <f aca="false">G1705/2</f>
        <v>1</v>
      </c>
      <c r="I1705" s="9" t="str">
        <f aca="false">IF(H1705=0,"—",IF(H1705=1,"unison (1:1)",IF(H1705=2,"octave (2:1)",IF(H1705=3,"fifth (3:2)",IF(H1705=4,"fourth (4:3)","?")))))</f>
        <v>unison (1:1)</v>
      </c>
      <c r="J1705" s="9" t="str">
        <f aca="false">IF(H1705=0,"—",IF(H1705=1,"ὁμώνυμον",IF(H1705=2,"διὰ πασῶν",IF(H1705=3,"διὰ πέντε",IF(H1705=4,"διὰ τεσσάρων","?")))))</f>
        <v>ὁμώνυμον</v>
      </c>
      <c r="K1705" s="10"/>
      <c r="L1705" s="14"/>
      <c r="M1705" s="13"/>
    </row>
    <row r="1706" customFormat="false" ht="15.75" hidden="false" customHeight="true" outlineLevel="0" collapsed="false">
      <c r="A1706" s="8" t="n">
        <f aca="false">A1705+1</f>
        <v>1704</v>
      </c>
      <c r="B1706" s="9" t="n">
        <f aca="false">MOD(4*A1706^2,10)</f>
        <v>4</v>
      </c>
      <c r="C1706" s="9" t="n">
        <f aca="false">(26*B1706-5*B1706^2)/24</f>
        <v>1</v>
      </c>
      <c r="D1706" s="9" t="n">
        <f aca="false">(A1706^2+4*C1706)/5</f>
        <v>580724</v>
      </c>
      <c r="E1706" s="9" t="n">
        <f aca="false">MOD(D1706,10)</f>
        <v>4</v>
      </c>
      <c r="F1706" s="9" t="n">
        <f aca="false">2*D1706</f>
        <v>1161448</v>
      </c>
      <c r="G1706" s="9" t="n">
        <f aca="false">MOD(F1706,10)</f>
        <v>8</v>
      </c>
      <c r="H1706" s="9" t="n">
        <f aca="false">G1706/2</f>
        <v>4</v>
      </c>
      <c r="I1706" s="9" t="str">
        <f aca="false">IF(H1706=0,"—",IF(H1706=1,"unison (1:1)",IF(H1706=2,"octave (2:1)",IF(H1706=3,"fifth (3:2)",IF(H1706=4,"fourth (4:3)","?")))))</f>
        <v>fourth (4:3)</v>
      </c>
      <c r="J1706" s="9" t="str">
        <f aca="false">IF(H1706=0,"—",IF(H1706=1,"ὁμώνυμον",IF(H1706=2,"διὰ πασῶν",IF(H1706=3,"διὰ πέντε",IF(H1706=4,"διὰ τεσσάρων","?")))))</f>
        <v>διὰ τεσσάρων</v>
      </c>
      <c r="K1706" s="10"/>
      <c r="L1706" s="14"/>
      <c r="M1706" s="13"/>
    </row>
    <row r="1707" customFormat="false" ht="15.75" hidden="false" customHeight="true" outlineLevel="0" collapsed="false">
      <c r="A1707" s="8" t="n">
        <f aca="false">A1706+1</f>
        <v>1705</v>
      </c>
      <c r="B1707" s="9" t="n">
        <f aca="false">MOD(4*A1707^2,10)</f>
        <v>0</v>
      </c>
      <c r="C1707" s="9" t="n">
        <f aca="false">(26*B1707-5*B1707^2)/24</f>
        <v>0</v>
      </c>
      <c r="D1707" s="9" t="n">
        <f aca="false">(A1707^2+4*C1707)/5</f>
        <v>581405</v>
      </c>
      <c r="E1707" s="9" t="n">
        <f aca="false">MOD(D1707,10)</f>
        <v>5</v>
      </c>
      <c r="F1707" s="9" t="n">
        <f aca="false">2*D1707</f>
        <v>1162810</v>
      </c>
      <c r="G1707" s="9" t="n">
        <f aca="false">MOD(F1707,10)</f>
        <v>0</v>
      </c>
      <c r="H1707" s="9" t="n">
        <f aca="false">G1707/2</f>
        <v>0</v>
      </c>
      <c r="I1707" s="9" t="str">
        <f aca="false">IF(H1707=0,"—",IF(H1707=1,"unison (1:1)",IF(H1707=2,"octave (2:1)",IF(H1707=3,"fifth (3:2)",IF(H1707=4,"fourth (4:3)","?")))))</f>
        <v>—</v>
      </c>
      <c r="J1707" s="9" t="str">
        <f aca="false">IF(H1707=0,"—",IF(H1707=1,"ὁμώνυμον",IF(H1707=2,"διὰ πασῶν",IF(H1707=3,"διὰ πέντε",IF(H1707=4,"διὰ τεσσάρων","?")))))</f>
        <v>—</v>
      </c>
      <c r="K1707" s="10"/>
      <c r="L1707" s="14"/>
      <c r="M1707" s="13"/>
    </row>
    <row r="1708" customFormat="false" ht="15.75" hidden="false" customHeight="true" outlineLevel="0" collapsed="false">
      <c r="A1708" s="8" t="n">
        <f aca="false">A1707+1</f>
        <v>1706</v>
      </c>
      <c r="B1708" s="9" t="n">
        <f aca="false">MOD(4*A1708^2,10)</f>
        <v>4</v>
      </c>
      <c r="C1708" s="9" t="n">
        <f aca="false">(26*B1708-5*B1708^2)/24</f>
        <v>1</v>
      </c>
      <c r="D1708" s="9" t="n">
        <f aca="false">(A1708^2+4*C1708)/5</f>
        <v>582088</v>
      </c>
      <c r="E1708" s="9" t="n">
        <f aca="false">MOD(D1708,10)</f>
        <v>8</v>
      </c>
      <c r="F1708" s="9" t="n">
        <f aca="false">2*D1708</f>
        <v>1164176</v>
      </c>
      <c r="G1708" s="9" t="n">
        <f aca="false">MOD(F1708,10)</f>
        <v>6</v>
      </c>
      <c r="H1708" s="9" t="n">
        <f aca="false">G1708/2</f>
        <v>3</v>
      </c>
      <c r="I1708" s="9" t="str">
        <f aca="false">IF(H1708=0,"—",IF(H1708=1,"unison (1:1)",IF(H1708=2,"octave (2:1)",IF(H1708=3,"fifth (3:2)",IF(H1708=4,"fourth (4:3)","?")))))</f>
        <v>fifth (3:2)</v>
      </c>
      <c r="J1708" s="9" t="str">
        <f aca="false">IF(H1708=0,"—",IF(H1708=1,"ὁμώνυμον",IF(H1708=2,"διὰ πασῶν",IF(H1708=3,"διὰ πέντε",IF(H1708=4,"διὰ τεσσάρων","?")))))</f>
        <v>διὰ πέντε</v>
      </c>
      <c r="K1708" s="10"/>
      <c r="L1708" s="14"/>
      <c r="M1708" s="13"/>
    </row>
    <row r="1709" customFormat="false" ht="15.75" hidden="false" customHeight="true" outlineLevel="0" collapsed="false">
      <c r="A1709" s="8" t="n">
        <f aca="false">A1708+1</f>
        <v>1707</v>
      </c>
      <c r="B1709" s="9" t="n">
        <f aca="false">MOD(4*A1709^2,10)</f>
        <v>6</v>
      </c>
      <c r="C1709" s="9" t="n">
        <f aca="false">(26*B1709-5*B1709^2)/24</f>
        <v>-1</v>
      </c>
      <c r="D1709" s="9" t="n">
        <f aca="false">(A1709^2+4*C1709)/5</f>
        <v>582769</v>
      </c>
      <c r="E1709" s="9" t="n">
        <f aca="false">MOD(D1709,10)</f>
        <v>9</v>
      </c>
      <c r="F1709" s="9" t="n">
        <f aca="false">2*D1709</f>
        <v>1165538</v>
      </c>
      <c r="G1709" s="9" t="n">
        <f aca="false">MOD(F1709,10)</f>
        <v>8</v>
      </c>
      <c r="H1709" s="9" t="n">
        <f aca="false">G1709/2</f>
        <v>4</v>
      </c>
      <c r="I1709" s="9" t="str">
        <f aca="false">IF(H1709=0,"—",IF(H1709=1,"unison (1:1)",IF(H1709=2,"octave (2:1)",IF(H1709=3,"fifth (3:2)",IF(H1709=4,"fourth (4:3)","?")))))</f>
        <v>fourth (4:3)</v>
      </c>
      <c r="J1709" s="9" t="str">
        <f aca="false">IF(H1709=0,"—",IF(H1709=1,"ὁμώνυμον",IF(H1709=2,"διὰ πασῶν",IF(H1709=3,"διὰ πέντε",IF(H1709=4,"διὰ τεσσάρων","?")))))</f>
        <v>διὰ τεσσάρων</v>
      </c>
      <c r="K1709" s="10"/>
      <c r="L1709" s="14"/>
      <c r="M1709" s="13"/>
    </row>
    <row r="1710" customFormat="false" ht="15.75" hidden="false" customHeight="true" outlineLevel="0" collapsed="false">
      <c r="A1710" s="8" t="n">
        <f aca="false">A1709+1</f>
        <v>1708</v>
      </c>
      <c r="B1710" s="9" t="n">
        <f aca="false">MOD(4*A1710^2,10)</f>
        <v>6</v>
      </c>
      <c r="C1710" s="9" t="n">
        <f aca="false">(26*B1710-5*B1710^2)/24</f>
        <v>-1</v>
      </c>
      <c r="D1710" s="9" t="n">
        <f aca="false">(A1710^2+4*C1710)/5</f>
        <v>583452</v>
      </c>
      <c r="E1710" s="9" t="n">
        <f aca="false">MOD(D1710,10)</f>
        <v>2</v>
      </c>
      <c r="F1710" s="9" t="n">
        <f aca="false">2*D1710</f>
        <v>1166904</v>
      </c>
      <c r="G1710" s="9" t="n">
        <f aca="false">MOD(F1710,10)</f>
        <v>4</v>
      </c>
      <c r="H1710" s="9" t="n">
        <f aca="false">G1710/2</f>
        <v>2</v>
      </c>
      <c r="I1710" s="9" t="str">
        <f aca="false">IF(H1710=0,"—",IF(H1710=1,"unison (1:1)",IF(H1710=2,"octave (2:1)",IF(H1710=3,"fifth (3:2)",IF(H1710=4,"fourth (4:3)","?")))))</f>
        <v>octave (2:1)</v>
      </c>
      <c r="J1710" s="9" t="str">
        <f aca="false">IF(H1710=0,"—",IF(H1710=1,"ὁμώνυμον",IF(H1710=2,"διὰ πασῶν",IF(H1710=3,"διὰ πέντε",IF(H1710=4,"διὰ τεσσάρων","?")))))</f>
        <v>διὰ πασῶν</v>
      </c>
      <c r="K1710" s="10"/>
      <c r="L1710" s="14"/>
      <c r="M1710" s="13"/>
    </row>
    <row r="1711" customFormat="false" ht="15.75" hidden="false" customHeight="true" outlineLevel="0" collapsed="false">
      <c r="A1711" s="8" t="n">
        <f aca="false">A1710+1</f>
        <v>1709</v>
      </c>
      <c r="B1711" s="9" t="n">
        <f aca="false">MOD(4*A1711^2,10)</f>
        <v>4</v>
      </c>
      <c r="C1711" s="9" t="n">
        <f aca="false">(26*B1711-5*B1711^2)/24</f>
        <v>1</v>
      </c>
      <c r="D1711" s="9" t="n">
        <f aca="false">(A1711^2+4*C1711)/5</f>
        <v>584137</v>
      </c>
      <c r="E1711" s="9" t="n">
        <f aca="false">MOD(D1711,10)</f>
        <v>7</v>
      </c>
      <c r="F1711" s="9" t="n">
        <f aca="false">2*D1711</f>
        <v>1168274</v>
      </c>
      <c r="G1711" s="9" t="n">
        <f aca="false">MOD(F1711,10)</f>
        <v>4</v>
      </c>
      <c r="H1711" s="9" t="n">
        <f aca="false">G1711/2</f>
        <v>2</v>
      </c>
      <c r="I1711" s="9" t="str">
        <f aca="false">IF(H1711=0,"—",IF(H1711=1,"unison (1:1)",IF(H1711=2,"octave (2:1)",IF(H1711=3,"fifth (3:2)",IF(H1711=4,"fourth (4:3)","?")))))</f>
        <v>octave (2:1)</v>
      </c>
      <c r="J1711" s="9" t="str">
        <f aca="false">IF(H1711=0,"—",IF(H1711=1,"ὁμώνυμον",IF(H1711=2,"διὰ πασῶν",IF(H1711=3,"διὰ πέντε",IF(H1711=4,"διὰ τεσσάρων","?")))))</f>
        <v>διὰ πασῶν</v>
      </c>
      <c r="K1711" s="10"/>
      <c r="L1711" s="14"/>
      <c r="M1711" s="13"/>
    </row>
    <row r="1712" customFormat="false" ht="15.75" hidden="false" customHeight="true" outlineLevel="0" collapsed="false">
      <c r="A1712" s="8" t="n">
        <f aca="false">A1711+1</f>
        <v>1710</v>
      </c>
      <c r="B1712" s="9" t="n">
        <f aca="false">MOD(4*A1712^2,10)</f>
        <v>0</v>
      </c>
      <c r="C1712" s="9" t="n">
        <f aca="false">(26*B1712-5*B1712^2)/24</f>
        <v>0</v>
      </c>
      <c r="D1712" s="9" t="n">
        <f aca="false">(A1712^2+4*C1712)/5</f>
        <v>584820</v>
      </c>
      <c r="E1712" s="9" t="n">
        <f aca="false">MOD(D1712,10)</f>
        <v>0</v>
      </c>
      <c r="F1712" s="9" t="n">
        <f aca="false">2*D1712</f>
        <v>1169640</v>
      </c>
      <c r="G1712" s="9" t="n">
        <f aca="false">MOD(F1712,10)</f>
        <v>0</v>
      </c>
      <c r="H1712" s="9" t="n">
        <f aca="false">G1712/2</f>
        <v>0</v>
      </c>
      <c r="I1712" s="9" t="str">
        <f aca="false">IF(H1712=0,"—",IF(H1712=1,"unison (1:1)",IF(H1712=2,"octave (2:1)",IF(H1712=3,"fifth (3:2)",IF(H1712=4,"fourth (4:3)","?")))))</f>
        <v>—</v>
      </c>
      <c r="J1712" s="9" t="str">
        <f aca="false">IF(H1712=0,"—",IF(H1712=1,"ὁμώνυμον",IF(H1712=2,"διὰ πασῶν",IF(H1712=3,"διὰ πέντε",IF(H1712=4,"διὰ τεσσάρων","?")))))</f>
        <v>—</v>
      </c>
      <c r="K1712" s="10"/>
      <c r="L1712" s="14"/>
      <c r="M1712" s="13"/>
    </row>
    <row r="1713" customFormat="false" ht="15.75" hidden="false" customHeight="true" outlineLevel="0" collapsed="false">
      <c r="A1713" s="8" t="n">
        <f aca="false">A1712+1</f>
        <v>1711</v>
      </c>
      <c r="B1713" s="9" t="n">
        <f aca="false">MOD(4*A1713^2,10)</f>
        <v>4</v>
      </c>
      <c r="C1713" s="9" t="n">
        <f aca="false">(26*B1713-5*B1713^2)/24</f>
        <v>1</v>
      </c>
      <c r="D1713" s="9" t="n">
        <f aca="false">(A1713^2+4*C1713)/5</f>
        <v>585505</v>
      </c>
      <c r="E1713" s="9" t="n">
        <f aca="false">MOD(D1713,10)</f>
        <v>5</v>
      </c>
      <c r="F1713" s="9" t="n">
        <f aca="false">2*D1713</f>
        <v>1171010</v>
      </c>
      <c r="G1713" s="9" t="n">
        <f aca="false">MOD(F1713,10)</f>
        <v>0</v>
      </c>
      <c r="H1713" s="9" t="n">
        <f aca="false">G1713/2</f>
        <v>0</v>
      </c>
      <c r="I1713" s="9" t="str">
        <f aca="false">IF(H1713=0,"—",IF(H1713=1,"unison (1:1)",IF(H1713=2,"octave (2:1)",IF(H1713=3,"fifth (3:2)",IF(H1713=4,"fourth (4:3)","?")))))</f>
        <v>—</v>
      </c>
      <c r="J1713" s="9" t="str">
        <f aca="false">IF(H1713=0,"—",IF(H1713=1,"ὁμώνυμον",IF(H1713=2,"διὰ πασῶν",IF(H1713=3,"διὰ πέντε",IF(H1713=4,"διὰ τεσσάρων","?")))))</f>
        <v>—</v>
      </c>
      <c r="K1713" s="10"/>
      <c r="L1713" s="14"/>
      <c r="M1713" s="13"/>
    </row>
    <row r="1714" customFormat="false" ht="15.75" hidden="false" customHeight="true" outlineLevel="0" collapsed="false">
      <c r="A1714" s="8" t="n">
        <f aca="false">A1713+1</f>
        <v>1712</v>
      </c>
      <c r="B1714" s="9" t="n">
        <f aca="false">MOD(4*A1714^2,10)</f>
        <v>6</v>
      </c>
      <c r="C1714" s="9" t="n">
        <f aca="false">(26*B1714-5*B1714^2)/24</f>
        <v>-1</v>
      </c>
      <c r="D1714" s="9" t="n">
        <f aca="false">(A1714^2+4*C1714)/5</f>
        <v>586188</v>
      </c>
      <c r="E1714" s="9" t="n">
        <f aca="false">MOD(D1714,10)</f>
        <v>8</v>
      </c>
      <c r="F1714" s="9" t="n">
        <f aca="false">2*D1714</f>
        <v>1172376</v>
      </c>
      <c r="G1714" s="9" t="n">
        <f aca="false">MOD(F1714,10)</f>
        <v>6</v>
      </c>
      <c r="H1714" s="9" t="n">
        <f aca="false">G1714/2</f>
        <v>3</v>
      </c>
      <c r="I1714" s="9" t="str">
        <f aca="false">IF(H1714=0,"—",IF(H1714=1,"unison (1:1)",IF(H1714=2,"octave (2:1)",IF(H1714=3,"fifth (3:2)",IF(H1714=4,"fourth (4:3)","?")))))</f>
        <v>fifth (3:2)</v>
      </c>
      <c r="J1714" s="9" t="str">
        <f aca="false">IF(H1714=0,"—",IF(H1714=1,"ὁμώνυμον",IF(H1714=2,"διὰ πασῶν",IF(H1714=3,"διὰ πέντε",IF(H1714=4,"διὰ τεσσάρων","?")))))</f>
        <v>διὰ πέντε</v>
      </c>
      <c r="K1714" s="10"/>
      <c r="L1714" s="14"/>
      <c r="M1714" s="13"/>
    </row>
    <row r="1715" customFormat="false" ht="15.75" hidden="false" customHeight="true" outlineLevel="0" collapsed="false">
      <c r="A1715" s="8" t="n">
        <f aca="false">A1714+1</f>
        <v>1713</v>
      </c>
      <c r="B1715" s="9" t="n">
        <f aca="false">MOD(4*A1715^2,10)</f>
        <v>6</v>
      </c>
      <c r="C1715" s="9" t="n">
        <f aca="false">(26*B1715-5*B1715^2)/24</f>
        <v>-1</v>
      </c>
      <c r="D1715" s="9" t="n">
        <f aca="false">(A1715^2+4*C1715)/5</f>
        <v>586873</v>
      </c>
      <c r="E1715" s="9" t="n">
        <f aca="false">MOD(D1715,10)</f>
        <v>3</v>
      </c>
      <c r="F1715" s="9" t="n">
        <f aca="false">2*D1715</f>
        <v>1173746</v>
      </c>
      <c r="G1715" s="9" t="n">
        <f aca="false">MOD(F1715,10)</f>
        <v>6</v>
      </c>
      <c r="H1715" s="9" t="n">
        <f aca="false">G1715/2</f>
        <v>3</v>
      </c>
      <c r="I1715" s="9" t="str">
        <f aca="false">IF(H1715=0,"—",IF(H1715=1,"unison (1:1)",IF(H1715=2,"octave (2:1)",IF(H1715=3,"fifth (3:2)",IF(H1715=4,"fourth (4:3)","?")))))</f>
        <v>fifth (3:2)</v>
      </c>
      <c r="J1715" s="9" t="str">
        <f aca="false">IF(H1715=0,"—",IF(H1715=1,"ὁμώνυμον",IF(H1715=2,"διὰ πασῶν",IF(H1715=3,"διὰ πέντε",IF(H1715=4,"διὰ τεσσάρων","?")))))</f>
        <v>διὰ πέντε</v>
      </c>
      <c r="K1715" s="10"/>
      <c r="L1715" s="14"/>
      <c r="M1715" s="13"/>
    </row>
    <row r="1716" customFormat="false" ht="15.75" hidden="false" customHeight="true" outlineLevel="0" collapsed="false">
      <c r="A1716" s="8" t="n">
        <f aca="false">A1715+1</f>
        <v>1714</v>
      </c>
      <c r="B1716" s="9" t="n">
        <f aca="false">MOD(4*A1716^2,10)</f>
        <v>4</v>
      </c>
      <c r="C1716" s="9" t="n">
        <f aca="false">(26*B1716-5*B1716^2)/24</f>
        <v>1</v>
      </c>
      <c r="D1716" s="9" t="n">
        <f aca="false">(A1716^2+4*C1716)/5</f>
        <v>587560</v>
      </c>
      <c r="E1716" s="9" t="n">
        <f aca="false">MOD(D1716,10)</f>
        <v>0</v>
      </c>
      <c r="F1716" s="9" t="n">
        <f aca="false">2*D1716</f>
        <v>1175120</v>
      </c>
      <c r="G1716" s="9" t="n">
        <f aca="false">MOD(F1716,10)</f>
        <v>0</v>
      </c>
      <c r="H1716" s="9" t="n">
        <f aca="false">G1716/2</f>
        <v>0</v>
      </c>
      <c r="I1716" s="9" t="str">
        <f aca="false">IF(H1716=0,"—",IF(H1716=1,"unison (1:1)",IF(H1716=2,"octave (2:1)",IF(H1716=3,"fifth (3:2)",IF(H1716=4,"fourth (4:3)","?")))))</f>
        <v>—</v>
      </c>
      <c r="J1716" s="9" t="str">
        <f aca="false">IF(H1716=0,"—",IF(H1716=1,"ὁμώνυμον",IF(H1716=2,"διὰ πασῶν",IF(H1716=3,"διὰ πέντε",IF(H1716=4,"διὰ τεσσάρων","?")))))</f>
        <v>—</v>
      </c>
      <c r="K1716" s="10"/>
      <c r="L1716" s="14"/>
      <c r="M1716" s="13"/>
    </row>
    <row r="1717" customFormat="false" ht="15.75" hidden="false" customHeight="true" outlineLevel="0" collapsed="false">
      <c r="A1717" s="8" t="n">
        <f aca="false">A1716+1</f>
        <v>1715</v>
      </c>
      <c r="B1717" s="9" t="n">
        <f aca="false">MOD(4*A1717^2,10)</f>
        <v>0</v>
      </c>
      <c r="C1717" s="9" t="n">
        <f aca="false">(26*B1717-5*B1717^2)/24</f>
        <v>0</v>
      </c>
      <c r="D1717" s="9" t="n">
        <f aca="false">(A1717^2+4*C1717)/5</f>
        <v>588245</v>
      </c>
      <c r="E1717" s="9" t="n">
        <f aca="false">MOD(D1717,10)</f>
        <v>5</v>
      </c>
      <c r="F1717" s="9" t="n">
        <f aca="false">2*D1717</f>
        <v>1176490</v>
      </c>
      <c r="G1717" s="9" t="n">
        <f aca="false">MOD(F1717,10)</f>
        <v>0</v>
      </c>
      <c r="H1717" s="9" t="n">
        <f aca="false">G1717/2</f>
        <v>0</v>
      </c>
      <c r="I1717" s="9" t="str">
        <f aca="false">IF(H1717=0,"—",IF(H1717=1,"unison (1:1)",IF(H1717=2,"octave (2:1)",IF(H1717=3,"fifth (3:2)",IF(H1717=4,"fourth (4:3)","?")))))</f>
        <v>—</v>
      </c>
      <c r="J1717" s="9" t="str">
        <f aca="false">IF(H1717=0,"—",IF(H1717=1,"ὁμώνυμον",IF(H1717=2,"διὰ πασῶν",IF(H1717=3,"διὰ πέντε",IF(H1717=4,"διὰ τεσσάρων","?")))))</f>
        <v>—</v>
      </c>
      <c r="K1717" s="10"/>
      <c r="L1717" s="14"/>
      <c r="M1717" s="13"/>
    </row>
    <row r="1718" customFormat="false" ht="15.75" hidden="false" customHeight="true" outlineLevel="0" collapsed="false">
      <c r="A1718" s="8" t="n">
        <f aca="false">A1717+1</f>
        <v>1716</v>
      </c>
      <c r="B1718" s="9" t="n">
        <f aca="false">MOD(4*A1718^2,10)</f>
        <v>4</v>
      </c>
      <c r="C1718" s="9" t="n">
        <f aca="false">(26*B1718-5*B1718^2)/24</f>
        <v>1</v>
      </c>
      <c r="D1718" s="9" t="n">
        <f aca="false">(A1718^2+4*C1718)/5</f>
        <v>588932</v>
      </c>
      <c r="E1718" s="9" t="n">
        <f aca="false">MOD(D1718,10)</f>
        <v>2</v>
      </c>
      <c r="F1718" s="9" t="n">
        <f aca="false">2*D1718</f>
        <v>1177864</v>
      </c>
      <c r="G1718" s="9" t="n">
        <f aca="false">MOD(F1718,10)</f>
        <v>4</v>
      </c>
      <c r="H1718" s="9" t="n">
        <f aca="false">G1718/2</f>
        <v>2</v>
      </c>
      <c r="I1718" s="9" t="str">
        <f aca="false">IF(H1718=0,"—",IF(H1718=1,"unison (1:1)",IF(H1718=2,"octave (2:1)",IF(H1718=3,"fifth (3:2)",IF(H1718=4,"fourth (4:3)","?")))))</f>
        <v>octave (2:1)</v>
      </c>
      <c r="J1718" s="9" t="str">
        <f aca="false">IF(H1718=0,"—",IF(H1718=1,"ὁμώνυμον",IF(H1718=2,"διὰ πασῶν",IF(H1718=3,"διὰ πέντε",IF(H1718=4,"διὰ τεσσάρων","?")))))</f>
        <v>διὰ πασῶν</v>
      </c>
      <c r="K1718" s="10"/>
      <c r="L1718" s="14"/>
      <c r="M1718" s="13"/>
    </row>
    <row r="1719" customFormat="false" ht="15.75" hidden="false" customHeight="true" outlineLevel="0" collapsed="false">
      <c r="A1719" s="8" t="n">
        <f aca="false">A1718+1</f>
        <v>1717</v>
      </c>
      <c r="B1719" s="9" t="n">
        <f aca="false">MOD(4*A1719^2,10)</f>
        <v>6</v>
      </c>
      <c r="C1719" s="9" t="n">
        <f aca="false">(26*B1719-5*B1719^2)/24</f>
        <v>-1</v>
      </c>
      <c r="D1719" s="9" t="n">
        <f aca="false">(A1719^2+4*C1719)/5</f>
        <v>589617</v>
      </c>
      <c r="E1719" s="9" t="n">
        <f aca="false">MOD(D1719,10)</f>
        <v>7</v>
      </c>
      <c r="F1719" s="9" t="n">
        <f aca="false">2*D1719</f>
        <v>1179234</v>
      </c>
      <c r="G1719" s="9" t="n">
        <f aca="false">MOD(F1719,10)</f>
        <v>4</v>
      </c>
      <c r="H1719" s="9" t="n">
        <f aca="false">G1719/2</f>
        <v>2</v>
      </c>
      <c r="I1719" s="9" t="str">
        <f aca="false">IF(H1719=0,"—",IF(H1719=1,"unison (1:1)",IF(H1719=2,"octave (2:1)",IF(H1719=3,"fifth (3:2)",IF(H1719=4,"fourth (4:3)","?")))))</f>
        <v>octave (2:1)</v>
      </c>
      <c r="J1719" s="9" t="str">
        <f aca="false">IF(H1719=0,"—",IF(H1719=1,"ὁμώνυμον",IF(H1719=2,"διὰ πασῶν",IF(H1719=3,"διὰ πέντε",IF(H1719=4,"διὰ τεσσάρων","?")))))</f>
        <v>διὰ πασῶν</v>
      </c>
      <c r="K1719" s="10"/>
      <c r="L1719" s="14"/>
      <c r="M1719" s="13"/>
    </row>
    <row r="1720" customFormat="false" ht="15.75" hidden="false" customHeight="true" outlineLevel="0" collapsed="false">
      <c r="A1720" s="8" t="n">
        <f aca="false">A1719+1</f>
        <v>1718</v>
      </c>
      <c r="B1720" s="9" t="n">
        <f aca="false">MOD(4*A1720^2,10)</f>
        <v>6</v>
      </c>
      <c r="C1720" s="9" t="n">
        <f aca="false">(26*B1720-5*B1720^2)/24</f>
        <v>-1</v>
      </c>
      <c r="D1720" s="9" t="n">
        <f aca="false">(A1720^2+4*C1720)/5</f>
        <v>590304</v>
      </c>
      <c r="E1720" s="9" t="n">
        <f aca="false">MOD(D1720,10)</f>
        <v>4</v>
      </c>
      <c r="F1720" s="9" t="n">
        <f aca="false">2*D1720</f>
        <v>1180608</v>
      </c>
      <c r="G1720" s="9" t="n">
        <f aca="false">MOD(F1720,10)</f>
        <v>8</v>
      </c>
      <c r="H1720" s="9" t="n">
        <f aca="false">G1720/2</f>
        <v>4</v>
      </c>
      <c r="I1720" s="9" t="str">
        <f aca="false">IF(H1720=0,"—",IF(H1720=1,"unison (1:1)",IF(H1720=2,"octave (2:1)",IF(H1720=3,"fifth (3:2)",IF(H1720=4,"fourth (4:3)","?")))))</f>
        <v>fourth (4:3)</v>
      </c>
      <c r="J1720" s="9" t="str">
        <f aca="false">IF(H1720=0,"—",IF(H1720=1,"ὁμώνυμον",IF(H1720=2,"διὰ πασῶν",IF(H1720=3,"διὰ πέντε",IF(H1720=4,"διὰ τεσσάρων","?")))))</f>
        <v>διὰ τεσσάρων</v>
      </c>
      <c r="K1720" s="10"/>
      <c r="L1720" s="14"/>
      <c r="M1720" s="13"/>
    </row>
    <row r="1721" customFormat="false" ht="15.75" hidden="false" customHeight="true" outlineLevel="0" collapsed="false">
      <c r="A1721" s="8" t="n">
        <f aca="false">A1720+1</f>
        <v>1719</v>
      </c>
      <c r="B1721" s="9" t="n">
        <f aca="false">MOD(4*A1721^2,10)</f>
        <v>4</v>
      </c>
      <c r="C1721" s="9" t="n">
        <f aca="false">(26*B1721-5*B1721^2)/24</f>
        <v>1</v>
      </c>
      <c r="D1721" s="9" t="n">
        <f aca="false">(A1721^2+4*C1721)/5</f>
        <v>590993</v>
      </c>
      <c r="E1721" s="9" t="n">
        <f aca="false">MOD(D1721,10)</f>
        <v>3</v>
      </c>
      <c r="F1721" s="9" t="n">
        <f aca="false">2*D1721</f>
        <v>1181986</v>
      </c>
      <c r="G1721" s="9" t="n">
        <f aca="false">MOD(F1721,10)</f>
        <v>6</v>
      </c>
      <c r="H1721" s="9" t="n">
        <f aca="false">G1721/2</f>
        <v>3</v>
      </c>
      <c r="I1721" s="9" t="str">
        <f aca="false">IF(H1721=0,"—",IF(H1721=1,"unison (1:1)",IF(H1721=2,"octave (2:1)",IF(H1721=3,"fifth (3:2)",IF(H1721=4,"fourth (4:3)","?")))))</f>
        <v>fifth (3:2)</v>
      </c>
      <c r="J1721" s="9" t="str">
        <f aca="false">IF(H1721=0,"—",IF(H1721=1,"ὁμώνυμον",IF(H1721=2,"διὰ πασῶν",IF(H1721=3,"διὰ πέντε",IF(H1721=4,"διὰ τεσσάρων","?")))))</f>
        <v>διὰ πέντε</v>
      </c>
      <c r="K1721" s="10"/>
      <c r="L1721" s="14"/>
      <c r="M1721" s="13"/>
    </row>
    <row r="1722" customFormat="false" ht="15.75" hidden="false" customHeight="true" outlineLevel="0" collapsed="false">
      <c r="A1722" s="8" t="n">
        <f aca="false">A1721+1</f>
        <v>1720</v>
      </c>
      <c r="B1722" s="9" t="n">
        <f aca="false">MOD(4*A1722^2,10)</f>
        <v>0</v>
      </c>
      <c r="C1722" s="9" t="n">
        <f aca="false">(26*B1722-5*B1722^2)/24</f>
        <v>0</v>
      </c>
      <c r="D1722" s="9" t="n">
        <f aca="false">(A1722^2+4*C1722)/5</f>
        <v>591680</v>
      </c>
      <c r="E1722" s="9" t="n">
        <f aca="false">MOD(D1722,10)</f>
        <v>0</v>
      </c>
      <c r="F1722" s="9" t="n">
        <f aca="false">2*D1722</f>
        <v>1183360</v>
      </c>
      <c r="G1722" s="9" t="n">
        <f aca="false">MOD(F1722,10)</f>
        <v>0</v>
      </c>
      <c r="H1722" s="9" t="n">
        <f aca="false">G1722/2</f>
        <v>0</v>
      </c>
      <c r="I1722" s="9" t="str">
        <f aca="false">IF(H1722=0,"—",IF(H1722=1,"unison (1:1)",IF(H1722=2,"octave (2:1)",IF(H1722=3,"fifth (3:2)",IF(H1722=4,"fourth (4:3)","?")))))</f>
        <v>—</v>
      </c>
      <c r="J1722" s="9" t="str">
        <f aca="false">IF(H1722=0,"—",IF(H1722=1,"ὁμώνυμον",IF(H1722=2,"διὰ πασῶν",IF(H1722=3,"διὰ πέντε",IF(H1722=4,"διὰ τεσσάρων","?")))))</f>
        <v>—</v>
      </c>
      <c r="K1722" s="10"/>
      <c r="L1722" s="14"/>
      <c r="M1722" s="13"/>
    </row>
    <row r="1723" customFormat="false" ht="15.75" hidden="false" customHeight="true" outlineLevel="0" collapsed="false">
      <c r="A1723" s="8" t="n">
        <f aca="false">A1722+1</f>
        <v>1721</v>
      </c>
      <c r="B1723" s="9" t="n">
        <f aca="false">MOD(4*A1723^2,10)</f>
        <v>4</v>
      </c>
      <c r="C1723" s="9" t="n">
        <f aca="false">(26*B1723-5*B1723^2)/24</f>
        <v>1</v>
      </c>
      <c r="D1723" s="9" t="n">
        <f aca="false">(A1723^2+4*C1723)/5</f>
        <v>592369</v>
      </c>
      <c r="E1723" s="9" t="n">
        <f aca="false">MOD(D1723,10)</f>
        <v>9</v>
      </c>
      <c r="F1723" s="9" t="n">
        <f aca="false">2*D1723</f>
        <v>1184738</v>
      </c>
      <c r="G1723" s="9" t="n">
        <f aca="false">MOD(F1723,10)</f>
        <v>8</v>
      </c>
      <c r="H1723" s="9" t="n">
        <f aca="false">G1723/2</f>
        <v>4</v>
      </c>
      <c r="I1723" s="9" t="str">
        <f aca="false">IF(H1723=0,"—",IF(H1723=1,"unison (1:1)",IF(H1723=2,"octave (2:1)",IF(H1723=3,"fifth (3:2)",IF(H1723=4,"fourth (4:3)","?")))))</f>
        <v>fourth (4:3)</v>
      </c>
      <c r="J1723" s="9" t="str">
        <f aca="false">IF(H1723=0,"—",IF(H1723=1,"ὁμώνυμον",IF(H1723=2,"διὰ πασῶν",IF(H1723=3,"διὰ πέντε",IF(H1723=4,"διὰ τεσσάρων","?")))))</f>
        <v>διὰ τεσσάρων</v>
      </c>
      <c r="K1723" s="10"/>
      <c r="L1723" s="14"/>
      <c r="M1723" s="13"/>
    </row>
    <row r="1724" customFormat="false" ht="15.75" hidden="false" customHeight="true" outlineLevel="0" collapsed="false">
      <c r="A1724" s="8" t="n">
        <f aca="false">A1723+1</f>
        <v>1722</v>
      </c>
      <c r="B1724" s="9" t="n">
        <f aca="false">MOD(4*A1724^2,10)</f>
        <v>6</v>
      </c>
      <c r="C1724" s="9" t="n">
        <f aca="false">(26*B1724-5*B1724^2)/24</f>
        <v>-1</v>
      </c>
      <c r="D1724" s="9" t="n">
        <f aca="false">(A1724^2+4*C1724)/5</f>
        <v>593056</v>
      </c>
      <c r="E1724" s="9" t="n">
        <f aca="false">MOD(D1724,10)</f>
        <v>6</v>
      </c>
      <c r="F1724" s="9" t="n">
        <f aca="false">2*D1724</f>
        <v>1186112</v>
      </c>
      <c r="G1724" s="9" t="n">
        <f aca="false">MOD(F1724,10)</f>
        <v>2</v>
      </c>
      <c r="H1724" s="9" t="n">
        <f aca="false">G1724/2</f>
        <v>1</v>
      </c>
      <c r="I1724" s="9" t="str">
        <f aca="false">IF(H1724=0,"—",IF(H1724=1,"unison (1:1)",IF(H1724=2,"octave (2:1)",IF(H1724=3,"fifth (3:2)",IF(H1724=4,"fourth (4:3)","?")))))</f>
        <v>unison (1:1)</v>
      </c>
      <c r="J1724" s="9" t="str">
        <f aca="false">IF(H1724=0,"—",IF(H1724=1,"ὁμώνυμον",IF(H1724=2,"διὰ πασῶν",IF(H1724=3,"διὰ πέντε",IF(H1724=4,"διὰ τεσσάρων","?")))))</f>
        <v>ὁμώνυμον</v>
      </c>
      <c r="K1724" s="10"/>
      <c r="L1724" s="14"/>
      <c r="M1724" s="13"/>
    </row>
    <row r="1725" customFormat="false" ht="15.75" hidden="false" customHeight="true" outlineLevel="0" collapsed="false">
      <c r="A1725" s="8" t="n">
        <f aca="false">A1724+1</f>
        <v>1723</v>
      </c>
      <c r="B1725" s="9" t="n">
        <f aca="false">MOD(4*A1725^2,10)</f>
        <v>6</v>
      </c>
      <c r="C1725" s="9" t="n">
        <f aca="false">(26*B1725-5*B1725^2)/24</f>
        <v>-1</v>
      </c>
      <c r="D1725" s="9" t="n">
        <f aca="false">(A1725^2+4*C1725)/5</f>
        <v>593745</v>
      </c>
      <c r="E1725" s="9" t="n">
        <f aca="false">MOD(D1725,10)</f>
        <v>5</v>
      </c>
      <c r="F1725" s="9" t="n">
        <f aca="false">2*D1725</f>
        <v>1187490</v>
      </c>
      <c r="G1725" s="9" t="n">
        <f aca="false">MOD(F1725,10)</f>
        <v>0</v>
      </c>
      <c r="H1725" s="9" t="n">
        <f aca="false">G1725/2</f>
        <v>0</v>
      </c>
      <c r="I1725" s="9" t="str">
        <f aca="false">IF(H1725=0,"—",IF(H1725=1,"unison (1:1)",IF(H1725=2,"octave (2:1)",IF(H1725=3,"fifth (3:2)",IF(H1725=4,"fourth (4:3)","?")))))</f>
        <v>—</v>
      </c>
      <c r="J1725" s="9" t="str">
        <f aca="false">IF(H1725=0,"—",IF(H1725=1,"ὁμώνυμον",IF(H1725=2,"διὰ πασῶν",IF(H1725=3,"διὰ πέντε",IF(H1725=4,"διὰ τεσσάρων","?")))))</f>
        <v>—</v>
      </c>
      <c r="K1725" s="10"/>
      <c r="L1725" s="14"/>
      <c r="M1725" s="13"/>
    </row>
    <row r="1726" customFormat="false" ht="15.75" hidden="false" customHeight="true" outlineLevel="0" collapsed="false">
      <c r="A1726" s="8" t="n">
        <f aca="false">A1725+1</f>
        <v>1724</v>
      </c>
      <c r="B1726" s="9" t="n">
        <f aca="false">MOD(4*A1726^2,10)</f>
        <v>4</v>
      </c>
      <c r="C1726" s="9" t="n">
        <f aca="false">(26*B1726-5*B1726^2)/24</f>
        <v>1</v>
      </c>
      <c r="D1726" s="9" t="n">
        <f aca="false">(A1726^2+4*C1726)/5</f>
        <v>594436</v>
      </c>
      <c r="E1726" s="9" t="n">
        <f aca="false">MOD(D1726,10)</f>
        <v>6</v>
      </c>
      <c r="F1726" s="9" t="n">
        <f aca="false">2*D1726</f>
        <v>1188872</v>
      </c>
      <c r="G1726" s="9" t="n">
        <f aca="false">MOD(F1726,10)</f>
        <v>2</v>
      </c>
      <c r="H1726" s="9" t="n">
        <f aca="false">G1726/2</f>
        <v>1</v>
      </c>
      <c r="I1726" s="9" t="str">
        <f aca="false">IF(H1726=0,"—",IF(H1726=1,"unison (1:1)",IF(H1726=2,"octave (2:1)",IF(H1726=3,"fifth (3:2)",IF(H1726=4,"fourth (4:3)","?")))))</f>
        <v>unison (1:1)</v>
      </c>
      <c r="J1726" s="9" t="str">
        <f aca="false">IF(H1726=0,"—",IF(H1726=1,"ὁμώνυμον",IF(H1726=2,"διὰ πασῶν",IF(H1726=3,"διὰ πέντε",IF(H1726=4,"διὰ τεσσάρων","?")))))</f>
        <v>ὁμώνυμον</v>
      </c>
      <c r="K1726" s="10"/>
      <c r="L1726" s="14"/>
      <c r="M1726" s="13"/>
    </row>
    <row r="1727" customFormat="false" ht="15.75" hidden="false" customHeight="true" outlineLevel="0" collapsed="false">
      <c r="A1727" s="8" t="n">
        <f aca="false">A1726+1</f>
        <v>1725</v>
      </c>
      <c r="B1727" s="9" t="n">
        <f aca="false">MOD(4*A1727^2,10)</f>
        <v>0</v>
      </c>
      <c r="C1727" s="9" t="n">
        <f aca="false">(26*B1727-5*B1727^2)/24</f>
        <v>0</v>
      </c>
      <c r="D1727" s="9" t="n">
        <f aca="false">(A1727^2+4*C1727)/5</f>
        <v>595125</v>
      </c>
      <c r="E1727" s="9" t="n">
        <f aca="false">MOD(D1727,10)</f>
        <v>5</v>
      </c>
      <c r="F1727" s="9" t="n">
        <f aca="false">2*D1727</f>
        <v>1190250</v>
      </c>
      <c r="G1727" s="9" t="n">
        <f aca="false">MOD(F1727,10)</f>
        <v>0</v>
      </c>
      <c r="H1727" s="9" t="n">
        <f aca="false">G1727/2</f>
        <v>0</v>
      </c>
      <c r="I1727" s="9" t="str">
        <f aca="false">IF(H1727=0,"—",IF(H1727=1,"unison (1:1)",IF(H1727=2,"octave (2:1)",IF(H1727=3,"fifth (3:2)",IF(H1727=4,"fourth (4:3)","?")))))</f>
        <v>—</v>
      </c>
      <c r="J1727" s="9" t="str">
        <f aca="false">IF(H1727=0,"—",IF(H1727=1,"ὁμώνυμον",IF(H1727=2,"διὰ πασῶν",IF(H1727=3,"διὰ πέντε",IF(H1727=4,"διὰ τεσσάρων","?")))))</f>
        <v>—</v>
      </c>
      <c r="K1727" s="10"/>
      <c r="L1727" s="14"/>
      <c r="M1727" s="13"/>
    </row>
    <row r="1728" customFormat="false" ht="15.75" hidden="false" customHeight="true" outlineLevel="0" collapsed="false">
      <c r="A1728" s="8" t="n">
        <f aca="false">A1727+1</f>
        <v>1726</v>
      </c>
      <c r="B1728" s="9" t="n">
        <f aca="false">MOD(4*A1728^2,10)</f>
        <v>4</v>
      </c>
      <c r="C1728" s="9" t="n">
        <f aca="false">(26*B1728-5*B1728^2)/24</f>
        <v>1</v>
      </c>
      <c r="D1728" s="9" t="n">
        <f aca="false">(A1728^2+4*C1728)/5</f>
        <v>595816</v>
      </c>
      <c r="E1728" s="9" t="n">
        <f aca="false">MOD(D1728,10)</f>
        <v>6</v>
      </c>
      <c r="F1728" s="9" t="n">
        <f aca="false">2*D1728</f>
        <v>1191632</v>
      </c>
      <c r="G1728" s="9" t="n">
        <f aca="false">MOD(F1728,10)</f>
        <v>2</v>
      </c>
      <c r="H1728" s="9" t="n">
        <f aca="false">G1728/2</f>
        <v>1</v>
      </c>
      <c r="I1728" s="9" t="str">
        <f aca="false">IF(H1728=0,"—",IF(H1728=1,"unison (1:1)",IF(H1728=2,"octave (2:1)",IF(H1728=3,"fifth (3:2)",IF(H1728=4,"fourth (4:3)","?")))))</f>
        <v>unison (1:1)</v>
      </c>
      <c r="J1728" s="9" t="str">
        <f aca="false">IF(H1728=0,"—",IF(H1728=1,"ὁμώνυμον",IF(H1728=2,"διὰ πασῶν",IF(H1728=3,"διὰ πέντε",IF(H1728=4,"διὰ τεσσάρων","?")))))</f>
        <v>ὁμώνυμον</v>
      </c>
      <c r="K1728" s="10"/>
      <c r="L1728" s="14"/>
      <c r="M1728" s="13"/>
    </row>
    <row r="1729" customFormat="false" ht="15.75" hidden="false" customHeight="true" outlineLevel="0" collapsed="false">
      <c r="A1729" s="8" t="n">
        <f aca="false">A1728+1</f>
        <v>1727</v>
      </c>
      <c r="B1729" s="9" t="n">
        <f aca="false">MOD(4*A1729^2,10)</f>
        <v>6</v>
      </c>
      <c r="C1729" s="9" t="n">
        <f aca="false">(26*B1729-5*B1729^2)/24</f>
        <v>-1</v>
      </c>
      <c r="D1729" s="9" t="n">
        <f aca="false">(A1729^2+4*C1729)/5</f>
        <v>596505</v>
      </c>
      <c r="E1729" s="9" t="n">
        <f aca="false">MOD(D1729,10)</f>
        <v>5</v>
      </c>
      <c r="F1729" s="9" t="n">
        <f aca="false">2*D1729</f>
        <v>1193010</v>
      </c>
      <c r="G1729" s="9" t="n">
        <f aca="false">MOD(F1729,10)</f>
        <v>0</v>
      </c>
      <c r="H1729" s="9" t="n">
        <f aca="false">G1729/2</f>
        <v>0</v>
      </c>
      <c r="I1729" s="9" t="str">
        <f aca="false">IF(H1729=0,"—",IF(H1729=1,"unison (1:1)",IF(H1729=2,"octave (2:1)",IF(H1729=3,"fifth (3:2)",IF(H1729=4,"fourth (4:3)","?")))))</f>
        <v>—</v>
      </c>
      <c r="J1729" s="9" t="str">
        <f aca="false">IF(H1729=0,"—",IF(H1729=1,"ὁμώνυμον",IF(H1729=2,"διὰ πασῶν",IF(H1729=3,"διὰ πέντε",IF(H1729=4,"διὰ τεσσάρων","?")))))</f>
        <v>—</v>
      </c>
      <c r="K1729" s="10"/>
      <c r="L1729" s="14"/>
      <c r="M1729" s="13"/>
    </row>
    <row r="1730" customFormat="false" ht="15.75" hidden="false" customHeight="true" outlineLevel="0" collapsed="false">
      <c r="A1730" s="8" t="n">
        <f aca="false">A1729+1</f>
        <v>1728</v>
      </c>
      <c r="B1730" s="9" t="n">
        <f aca="false">MOD(4*A1730^2,10)</f>
        <v>6</v>
      </c>
      <c r="C1730" s="9" t="n">
        <f aca="false">(26*B1730-5*B1730^2)/24</f>
        <v>-1</v>
      </c>
      <c r="D1730" s="9" t="n">
        <f aca="false">(A1730^2+4*C1730)/5</f>
        <v>597196</v>
      </c>
      <c r="E1730" s="9" t="n">
        <f aca="false">MOD(D1730,10)</f>
        <v>6</v>
      </c>
      <c r="F1730" s="9" t="n">
        <f aca="false">2*D1730</f>
        <v>1194392</v>
      </c>
      <c r="G1730" s="9" t="n">
        <f aca="false">MOD(F1730,10)</f>
        <v>2</v>
      </c>
      <c r="H1730" s="9" t="n">
        <f aca="false">G1730/2</f>
        <v>1</v>
      </c>
      <c r="I1730" s="9" t="str">
        <f aca="false">IF(H1730=0,"—",IF(H1730=1,"unison (1:1)",IF(H1730=2,"octave (2:1)",IF(H1730=3,"fifth (3:2)",IF(H1730=4,"fourth (4:3)","?")))))</f>
        <v>unison (1:1)</v>
      </c>
      <c r="J1730" s="9" t="str">
        <f aca="false">IF(H1730=0,"—",IF(H1730=1,"ὁμώνυμον",IF(H1730=2,"διὰ πασῶν",IF(H1730=3,"διὰ πέντε",IF(H1730=4,"διὰ τεσσάρων","?")))))</f>
        <v>ὁμώνυμον</v>
      </c>
      <c r="K1730" s="10"/>
      <c r="L1730" s="14"/>
      <c r="M1730" s="13"/>
    </row>
    <row r="1731" customFormat="false" ht="15.75" hidden="false" customHeight="true" outlineLevel="0" collapsed="false">
      <c r="A1731" s="8" t="n">
        <f aca="false">A1730+1</f>
        <v>1729</v>
      </c>
      <c r="B1731" s="9" t="n">
        <f aca="false">MOD(4*A1731^2,10)</f>
        <v>4</v>
      </c>
      <c r="C1731" s="9" t="n">
        <f aca="false">(26*B1731-5*B1731^2)/24</f>
        <v>1</v>
      </c>
      <c r="D1731" s="9" t="n">
        <f aca="false">(A1731^2+4*C1731)/5</f>
        <v>597889</v>
      </c>
      <c r="E1731" s="9" t="n">
        <f aca="false">MOD(D1731,10)</f>
        <v>9</v>
      </c>
      <c r="F1731" s="9" t="n">
        <f aca="false">2*D1731</f>
        <v>1195778</v>
      </c>
      <c r="G1731" s="9" t="n">
        <f aca="false">MOD(F1731,10)</f>
        <v>8</v>
      </c>
      <c r="H1731" s="9" t="n">
        <f aca="false">G1731/2</f>
        <v>4</v>
      </c>
      <c r="I1731" s="9" t="str">
        <f aca="false">IF(H1731=0,"—",IF(H1731=1,"unison (1:1)",IF(H1731=2,"octave (2:1)",IF(H1731=3,"fifth (3:2)",IF(H1731=4,"fourth (4:3)","?")))))</f>
        <v>fourth (4:3)</v>
      </c>
      <c r="J1731" s="9" t="str">
        <f aca="false">IF(H1731=0,"—",IF(H1731=1,"ὁμώνυμον",IF(H1731=2,"διὰ πασῶν",IF(H1731=3,"διὰ πέντε",IF(H1731=4,"διὰ τεσσάρων","?")))))</f>
        <v>διὰ τεσσάρων</v>
      </c>
      <c r="K1731" s="10"/>
      <c r="L1731" s="14"/>
      <c r="M1731" s="13"/>
    </row>
    <row r="1732" customFormat="false" ht="15.75" hidden="false" customHeight="true" outlineLevel="0" collapsed="false">
      <c r="A1732" s="8" t="n">
        <f aca="false">A1731+1</f>
        <v>1730</v>
      </c>
      <c r="B1732" s="9" t="n">
        <f aca="false">MOD(4*A1732^2,10)</f>
        <v>0</v>
      </c>
      <c r="C1732" s="9" t="n">
        <f aca="false">(26*B1732-5*B1732^2)/24</f>
        <v>0</v>
      </c>
      <c r="D1732" s="9" t="n">
        <f aca="false">(A1732^2+4*C1732)/5</f>
        <v>598580</v>
      </c>
      <c r="E1732" s="9" t="n">
        <f aca="false">MOD(D1732,10)</f>
        <v>0</v>
      </c>
      <c r="F1732" s="9" t="n">
        <f aca="false">2*D1732</f>
        <v>1197160</v>
      </c>
      <c r="G1732" s="9" t="n">
        <f aca="false">MOD(F1732,10)</f>
        <v>0</v>
      </c>
      <c r="H1732" s="9" t="n">
        <f aca="false">G1732/2</f>
        <v>0</v>
      </c>
      <c r="I1732" s="9" t="str">
        <f aca="false">IF(H1732=0,"—",IF(H1732=1,"unison (1:1)",IF(H1732=2,"octave (2:1)",IF(H1732=3,"fifth (3:2)",IF(H1732=4,"fourth (4:3)","?")))))</f>
        <v>—</v>
      </c>
      <c r="J1732" s="9" t="str">
        <f aca="false">IF(H1732=0,"—",IF(H1732=1,"ὁμώνυμον",IF(H1732=2,"διὰ πασῶν",IF(H1732=3,"διὰ πέντε",IF(H1732=4,"διὰ τεσσάρων","?")))))</f>
        <v>—</v>
      </c>
      <c r="K1732" s="10"/>
      <c r="L1732" s="14"/>
      <c r="M1732" s="13"/>
    </row>
    <row r="1733" customFormat="false" ht="15.75" hidden="false" customHeight="true" outlineLevel="0" collapsed="false">
      <c r="A1733" s="8" t="n">
        <f aca="false">A1732+1</f>
        <v>1731</v>
      </c>
      <c r="B1733" s="9" t="n">
        <f aca="false">MOD(4*A1733^2,10)</f>
        <v>4</v>
      </c>
      <c r="C1733" s="9" t="n">
        <f aca="false">(26*B1733-5*B1733^2)/24</f>
        <v>1</v>
      </c>
      <c r="D1733" s="9" t="n">
        <f aca="false">(A1733^2+4*C1733)/5</f>
        <v>599273</v>
      </c>
      <c r="E1733" s="9" t="n">
        <f aca="false">MOD(D1733,10)</f>
        <v>3</v>
      </c>
      <c r="F1733" s="9" t="n">
        <f aca="false">2*D1733</f>
        <v>1198546</v>
      </c>
      <c r="G1733" s="9" t="n">
        <f aca="false">MOD(F1733,10)</f>
        <v>6</v>
      </c>
      <c r="H1733" s="9" t="n">
        <f aca="false">G1733/2</f>
        <v>3</v>
      </c>
      <c r="I1733" s="9" t="str">
        <f aca="false">IF(H1733=0,"—",IF(H1733=1,"unison (1:1)",IF(H1733=2,"octave (2:1)",IF(H1733=3,"fifth (3:2)",IF(H1733=4,"fourth (4:3)","?")))))</f>
        <v>fifth (3:2)</v>
      </c>
      <c r="J1733" s="9" t="str">
        <f aca="false">IF(H1733=0,"—",IF(H1733=1,"ὁμώνυμον",IF(H1733=2,"διὰ πασῶν",IF(H1733=3,"διὰ πέντε",IF(H1733=4,"διὰ τεσσάρων","?")))))</f>
        <v>διὰ πέντε</v>
      </c>
      <c r="K1733" s="10"/>
      <c r="L1733" s="14"/>
      <c r="M1733" s="13"/>
    </row>
    <row r="1734" customFormat="false" ht="15.75" hidden="false" customHeight="true" outlineLevel="0" collapsed="false">
      <c r="A1734" s="8" t="n">
        <f aca="false">A1733+1</f>
        <v>1732</v>
      </c>
      <c r="B1734" s="9" t="n">
        <f aca="false">MOD(4*A1734^2,10)</f>
        <v>6</v>
      </c>
      <c r="C1734" s="9" t="n">
        <f aca="false">(26*B1734-5*B1734^2)/24</f>
        <v>-1</v>
      </c>
      <c r="D1734" s="9" t="n">
        <f aca="false">(A1734^2+4*C1734)/5</f>
        <v>599964</v>
      </c>
      <c r="E1734" s="9" t="n">
        <f aca="false">MOD(D1734,10)</f>
        <v>4</v>
      </c>
      <c r="F1734" s="9" t="n">
        <f aca="false">2*D1734</f>
        <v>1199928</v>
      </c>
      <c r="G1734" s="9" t="n">
        <f aca="false">MOD(F1734,10)</f>
        <v>8</v>
      </c>
      <c r="H1734" s="9" t="n">
        <f aca="false">G1734/2</f>
        <v>4</v>
      </c>
      <c r="I1734" s="9" t="str">
        <f aca="false">IF(H1734=0,"—",IF(H1734=1,"unison (1:1)",IF(H1734=2,"octave (2:1)",IF(H1734=3,"fifth (3:2)",IF(H1734=4,"fourth (4:3)","?")))))</f>
        <v>fourth (4:3)</v>
      </c>
      <c r="J1734" s="9" t="str">
        <f aca="false">IF(H1734=0,"—",IF(H1734=1,"ὁμώνυμον",IF(H1734=2,"διὰ πασῶν",IF(H1734=3,"διὰ πέντε",IF(H1734=4,"διὰ τεσσάρων","?")))))</f>
        <v>διὰ τεσσάρων</v>
      </c>
      <c r="K1734" s="10"/>
      <c r="L1734" s="14"/>
      <c r="M1734" s="13"/>
    </row>
    <row r="1735" customFormat="false" ht="15.75" hidden="false" customHeight="true" outlineLevel="0" collapsed="false">
      <c r="A1735" s="8" t="n">
        <f aca="false">A1734+1</f>
        <v>1733</v>
      </c>
      <c r="B1735" s="9" t="n">
        <f aca="false">MOD(4*A1735^2,10)</f>
        <v>6</v>
      </c>
      <c r="C1735" s="9" t="n">
        <f aca="false">(26*B1735-5*B1735^2)/24</f>
        <v>-1</v>
      </c>
      <c r="D1735" s="9" t="n">
        <f aca="false">(A1735^2+4*C1735)/5</f>
        <v>600657</v>
      </c>
      <c r="E1735" s="9" t="n">
        <f aca="false">MOD(D1735,10)</f>
        <v>7</v>
      </c>
      <c r="F1735" s="9" t="n">
        <f aca="false">2*D1735</f>
        <v>1201314</v>
      </c>
      <c r="G1735" s="9" t="n">
        <f aca="false">MOD(F1735,10)</f>
        <v>4</v>
      </c>
      <c r="H1735" s="9" t="n">
        <f aca="false">G1735/2</f>
        <v>2</v>
      </c>
      <c r="I1735" s="9" t="str">
        <f aca="false">IF(H1735=0,"—",IF(H1735=1,"unison (1:1)",IF(H1735=2,"octave (2:1)",IF(H1735=3,"fifth (3:2)",IF(H1735=4,"fourth (4:3)","?")))))</f>
        <v>octave (2:1)</v>
      </c>
      <c r="J1735" s="9" t="str">
        <f aca="false">IF(H1735=0,"—",IF(H1735=1,"ὁμώνυμον",IF(H1735=2,"διὰ πασῶν",IF(H1735=3,"διὰ πέντε",IF(H1735=4,"διὰ τεσσάρων","?")))))</f>
        <v>διὰ πασῶν</v>
      </c>
      <c r="K1735" s="10"/>
      <c r="L1735" s="14"/>
      <c r="M1735" s="13"/>
    </row>
    <row r="1736" customFormat="false" ht="15.75" hidden="false" customHeight="true" outlineLevel="0" collapsed="false">
      <c r="A1736" s="8" t="n">
        <f aca="false">A1735+1</f>
        <v>1734</v>
      </c>
      <c r="B1736" s="9" t="n">
        <f aca="false">MOD(4*A1736^2,10)</f>
        <v>4</v>
      </c>
      <c r="C1736" s="9" t="n">
        <f aca="false">(26*B1736-5*B1736^2)/24</f>
        <v>1</v>
      </c>
      <c r="D1736" s="9" t="n">
        <f aca="false">(A1736^2+4*C1736)/5</f>
        <v>601352</v>
      </c>
      <c r="E1736" s="9" t="n">
        <f aca="false">MOD(D1736,10)</f>
        <v>2</v>
      </c>
      <c r="F1736" s="9" t="n">
        <f aca="false">2*D1736</f>
        <v>1202704</v>
      </c>
      <c r="G1736" s="9" t="n">
        <f aca="false">MOD(F1736,10)</f>
        <v>4</v>
      </c>
      <c r="H1736" s="9" t="n">
        <f aca="false">G1736/2</f>
        <v>2</v>
      </c>
      <c r="I1736" s="9" t="str">
        <f aca="false">IF(H1736=0,"—",IF(H1736=1,"unison (1:1)",IF(H1736=2,"octave (2:1)",IF(H1736=3,"fifth (3:2)",IF(H1736=4,"fourth (4:3)","?")))))</f>
        <v>octave (2:1)</v>
      </c>
      <c r="J1736" s="9" t="str">
        <f aca="false">IF(H1736=0,"—",IF(H1736=1,"ὁμώνυμον",IF(H1736=2,"διὰ πασῶν",IF(H1736=3,"διὰ πέντε",IF(H1736=4,"διὰ τεσσάρων","?")))))</f>
        <v>διὰ πασῶν</v>
      </c>
      <c r="K1736" s="10"/>
      <c r="L1736" s="14"/>
      <c r="M1736" s="13"/>
    </row>
    <row r="1737" customFormat="false" ht="15.75" hidden="false" customHeight="true" outlineLevel="0" collapsed="false">
      <c r="A1737" s="8" t="n">
        <f aca="false">A1736+1</f>
        <v>1735</v>
      </c>
      <c r="B1737" s="9" t="n">
        <f aca="false">MOD(4*A1737^2,10)</f>
        <v>0</v>
      </c>
      <c r="C1737" s="9" t="n">
        <f aca="false">(26*B1737-5*B1737^2)/24</f>
        <v>0</v>
      </c>
      <c r="D1737" s="9" t="n">
        <f aca="false">(A1737^2+4*C1737)/5</f>
        <v>602045</v>
      </c>
      <c r="E1737" s="9" t="n">
        <f aca="false">MOD(D1737,10)</f>
        <v>5</v>
      </c>
      <c r="F1737" s="9" t="n">
        <f aca="false">2*D1737</f>
        <v>1204090</v>
      </c>
      <c r="G1737" s="9" t="n">
        <f aca="false">MOD(F1737,10)</f>
        <v>0</v>
      </c>
      <c r="H1737" s="9" t="n">
        <f aca="false">G1737/2</f>
        <v>0</v>
      </c>
      <c r="I1737" s="9" t="str">
        <f aca="false">IF(H1737=0,"—",IF(H1737=1,"unison (1:1)",IF(H1737=2,"octave (2:1)",IF(H1737=3,"fifth (3:2)",IF(H1737=4,"fourth (4:3)","?")))))</f>
        <v>—</v>
      </c>
      <c r="J1737" s="9" t="str">
        <f aca="false">IF(H1737=0,"—",IF(H1737=1,"ὁμώνυμον",IF(H1737=2,"διὰ πασῶν",IF(H1737=3,"διὰ πέντε",IF(H1737=4,"διὰ τεσσάρων","?")))))</f>
        <v>—</v>
      </c>
      <c r="K1737" s="10"/>
      <c r="L1737" s="14"/>
      <c r="M1737" s="13"/>
    </row>
    <row r="1738" customFormat="false" ht="15.75" hidden="false" customHeight="true" outlineLevel="0" collapsed="false">
      <c r="A1738" s="8" t="n">
        <f aca="false">A1737+1</f>
        <v>1736</v>
      </c>
      <c r="B1738" s="9" t="n">
        <f aca="false">MOD(4*A1738^2,10)</f>
        <v>4</v>
      </c>
      <c r="C1738" s="9" t="n">
        <f aca="false">(26*B1738-5*B1738^2)/24</f>
        <v>1</v>
      </c>
      <c r="D1738" s="9" t="n">
        <f aca="false">(A1738^2+4*C1738)/5</f>
        <v>602740</v>
      </c>
      <c r="E1738" s="9" t="n">
        <f aca="false">MOD(D1738,10)</f>
        <v>0</v>
      </c>
      <c r="F1738" s="9" t="n">
        <f aca="false">2*D1738</f>
        <v>1205480</v>
      </c>
      <c r="G1738" s="9" t="n">
        <f aca="false">MOD(F1738,10)</f>
        <v>0</v>
      </c>
      <c r="H1738" s="9" t="n">
        <f aca="false">G1738/2</f>
        <v>0</v>
      </c>
      <c r="I1738" s="9" t="str">
        <f aca="false">IF(H1738=0,"—",IF(H1738=1,"unison (1:1)",IF(H1738=2,"octave (2:1)",IF(H1738=3,"fifth (3:2)",IF(H1738=4,"fourth (4:3)","?")))))</f>
        <v>—</v>
      </c>
      <c r="J1738" s="9" t="str">
        <f aca="false">IF(H1738=0,"—",IF(H1738=1,"ὁμώνυμον",IF(H1738=2,"διὰ πασῶν",IF(H1738=3,"διὰ πέντε",IF(H1738=4,"διὰ τεσσάρων","?")))))</f>
        <v>—</v>
      </c>
      <c r="K1738" s="10"/>
      <c r="L1738" s="14"/>
      <c r="M1738" s="13"/>
    </row>
    <row r="1739" customFormat="false" ht="15.75" hidden="false" customHeight="true" outlineLevel="0" collapsed="false">
      <c r="A1739" s="8" t="n">
        <f aca="false">A1738+1</f>
        <v>1737</v>
      </c>
      <c r="B1739" s="9" t="n">
        <f aca="false">MOD(4*A1739^2,10)</f>
        <v>6</v>
      </c>
      <c r="C1739" s="9" t="n">
        <f aca="false">(26*B1739-5*B1739^2)/24</f>
        <v>-1</v>
      </c>
      <c r="D1739" s="9" t="n">
        <f aca="false">(A1739^2+4*C1739)/5</f>
        <v>603433</v>
      </c>
      <c r="E1739" s="9" t="n">
        <f aca="false">MOD(D1739,10)</f>
        <v>3</v>
      </c>
      <c r="F1739" s="9" t="n">
        <f aca="false">2*D1739</f>
        <v>1206866</v>
      </c>
      <c r="G1739" s="9" t="n">
        <f aca="false">MOD(F1739,10)</f>
        <v>6</v>
      </c>
      <c r="H1739" s="9" t="n">
        <f aca="false">G1739/2</f>
        <v>3</v>
      </c>
      <c r="I1739" s="9" t="str">
        <f aca="false">IF(H1739=0,"—",IF(H1739=1,"unison (1:1)",IF(H1739=2,"octave (2:1)",IF(H1739=3,"fifth (3:2)",IF(H1739=4,"fourth (4:3)","?")))))</f>
        <v>fifth (3:2)</v>
      </c>
      <c r="J1739" s="9" t="str">
        <f aca="false">IF(H1739=0,"—",IF(H1739=1,"ὁμώνυμον",IF(H1739=2,"διὰ πασῶν",IF(H1739=3,"διὰ πέντε",IF(H1739=4,"διὰ τεσσάρων","?")))))</f>
        <v>διὰ πέντε</v>
      </c>
      <c r="K1739" s="10"/>
      <c r="L1739" s="14"/>
      <c r="M1739" s="13"/>
    </row>
    <row r="1740" customFormat="false" ht="15.75" hidden="false" customHeight="true" outlineLevel="0" collapsed="false">
      <c r="A1740" s="8" t="n">
        <f aca="false">A1739+1</f>
        <v>1738</v>
      </c>
      <c r="B1740" s="9" t="n">
        <f aca="false">MOD(4*A1740^2,10)</f>
        <v>6</v>
      </c>
      <c r="C1740" s="9" t="n">
        <f aca="false">(26*B1740-5*B1740^2)/24</f>
        <v>-1</v>
      </c>
      <c r="D1740" s="9" t="n">
        <f aca="false">(A1740^2+4*C1740)/5</f>
        <v>604128</v>
      </c>
      <c r="E1740" s="9" t="n">
        <f aca="false">MOD(D1740,10)</f>
        <v>8</v>
      </c>
      <c r="F1740" s="9" t="n">
        <f aca="false">2*D1740</f>
        <v>1208256</v>
      </c>
      <c r="G1740" s="9" t="n">
        <f aca="false">MOD(F1740,10)</f>
        <v>6</v>
      </c>
      <c r="H1740" s="9" t="n">
        <f aca="false">G1740/2</f>
        <v>3</v>
      </c>
      <c r="I1740" s="9" t="str">
        <f aca="false">IF(H1740=0,"—",IF(H1740=1,"unison (1:1)",IF(H1740=2,"octave (2:1)",IF(H1740=3,"fifth (3:2)",IF(H1740=4,"fourth (4:3)","?")))))</f>
        <v>fifth (3:2)</v>
      </c>
      <c r="J1740" s="9" t="str">
        <f aca="false">IF(H1740=0,"—",IF(H1740=1,"ὁμώνυμον",IF(H1740=2,"διὰ πασῶν",IF(H1740=3,"διὰ πέντε",IF(H1740=4,"διὰ τεσσάρων","?")))))</f>
        <v>διὰ πέντε</v>
      </c>
      <c r="K1740" s="10"/>
      <c r="L1740" s="14"/>
      <c r="M1740" s="13"/>
    </row>
    <row r="1741" customFormat="false" ht="15.75" hidden="false" customHeight="true" outlineLevel="0" collapsed="false">
      <c r="A1741" s="8" t="n">
        <f aca="false">A1740+1</f>
        <v>1739</v>
      </c>
      <c r="B1741" s="9" t="n">
        <f aca="false">MOD(4*A1741^2,10)</f>
        <v>4</v>
      </c>
      <c r="C1741" s="9" t="n">
        <f aca="false">(26*B1741-5*B1741^2)/24</f>
        <v>1</v>
      </c>
      <c r="D1741" s="9" t="n">
        <f aca="false">(A1741^2+4*C1741)/5</f>
        <v>604825</v>
      </c>
      <c r="E1741" s="9" t="n">
        <f aca="false">MOD(D1741,10)</f>
        <v>5</v>
      </c>
      <c r="F1741" s="9" t="n">
        <f aca="false">2*D1741</f>
        <v>1209650</v>
      </c>
      <c r="G1741" s="9" t="n">
        <f aca="false">MOD(F1741,10)</f>
        <v>0</v>
      </c>
      <c r="H1741" s="9" t="n">
        <f aca="false">G1741/2</f>
        <v>0</v>
      </c>
      <c r="I1741" s="9" t="str">
        <f aca="false">IF(H1741=0,"—",IF(H1741=1,"unison (1:1)",IF(H1741=2,"octave (2:1)",IF(H1741=3,"fifth (3:2)",IF(H1741=4,"fourth (4:3)","?")))))</f>
        <v>—</v>
      </c>
      <c r="J1741" s="9" t="str">
        <f aca="false">IF(H1741=0,"—",IF(H1741=1,"ὁμώνυμον",IF(H1741=2,"διὰ πασῶν",IF(H1741=3,"διὰ πέντε",IF(H1741=4,"διὰ τεσσάρων","?")))))</f>
        <v>—</v>
      </c>
      <c r="K1741" s="10"/>
      <c r="L1741" s="14"/>
      <c r="M1741" s="13"/>
    </row>
    <row r="1742" customFormat="false" ht="15.75" hidden="false" customHeight="true" outlineLevel="0" collapsed="false">
      <c r="A1742" s="8" t="n">
        <f aca="false">A1741+1</f>
        <v>1740</v>
      </c>
      <c r="B1742" s="9" t="n">
        <f aca="false">MOD(4*A1742^2,10)</f>
        <v>0</v>
      </c>
      <c r="C1742" s="9" t="n">
        <f aca="false">(26*B1742-5*B1742^2)/24</f>
        <v>0</v>
      </c>
      <c r="D1742" s="9" t="n">
        <f aca="false">(A1742^2+4*C1742)/5</f>
        <v>605520</v>
      </c>
      <c r="E1742" s="9" t="n">
        <f aca="false">MOD(D1742,10)</f>
        <v>0</v>
      </c>
      <c r="F1742" s="9" t="n">
        <f aca="false">2*D1742</f>
        <v>1211040</v>
      </c>
      <c r="G1742" s="9" t="n">
        <f aca="false">MOD(F1742,10)</f>
        <v>0</v>
      </c>
      <c r="H1742" s="9" t="n">
        <f aca="false">G1742/2</f>
        <v>0</v>
      </c>
      <c r="I1742" s="9" t="str">
        <f aca="false">IF(H1742=0,"—",IF(H1742=1,"unison (1:1)",IF(H1742=2,"octave (2:1)",IF(H1742=3,"fifth (3:2)",IF(H1742=4,"fourth (4:3)","?")))))</f>
        <v>—</v>
      </c>
      <c r="J1742" s="9" t="str">
        <f aca="false">IF(H1742=0,"—",IF(H1742=1,"ὁμώνυμον",IF(H1742=2,"διὰ πασῶν",IF(H1742=3,"διὰ πέντε",IF(H1742=4,"διὰ τεσσάρων","?")))))</f>
        <v>—</v>
      </c>
      <c r="K1742" s="10"/>
      <c r="L1742" s="14"/>
      <c r="M1742" s="13"/>
    </row>
    <row r="1743" customFormat="false" ht="15.75" hidden="false" customHeight="true" outlineLevel="0" collapsed="false">
      <c r="A1743" s="8" t="n">
        <f aca="false">A1742+1</f>
        <v>1741</v>
      </c>
      <c r="B1743" s="9" t="n">
        <f aca="false">MOD(4*A1743^2,10)</f>
        <v>4</v>
      </c>
      <c r="C1743" s="9" t="n">
        <f aca="false">(26*B1743-5*B1743^2)/24</f>
        <v>1</v>
      </c>
      <c r="D1743" s="9" t="n">
        <f aca="false">(A1743^2+4*C1743)/5</f>
        <v>606217</v>
      </c>
      <c r="E1743" s="9" t="n">
        <f aca="false">MOD(D1743,10)</f>
        <v>7</v>
      </c>
      <c r="F1743" s="9" t="n">
        <f aca="false">2*D1743</f>
        <v>1212434</v>
      </c>
      <c r="G1743" s="9" t="n">
        <f aca="false">MOD(F1743,10)</f>
        <v>4</v>
      </c>
      <c r="H1743" s="9" t="n">
        <f aca="false">G1743/2</f>
        <v>2</v>
      </c>
      <c r="I1743" s="9" t="str">
        <f aca="false">IF(H1743=0,"—",IF(H1743=1,"unison (1:1)",IF(H1743=2,"octave (2:1)",IF(H1743=3,"fifth (3:2)",IF(H1743=4,"fourth (4:3)","?")))))</f>
        <v>octave (2:1)</v>
      </c>
      <c r="J1743" s="9" t="str">
        <f aca="false">IF(H1743=0,"—",IF(H1743=1,"ὁμώνυμον",IF(H1743=2,"διὰ πασῶν",IF(H1743=3,"διὰ πέντε",IF(H1743=4,"διὰ τεσσάρων","?")))))</f>
        <v>διὰ πασῶν</v>
      </c>
      <c r="K1743" s="10"/>
      <c r="L1743" s="14"/>
      <c r="M1743" s="13"/>
    </row>
    <row r="1744" customFormat="false" ht="15.75" hidden="false" customHeight="true" outlineLevel="0" collapsed="false">
      <c r="A1744" s="8" t="n">
        <f aca="false">A1743+1</f>
        <v>1742</v>
      </c>
      <c r="B1744" s="9" t="n">
        <f aca="false">MOD(4*A1744^2,10)</f>
        <v>6</v>
      </c>
      <c r="C1744" s="9" t="n">
        <f aca="false">(26*B1744-5*B1744^2)/24</f>
        <v>-1</v>
      </c>
      <c r="D1744" s="9" t="n">
        <f aca="false">(A1744^2+4*C1744)/5</f>
        <v>606912</v>
      </c>
      <c r="E1744" s="9" t="n">
        <f aca="false">MOD(D1744,10)</f>
        <v>2</v>
      </c>
      <c r="F1744" s="9" t="n">
        <f aca="false">2*D1744</f>
        <v>1213824</v>
      </c>
      <c r="G1744" s="9" t="n">
        <f aca="false">MOD(F1744,10)</f>
        <v>4</v>
      </c>
      <c r="H1744" s="9" t="n">
        <f aca="false">G1744/2</f>
        <v>2</v>
      </c>
      <c r="I1744" s="9" t="str">
        <f aca="false">IF(H1744=0,"—",IF(H1744=1,"unison (1:1)",IF(H1744=2,"octave (2:1)",IF(H1744=3,"fifth (3:2)",IF(H1744=4,"fourth (4:3)","?")))))</f>
        <v>octave (2:1)</v>
      </c>
      <c r="J1744" s="9" t="str">
        <f aca="false">IF(H1744=0,"—",IF(H1744=1,"ὁμώνυμον",IF(H1744=2,"διὰ πασῶν",IF(H1744=3,"διὰ πέντε",IF(H1744=4,"διὰ τεσσάρων","?")))))</f>
        <v>διὰ πασῶν</v>
      </c>
      <c r="K1744" s="10"/>
      <c r="L1744" s="14"/>
      <c r="M1744" s="13"/>
    </row>
    <row r="1745" customFormat="false" ht="15.75" hidden="false" customHeight="true" outlineLevel="0" collapsed="false">
      <c r="A1745" s="8" t="n">
        <f aca="false">A1744+1</f>
        <v>1743</v>
      </c>
      <c r="B1745" s="9" t="n">
        <f aca="false">MOD(4*A1745^2,10)</f>
        <v>6</v>
      </c>
      <c r="C1745" s="9" t="n">
        <f aca="false">(26*B1745-5*B1745^2)/24</f>
        <v>-1</v>
      </c>
      <c r="D1745" s="9" t="n">
        <f aca="false">(A1745^2+4*C1745)/5</f>
        <v>607609</v>
      </c>
      <c r="E1745" s="9" t="n">
        <f aca="false">MOD(D1745,10)</f>
        <v>9</v>
      </c>
      <c r="F1745" s="9" t="n">
        <f aca="false">2*D1745</f>
        <v>1215218</v>
      </c>
      <c r="G1745" s="9" t="n">
        <f aca="false">MOD(F1745,10)</f>
        <v>8</v>
      </c>
      <c r="H1745" s="9" t="n">
        <f aca="false">G1745/2</f>
        <v>4</v>
      </c>
      <c r="I1745" s="9" t="str">
        <f aca="false">IF(H1745=0,"—",IF(H1745=1,"unison (1:1)",IF(H1745=2,"octave (2:1)",IF(H1745=3,"fifth (3:2)",IF(H1745=4,"fourth (4:3)","?")))))</f>
        <v>fourth (4:3)</v>
      </c>
      <c r="J1745" s="9" t="str">
        <f aca="false">IF(H1745=0,"—",IF(H1745=1,"ὁμώνυμον",IF(H1745=2,"διὰ πασῶν",IF(H1745=3,"διὰ πέντε",IF(H1745=4,"διὰ τεσσάρων","?")))))</f>
        <v>διὰ τεσσάρων</v>
      </c>
      <c r="K1745" s="10"/>
      <c r="L1745" s="14"/>
      <c r="M1745" s="13"/>
    </row>
    <row r="1746" customFormat="false" ht="15.75" hidden="false" customHeight="true" outlineLevel="0" collapsed="false">
      <c r="A1746" s="8" t="n">
        <f aca="false">A1745+1</f>
        <v>1744</v>
      </c>
      <c r="B1746" s="9" t="n">
        <f aca="false">MOD(4*A1746^2,10)</f>
        <v>4</v>
      </c>
      <c r="C1746" s="9" t="n">
        <f aca="false">(26*B1746-5*B1746^2)/24</f>
        <v>1</v>
      </c>
      <c r="D1746" s="9" t="n">
        <f aca="false">(A1746^2+4*C1746)/5</f>
        <v>608308</v>
      </c>
      <c r="E1746" s="9" t="n">
        <f aca="false">MOD(D1746,10)</f>
        <v>8</v>
      </c>
      <c r="F1746" s="9" t="n">
        <f aca="false">2*D1746</f>
        <v>1216616</v>
      </c>
      <c r="G1746" s="9" t="n">
        <f aca="false">MOD(F1746,10)</f>
        <v>6</v>
      </c>
      <c r="H1746" s="9" t="n">
        <f aca="false">G1746/2</f>
        <v>3</v>
      </c>
      <c r="I1746" s="9" t="str">
        <f aca="false">IF(H1746=0,"—",IF(H1746=1,"unison (1:1)",IF(H1746=2,"octave (2:1)",IF(H1746=3,"fifth (3:2)",IF(H1746=4,"fourth (4:3)","?")))))</f>
        <v>fifth (3:2)</v>
      </c>
      <c r="J1746" s="9" t="str">
        <f aca="false">IF(H1746=0,"—",IF(H1746=1,"ὁμώνυμον",IF(H1746=2,"διὰ πασῶν",IF(H1746=3,"διὰ πέντε",IF(H1746=4,"διὰ τεσσάρων","?")))))</f>
        <v>διὰ πέντε</v>
      </c>
      <c r="K1746" s="10"/>
      <c r="L1746" s="14"/>
      <c r="M1746" s="13"/>
    </row>
    <row r="1747" customFormat="false" ht="15.75" hidden="false" customHeight="true" outlineLevel="0" collapsed="false">
      <c r="A1747" s="8" t="n">
        <f aca="false">A1746+1</f>
        <v>1745</v>
      </c>
      <c r="B1747" s="9" t="n">
        <f aca="false">MOD(4*A1747^2,10)</f>
        <v>0</v>
      </c>
      <c r="C1747" s="9" t="n">
        <f aca="false">(26*B1747-5*B1747^2)/24</f>
        <v>0</v>
      </c>
      <c r="D1747" s="9" t="n">
        <f aca="false">(A1747^2+4*C1747)/5</f>
        <v>609005</v>
      </c>
      <c r="E1747" s="9" t="n">
        <f aca="false">MOD(D1747,10)</f>
        <v>5</v>
      </c>
      <c r="F1747" s="9" t="n">
        <f aca="false">2*D1747</f>
        <v>1218010</v>
      </c>
      <c r="G1747" s="9" t="n">
        <f aca="false">MOD(F1747,10)</f>
        <v>0</v>
      </c>
      <c r="H1747" s="9" t="n">
        <f aca="false">G1747/2</f>
        <v>0</v>
      </c>
      <c r="I1747" s="9" t="str">
        <f aca="false">IF(H1747=0,"—",IF(H1747=1,"unison (1:1)",IF(H1747=2,"octave (2:1)",IF(H1747=3,"fifth (3:2)",IF(H1747=4,"fourth (4:3)","?")))))</f>
        <v>—</v>
      </c>
      <c r="J1747" s="9" t="str">
        <f aca="false">IF(H1747=0,"—",IF(H1747=1,"ὁμώνυμον",IF(H1747=2,"διὰ πασῶν",IF(H1747=3,"διὰ πέντε",IF(H1747=4,"διὰ τεσσάρων","?")))))</f>
        <v>—</v>
      </c>
      <c r="K1747" s="10"/>
      <c r="L1747" s="14"/>
      <c r="M1747" s="13"/>
    </row>
    <row r="1748" customFormat="false" ht="15.75" hidden="false" customHeight="true" outlineLevel="0" collapsed="false">
      <c r="A1748" s="8" t="n">
        <f aca="false">A1747+1</f>
        <v>1746</v>
      </c>
      <c r="B1748" s="9" t="n">
        <f aca="false">MOD(4*A1748^2,10)</f>
        <v>4</v>
      </c>
      <c r="C1748" s="9" t="n">
        <f aca="false">(26*B1748-5*B1748^2)/24</f>
        <v>1</v>
      </c>
      <c r="D1748" s="9" t="n">
        <f aca="false">(A1748^2+4*C1748)/5</f>
        <v>609704</v>
      </c>
      <c r="E1748" s="9" t="n">
        <f aca="false">MOD(D1748,10)</f>
        <v>4</v>
      </c>
      <c r="F1748" s="9" t="n">
        <f aca="false">2*D1748</f>
        <v>1219408</v>
      </c>
      <c r="G1748" s="9" t="n">
        <f aca="false">MOD(F1748,10)</f>
        <v>8</v>
      </c>
      <c r="H1748" s="9" t="n">
        <f aca="false">G1748/2</f>
        <v>4</v>
      </c>
      <c r="I1748" s="9" t="str">
        <f aca="false">IF(H1748=0,"—",IF(H1748=1,"unison (1:1)",IF(H1748=2,"octave (2:1)",IF(H1748=3,"fifth (3:2)",IF(H1748=4,"fourth (4:3)","?")))))</f>
        <v>fourth (4:3)</v>
      </c>
      <c r="J1748" s="9" t="str">
        <f aca="false">IF(H1748=0,"—",IF(H1748=1,"ὁμώνυμον",IF(H1748=2,"διὰ πασῶν",IF(H1748=3,"διὰ πέντε",IF(H1748=4,"διὰ τεσσάρων","?")))))</f>
        <v>διὰ τεσσάρων</v>
      </c>
      <c r="K1748" s="10"/>
      <c r="L1748" s="14"/>
      <c r="M1748" s="13"/>
    </row>
    <row r="1749" customFormat="false" ht="15.75" hidden="false" customHeight="true" outlineLevel="0" collapsed="false">
      <c r="A1749" s="8" t="n">
        <f aca="false">A1748+1</f>
        <v>1747</v>
      </c>
      <c r="B1749" s="9" t="n">
        <f aca="false">MOD(4*A1749^2,10)</f>
        <v>6</v>
      </c>
      <c r="C1749" s="9" t="n">
        <f aca="false">(26*B1749-5*B1749^2)/24</f>
        <v>-1</v>
      </c>
      <c r="D1749" s="9" t="n">
        <f aca="false">(A1749^2+4*C1749)/5</f>
        <v>610401</v>
      </c>
      <c r="E1749" s="9" t="n">
        <f aca="false">MOD(D1749,10)</f>
        <v>1</v>
      </c>
      <c r="F1749" s="9" t="n">
        <f aca="false">2*D1749</f>
        <v>1220802</v>
      </c>
      <c r="G1749" s="9" t="n">
        <f aca="false">MOD(F1749,10)</f>
        <v>2</v>
      </c>
      <c r="H1749" s="9" t="n">
        <f aca="false">G1749/2</f>
        <v>1</v>
      </c>
      <c r="I1749" s="9" t="str">
        <f aca="false">IF(H1749=0,"—",IF(H1749=1,"unison (1:1)",IF(H1749=2,"octave (2:1)",IF(H1749=3,"fifth (3:2)",IF(H1749=4,"fourth (4:3)","?")))))</f>
        <v>unison (1:1)</v>
      </c>
      <c r="J1749" s="9" t="str">
        <f aca="false">IF(H1749=0,"—",IF(H1749=1,"ὁμώνυμον",IF(H1749=2,"διὰ πασῶν",IF(H1749=3,"διὰ πέντε",IF(H1749=4,"διὰ τεσσάρων","?")))))</f>
        <v>ὁμώνυμον</v>
      </c>
      <c r="K1749" s="10"/>
      <c r="L1749" s="14"/>
      <c r="M1749" s="13"/>
    </row>
    <row r="1750" customFormat="false" ht="15.75" hidden="false" customHeight="true" outlineLevel="0" collapsed="false">
      <c r="A1750" s="8" t="n">
        <f aca="false">A1749+1</f>
        <v>1748</v>
      </c>
      <c r="B1750" s="9" t="n">
        <f aca="false">MOD(4*A1750^2,10)</f>
        <v>6</v>
      </c>
      <c r="C1750" s="9" t="n">
        <f aca="false">(26*B1750-5*B1750^2)/24</f>
        <v>-1</v>
      </c>
      <c r="D1750" s="9" t="n">
        <f aca="false">(A1750^2+4*C1750)/5</f>
        <v>611100</v>
      </c>
      <c r="E1750" s="9" t="n">
        <f aca="false">MOD(D1750,10)</f>
        <v>0</v>
      </c>
      <c r="F1750" s="9" t="n">
        <f aca="false">2*D1750</f>
        <v>1222200</v>
      </c>
      <c r="G1750" s="9" t="n">
        <f aca="false">MOD(F1750,10)</f>
        <v>0</v>
      </c>
      <c r="H1750" s="9" t="n">
        <f aca="false">G1750/2</f>
        <v>0</v>
      </c>
      <c r="I1750" s="9" t="str">
        <f aca="false">IF(H1750=0,"—",IF(H1750=1,"unison (1:1)",IF(H1750=2,"octave (2:1)",IF(H1750=3,"fifth (3:2)",IF(H1750=4,"fourth (4:3)","?")))))</f>
        <v>—</v>
      </c>
      <c r="J1750" s="9" t="str">
        <f aca="false">IF(H1750=0,"—",IF(H1750=1,"ὁμώνυμον",IF(H1750=2,"διὰ πασῶν",IF(H1750=3,"διὰ πέντε",IF(H1750=4,"διὰ τεσσάρων","?")))))</f>
        <v>—</v>
      </c>
      <c r="K1750" s="10"/>
      <c r="L1750" s="14"/>
      <c r="M1750" s="13"/>
    </row>
    <row r="1751" customFormat="false" ht="15.75" hidden="false" customHeight="true" outlineLevel="0" collapsed="false">
      <c r="A1751" s="8" t="n">
        <f aca="false">A1750+1</f>
        <v>1749</v>
      </c>
      <c r="B1751" s="9" t="n">
        <f aca="false">MOD(4*A1751^2,10)</f>
        <v>4</v>
      </c>
      <c r="C1751" s="9" t="n">
        <f aca="false">(26*B1751-5*B1751^2)/24</f>
        <v>1</v>
      </c>
      <c r="D1751" s="9" t="n">
        <f aca="false">(A1751^2+4*C1751)/5</f>
        <v>611801</v>
      </c>
      <c r="E1751" s="9" t="n">
        <f aca="false">MOD(D1751,10)</f>
        <v>1</v>
      </c>
      <c r="F1751" s="9" t="n">
        <f aca="false">2*D1751</f>
        <v>1223602</v>
      </c>
      <c r="G1751" s="9" t="n">
        <f aca="false">MOD(F1751,10)</f>
        <v>2</v>
      </c>
      <c r="H1751" s="9" t="n">
        <f aca="false">G1751/2</f>
        <v>1</v>
      </c>
      <c r="I1751" s="9" t="str">
        <f aca="false">IF(H1751=0,"—",IF(H1751=1,"unison (1:1)",IF(H1751=2,"octave (2:1)",IF(H1751=3,"fifth (3:2)",IF(H1751=4,"fourth (4:3)","?")))))</f>
        <v>unison (1:1)</v>
      </c>
      <c r="J1751" s="9" t="str">
        <f aca="false">IF(H1751=0,"—",IF(H1751=1,"ὁμώνυμον",IF(H1751=2,"διὰ πασῶν",IF(H1751=3,"διὰ πέντε",IF(H1751=4,"διὰ τεσσάρων","?")))))</f>
        <v>ὁμώνυμον</v>
      </c>
      <c r="K1751" s="10"/>
      <c r="L1751" s="14"/>
      <c r="M1751" s="13"/>
    </row>
    <row r="1752" customFormat="false" ht="15.75" hidden="false" customHeight="true" outlineLevel="0" collapsed="false">
      <c r="A1752" s="8" t="n">
        <f aca="false">A1751+1</f>
        <v>1750</v>
      </c>
      <c r="B1752" s="9" t="n">
        <f aca="false">MOD(4*A1752^2,10)</f>
        <v>0</v>
      </c>
      <c r="C1752" s="9" t="n">
        <f aca="false">(26*B1752-5*B1752^2)/24</f>
        <v>0</v>
      </c>
      <c r="D1752" s="9" t="n">
        <f aca="false">(A1752^2+4*C1752)/5</f>
        <v>612500</v>
      </c>
      <c r="E1752" s="9" t="n">
        <f aca="false">MOD(D1752,10)</f>
        <v>0</v>
      </c>
      <c r="F1752" s="9" t="n">
        <f aca="false">2*D1752</f>
        <v>1225000</v>
      </c>
      <c r="G1752" s="9" t="n">
        <f aca="false">MOD(F1752,10)</f>
        <v>0</v>
      </c>
      <c r="H1752" s="9" t="n">
        <f aca="false">G1752/2</f>
        <v>0</v>
      </c>
      <c r="I1752" s="9" t="str">
        <f aca="false">IF(H1752=0,"—",IF(H1752=1,"unison (1:1)",IF(H1752=2,"octave (2:1)",IF(H1752=3,"fifth (3:2)",IF(H1752=4,"fourth (4:3)","?")))))</f>
        <v>—</v>
      </c>
      <c r="J1752" s="9" t="str">
        <f aca="false">IF(H1752=0,"—",IF(H1752=1,"ὁμώνυμον",IF(H1752=2,"διὰ πασῶν",IF(H1752=3,"διὰ πέντε",IF(H1752=4,"διὰ τεσσάρων","?")))))</f>
        <v>—</v>
      </c>
      <c r="K1752" s="10"/>
      <c r="L1752" s="14"/>
      <c r="M1752" s="13"/>
    </row>
    <row r="1753" customFormat="false" ht="15.75" hidden="false" customHeight="true" outlineLevel="0" collapsed="false">
      <c r="A1753" s="8" t="n">
        <f aca="false">A1752+1</f>
        <v>1751</v>
      </c>
      <c r="B1753" s="9" t="n">
        <f aca="false">MOD(4*A1753^2,10)</f>
        <v>4</v>
      </c>
      <c r="C1753" s="9" t="n">
        <f aca="false">(26*B1753-5*B1753^2)/24</f>
        <v>1</v>
      </c>
      <c r="D1753" s="9" t="n">
        <f aca="false">(A1753^2+4*C1753)/5</f>
        <v>613201</v>
      </c>
      <c r="E1753" s="9" t="n">
        <f aca="false">MOD(D1753,10)</f>
        <v>1</v>
      </c>
      <c r="F1753" s="9" t="n">
        <f aca="false">2*D1753</f>
        <v>1226402</v>
      </c>
      <c r="G1753" s="9" t="n">
        <f aca="false">MOD(F1753,10)</f>
        <v>2</v>
      </c>
      <c r="H1753" s="9" t="n">
        <f aca="false">G1753/2</f>
        <v>1</v>
      </c>
      <c r="I1753" s="9" t="str">
        <f aca="false">IF(H1753=0,"—",IF(H1753=1,"unison (1:1)",IF(H1753=2,"octave (2:1)",IF(H1753=3,"fifth (3:2)",IF(H1753=4,"fourth (4:3)","?")))))</f>
        <v>unison (1:1)</v>
      </c>
      <c r="J1753" s="9" t="str">
        <f aca="false">IF(H1753=0,"—",IF(H1753=1,"ὁμώνυμον",IF(H1753=2,"διὰ πασῶν",IF(H1753=3,"διὰ πέντε",IF(H1753=4,"διὰ τεσσάρων","?")))))</f>
        <v>ὁμώνυμον</v>
      </c>
      <c r="K1753" s="10"/>
      <c r="L1753" s="14"/>
      <c r="M1753" s="13"/>
    </row>
    <row r="1754" customFormat="false" ht="15.75" hidden="false" customHeight="true" outlineLevel="0" collapsed="false">
      <c r="A1754" s="8" t="n">
        <f aca="false">A1753+1</f>
        <v>1752</v>
      </c>
      <c r="B1754" s="9" t="n">
        <f aca="false">MOD(4*A1754^2,10)</f>
        <v>6</v>
      </c>
      <c r="C1754" s="9" t="n">
        <f aca="false">(26*B1754-5*B1754^2)/24</f>
        <v>-1</v>
      </c>
      <c r="D1754" s="9" t="n">
        <f aca="false">(A1754^2+4*C1754)/5</f>
        <v>613900</v>
      </c>
      <c r="E1754" s="9" t="n">
        <f aca="false">MOD(D1754,10)</f>
        <v>0</v>
      </c>
      <c r="F1754" s="9" t="n">
        <f aca="false">2*D1754</f>
        <v>1227800</v>
      </c>
      <c r="G1754" s="9" t="n">
        <f aca="false">MOD(F1754,10)</f>
        <v>0</v>
      </c>
      <c r="H1754" s="9" t="n">
        <f aca="false">G1754/2</f>
        <v>0</v>
      </c>
      <c r="I1754" s="9" t="str">
        <f aca="false">IF(H1754=0,"—",IF(H1754=1,"unison (1:1)",IF(H1754=2,"octave (2:1)",IF(H1754=3,"fifth (3:2)",IF(H1754=4,"fourth (4:3)","?")))))</f>
        <v>—</v>
      </c>
      <c r="J1754" s="9" t="str">
        <f aca="false">IF(H1754=0,"—",IF(H1754=1,"ὁμώνυμον",IF(H1754=2,"διὰ πασῶν",IF(H1754=3,"διὰ πέντε",IF(H1754=4,"διὰ τεσσάρων","?")))))</f>
        <v>—</v>
      </c>
      <c r="K1754" s="10"/>
      <c r="L1754" s="14"/>
      <c r="M1754" s="13"/>
    </row>
    <row r="1755" customFormat="false" ht="15.75" hidden="false" customHeight="true" outlineLevel="0" collapsed="false">
      <c r="A1755" s="8" t="n">
        <f aca="false">A1754+1</f>
        <v>1753</v>
      </c>
      <c r="B1755" s="9" t="n">
        <f aca="false">MOD(4*A1755^2,10)</f>
        <v>6</v>
      </c>
      <c r="C1755" s="9" t="n">
        <f aca="false">(26*B1755-5*B1755^2)/24</f>
        <v>-1</v>
      </c>
      <c r="D1755" s="9" t="n">
        <f aca="false">(A1755^2+4*C1755)/5</f>
        <v>614601</v>
      </c>
      <c r="E1755" s="9" t="n">
        <f aca="false">MOD(D1755,10)</f>
        <v>1</v>
      </c>
      <c r="F1755" s="9" t="n">
        <f aca="false">2*D1755</f>
        <v>1229202</v>
      </c>
      <c r="G1755" s="9" t="n">
        <f aca="false">MOD(F1755,10)</f>
        <v>2</v>
      </c>
      <c r="H1755" s="9" t="n">
        <f aca="false">G1755/2</f>
        <v>1</v>
      </c>
      <c r="I1755" s="9" t="str">
        <f aca="false">IF(H1755=0,"—",IF(H1755=1,"unison (1:1)",IF(H1755=2,"octave (2:1)",IF(H1755=3,"fifth (3:2)",IF(H1755=4,"fourth (4:3)","?")))))</f>
        <v>unison (1:1)</v>
      </c>
      <c r="J1755" s="9" t="str">
        <f aca="false">IF(H1755=0,"—",IF(H1755=1,"ὁμώνυμον",IF(H1755=2,"διὰ πασῶν",IF(H1755=3,"διὰ πέντε",IF(H1755=4,"διὰ τεσσάρων","?")))))</f>
        <v>ὁμώνυμον</v>
      </c>
      <c r="K1755" s="10"/>
      <c r="L1755" s="14"/>
      <c r="M1755" s="13"/>
    </row>
    <row r="1756" customFormat="false" ht="15.75" hidden="false" customHeight="true" outlineLevel="0" collapsed="false">
      <c r="A1756" s="8" t="n">
        <f aca="false">A1755+1</f>
        <v>1754</v>
      </c>
      <c r="B1756" s="9" t="n">
        <f aca="false">MOD(4*A1756^2,10)</f>
        <v>4</v>
      </c>
      <c r="C1756" s="9" t="n">
        <f aca="false">(26*B1756-5*B1756^2)/24</f>
        <v>1</v>
      </c>
      <c r="D1756" s="9" t="n">
        <f aca="false">(A1756^2+4*C1756)/5</f>
        <v>615304</v>
      </c>
      <c r="E1756" s="9" t="n">
        <f aca="false">MOD(D1756,10)</f>
        <v>4</v>
      </c>
      <c r="F1756" s="9" t="n">
        <f aca="false">2*D1756</f>
        <v>1230608</v>
      </c>
      <c r="G1756" s="9" t="n">
        <f aca="false">MOD(F1756,10)</f>
        <v>8</v>
      </c>
      <c r="H1756" s="9" t="n">
        <f aca="false">G1756/2</f>
        <v>4</v>
      </c>
      <c r="I1756" s="9" t="str">
        <f aca="false">IF(H1756=0,"—",IF(H1756=1,"unison (1:1)",IF(H1756=2,"octave (2:1)",IF(H1756=3,"fifth (3:2)",IF(H1756=4,"fourth (4:3)","?")))))</f>
        <v>fourth (4:3)</v>
      </c>
      <c r="J1756" s="9" t="str">
        <f aca="false">IF(H1756=0,"—",IF(H1756=1,"ὁμώνυμον",IF(H1756=2,"διὰ πασῶν",IF(H1756=3,"διὰ πέντε",IF(H1756=4,"διὰ τεσσάρων","?")))))</f>
        <v>διὰ τεσσάρων</v>
      </c>
      <c r="K1756" s="10"/>
      <c r="L1756" s="14"/>
      <c r="M1756" s="13"/>
    </row>
    <row r="1757" customFormat="false" ht="15.75" hidden="false" customHeight="true" outlineLevel="0" collapsed="false">
      <c r="A1757" s="8" t="n">
        <f aca="false">A1756+1</f>
        <v>1755</v>
      </c>
      <c r="B1757" s="9" t="n">
        <f aca="false">MOD(4*A1757^2,10)</f>
        <v>0</v>
      </c>
      <c r="C1757" s="9" t="n">
        <f aca="false">(26*B1757-5*B1757^2)/24</f>
        <v>0</v>
      </c>
      <c r="D1757" s="9" t="n">
        <f aca="false">(A1757^2+4*C1757)/5</f>
        <v>616005</v>
      </c>
      <c r="E1757" s="9" t="n">
        <f aca="false">MOD(D1757,10)</f>
        <v>5</v>
      </c>
      <c r="F1757" s="9" t="n">
        <f aca="false">2*D1757</f>
        <v>1232010</v>
      </c>
      <c r="G1757" s="9" t="n">
        <f aca="false">MOD(F1757,10)</f>
        <v>0</v>
      </c>
      <c r="H1757" s="9" t="n">
        <f aca="false">G1757/2</f>
        <v>0</v>
      </c>
      <c r="I1757" s="9" t="str">
        <f aca="false">IF(H1757=0,"—",IF(H1757=1,"unison (1:1)",IF(H1757=2,"octave (2:1)",IF(H1757=3,"fifth (3:2)",IF(H1757=4,"fourth (4:3)","?")))))</f>
        <v>—</v>
      </c>
      <c r="J1757" s="9" t="str">
        <f aca="false">IF(H1757=0,"—",IF(H1757=1,"ὁμώνυμον",IF(H1757=2,"διὰ πασῶν",IF(H1757=3,"διὰ πέντε",IF(H1757=4,"διὰ τεσσάρων","?")))))</f>
        <v>—</v>
      </c>
      <c r="K1757" s="10"/>
      <c r="L1757" s="14"/>
      <c r="M1757" s="13"/>
    </row>
    <row r="1758" customFormat="false" ht="15.75" hidden="false" customHeight="true" outlineLevel="0" collapsed="false">
      <c r="A1758" s="8" t="n">
        <f aca="false">A1757+1</f>
        <v>1756</v>
      </c>
      <c r="B1758" s="9" t="n">
        <f aca="false">MOD(4*A1758^2,10)</f>
        <v>4</v>
      </c>
      <c r="C1758" s="9" t="n">
        <f aca="false">(26*B1758-5*B1758^2)/24</f>
        <v>1</v>
      </c>
      <c r="D1758" s="9" t="n">
        <f aca="false">(A1758^2+4*C1758)/5</f>
        <v>616708</v>
      </c>
      <c r="E1758" s="9" t="n">
        <f aca="false">MOD(D1758,10)</f>
        <v>8</v>
      </c>
      <c r="F1758" s="9" t="n">
        <f aca="false">2*D1758</f>
        <v>1233416</v>
      </c>
      <c r="G1758" s="9" t="n">
        <f aca="false">MOD(F1758,10)</f>
        <v>6</v>
      </c>
      <c r="H1758" s="9" t="n">
        <f aca="false">G1758/2</f>
        <v>3</v>
      </c>
      <c r="I1758" s="9" t="str">
        <f aca="false">IF(H1758=0,"—",IF(H1758=1,"unison (1:1)",IF(H1758=2,"octave (2:1)",IF(H1758=3,"fifth (3:2)",IF(H1758=4,"fourth (4:3)","?")))))</f>
        <v>fifth (3:2)</v>
      </c>
      <c r="J1758" s="9" t="str">
        <f aca="false">IF(H1758=0,"—",IF(H1758=1,"ὁμώνυμον",IF(H1758=2,"διὰ πασῶν",IF(H1758=3,"διὰ πέντε",IF(H1758=4,"διὰ τεσσάρων","?")))))</f>
        <v>διὰ πέντε</v>
      </c>
      <c r="K1758" s="10"/>
      <c r="L1758" s="14"/>
      <c r="M1758" s="13"/>
    </row>
    <row r="1759" customFormat="false" ht="15.75" hidden="false" customHeight="true" outlineLevel="0" collapsed="false">
      <c r="A1759" s="8" t="n">
        <f aca="false">A1758+1</f>
        <v>1757</v>
      </c>
      <c r="B1759" s="9" t="n">
        <f aca="false">MOD(4*A1759^2,10)</f>
        <v>6</v>
      </c>
      <c r="C1759" s="9" t="n">
        <f aca="false">(26*B1759-5*B1759^2)/24</f>
        <v>-1</v>
      </c>
      <c r="D1759" s="9" t="n">
        <f aca="false">(A1759^2+4*C1759)/5</f>
        <v>617409</v>
      </c>
      <c r="E1759" s="9" t="n">
        <f aca="false">MOD(D1759,10)</f>
        <v>9</v>
      </c>
      <c r="F1759" s="9" t="n">
        <f aca="false">2*D1759</f>
        <v>1234818</v>
      </c>
      <c r="G1759" s="9" t="n">
        <f aca="false">MOD(F1759,10)</f>
        <v>8</v>
      </c>
      <c r="H1759" s="9" t="n">
        <f aca="false">G1759/2</f>
        <v>4</v>
      </c>
      <c r="I1759" s="9" t="str">
        <f aca="false">IF(H1759=0,"—",IF(H1759=1,"unison (1:1)",IF(H1759=2,"octave (2:1)",IF(H1759=3,"fifth (3:2)",IF(H1759=4,"fourth (4:3)","?")))))</f>
        <v>fourth (4:3)</v>
      </c>
      <c r="J1759" s="9" t="str">
        <f aca="false">IF(H1759=0,"—",IF(H1759=1,"ὁμώνυμον",IF(H1759=2,"διὰ πασῶν",IF(H1759=3,"διὰ πέντε",IF(H1759=4,"διὰ τεσσάρων","?")))))</f>
        <v>διὰ τεσσάρων</v>
      </c>
      <c r="K1759" s="10"/>
      <c r="L1759" s="14"/>
      <c r="M1759" s="13"/>
    </row>
    <row r="1760" customFormat="false" ht="15.75" hidden="false" customHeight="true" outlineLevel="0" collapsed="false">
      <c r="A1760" s="8" t="n">
        <f aca="false">A1759+1</f>
        <v>1758</v>
      </c>
      <c r="B1760" s="9" t="n">
        <f aca="false">MOD(4*A1760^2,10)</f>
        <v>6</v>
      </c>
      <c r="C1760" s="9" t="n">
        <f aca="false">(26*B1760-5*B1760^2)/24</f>
        <v>-1</v>
      </c>
      <c r="D1760" s="9" t="n">
        <f aca="false">(A1760^2+4*C1760)/5</f>
        <v>618112</v>
      </c>
      <c r="E1760" s="9" t="n">
        <f aca="false">MOD(D1760,10)</f>
        <v>2</v>
      </c>
      <c r="F1760" s="9" t="n">
        <f aca="false">2*D1760</f>
        <v>1236224</v>
      </c>
      <c r="G1760" s="9" t="n">
        <f aca="false">MOD(F1760,10)</f>
        <v>4</v>
      </c>
      <c r="H1760" s="9" t="n">
        <f aca="false">G1760/2</f>
        <v>2</v>
      </c>
      <c r="I1760" s="9" t="str">
        <f aca="false">IF(H1760=0,"—",IF(H1760=1,"unison (1:1)",IF(H1760=2,"octave (2:1)",IF(H1760=3,"fifth (3:2)",IF(H1760=4,"fourth (4:3)","?")))))</f>
        <v>octave (2:1)</v>
      </c>
      <c r="J1760" s="9" t="str">
        <f aca="false">IF(H1760=0,"—",IF(H1760=1,"ὁμώνυμον",IF(H1760=2,"διὰ πασῶν",IF(H1760=3,"διὰ πέντε",IF(H1760=4,"διὰ τεσσάρων","?")))))</f>
        <v>διὰ πασῶν</v>
      </c>
      <c r="K1760" s="10"/>
      <c r="L1760" s="14"/>
      <c r="M1760" s="13"/>
    </row>
    <row r="1761" customFormat="false" ht="15.75" hidden="false" customHeight="true" outlineLevel="0" collapsed="false">
      <c r="A1761" s="8" t="n">
        <f aca="false">A1760+1</f>
        <v>1759</v>
      </c>
      <c r="B1761" s="9" t="n">
        <f aca="false">MOD(4*A1761^2,10)</f>
        <v>4</v>
      </c>
      <c r="C1761" s="9" t="n">
        <f aca="false">(26*B1761-5*B1761^2)/24</f>
        <v>1</v>
      </c>
      <c r="D1761" s="9" t="n">
        <f aca="false">(A1761^2+4*C1761)/5</f>
        <v>618817</v>
      </c>
      <c r="E1761" s="9" t="n">
        <f aca="false">MOD(D1761,10)</f>
        <v>7</v>
      </c>
      <c r="F1761" s="9" t="n">
        <f aca="false">2*D1761</f>
        <v>1237634</v>
      </c>
      <c r="G1761" s="9" t="n">
        <f aca="false">MOD(F1761,10)</f>
        <v>4</v>
      </c>
      <c r="H1761" s="9" t="n">
        <f aca="false">G1761/2</f>
        <v>2</v>
      </c>
      <c r="I1761" s="9" t="str">
        <f aca="false">IF(H1761=0,"—",IF(H1761=1,"unison (1:1)",IF(H1761=2,"octave (2:1)",IF(H1761=3,"fifth (3:2)",IF(H1761=4,"fourth (4:3)","?")))))</f>
        <v>octave (2:1)</v>
      </c>
      <c r="J1761" s="9" t="str">
        <f aca="false">IF(H1761=0,"—",IF(H1761=1,"ὁμώνυμον",IF(H1761=2,"διὰ πασῶν",IF(H1761=3,"διὰ πέντε",IF(H1761=4,"διὰ τεσσάρων","?")))))</f>
        <v>διὰ πασῶν</v>
      </c>
      <c r="K1761" s="10"/>
      <c r="L1761" s="14"/>
      <c r="M1761" s="13"/>
    </row>
    <row r="1762" customFormat="false" ht="15.75" hidden="false" customHeight="true" outlineLevel="0" collapsed="false">
      <c r="A1762" s="8" t="n">
        <f aca="false">A1761+1</f>
        <v>1760</v>
      </c>
      <c r="B1762" s="9" t="n">
        <f aca="false">MOD(4*A1762^2,10)</f>
        <v>0</v>
      </c>
      <c r="C1762" s="9" t="n">
        <f aca="false">(26*B1762-5*B1762^2)/24</f>
        <v>0</v>
      </c>
      <c r="D1762" s="9" t="n">
        <f aca="false">(A1762^2+4*C1762)/5</f>
        <v>619520</v>
      </c>
      <c r="E1762" s="9" t="n">
        <f aca="false">MOD(D1762,10)</f>
        <v>0</v>
      </c>
      <c r="F1762" s="9" t="n">
        <f aca="false">2*D1762</f>
        <v>1239040</v>
      </c>
      <c r="G1762" s="9" t="n">
        <f aca="false">MOD(F1762,10)</f>
        <v>0</v>
      </c>
      <c r="H1762" s="9" t="n">
        <f aca="false">G1762/2</f>
        <v>0</v>
      </c>
      <c r="I1762" s="9" t="str">
        <f aca="false">IF(H1762=0,"—",IF(H1762=1,"unison (1:1)",IF(H1762=2,"octave (2:1)",IF(H1762=3,"fifth (3:2)",IF(H1762=4,"fourth (4:3)","?")))))</f>
        <v>—</v>
      </c>
      <c r="J1762" s="9" t="str">
        <f aca="false">IF(H1762=0,"—",IF(H1762=1,"ὁμώνυμον",IF(H1762=2,"διὰ πασῶν",IF(H1762=3,"διὰ πέντε",IF(H1762=4,"διὰ τεσσάρων","?")))))</f>
        <v>—</v>
      </c>
      <c r="K1762" s="10"/>
      <c r="L1762" s="14"/>
      <c r="M1762" s="13"/>
    </row>
    <row r="1763" customFormat="false" ht="15.75" hidden="false" customHeight="true" outlineLevel="0" collapsed="false">
      <c r="A1763" s="8" t="n">
        <f aca="false">A1762+1</f>
        <v>1761</v>
      </c>
      <c r="B1763" s="9" t="n">
        <f aca="false">MOD(4*A1763^2,10)</f>
        <v>4</v>
      </c>
      <c r="C1763" s="9" t="n">
        <f aca="false">(26*B1763-5*B1763^2)/24</f>
        <v>1</v>
      </c>
      <c r="D1763" s="9" t="n">
        <f aca="false">(A1763^2+4*C1763)/5</f>
        <v>620225</v>
      </c>
      <c r="E1763" s="9" t="n">
        <f aca="false">MOD(D1763,10)</f>
        <v>5</v>
      </c>
      <c r="F1763" s="9" t="n">
        <f aca="false">2*D1763</f>
        <v>1240450</v>
      </c>
      <c r="G1763" s="9" t="n">
        <f aca="false">MOD(F1763,10)</f>
        <v>0</v>
      </c>
      <c r="H1763" s="9" t="n">
        <f aca="false">G1763/2</f>
        <v>0</v>
      </c>
      <c r="I1763" s="9" t="str">
        <f aca="false">IF(H1763=0,"—",IF(H1763=1,"unison (1:1)",IF(H1763=2,"octave (2:1)",IF(H1763=3,"fifth (3:2)",IF(H1763=4,"fourth (4:3)","?")))))</f>
        <v>—</v>
      </c>
      <c r="J1763" s="9" t="str">
        <f aca="false">IF(H1763=0,"—",IF(H1763=1,"ὁμώνυμον",IF(H1763=2,"διὰ πασῶν",IF(H1763=3,"διὰ πέντε",IF(H1763=4,"διὰ τεσσάρων","?")))))</f>
        <v>—</v>
      </c>
      <c r="K1763" s="10"/>
      <c r="L1763" s="14"/>
      <c r="M1763" s="13"/>
    </row>
    <row r="1764" customFormat="false" ht="15.75" hidden="false" customHeight="true" outlineLevel="0" collapsed="false">
      <c r="A1764" s="8" t="n">
        <f aca="false">A1763+1</f>
        <v>1762</v>
      </c>
      <c r="B1764" s="9" t="n">
        <f aca="false">MOD(4*A1764^2,10)</f>
        <v>6</v>
      </c>
      <c r="C1764" s="9" t="n">
        <f aca="false">(26*B1764-5*B1764^2)/24</f>
        <v>-1</v>
      </c>
      <c r="D1764" s="9" t="n">
        <f aca="false">(A1764^2+4*C1764)/5</f>
        <v>620928</v>
      </c>
      <c r="E1764" s="9" t="n">
        <f aca="false">MOD(D1764,10)</f>
        <v>8</v>
      </c>
      <c r="F1764" s="9" t="n">
        <f aca="false">2*D1764</f>
        <v>1241856</v>
      </c>
      <c r="G1764" s="9" t="n">
        <f aca="false">MOD(F1764,10)</f>
        <v>6</v>
      </c>
      <c r="H1764" s="9" t="n">
        <f aca="false">G1764/2</f>
        <v>3</v>
      </c>
      <c r="I1764" s="9" t="str">
        <f aca="false">IF(H1764=0,"—",IF(H1764=1,"unison (1:1)",IF(H1764=2,"octave (2:1)",IF(H1764=3,"fifth (3:2)",IF(H1764=4,"fourth (4:3)","?")))))</f>
        <v>fifth (3:2)</v>
      </c>
      <c r="J1764" s="9" t="str">
        <f aca="false">IF(H1764=0,"—",IF(H1764=1,"ὁμώνυμον",IF(H1764=2,"διὰ πασῶν",IF(H1764=3,"διὰ πέντε",IF(H1764=4,"διὰ τεσσάρων","?")))))</f>
        <v>διὰ πέντε</v>
      </c>
      <c r="K1764" s="10"/>
      <c r="L1764" s="14"/>
      <c r="M1764" s="13"/>
    </row>
    <row r="1765" customFormat="false" ht="15.75" hidden="false" customHeight="true" outlineLevel="0" collapsed="false">
      <c r="A1765" s="8" t="n">
        <f aca="false">A1764+1</f>
        <v>1763</v>
      </c>
      <c r="B1765" s="9" t="n">
        <f aca="false">MOD(4*A1765^2,10)</f>
        <v>6</v>
      </c>
      <c r="C1765" s="9" t="n">
        <f aca="false">(26*B1765-5*B1765^2)/24</f>
        <v>-1</v>
      </c>
      <c r="D1765" s="9" t="n">
        <f aca="false">(A1765^2+4*C1765)/5</f>
        <v>621633</v>
      </c>
      <c r="E1765" s="9" t="n">
        <f aca="false">MOD(D1765,10)</f>
        <v>3</v>
      </c>
      <c r="F1765" s="9" t="n">
        <f aca="false">2*D1765</f>
        <v>1243266</v>
      </c>
      <c r="G1765" s="9" t="n">
        <f aca="false">MOD(F1765,10)</f>
        <v>6</v>
      </c>
      <c r="H1765" s="9" t="n">
        <f aca="false">G1765/2</f>
        <v>3</v>
      </c>
      <c r="I1765" s="9" t="str">
        <f aca="false">IF(H1765=0,"—",IF(H1765=1,"unison (1:1)",IF(H1765=2,"octave (2:1)",IF(H1765=3,"fifth (3:2)",IF(H1765=4,"fourth (4:3)","?")))))</f>
        <v>fifth (3:2)</v>
      </c>
      <c r="J1765" s="9" t="str">
        <f aca="false">IF(H1765=0,"—",IF(H1765=1,"ὁμώνυμον",IF(H1765=2,"διὰ πασῶν",IF(H1765=3,"διὰ πέντε",IF(H1765=4,"διὰ τεσσάρων","?")))))</f>
        <v>διὰ πέντε</v>
      </c>
      <c r="K1765" s="10"/>
      <c r="L1765" s="14"/>
      <c r="M1765" s="13"/>
    </row>
    <row r="1766" customFormat="false" ht="15.75" hidden="false" customHeight="true" outlineLevel="0" collapsed="false">
      <c r="A1766" s="8" t="n">
        <f aca="false">A1765+1</f>
        <v>1764</v>
      </c>
      <c r="B1766" s="9" t="n">
        <f aca="false">MOD(4*A1766^2,10)</f>
        <v>4</v>
      </c>
      <c r="C1766" s="9" t="n">
        <f aca="false">(26*B1766-5*B1766^2)/24</f>
        <v>1</v>
      </c>
      <c r="D1766" s="9" t="n">
        <f aca="false">(A1766^2+4*C1766)/5</f>
        <v>622340</v>
      </c>
      <c r="E1766" s="9" t="n">
        <f aca="false">MOD(D1766,10)</f>
        <v>0</v>
      </c>
      <c r="F1766" s="9" t="n">
        <f aca="false">2*D1766</f>
        <v>1244680</v>
      </c>
      <c r="G1766" s="9" t="n">
        <f aca="false">MOD(F1766,10)</f>
        <v>0</v>
      </c>
      <c r="H1766" s="9" t="n">
        <f aca="false">G1766/2</f>
        <v>0</v>
      </c>
      <c r="I1766" s="9" t="str">
        <f aca="false">IF(H1766=0,"—",IF(H1766=1,"unison (1:1)",IF(H1766=2,"octave (2:1)",IF(H1766=3,"fifth (3:2)",IF(H1766=4,"fourth (4:3)","?")))))</f>
        <v>—</v>
      </c>
      <c r="J1766" s="9" t="str">
        <f aca="false">IF(H1766=0,"—",IF(H1766=1,"ὁμώνυμον",IF(H1766=2,"διὰ πασῶν",IF(H1766=3,"διὰ πέντε",IF(H1766=4,"διὰ τεσσάρων","?")))))</f>
        <v>—</v>
      </c>
      <c r="K1766" s="10"/>
      <c r="L1766" s="14"/>
      <c r="M1766" s="13"/>
    </row>
    <row r="1767" customFormat="false" ht="15.75" hidden="false" customHeight="true" outlineLevel="0" collapsed="false">
      <c r="A1767" s="8" t="n">
        <f aca="false">A1766+1</f>
        <v>1765</v>
      </c>
      <c r="B1767" s="9" t="n">
        <f aca="false">MOD(4*A1767^2,10)</f>
        <v>0</v>
      </c>
      <c r="C1767" s="9" t="n">
        <f aca="false">(26*B1767-5*B1767^2)/24</f>
        <v>0</v>
      </c>
      <c r="D1767" s="9" t="n">
        <f aca="false">(A1767^2+4*C1767)/5</f>
        <v>623045</v>
      </c>
      <c r="E1767" s="9" t="n">
        <f aca="false">MOD(D1767,10)</f>
        <v>5</v>
      </c>
      <c r="F1767" s="9" t="n">
        <f aca="false">2*D1767</f>
        <v>1246090</v>
      </c>
      <c r="G1767" s="9" t="n">
        <f aca="false">MOD(F1767,10)</f>
        <v>0</v>
      </c>
      <c r="H1767" s="9" t="n">
        <f aca="false">G1767/2</f>
        <v>0</v>
      </c>
      <c r="I1767" s="9" t="str">
        <f aca="false">IF(H1767=0,"—",IF(H1767=1,"unison (1:1)",IF(H1767=2,"octave (2:1)",IF(H1767=3,"fifth (3:2)",IF(H1767=4,"fourth (4:3)","?")))))</f>
        <v>—</v>
      </c>
      <c r="J1767" s="9" t="str">
        <f aca="false">IF(H1767=0,"—",IF(H1767=1,"ὁμώνυμον",IF(H1767=2,"διὰ πασῶν",IF(H1767=3,"διὰ πέντε",IF(H1767=4,"διὰ τεσσάρων","?")))))</f>
        <v>—</v>
      </c>
      <c r="K1767" s="10"/>
      <c r="L1767" s="14"/>
      <c r="M1767" s="13"/>
    </row>
    <row r="1768" customFormat="false" ht="15.75" hidden="false" customHeight="true" outlineLevel="0" collapsed="false">
      <c r="A1768" s="8" t="n">
        <f aca="false">A1767+1</f>
        <v>1766</v>
      </c>
      <c r="B1768" s="9" t="n">
        <f aca="false">MOD(4*A1768^2,10)</f>
        <v>4</v>
      </c>
      <c r="C1768" s="9" t="n">
        <f aca="false">(26*B1768-5*B1768^2)/24</f>
        <v>1</v>
      </c>
      <c r="D1768" s="9" t="n">
        <f aca="false">(A1768^2+4*C1768)/5</f>
        <v>623752</v>
      </c>
      <c r="E1768" s="9" t="n">
        <f aca="false">MOD(D1768,10)</f>
        <v>2</v>
      </c>
      <c r="F1768" s="9" t="n">
        <f aca="false">2*D1768</f>
        <v>1247504</v>
      </c>
      <c r="G1768" s="9" t="n">
        <f aca="false">MOD(F1768,10)</f>
        <v>4</v>
      </c>
      <c r="H1768" s="9" t="n">
        <f aca="false">G1768/2</f>
        <v>2</v>
      </c>
      <c r="I1768" s="9" t="str">
        <f aca="false">IF(H1768=0,"—",IF(H1768=1,"unison (1:1)",IF(H1768=2,"octave (2:1)",IF(H1768=3,"fifth (3:2)",IF(H1768=4,"fourth (4:3)","?")))))</f>
        <v>octave (2:1)</v>
      </c>
      <c r="J1768" s="9" t="str">
        <f aca="false">IF(H1768=0,"—",IF(H1768=1,"ὁμώνυμον",IF(H1768=2,"διὰ πασῶν",IF(H1768=3,"διὰ πέντε",IF(H1768=4,"διὰ τεσσάρων","?")))))</f>
        <v>διὰ πασῶν</v>
      </c>
      <c r="K1768" s="10"/>
      <c r="L1768" s="14"/>
      <c r="M1768" s="13"/>
    </row>
    <row r="1769" customFormat="false" ht="15.75" hidden="false" customHeight="true" outlineLevel="0" collapsed="false">
      <c r="A1769" s="8" t="n">
        <f aca="false">A1768+1</f>
        <v>1767</v>
      </c>
      <c r="B1769" s="9" t="n">
        <f aca="false">MOD(4*A1769^2,10)</f>
        <v>6</v>
      </c>
      <c r="C1769" s="9" t="n">
        <f aca="false">(26*B1769-5*B1769^2)/24</f>
        <v>-1</v>
      </c>
      <c r="D1769" s="9" t="n">
        <f aca="false">(A1769^2+4*C1769)/5</f>
        <v>624457</v>
      </c>
      <c r="E1769" s="9" t="n">
        <f aca="false">MOD(D1769,10)</f>
        <v>7</v>
      </c>
      <c r="F1769" s="9" t="n">
        <f aca="false">2*D1769</f>
        <v>1248914</v>
      </c>
      <c r="G1769" s="9" t="n">
        <f aca="false">MOD(F1769,10)</f>
        <v>4</v>
      </c>
      <c r="H1769" s="9" t="n">
        <f aca="false">G1769/2</f>
        <v>2</v>
      </c>
      <c r="I1769" s="9" t="str">
        <f aca="false">IF(H1769=0,"—",IF(H1769=1,"unison (1:1)",IF(H1769=2,"octave (2:1)",IF(H1769=3,"fifth (3:2)",IF(H1769=4,"fourth (4:3)","?")))))</f>
        <v>octave (2:1)</v>
      </c>
      <c r="J1769" s="9" t="str">
        <f aca="false">IF(H1769=0,"—",IF(H1769=1,"ὁμώνυμον",IF(H1769=2,"διὰ πασῶν",IF(H1769=3,"διὰ πέντε",IF(H1769=4,"διὰ τεσσάρων","?")))))</f>
        <v>διὰ πασῶν</v>
      </c>
      <c r="K1769" s="10"/>
      <c r="L1769" s="14"/>
      <c r="M1769" s="13"/>
    </row>
    <row r="1770" customFormat="false" ht="15.75" hidden="false" customHeight="true" outlineLevel="0" collapsed="false">
      <c r="A1770" s="8" t="n">
        <f aca="false">A1769+1</f>
        <v>1768</v>
      </c>
      <c r="B1770" s="9" t="n">
        <f aca="false">MOD(4*A1770^2,10)</f>
        <v>6</v>
      </c>
      <c r="C1770" s="9" t="n">
        <f aca="false">(26*B1770-5*B1770^2)/24</f>
        <v>-1</v>
      </c>
      <c r="D1770" s="9" t="n">
        <f aca="false">(A1770^2+4*C1770)/5</f>
        <v>625164</v>
      </c>
      <c r="E1770" s="9" t="n">
        <f aca="false">MOD(D1770,10)</f>
        <v>4</v>
      </c>
      <c r="F1770" s="9" t="n">
        <f aca="false">2*D1770</f>
        <v>1250328</v>
      </c>
      <c r="G1770" s="9" t="n">
        <f aca="false">MOD(F1770,10)</f>
        <v>8</v>
      </c>
      <c r="H1770" s="9" t="n">
        <f aca="false">G1770/2</f>
        <v>4</v>
      </c>
      <c r="I1770" s="9" t="str">
        <f aca="false">IF(H1770=0,"—",IF(H1770=1,"unison (1:1)",IF(H1770=2,"octave (2:1)",IF(H1770=3,"fifth (3:2)",IF(H1770=4,"fourth (4:3)","?")))))</f>
        <v>fourth (4:3)</v>
      </c>
      <c r="J1770" s="9" t="str">
        <f aca="false">IF(H1770=0,"—",IF(H1770=1,"ὁμώνυμον",IF(H1770=2,"διὰ πασῶν",IF(H1770=3,"διὰ πέντε",IF(H1770=4,"διὰ τεσσάρων","?")))))</f>
        <v>διὰ τεσσάρων</v>
      </c>
      <c r="K1770" s="10"/>
      <c r="L1770" s="14"/>
      <c r="M1770" s="13"/>
    </row>
    <row r="1771" customFormat="false" ht="15.75" hidden="false" customHeight="true" outlineLevel="0" collapsed="false">
      <c r="A1771" s="8" t="n">
        <f aca="false">A1770+1</f>
        <v>1769</v>
      </c>
      <c r="B1771" s="9" t="n">
        <f aca="false">MOD(4*A1771^2,10)</f>
        <v>4</v>
      </c>
      <c r="C1771" s="9" t="n">
        <f aca="false">(26*B1771-5*B1771^2)/24</f>
        <v>1</v>
      </c>
      <c r="D1771" s="9" t="n">
        <f aca="false">(A1771^2+4*C1771)/5</f>
        <v>625873</v>
      </c>
      <c r="E1771" s="9" t="n">
        <f aca="false">MOD(D1771,10)</f>
        <v>3</v>
      </c>
      <c r="F1771" s="9" t="n">
        <f aca="false">2*D1771</f>
        <v>1251746</v>
      </c>
      <c r="G1771" s="9" t="n">
        <f aca="false">MOD(F1771,10)</f>
        <v>6</v>
      </c>
      <c r="H1771" s="9" t="n">
        <f aca="false">G1771/2</f>
        <v>3</v>
      </c>
      <c r="I1771" s="9" t="str">
        <f aca="false">IF(H1771=0,"—",IF(H1771=1,"unison (1:1)",IF(H1771=2,"octave (2:1)",IF(H1771=3,"fifth (3:2)",IF(H1771=4,"fourth (4:3)","?")))))</f>
        <v>fifth (3:2)</v>
      </c>
      <c r="J1771" s="9" t="str">
        <f aca="false">IF(H1771=0,"—",IF(H1771=1,"ὁμώνυμον",IF(H1771=2,"διὰ πασῶν",IF(H1771=3,"διὰ πέντε",IF(H1771=4,"διὰ τεσσάρων","?")))))</f>
        <v>διὰ πέντε</v>
      </c>
      <c r="K1771" s="10"/>
      <c r="L1771" s="14"/>
      <c r="M1771" s="13"/>
    </row>
    <row r="1772" customFormat="false" ht="15.75" hidden="false" customHeight="true" outlineLevel="0" collapsed="false">
      <c r="A1772" s="8" t="n">
        <f aca="false">A1771+1</f>
        <v>1770</v>
      </c>
      <c r="B1772" s="9" t="n">
        <f aca="false">MOD(4*A1772^2,10)</f>
        <v>0</v>
      </c>
      <c r="C1772" s="9" t="n">
        <f aca="false">(26*B1772-5*B1772^2)/24</f>
        <v>0</v>
      </c>
      <c r="D1772" s="9" t="n">
        <f aca="false">(A1772^2+4*C1772)/5</f>
        <v>626580</v>
      </c>
      <c r="E1772" s="9" t="n">
        <f aca="false">MOD(D1772,10)</f>
        <v>0</v>
      </c>
      <c r="F1772" s="9" t="n">
        <f aca="false">2*D1772</f>
        <v>1253160</v>
      </c>
      <c r="G1772" s="9" t="n">
        <f aca="false">MOD(F1772,10)</f>
        <v>0</v>
      </c>
      <c r="H1772" s="9" t="n">
        <f aca="false">G1772/2</f>
        <v>0</v>
      </c>
      <c r="I1772" s="9" t="str">
        <f aca="false">IF(H1772=0,"—",IF(H1772=1,"unison (1:1)",IF(H1772=2,"octave (2:1)",IF(H1772=3,"fifth (3:2)",IF(H1772=4,"fourth (4:3)","?")))))</f>
        <v>—</v>
      </c>
      <c r="J1772" s="9" t="str">
        <f aca="false">IF(H1772=0,"—",IF(H1772=1,"ὁμώνυμον",IF(H1772=2,"διὰ πασῶν",IF(H1772=3,"διὰ πέντε",IF(H1772=4,"διὰ τεσσάρων","?")))))</f>
        <v>—</v>
      </c>
      <c r="K1772" s="10"/>
      <c r="L1772" s="14"/>
      <c r="M1772" s="13"/>
    </row>
    <row r="1773" customFormat="false" ht="15.75" hidden="false" customHeight="true" outlineLevel="0" collapsed="false">
      <c r="A1773" s="18" t="n">
        <f aca="false">A1772+1</f>
        <v>1771</v>
      </c>
      <c r="B1773" s="19" t="n">
        <f aca="false">MOD(4*A1773^2,10)</f>
        <v>4</v>
      </c>
      <c r="C1773" s="19" t="n">
        <f aca="false">(26*B1773-5*B1773^2)/24</f>
        <v>1</v>
      </c>
      <c r="D1773" s="19" t="n">
        <f aca="false">(A1773^2+4*C1773)/5</f>
        <v>627289</v>
      </c>
      <c r="E1773" s="9" t="n">
        <f aca="false">MOD(D1773,10)</f>
        <v>9</v>
      </c>
      <c r="F1773" s="19" t="n">
        <f aca="false">2*D1773</f>
        <v>1254578</v>
      </c>
      <c r="G1773" s="19" t="n">
        <f aca="false">MOD(F1773,10)</f>
        <v>8</v>
      </c>
      <c r="H1773" s="19" t="n">
        <f aca="false">G1773/2</f>
        <v>4</v>
      </c>
      <c r="I1773" s="19" t="str">
        <f aca="false">IF(H1773=0,"—",IF(H1773=1,"unison (1:1)",IF(H1773=2,"octave (2:1)",IF(H1773=3,"fifth (3:2)",IF(H1773=4,"fourth (4:3)","?")))))</f>
        <v>fourth (4:3)</v>
      </c>
      <c r="J1773" s="19" t="str">
        <f aca="false">IF(H1773=0,"—",IF(H1773=1,"ὁμώνυμον",IF(H1773=2,"διὰ πασῶν",IF(H1773=3,"διὰ πέντε",IF(H1773=4,"διὰ τεσσάρων","?")))))</f>
        <v>διὰ τεσσάρων</v>
      </c>
      <c r="K1773" s="20"/>
      <c r="L1773" s="14"/>
      <c r="M1773" s="13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5703125" defaultRowHeight="15" zeroHeight="false" outlineLevelRow="0" outlineLevelCol="0"/>
  <cols>
    <col collapsed="false" customWidth="true" hidden="false" outlineLevel="0" max="1" min="1" style="1" width="36.42"/>
    <col collapsed="false" customWidth="true" hidden="false" outlineLevel="0" max="2" min="2" style="1" width="10.14"/>
    <col collapsed="false" customWidth="true" hidden="false" outlineLevel="0" max="3" min="3" style="1" width="20.14"/>
    <col collapsed="false" customWidth="true" hidden="false" outlineLevel="0" max="4" min="4" style="1" width="37.57"/>
    <col collapsed="false" customWidth="true" hidden="false" outlineLevel="0" max="5" min="5" style="1" width="39.71"/>
    <col collapsed="false" customWidth="true" hidden="false" outlineLevel="0" max="6" min="6" style="1" width="18"/>
    <col collapsed="false" customWidth="true" hidden="false" outlineLevel="0" max="26" min="7" style="1" width="8.57"/>
  </cols>
  <sheetData>
    <row r="1" customFormat="false" ht="37.5" hidden="false" customHeight="true" outlineLevel="0" collapsed="false">
      <c r="A1" s="21" t="s">
        <v>8</v>
      </c>
      <c r="B1" s="22" t="s">
        <v>25</v>
      </c>
      <c r="C1" s="23" t="s">
        <v>26</v>
      </c>
      <c r="D1" s="22" t="s">
        <v>27</v>
      </c>
      <c r="E1" s="22" t="s">
        <v>28</v>
      </c>
      <c r="F1" s="24" t="s">
        <v>29</v>
      </c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customFormat="false" ht="37.5" hidden="false" customHeight="true" outlineLevel="0" collapsed="false">
      <c r="A2" s="26" t="s">
        <v>30</v>
      </c>
      <c r="B2" s="27" t="n">
        <v>0</v>
      </c>
      <c r="C2" s="28" t="s">
        <v>31</v>
      </c>
      <c r="D2" s="27" t="n">
        <f aca="false">COUNTIF('Pentametric Cycle'!H2:H26,B2)</f>
        <v>9</v>
      </c>
      <c r="E2" s="27" t="n">
        <f aca="false">COUNTIF('Pentametric Cycle'!H2:H52,B2)</f>
        <v>19</v>
      </c>
      <c r="F2" s="29" t="n">
        <f aca="false">D2/25</f>
        <v>0.36</v>
      </c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customFormat="false" ht="37.5" hidden="false" customHeight="true" outlineLevel="0" collapsed="false">
      <c r="A3" s="26" t="s">
        <v>32</v>
      </c>
      <c r="B3" s="27" t="n">
        <v>1</v>
      </c>
      <c r="C3" s="30" t="s">
        <v>33</v>
      </c>
      <c r="D3" s="27" t="n">
        <f aca="false">COUNTIF('Pentametric Cycle'!H2:H26,B3)</f>
        <v>4</v>
      </c>
      <c r="E3" s="27" t="n">
        <f aca="false">COUNTIF('Pentametric Cycle'!H2:H52,B3)</f>
        <v>8</v>
      </c>
      <c r="F3" s="29" t="n">
        <f aca="false">D3/25</f>
        <v>0.16</v>
      </c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customFormat="false" ht="37.5" hidden="false" customHeight="true" outlineLevel="0" collapsed="false">
      <c r="A4" s="26" t="s">
        <v>34</v>
      </c>
      <c r="B4" s="27" t="n">
        <v>2</v>
      </c>
      <c r="C4" s="30" t="s">
        <v>35</v>
      </c>
      <c r="D4" s="27" t="n">
        <f aca="false">COUNTIF('Pentametric Cycle'!H2:H26,B4)</f>
        <v>4</v>
      </c>
      <c r="E4" s="27" t="n">
        <f aca="false">COUNTIF('Pentametric Cycle'!H2:H55,B4)</f>
        <v>8</v>
      </c>
      <c r="F4" s="29" t="n">
        <f aca="false">D4/25</f>
        <v>0.16</v>
      </c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customFormat="false" ht="37.5" hidden="false" customHeight="true" outlineLevel="0" collapsed="false">
      <c r="A5" s="26" t="s">
        <v>36</v>
      </c>
      <c r="B5" s="27" t="n">
        <v>3</v>
      </c>
      <c r="C5" s="30" t="s">
        <v>37</v>
      </c>
      <c r="D5" s="27" t="n">
        <f aca="false">COUNTIF('Pentametric Cycle'!H2:H26,B5)</f>
        <v>4</v>
      </c>
      <c r="E5" s="27" t="n">
        <f aca="false">COUNTIF('Pentametric Cycle'!H2:H52,B5)</f>
        <v>8</v>
      </c>
      <c r="F5" s="29" t="n">
        <f aca="false">D5/25</f>
        <v>0.16</v>
      </c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customFormat="false" ht="37.5" hidden="false" customHeight="true" outlineLevel="0" collapsed="false">
      <c r="A6" s="26" t="s">
        <v>38</v>
      </c>
      <c r="B6" s="27" t="n">
        <v>4</v>
      </c>
      <c r="C6" s="30" t="s">
        <v>39</v>
      </c>
      <c r="D6" s="27" t="n">
        <f aca="false">COUNTIF('Pentametric Cycle'!H2:H26,B6)</f>
        <v>4</v>
      </c>
      <c r="E6" s="27" t="n">
        <f aca="false">COUNTIF('Pentametric Cycle'!H2:H52,B6)</f>
        <v>8</v>
      </c>
      <c r="F6" s="29" t="n">
        <f aca="false">D6/25</f>
        <v>0.16</v>
      </c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customFormat="false" ht="37.5" hidden="false" customHeight="true" outlineLevel="0" collapsed="false">
      <c r="A7" s="31" t="s">
        <v>40</v>
      </c>
      <c r="B7" s="32"/>
      <c r="C7" s="33"/>
      <c r="D7" s="32" t="n">
        <f aca="false">SUM(D2:D6)</f>
        <v>25</v>
      </c>
      <c r="E7" s="32" t="n">
        <f aca="false">SUM(E2:E6)</f>
        <v>51</v>
      </c>
      <c r="F7" s="34" t="n">
        <f aca="false">SUM(F2:F6)</f>
        <v>1</v>
      </c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customFormat="false" ht="37.5" hidden="false" customHeight="true" outlineLevel="0" collapsed="false">
      <c r="A8" s="25"/>
      <c r="B8" s="25"/>
      <c r="C8" s="3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customFormat="false" ht="37.5" hidden="false" customHeight="true" outlineLevel="0" collapsed="false">
      <c r="A9" s="36" t="s">
        <v>23</v>
      </c>
      <c r="B9" s="25"/>
      <c r="C9" s="3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customFormat="false" ht="37.5" hidden="false" customHeight="true" outlineLevel="0" collapsed="false">
      <c r="A10" s="37" t="s">
        <v>41</v>
      </c>
      <c r="B10" s="25"/>
      <c r="C10" s="3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customFormat="false" ht="37.5" hidden="false" customHeight="true" outlineLevel="0" collapsed="false">
      <c r="A11" s="37" t="s">
        <v>42</v>
      </c>
      <c r="B11" s="25"/>
      <c r="C11" s="3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customFormat="false" ht="37.5" hidden="false" customHeight="true" outlineLevel="0" collapsed="false">
      <c r="A12" s="37" t="s">
        <v>43</v>
      </c>
      <c r="B12" s="25"/>
      <c r="C12" s="3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customFormat="false" ht="37.5" hidden="false" customHeight="true" outlineLevel="0" collapsed="false">
      <c r="A13" s="38" t="s">
        <v>44</v>
      </c>
      <c r="B13" s="25"/>
      <c r="C13" s="3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customFormat="false" ht="37.5" hidden="false" customHeight="true" outlineLevel="0" collapsed="false">
      <c r="A14" s="25"/>
      <c r="B14" s="25"/>
      <c r="C14" s="3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customFormat="false" ht="37.5" hidden="false" customHeight="true" outlineLevel="0" collapsed="false">
      <c r="A15" s="25"/>
      <c r="B15" s="25"/>
      <c r="C15" s="3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customFormat="false" ht="37.5" hidden="false" customHeight="true" outlineLevel="0" collapsed="false">
      <c r="A16" s="25"/>
      <c r="B16" s="25"/>
      <c r="C16" s="3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customFormat="false" ht="37.5" hidden="false" customHeight="true" outlineLevel="0" collapsed="false">
      <c r="A17" s="25"/>
      <c r="B17" s="25"/>
      <c r="C17" s="3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customFormat="false" ht="37.5" hidden="false" customHeight="true" outlineLevel="0" collapsed="false">
      <c r="A18" s="25"/>
      <c r="B18" s="25"/>
      <c r="C18" s="3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customFormat="false" ht="37.5" hidden="false" customHeight="true" outlineLevel="0" collapsed="false">
      <c r="A19" s="25"/>
      <c r="B19" s="25"/>
      <c r="C19" s="3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customFormat="false" ht="37.5" hidden="false" customHeight="true" outlineLevel="0" collapsed="false">
      <c r="A20" s="25"/>
      <c r="B20" s="25"/>
      <c r="C20" s="3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customFormat="false" ht="37.5" hidden="false" customHeight="true" outlineLevel="0" collapsed="false">
      <c r="A21" s="25"/>
      <c r="B21" s="25"/>
      <c r="C21" s="3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customFormat="false" ht="37.5" hidden="false" customHeight="true" outlineLevel="0" collapsed="false">
      <c r="A22" s="25"/>
      <c r="B22" s="25"/>
      <c r="C22" s="3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customFormat="false" ht="37.5" hidden="false" customHeight="true" outlineLevel="0" collapsed="false">
      <c r="A23" s="25"/>
      <c r="B23" s="25"/>
      <c r="C23" s="3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customFormat="false" ht="37.5" hidden="false" customHeight="true" outlineLevel="0" collapsed="false">
      <c r="A24" s="25"/>
      <c r="B24" s="25"/>
      <c r="C24" s="3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customFormat="false" ht="37.5" hidden="false" customHeight="true" outlineLevel="0" collapsed="false">
      <c r="A25" s="25"/>
      <c r="B25" s="25"/>
      <c r="C25" s="3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customFormat="false" ht="37.5" hidden="false" customHeight="true" outlineLevel="0" collapsed="false">
      <c r="A26" s="25"/>
      <c r="B26" s="25"/>
      <c r="C26" s="3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customFormat="false" ht="37.5" hidden="false" customHeight="true" outlineLevel="0" collapsed="false">
      <c r="A27" s="25"/>
      <c r="B27" s="25"/>
      <c r="C27" s="3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customFormat="false" ht="37.5" hidden="false" customHeight="true" outlineLevel="0" collapsed="false">
      <c r="A28" s="25"/>
      <c r="B28" s="25"/>
      <c r="C28" s="3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customFormat="false" ht="37.5" hidden="false" customHeight="true" outlineLevel="0" collapsed="false">
      <c r="A29" s="25"/>
      <c r="B29" s="25"/>
      <c r="C29" s="3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customFormat="false" ht="37.5" hidden="false" customHeight="true" outlineLevel="0" collapsed="false">
      <c r="A30" s="25"/>
      <c r="B30" s="25"/>
      <c r="C30" s="3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customFormat="false" ht="37.5" hidden="false" customHeight="true" outlineLevel="0" collapsed="false">
      <c r="A31" s="25"/>
      <c r="B31" s="25"/>
      <c r="C31" s="3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customFormat="false" ht="37.5" hidden="false" customHeight="true" outlineLevel="0" collapsed="false">
      <c r="A32" s="25"/>
      <c r="B32" s="25"/>
      <c r="C32" s="3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customFormat="false" ht="37.5" hidden="false" customHeight="true" outlineLevel="0" collapsed="false">
      <c r="A33" s="25"/>
      <c r="B33" s="25"/>
      <c r="C33" s="3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customFormat="false" ht="37.5" hidden="false" customHeight="true" outlineLevel="0" collapsed="false">
      <c r="A34" s="25"/>
      <c r="B34" s="25"/>
      <c r="C34" s="3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customFormat="false" ht="37.5" hidden="false" customHeight="true" outlineLevel="0" collapsed="false">
      <c r="A35" s="25"/>
      <c r="B35" s="25"/>
      <c r="C35" s="3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customFormat="false" ht="37.5" hidden="false" customHeight="true" outlineLevel="0" collapsed="false">
      <c r="A36" s="25"/>
      <c r="B36" s="25"/>
      <c r="C36" s="3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customFormat="false" ht="37.5" hidden="false" customHeight="true" outlineLevel="0" collapsed="false">
      <c r="A37" s="25"/>
      <c r="B37" s="25"/>
      <c r="C37" s="3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customFormat="false" ht="37.5" hidden="false" customHeight="true" outlineLevel="0" collapsed="false">
      <c r="A38" s="25"/>
      <c r="B38" s="25"/>
      <c r="C38" s="3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customFormat="false" ht="37.5" hidden="false" customHeight="true" outlineLevel="0" collapsed="false">
      <c r="A39" s="25"/>
      <c r="B39" s="25"/>
      <c r="C39" s="3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customFormat="false" ht="37.5" hidden="false" customHeight="true" outlineLevel="0" collapsed="false">
      <c r="A40" s="25"/>
      <c r="B40" s="25"/>
      <c r="C40" s="3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customFormat="false" ht="37.5" hidden="false" customHeight="true" outlineLevel="0" collapsed="false">
      <c r="A41" s="25"/>
      <c r="B41" s="25"/>
      <c r="C41" s="3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customFormat="false" ht="37.5" hidden="false" customHeight="true" outlineLevel="0" collapsed="false">
      <c r="A42" s="25"/>
      <c r="B42" s="25"/>
      <c r="C42" s="3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customFormat="false" ht="37.5" hidden="false" customHeight="true" outlineLevel="0" collapsed="false">
      <c r="A43" s="25"/>
      <c r="B43" s="25"/>
      <c r="C43" s="3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customFormat="false" ht="37.5" hidden="false" customHeight="true" outlineLevel="0" collapsed="false">
      <c r="A44" s="25"/>
      <c r="B44" s="25"/>
      <c r="C44" s="3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customFormat="false" ht="37.5" hidden="false" customHeight="true" outlineLevel="0" collapsed="false">
      <c r="A45" s="25"/>
      <c r="B45" s="25"/>
      <c r="C45" s="3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customFormat="false" ht="37.5" hidden="false" customHeight="true" outlineLevel="0" collapsed="false">
      <c r="A46" s="25"/>
      <c r="B46" s="25"/>
      <c r="C46" s="3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customFormat="false" ht="37.5" hidden="false" customHeight="true" outlineLevel="0" collapsed="false">
      <c r="A47" s="25"/>
      <c r="B47" s="25"/>
      <c r="C47" s="3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customFormat="false" ht="37.5" hidden="false" customHeight="true" outlineLevel="0" collapsed="false">
      <c r="A48" s="25"/>
      <c r="B48" s="25"/>
      <c r="C48" s="3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customFormat="false" ht="37.5" hidden="false" customHeight="true" outlineLevel="0" collapsed="false">
      <c r="A49" s="25"/>
      <c r="B49" s="25"/>
      <c r="C49" s="3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customFormat="false" ht="37.5" hidden="false" customHeight="true" outlineLevel="0" collapsed="false">
      <c r="A50" s="25"/>
      <c r="B50" s="25"/>
      <c r="C50" s="3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customFormat="false" ht="37.5" hidden="false" customHeight="true" outlineLevel="0" collapsed="false">
      <c r="A51" s="25"/>
      <c r="B51" s="25"/>
      <c r="C51" s="3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customFormat="false" ht="37.5" hidden="false" customHeight="true" outlineLevel="0" collapsed="false">
      <c r="A52" s="25"/>
      <c r="B52" s="25"/>
      <c r="C52" s="3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customFormat="false" ht="37.5" hidden="false" customHeight="true" outlineLevel="0" collapsed="false">
      <c r="A53" s="25"/>
      <c r="B53" s="25"/>
      <c r="C53" s="3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customFormat="false" ht="37.5" hidden="false" customHeight="true" outlineLevel="0" collapsed="false">
      <c r="A54" s="25"/>
      <c r="B54" s="25"/>
      <c r="C54" s="3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customFormat="false" ht="37.5" hidden="false" customHeight="true" outlineLevel="0" collapsed="false">
      <c r="A55" s="25"/>
      <c r="B55" s="25"/>
      <c r="C55" s="3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customFormat="false" ht="37.5" hidden="false" customHeight="true" outlineLevel="0" collapsed="false">
      <c r="A56" s="25"/>
      <c r="B56" s="25"/>
      <c r="C56" s="3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customFormat="false" ht="37.5" hidden="false" customHeight="true" outlineLevel="0" collapsed="false">
      <c r="A57" s="25"/>
      <c r="B57" s="25"/>
      <c r="C57" s="3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customFormat="false" ht="37.5" hidden="false" customHeight="true" outlineLevel="0" collapsed="false">
      <c r="A58" s="25"/>
      <c r="B58" s="25"/>
      <c r="C58" s="3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customFormat="false" ht="37.5" hidden="false" customHeight="true" outlineLevel="0" collapsed="false">
      <c r="A59" s="25"/>
      <c r="B59" s="25"/>
      <c r="C59" s="3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customFormat="false" ht="37.5" hidden="false" customHeight="true" outlineLevel="0" collapsed="false">
      <c r="A60" s="25"/>
      <c r="B60" s="25"/>
      <c r="C60" s="3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customFormat="false" ht="37.5" hidden="false" customHeight="true" outlineLevel="0" collapsed="false">
      <c r="A61" s="25"/>
      <c r="B61" s="25"/>
      <c r="C61" s="3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customFormat="false" ht="37.5" hidden="false" customHeight="true" outlineLevel="0" collapsed="false">
      <c r="A62" s="25"/>
      <c r="B62" s="25"/>
      <c r="C62" s="3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customFormat="false" ht="37.5" hidden="false" customHeight="true" outlineLevel="0" collapsed="false">
      <c r="A63" s="25"/>
      <c r="B63" s="25"/>
      <c r="C63" s="3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customFormat="false" ht="37.5" hidden="false" customHeight="true" outlineLevel="0" collapsed="false">
      <c r="A64" s="25"/>
      <c r="B64" s="25"/>
      <c r="C64" s="3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customFormat="false" ht="37.5" hidden="false" customHeight="true" outlineLevel="0" collapsed="false">
      <c r="A65" s="25"/>
      <c r="B65" s="25"/>
      <c r="C65" s="3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customFormat="false" ht="37.5" hidden="false" customHeight="true" outlineLevel="0" collapsed="false">
      <c r="A66" s="25"/>
      <c r="B66" s="25"/>
      <c r="C66" s="3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customFormat="false" ht="37.5" hidden="false" customHeight="true" outlineLevel="0" collapsed="false">
      <c r="A67" s="25"/>
      <c r="B67" s="25"/>
      <c r="C67" s="3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customFormat="false" ht="37.5" hidden="false" customHeight="true" outlineLevel="0" collapsed="false">
      <c r="A68" s="25"/>
      <c r="B68" s="25"/>
      <c r="C68" s="3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customFormat="false" ht="37.5" hidden="false" customHeight="true" outlineLevel="0" collapsed="false">
      <c r="A69" s="25"/>
      <c r="B69" s="25"/>
      <c r="C69" s="3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customFormat="false" ht="37.5" hidden="false" customHeight="true" outlineLevel="0" collapsed="false">
      <c r="A70" s="25"/>
      <c r="B70" s="25"/>
      <c r="C70" s="3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customFormat="false" ht="37.5" hidden="false" customHeight="true" outlineLevel="0" collapsed="false">
      <c r="A71" s="25"/>
      <c r="B71" s="25"/>
      <c r="C71" s="3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customFormat="false" ht="37.5" hidden="false" customHeight="true" outlineLevel="0" collapsed="false">
      <c r="A72" s="25"/>
      <c r="B72" s="25"/>
      <c r="C72" s="3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customFormat="false" ht="37.5" hidden="false" customHeight="true" outlineLevel="0" collapsed="false">
      <c r="A73" s="25"/>
      <c r="B73" s="25"/>
      <c r="C73" s="3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customFormat="false" ht="37.5" hidden="false" customHeight="true" outlineLevel="0" collapsed="false">
      <c r="A74" s="25"/>
      <c r="B74" s="25"/>
      <c r="C74" s="3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customFormat="false" ht="37.5" hidden="false" customHeight="true" outlineLevel="0" collapsed="false">
      <c r="A75" s="25"/>
      <c r="B75" s="25"/>
      <c r="C75" s="3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customFormat="false" ht="37.5" hidden="false" customHeight="true" outlineLevel="0" collapsed="false">
      <c r="A76" s="25"/>
      <c r="B76" s="25"/>
      <c r="C76" s="3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customFormat="false" ht="37.5" hidden="false" customHeight="true" outlineLevel="0" collapsed="false">
      <c r="A77" s="25"/>
      <c r="B77" s="25"/>
      <c r="C77" s="3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customFormat="false" ht="37.5" hidden="false" customHeight="true" outlineLevel="0" collapsed="false">
      <c r="A78" s="25"/>
      <c r="B78" s="25"/>
      <c r="C78" s="3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customFormat="false" ht="37.5" hidden="false" customHeight="true" outlineLevel="0" collapsed="false">
      <c r="A79" s="25"/>
      <c r="B79" s="25"/>
      <c r="C79" s="3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customFormat="false" ht="37.5" hidden="false" customHeight="true" outlineLevel="0" collapsed="false">
      <c r="A80" s="25"/>
      <c r="B80" s="25"/>
      <c r="C80" s="3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customFormat="false" ht="37.5" hidden="false" customHeight="true" outlineLevel="0" collapsed="false">
      <c r="A81" s="25"/>
      <c r="B81" s="25"/>
      <c r="C81" s="3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customFormat="false" ht="37.5" hidden="false" customHeight="true" outlineLevel="0" collapsed="false">
      <c r="A82" s="25"/>
      <c r="B82" s="25"/>
      <c r="C82" s="3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customFormat="false" ht="37.5" hidden="false" customHeight="true" outlineLevel="0" collapsed="false">
      <c r="A83" s="25"/>
      <c r="B83" s="25"/>
      <c r="C83" s="3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customFormat="false" ht="37.5" hidden="false" customHeight="true" outlineLevel="0" collapsed="false">
      <c r="A84" s="25"/>
      <c r="B84" s="25"/>
      <c r="C84" s="3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customFormat="false" ht="37.5" hidden="false" customHeight="true" outlineLevel="0" collapsed="false">
      <c r="A85" s="25"/>
      <c r="B85" s="25"/>
      <c r="C85" s="3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customFormat="false" ht="37.5" hidden="false" customHeight="true" outlineLevel="0" collapsed="false">
      <c r="A86" s="25"/>
      <c r="B86" s="25"/>
      <c r="C86" s="3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customFormat="false" ht="37.5" hidden="false" customHeight="true" outlineLevel="0" collapsed="false">
      <c r="A87" s="25"/>
      <c r="B87" s="25"/>
      <c r="C87" s="3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customFormat="false" ht="37.5" hidden="false" customHeight="true" outlineLevel="0" collapsed="false">
      <c r="A88" s="25"/>
      <c r="B88" s="25"/>
      <c r="C88" s="3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customFormat="false" ht="37.5" hidden="false" customHeight="true" outlineLevel="0" collapsed="false">
      <c r="A89" s="25"/>
      <c r="B89" s="25"/>
      <c r="C89" s="3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customFormat="false" ht="37.5" hidden="false" customHeight="true" outlineLevel="0" collapsed="false">
      <c r="A90" s="25"/>
      <c r="B90" s="25"/>
      <c r="C90" s="3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customFormat="false" ht="37.5" hidden="false" customHeight="true" outlineLevel="0" collapsed="false">
      <c r="A91" s="25"/>
      <c r="B91" s="25"/>
      <c r="C91" s="3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customFormat="false" ht="37.5" hidden="false" customHeight="true" outlineLevel="0" collapsed="false">
      <c r="A92" s="25"/>
      <c r="B92" s="25"/>
      <c r="C92" s="3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customFormat="false" ht="37.5" hidden="false" customHeight="true" outlineLevel="0" collapsed="false">
      <c r="A93" s="25"/>
      <c r="B93" s="25"/>
      <c r="C93" s="3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customFormat="false" ht="37.5" hidden="false" customHeight="true" outlineLevel="0" collapsed="false">
      <c r="A94" s="25"/>
      <c r="B94" s="25"/>
      <c r="C94" s="3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customFormat="false" ht="37.5" hidden="false" customHeight="true" outlineLevel="0" collapsed="false">
      <c r="A95" s="25"/>
      <c r="B95" s="25"/>
      <c r="C95" s="3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customFormat="false" ht="37.5" hidden="false" customHeight="true" outlineLevel="0" collapsed="false">
      <c r="A96" s="25"/>
      <c r="B96" s="25"/>
      <c r="C96" s="3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customFormat="false" ht="37.5" hidden="false" customHeight="true" outlineLevel="0" collapsed="false">
      <c r="A97" s="25"/>
      <c r="B97" s="25"/>
      <c r="C97" s="3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customFormat="false" ht="37.5" hidden="false" customHeight="true" outlineLevel="0" collapsed="false">
      <c r="A98" s="25"/>
      <c r="B98" s="25"/>
      <c r="C98" s="3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customFormat="false" ht="37.5" hidden="false" customHeight="true" outlineLevel="0" collapsed="false">
      <c r="A99" s="25"/>
      <c r="B99" s="25"/>
      <c r="C99" s="3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customFormat="false" ht="37.5" hidden="false" customHeight="true" outlineLevel="0" collapsed="false">
      <c r="A100" s="25"/>
      <c r="B100" s="25"/>
      <c r="C100" s="3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customFormat="false" ht="37.5" hidden="false" customHeight="true" outlineLevel="0" collapsed="false">
      <c r="A101" s="25"/>
      <c r="B101" s="25"/>
      <c r="C101" s="3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customFormat="false" ht="37.5" hidden="false" customHeight="true" outlineLevel="0" collapsed="false">
      <c r="A102" s="25"/>
      <c r="B102" s="25"/>
      <c r="C102" s="3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customFormat="false" ht="37.5" hidden="false" customHeight="true" outlineLevel="0" collapsed="false">
      <c r="A103" s="25"/>
      <c r="B103" s="25"/>
      <c r="C103" s="3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customFormat="false" ht="37.5" hidden="false" customHeight="true" outlineLevel="0" collapsed="false">
      <c r="A104" s="25"/>
      <c r="B104" s="25"/>
      <c r="C104" s="3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customFormat="false" ht="37.5" hidden="false" customHeight="true" outlineLevel="0" collapsed="false">
      <c r="A105" s="25"/>
      <c r="B105" s="25"/>
      <c r="C105" s="3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customFormat="false" ht="37.5" hidden="false" customHeight="true" outlineLevel="0" collapsed="false">
      <c r="A106" s="25"/>
      <c r="B106" s="25"/>
      <c r="C106" s="3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customFormat="false" ht="37.5" hidden="false" customHeight="true" outlineLevel="0" collapsed="false">
      <c r="A107" s="25"/>
      <c r="B107" s="25"/>
      <c r="C107" s="3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customFormat="false" ht="37.5" hidden="false" customHeight="true" outlineLevel="0" collapsed="false">
      <c r="A108" s="25"/>
      <c r="B108" s="25"/>
      <c r="C108" s="3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customFormat="false" ht="37.5" hidden="false" customHeight="true" outlineLevel="0" collapsed="false">
      <c r="A109" s="25"/>
      <c r="B109" s="25"/>
      <c r="C109" s="3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customFormat="false" ht="37.5" hidden="false" customHeight="true" outlineLevel="0" collapsed="false">
      <c r="A110" s="25"/>
      <c r="B110" s="25"/>
      <c r="C110" s="3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customFormat="false" ht="37.5" hidden="false" customHeight="true" outlineLevel="0" collapsed="false">
      <c r="A111" s="25"/>
      <c r="B111" s="25"/>
      <c r="C111" s="3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customFormat="false" ht="37.5" hidden="false" customHeight="true" outlineLevel="0" collapsed="false">
      <c r="A112" s="25"/>
      <c r="B112" s="25"/>
      <c r="C112" s="3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customFormat="false" ht="37.5" hidden="false" customHeight="true" outlineLevel="0" collapsed="false">
      <c r="A113" s="25"/>
      <c r="B113" s="25"/>
      <c r="C113" s="3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customFormat="false" ht="37.5" hidden="false" customHeight="true" outlineLevel="0" collapsed="false">
      <c r="A114" s="25"/>
      <c r="B114" s="25"/>
      <c r="C114" s="3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customFormat="false" ht="37.5" hidden="false" customHeight="true" outlineLevel="0" collapsed="false">
      <c r="A115" s="25"/>
      <c r="B115" s="25"/>
      <c r="C115" s="3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customFormat="false" ht="37.5" hidden="false" customHeight="true" outlineLevel="0" collapsed="false">
      <c r="A116" s="25"/>
      <c r="B116" s="25"/>
      <c r="C116" s="3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customFormat="false" ht="37.5" hidden="false" customHeight="true" outlineLevel="0" collapsed="false">
      <c r="A117" s="25"/>
      <c r="B117" s="25"/>
      <c r="C117" s="3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customFormat="false" ht="37.5" hidden="false" customHeight="true" outlineLevel="0" collapsed="false">
      <c r="A118" s="25"/>
      <c r="B118" s="25"/>
      <c r="C118" s="3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customFormat="false" ht="37.5" hidden="false" customHeight="true" outlineLevel="0" collapsed="false">
      <c r="A119" s="25"/>
      <c r="B119" s="25"/>
      <c r="C119" s="3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customFormat="false" ht="37.5" hidden="false" customHeight="true" outlineLevel="0" collapsed="false">
      <c r="A120" s="25"/>
      <c r="B120" s="25"/>
      <c r="C120" s="3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customFormat="false" ht="37.5" hidden="false" customHeight="true" outlineLevel="0" collapsed="false">
      <c r="A121" s="25"/>
      <c r="B121" s="25"/>
      <c r="C121" s="3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customFormat="false" ht="37.5" hidden="false" customHeight="true" outlineLevel="0" collapsed="false">
      <c r="A122" s="25"/>
      <c r="B122" s="25"/>
      <c r="C122" s="3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customFormat="false" ht="37.5" hidden="false" customHeight="true" outlineLevel="0" collapsed="false">
      <c r="A123" s="25"/>
      <c r="B123" s="25"/>
      <c r="C123" s="3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customFormat="false" ht="37.5" hidden="false" customHeight="true" outlineLevel="0" collapsed="false">
      <c r="A124" s="25"/>
      <c r="B124" s="25"/>
      <c r="C124" s="3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customFormat="false" ht="37.5" hidden="false" customHeight="true" outlineLevel="0" collapsed="false">
      <c r="A125" s="25"/>
      <c r="B125" s="25"/>
      <c r="C125" s="3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customFormat="false" ht="37.5" hidden="false" customHeight="true" outlineLevel="0" collapsed="false">
      <c r="A126" s="25"/>
      <c r="B126" s="25"/>
      <c r="C126" s="3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customFormat="false" ht="37.5" hidden="false" customHeight="true" outlineLevel="0" collapsed="false">
      <c r="A127" s="25"/>
      <c r="B127" s="25"/>
      <c r="C127" s="3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customFormat="false" ht="37.5" hidden="false" customHeight="true" outlineLevel="0" collapsed="false">
      <c r="A128" s="25"/>
      <c r="B128" s="25"/>
      <c r="C128" s="3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customFormat="false" ht="37.5" hidden="false" customHeight="true" outlineLevel="0" collapsed="false">
      <c r="A129" s="25"/>
      <c r="B129" s="25"/>
      <c r="C129" s="3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customFormat="false" ht="37.5" hidden="false" customHeight="true" outlineLevel="0" collapsed="false">
      <c r="A130" s="25"/>
      <c r="B130" s="25"/>
      <c r="C130" s="3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customFormat="false" ht="37.5" hidden="false" customHeight="true" outlineLevel="0" collapsed="false">
      <c r="A131" s="25"/>
      <c r="B131" s="25"/>
      <c r="C131" s="3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customFormat="false" ht="37.5" hidden="false" customHeight="true" outlineLevel="0" collapsed="false">
      <c r="A132" s="25"/>
      <c r="B132" s="25"/>
      <c r="C132" s="3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customFormat="false" ht="37.5" hidden="false" customHeight="true" outlineLevel="0" collapsed="false">
      <c r="A133" s="25"/>
      <c r="B133" s="25"/>
      <c r="C133" s="3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customFormat="false" ht="37.5" hidden="false" customHeight="true" outlineLevel="0" collapsed="false">
      <c r="A134" s="25"/>
      <c r="B134" s="25"/>
      <c r="C134" s="3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customFormat="false" ht="37.5" hidden="false" customHeight="true" outlineLevel="0" collapsed="false">
      <c r="A135" s="25"/>
      <c r="B135" s="25"/>
      <c r="C135" s="3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customFormat="false" ht="37.5" hidden="false" customHeight="true" outlineLevel="0" collapsed="false">
      <c r="A136" s="25"/>
      <c r="B136" s="25"/>
      <c r="C136" s="3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customFormat="false" ht="37.5" hidden="false" customHeight="true" outlineLevel="0" collapsed="false">
      <c r="A137" s="25"/>
      <c r="B137" s="25"/>
      <c r="C137" s="3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customFormat="false" ht="37.5" hidden="false" customHeight="true" outlineLevel="0" collapsed="false">
      <c r="A138" s="25"/>
      <c r="B138" s="25"/>
      <c r="C138" s="3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customFormat="false" ht="37.5" hidden="false" customHeight="true" outlineLevel="0" collapsed="false">
      <c r="A139" s="25"/>
      <c r="B139" s="25"/>
      <c r="C139" s="3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customFormat="false" ht="37.5" hidden="false" customHeight="true" outlineLevel="0" collapsed="false">
      <c r="A140" s="25"/>
      <c r="B140" s="25"/>
      <c r="C140" s="3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customFormat="false" ht="37.5" hidden="false" customHeight="true" outlineLevel="0" collapsed="false">
      <c r="A141" s="25"/>
      <c r="B141" s="25"/>
      <c r="C141" s="3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customFormat="false" ht="37.5" hidden="false" customHeight="true" outlineLevel="0" collapsed="false">
      <c r="A142" s="25"/>
      <c r="B142" s="25"/>
      <c r="C142" s="3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customFormat="false" ht="37.5" hidden="false" customHeight="true" outlineLevel="0" collapsed="false">
      <c r="A143" s="25"/>
      <c r="B143" s="25"/>
      <c r="C143" s="3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customFormat="false" ht="37.5" hidden="false" customHeight="true" outlineLevel="0" collapsed="false">
      <c r="A144" s="25"/>
      <c r="B144" s="25"/>
      <c r="C144" s="3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customFormat="false" ht="37.5" hidden="false" customHeight="true" outlineLevel="0" collapsed="false">
      <c r="A145" s="25"/>
      <c r="B145" s="25"/>
      <c r="C145" s="3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customFormat="false" ht="37.5" hidden="false" customHeight="true" outlineLevel="0" collapsed="false">
      <c r="A146" s="25"/>
      <c r="B146" s="25"/>
      <c r="C146" s="3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customFormat="false" ht="37.5" hidden="false" customHeight="true" outlineLevel="0" collapsed="false">
      <c r="A147" s="25"/>
      <c r="B147" s="25"/>
      <c r="C147" s="3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customFormat="false" ht="37.5" hidden="false" customHeight="true" outlineLevel="0" collapsed="false">
      <c r="A148" s="25"/>
      <c r="B148" s="25"/>
      <c r="C148" s="3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customFormat="false" ht="37.5" hidden="false" customHeight="true" outlineLevel="0" collapsed="false">
      <c r="A149" s="25"/>
      <c r="B149" s="25"/>
      <c r="C149" s="3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customFormat="false" ht="37.5" hidden="false" customHeight="true" outlineLevel="0" collapsed="false">
      <c r="A150" s="25"/>
      <c r="B150" s="25"/>
      <c r="C150" s="3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customFormat="false" ht="37.5" hidden="false" customHeight="true" outlineLevel="0" collapsed="false">
      <c r="A151" s="25"/>
      <c r="B151" s="25"/>
      <c r="C151" s="3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customFormat="false" ht="37.5" hidden="false" customHeight="true" outlineLevel="0" collapsed="false">
      <c r="A152" s="25"/>
      <c r="B152" s="25"/>
      <c r="C152" s="3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customFormat="false" ht="37.5" hidden="false" customHeight="true" outlineLevel="0" collapsed="false">
      <c r="A153" s="25"/>
      <c r="B153" s="25"/>
      <c r="C153" s="3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customFormat="false" ht="37.5" hidden="false" customHeight="true" outlineLevel="0" collapsed="false">
      <c r="A154" s="25"/>
      <c r="B154" s="25"/>
      <c r="C154" s="3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customFormat="false" ht="37.5" hidden="false" customHeight="true" outlineLevel="0" collapsed="false">
      <c r="A155" s="25"/>
      <c r="B155" s="25"/>
      <c r="C155" s="3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customFormat="false" ht="37.5" hidden="false" customHeight="true" outlineLevel="0" collapsed="false">
      <c r="A156" s="25"/>
      <c r="B156" s="25"/>
      <c r="C156" s="3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customFormat="false" ht="37.5" hidden="false" customHeight="true" outlineLevel="0" collapsed="false">
      <c r="A157" s="25"/>
      <c r="B157" s="25"/>
      <c r="C157" s="3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customFormat="false" ht="37.5" hidden="false" customHeight="true" outlineLevel="0" collapsed="false">
      <c r="A158" s="25"/>
      <c r="B158" s="25"/>
      <c r="C158" s="3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customFormat="false" ht="37.5" hidden="false" customHeight="true" outlineLevel="0" collapsed="false">
      <c r="A159" s="25"/>
      <c r="B159" s="25"/>
      <c r="C159" s="3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customFormat="false" ht="37.5" hidden="false" customHeight="true" outlineLevel="0" collapsed="false">
      <c r="A160" s="25"/>
      <c r="B160" s="25"/>
      <c r="C160" s="3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customFormat="false" ht="37.5" hidden="false" customHeight="true" outlineLevel="0" collapsed="false">
      <c r="A161" s="25"/>
      <c r="B161" s="25"/>
      <c r="C161" s="3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customFormat="false" ht="37.5" hidden="false" customHeight="true" outlineLevel="0" collapsed="false">
      <c r="A162" s="25"/>
      <c r="B162" s="25"/>
      <c r="C162" s="3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customFormat="false" ht="37.5" hidden="false" customHeight="true" outlineLevel="0" collapsed="false">
      <c r="A163" s="25"/>
      <c r="B163" s="25"/>
      <c r="C163" s="3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customFormat="false" ht="37.5" hidden="false" customHeight="true" outlineLevel="0" collapsed="false">
      <c r="A164" s="25"/>
      <c r="B164" s="25"/>
      <c r="C164" s="3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customFormat="false" ht="37.5" hidden="false" customHeight="true" outlineLevel="0" collapsed="false">
      <c r="A165" s="25"/>
      <c r="B165" s="25"/>
      <c r="C165" s="3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customFormat="false" ht="37.5" hidden="false" customHeight="true" outlineLevel="0" collapsed="false">
      <c r="A166" s="25"/>
      <c r="B166" s="25"/>
      <c r="C166" s="3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customFormat="false" ht="37.5" hidden="false" customHeight="true" outlineLevel="0" collapsed="false">
      <c r="A167" s="25"/>
      <c r="B167" s="25"/>
      <c r="C167" s="3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customFormat="false" ht="37.5" hidden="false" customHeight="true" outlineLevel="0" collapsed="false">
      <c r="A168" s="25"/>
      <c r="B168" s="25"/>
      <c r="C168" s="3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customFormat="false" ht="37.5" hidden="false" customHeight="true" outlineLevel="0" collapsed="false">
      <c r="A169" s="25"/>
      <c r="B169" s="25"/>
      <c r="C169" s="3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customFormat="false" ht="37.5" hidden="false" customHeight="true" outlineLevel="0" collapsed="false">
      <c r="A170" s="25"/>
      <c r="B170" s="25"/>
      <c r="C170" s="3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customFormat="false" ht="37.5" hidden="false" customHeight="true" outlineLevel="0" collapsed="false">
      <c r="A171" s="25"/>
      <c r="B171" s="25"/>
      <c r="C171" s="3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customFormat="false" ht="37.5" hidden="false" customHeight="true" outlineLevel="0" collapsed="false">
      <c r="A172" s="25"/>
      <c r="B172" s="25"/>
      <c r="C172" s="3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customFormat="false" ht="37.5" hidden="false" customHeight="true" outlineLevel="0" collapsed="false">
      <c r="A173" s="25"/>
      <c r="B173" s="25"/>
      <c r="C173" s="3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customFormat="false" ht="37.5" hidden="false" customHeight="true" outlineLevel="0" collapsed="false">
      <c r="A174" s="25"/>
      <c r="B174" s="25"/>
      <c r="C174" s="3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customFormat="false" ht="37.5" hidden="false" customHeight="true" outlineLevel="0" collapsed="false">
      <c r="A175" s="25"/>
      <c r="B175" s="25"/>
      <c r="C175" s="3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customFormat="false" ht="37.5" hidden="false" customHeight="true" outlineLevel="0" collapsed="false">
      <c r="A176" s="25"/>
      <c r="B176" s="25"/>
      <c r="C176" s="3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customFormat="false" ht="37.5" hidden="false" customHeight="true" outlineLevel="0" collapsed="false">
      <c r="A177" s="25"/>
      <c r="B177" s="25"/>
      <c r="C177" s="3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customFormat="false" ht="37.5" hidden="false" customHeight="true" outlineLevel="0" collapsed="false">
      <c r="A178" s="25"/>
      <c r="B178" s="25"/>
      <c r="C178" s="3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customFormat="false" ht="37.5" hidden="false" customHeight="true" outlineLevel="0" collapsed="false">
      <c r="A179" s="25"/>
      <c r="B179" s="25"/>
      <c r="C179" s="3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customFormat="false" ht="37.5" hidden="false" customHeight="true" outlineLevel="0" collapsed="false">
      <c r="A180" s="25"/>
      <c r="B180" s="25"/>
      <c r="C180" s="3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customFormat="false" ht="37.5" hidden="false" customHeight="true" outlineLevel="0" collapsed="false">
      <c r="A181" s="25"/>
      <c r="B181" s="25"/>
      <c r="C181" s="3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customFormat="false" ht="37.5" hidden="false" customHeight="true" outlineLevel="0" collapsed="false">
      <c r="A182" s="25"/>
      <c r="B182" s="25"/>
      <c r="C182" s="3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customFormat="false" ht="37.5" hidden="false" customHeight="true" outlineLevel="0" collapsed="false">
      <c r="A183" s="25"/>
      <c r="B183" s="25"/>
      <c r="C183" s="3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customFormat="false" ht="37.5" hidden="false" customHeight="true" outlineLevel="0" collapsed="false">
      <c r="A184" s="25"/>
      <c r="B184" s="25"/>
      <c r="C184" s="3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customFormat="false" ht="37.5" hidden="false" customHeight="true" outlineLevel="0" collapsed="false">
      <c r="A185" s="25"/>
      <c r="B185" s="25"/>
      <c r="C185" s="3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customFormat="false" ht="37.5" hidden="false" customHeight="true" outlineLevel="0" collapsed="false">
      <c r="A186" s="25"/>
      <c r="B186" s="25"/>
      <c r="C186" s="3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customFormat="false" ht="37.5" hidden="false" customHeight="true" outlineLevel="0" collapsed="false">
      <c r="A187" s="25"/>
      <c r="B187" s="25"/>
      <c r="C187" s="3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customFormat="false" ht="37.5" hidden="false" customHeight="true" outlineLevel="0" collapsed="false">
      <c r="A188" s="25"/>
      <c r="B188" s="25"/>
      <c r="C188" s="3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customFormat="false" ht="37.5" hidden="false" customHeight="true" outlineLevel="0" collapsed="false">
      <c r="A189" s="25"/>
      <c r="B189" s="25"/>
      <c r="C189" s="3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customFormat="false" ht="37.5" hidden="false" customHeight="true" outlineLevel="0" collapsed="false">
      <c r="A190" s="25"/>
      <c r="B190" s="25"/>
      <c r="C190" s="3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customFormat="false" ht="37.5" hidden="false" customHeight="true" outlineLevel="0" collapsed="false">
      <c r="A191" s="25"/>
      <c r="B191" s="25"/>
      <c r="C191" s="3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customFormat="false" ht="37.5" hidden="false" customHeight="true" outlineLevel="0" collapsed="false">
      <c r="A192" s="25"/>
      <c r="B192" s="25"/>
      <c r="C192" s="3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customFormat="false" ht="37.5" hidden="false" customHeight="true" outlineLevel="0" collapsed="false">
      <c r="A193" s="25"/>
      <c r="B193" s="25"/>
      <c r="C193" s="3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customFormat="false" ht="37.5" hidden="false" customHeight="true" outlineLevel="0" collapsed="false">
      <c r="A194" s="25"/>
      <c r="B194" s="25"/>
      <c r="C194" s="3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customFormat="false" ht="37.5" hidden="false" customHeight="true" outlineLevel="0" collapsed="false">
      <c r="A195" s="25"/>
      <c r="B195" s="25"/>
      <c r="C195" s="3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customFormat="false" ht="37.5" hidden="false" customHeight="true" outlineLevel="0" collapsed="false">
      <c r="A196" s="25"/>
      <c r="B196" s="25"/>
      <c r="C196" s="3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customFormat="false" ht="37.5" hidden="false" customHeight="true" outlineLevel="0" collapsed="false">
      <c r="A197" s="25"/>
      <c r="B197" s="25"/>
      <c r="C197" s="3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customFormat="false" ht="37.5" hidden="false" customHeight="true" outlineLevel="0" collapsed="false">
      <c r="A198" s="25"/>
      <c r="B198" s="25"/>
      <c r="C198" s="3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customFormat="false" ht="37.5" hidden="false" customHeight="true" outlineLevel="0" collapsed="false">
      <c r="A199" s="25"/>
      <c r="B199" s="25"/>
      <c r="C199" s="3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customFormat="false" ht="37.5" hidden="false" customHeight="true" outlineLevel="0" collapsed="false">
      <c r="A200" s="25"/>
      <c r="B200" s="25"/>
      <c r="C200" s="3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customFormat="false" ht="37.5" hidden="false" customHeight="true" outlineLevel="0" collapsed="false">
      <c r="A201" s="25"/>
      <c r="B201" s="25"/>
      <c r="C201" s="3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customFormat="false" ht="37.5" hidden="false" customHeight="true" outlineLevel="0" collapsed="false">
      <c r="A202" s="25"/>
      <c r="B202" s="25"/>
      <c r="C202" s="3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customFormat="false" ht="37.5" hidden="false" customHeight="true" outlineLevel="0" collapsed="false">
      <c r="A203" s="25"/>
      <c r="B203" s="25"/>
      <c r="C203" s="3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customFormat="false" ht="37.5" hidden="false" customHeight="true" outlineLevel="0" collapsed="false">
      <c r="A204" s="25"/>
      <c r="B204" s="25"/>
      <c r="C204" s="3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customFormat="false" ht="37.5" hidden="false" customHeight="true" outlineLevel="0" collapsed="false">
      <c r="A205" s="25"/>
      <c r="B205" s="25"/>
      <c r="C205" s="3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customFormat="false" ht="37.5" hidden="false" customHeight="true" outlineLevel="0" collapsed="false">
      <c r="A206" s="25"/>
      <c r="B206" s="25"/>
      <c r="C206" s="3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customFormat="false" ht="37.5" hidden="false" customHeight="true" outlineLevel="0" collapsed="false">
      <c r="A207" s="25"/>
      <c r="B207" s="25"/>
      <c r="C207" s="3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customFormat="false" ht="37.5" hidden="false" customHeight="true" outlineLevel="0" collapsed="false">
      <c r="A208" s="25"/>
      <c r="B208" s="25"/>
      <c r="C208" s="3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customFormat="false" ht="37.5" hidden="false" customHeight="true" outlineLevel="0" collapsed="false">
      <c r="A209" s="25"/>
      <c r="B209" s="25"/>
      <c r="C209" s="3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customFormat="false" ht="37.5" hidden="false" customHeight="true" outlineLevel="0" collapsed="false">
      <c r="A210" s="25"/>
      <c r="B210" s="25"/>
      <c r="C210" s="3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customFormat="false" ht="37.5" hidden="false" customHeight="true" outlineLevel="0" collapsed="false">
      <c r="A211" s="25"/>
      <c r="B211" s="25"/>
      <c r="C211" s="3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customFormat="false" ht="37.5" hidden="false" customHeight="true" outlineLevel="0" collapsed="false">
      <c r="A212" s="25"/>
      <c r="B212" s="25"/>
      <c r="C212" s="3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customFormat="false" ht="37.5" hidden="false" customHeight="true" outlineLevel="0" collapsed="false">
      <c r="A213" s="25"/>
      <c r="B213" s="25"/>
      <c r="C213" s="3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customFormat="false" ht="37.5" hidden="false" customHeight="true" outlineLevel="0" collapsed="false">
      <c r="A214" s="25"/>
      <c r="B214" s="25"/>
      <c r="C214" s="3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customFormat="false" ht="37.5" hidden="false" customHeight="true" outlineLevel="0" collapsed="false">
      <c r="A215" s="25"/>
      <c r="B215" s="25"/>
      <c r="C215" s="3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customFormat="false" ht="37.5" hidden="false" customHeight="true" outlineLevel="0" collapsed="false">
      <c r="A216" s="25"/>
      <c r="B216" s="25"/>
      <c r="C216" s="3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customFormat="false" ht="37.5" hidden="false" customHeight="true" outlineLevel="0" collapsed="false">
      <c r="A217" s="25"/>
      <c r="B217" s="25"/>
      <c r="C217" s="3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customFormat="false" ht="37.5" hidden="false" customHeight="true" outlineLevel="0" collapsed="false">
      <c r="A218" s="25"/>
      <c r="B218" s="25"/>
      <c r="C218" s="3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customFormat="false" ht="37.5" hidden="false" customHeight="true" outlineLevel="0" collapsed="false">
      <c r="A219" s="25"/>
      <c r="B219" s="25"/>
      <c r="C219" s="3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customFormat="false" ht="37.5" hidden="false" customHeight="true" outlineLevel="0" collapsed="false">
      <c r="A220" s="25"/>
      <c r="B220" s="25"/>
      <c r="C220" s="3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customFormat="false" ht="37.5" hidden="false" customHeight="true" outlineLevel="0" collapsed="false">
      <c r="A221" s="25"/>
      <c r="B221" s="25"/>
      <c r="C221" s="3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customFormat="false" ht="37.5" hidden="false" customHeight="true" outlineLevel="0" collapsed="false">
      <c r="A222" s="25"/>
      <c r="B222" s="25"/>
      <c r="C222" s="3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customFormat="false" ht="37.5" hidden="false" customHeight="true" outlineLevel="0" collapsed="false">
      <c r="A223" s="25"/>
      <c r="B223" s="25"/>
      <c r="C223" s="3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customFormat="false" ht="37.5" hidden="false" customHeight="true" outlineLevel="0" collapsed="false">
      <c r="A224" s="25"/>
      <c r="B224" s="25"/>
      <c r="C224" s="3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customFormat="false" ht="37.5" hidden="false" customHeight="true" outlineLevel="0" collapsed="false">
      <c r="A225" s="25"/>
      <c r="B225" s="25"/>
      <c r="C225" s="3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customFormat="false" ht="37.5" hidden="false" customHeight="true" outlineLevel="0" collapsed="false">
      <c r="A226" s="25"/>
      <c r="B226" s="25"/>
      <c r="C226" s="3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customFormat="false" ht="37.5" hidden="false" customHeight="true" outlineLevel="0" collapsed="false">
      <c r="A227" s="25"/>
      <c r="B227" s="25"/>
      <c r="C227" s="3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customFormat="false" ht="37.5" hidden="false" customHeight="true" outlineLevel="0" collapsed="false">
      <c r="A228" s="25"/>
      <c r="B228" s="25"/>
      <c r="C228" s="3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customFormat="false" ht="37.5" hidden="false" customHeight="true" outlineLevel="0" collapsed="false">
      <c r="A229" s="25"/>
      <c r="B229" s="25"/>
      <c r="C229" s="3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customFormat="false" ht="37.5" hidden="false" customHeight="true" outlineLevel="0" collapsed="false">
      <c r="A230" s="25"/>
      <c r="B230" s="25"/>
      <c r="C230" s="3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customFormat="false" ht="37.5" hidden="false" customHeight="true" outlineLevel="0" collapsed="false">
      <c r="A231" s="25"/>
      <c r="B231" s="25"/>
      <c r="C231" s="3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customFormat="false" ht="37.5" hidden="false" customHeight="true" outlineLevel="0" collapsed="false">
      <c r="A232" s="25"/>
      <c r="B232" s="25"/>
      <c r="C232" s="3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customFormat="false" ht="37.5" hidden="false" customHeight="true" outlineLevel="0" collapsed="false">
      <c r="A233" s="25"/>
      <c r="B233" s="25"/>
      <c r="C233" s="3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customFormat="false" ht="37.5" hidden="false" customHeight="true" outlineLevel="0" collapsed="false">
      <c r="A234" s="25"/>
      <c r="B234" s="25"/>
      <c r="C234" s="3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customFormat="false" ht="37.5" hidden="false" customHeight="true" outlineLevel="0" collapsed="false">
      <c r="A235" s="25"/>
      <c r="B235" s="25"/>
      <c r="C235" s="3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customFormat="false" ht="37.5" hidden="false" customHeight="true" outlineLevel="0" collapsed="false">
      <c r="A236" s="25"/>
      <c r="B236" s="25"/>
      <c r="C236" s="3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customFormat="false" ht="37.5" hidden="false" customHeight="true" outlineLevel="0" collapsed="false">
      <c r="A237" s="25"/>
      <c r="B237" s="25"/>
      <c r="C237" s="3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customFormat="false" ht="37.5" hidden="false" customHeight="true" outlineLevel="0" collapsed="false">
      <c r="A238" s="25"/>
      <c r="B238" s="25"/>
      <c r="C238" s="3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customFormat="false" ht="37.5" hidden="false" customHeight="true" outlineLevel="0" collapsed="false">
      <c r="A239" s="25"/>
      <c r="B239" s="25"/>
      <c r="C239" s="3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customFormat="false" ht="37.5" hidden="false" customHeight="true" outlineLevel="0" collapsed="false">
      <c r="A240" s="25"/>
      <c r="B240" s="25"/>
      <c r="C240" s="3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customFormat="false" ht="37.5" hidden="false" customHeight="true" outlineLevel="0" collapsed="false">
      <c r="A241" s="25"/>
      <c r="B241" s="25"/>
      <c r="C241" s="3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customFormat="false" ht="37.5" hidden="false" customHeight="true" outlineLevel="0" collapsed="false">
      <c r="A242" s="25"/>
      <c r="B242" s="25"/>
      <c r="C242" s="3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customFormat="false" ht="37.5" hidden="false" customHeight="true" outlineLevel="0" collapsed="false">
      <c r="A243" s="25"/>
      <c r="B243" s="25"/>
      <c r="C243" s="3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customFormat="false" ht="37.5" hidden="false" customHeight="true" outlineLevel="0" collapsed="false">
      <c r="A244" s="25"/>
      <c r="B244" s="25"/>
      <c r="C244" s="3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customFormat="false" ht="37.5" hidden="false" customHeight="true" outlineLevel="0" collapsed="false">
      <c r="A245" s="25"/>
      <c r="B245" s="25"/>
      <c r="C245" s="3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customFormat="false" ht="37.5" hidden="false" customHeight="true" outlineLevel="0" collapsed="false">
      <c r="A246" s="25"/>
      <c r="B246" s="25"/>
      <c r="C246" s="3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customFormat="false" ht="37.5" hidden="false" customHeight="true" outlineLevel="0" collapsed="false">
      <c r="A247" s="25"/>
      <c r="B247" s="25"/>
      <c r="C247" s="3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customFormat="false" ht="37.5" hidden="false" customHeight="true" outlineLevel="0" collapsed="false">
      <c r="A248" s="25"/>
      <c r="B248" s="25"/>
      <c r="C248" s="3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customFormat="false" ht="37.5" hidden="false" customHeight="true" outlineLevel="0" collapsed="false">
      <c r="A249" s="25"/>
      <c r="B249" s="25"/>
      <c r="C249" s="3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customFormat="false" ht="37.5" hidden="false" customHeight="true" outlineLevel="0" collapsed="false">
      <c r="A250" s="25"/>
      <c r="B250" s="25"/>
      <c r="C250" s="3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customFormat="false" ht="37.5" hidden="false" customHeight="true" outlineLevel="0" collapsed="false">
      <c r="A251" s="25"/>
      <c r="B251" s="25"/>
      <c r="C251" s="3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customFormat="false" ht="37.5" hidden="false" customHeight="true" outlineLevel="0" collapsed="false">
      <c r="A252" s="25"/>
      <c r="B252" s="25"/>
      <c r="C252" s="3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customFormat="false" ht="37.5" hidden="false" customHeight="true" outlineLevel="0" collapsed="false">
      <c r="A253" s="25"/>
      <c r="B253" s="25"/>
      <c r="C253" s="3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customFormat="false" ht="37.5" hidden="false" customHeight="true" outlineLevel="0" collapsed="false">
      <c r="A254" s="25"/>
      <c r="B254" s="25"/>
      <c r="C254" s="3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customFormat="false" ht="37.5" hidden="false" customHeight="true" outlineLevel="0" collapsed="false">
      <c r="A255" s="25"/>
      <c r="B255" s="25"/>
      <c r="C255" s="3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customFormat="false" ht="37.5" hidden="false" customHeight="true" outlineLevel="0" collapsed="false">
      <c r="A256" s="25"/>
      <c r="B256" s="25"/>
      <c r="C256" s="3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customFormat="false" ht="37.5" hidden="false" customHeight="true" outlineLevel="0" collapsed="false">
      <c r="A257" s="25"/>
      <c r="B257" s="25"/>
      <c r="C257" s="3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customFormat="false" ht="37.5" hidden="false" customHeight="true" outlineLevel="0" collapsed="false">
      <c r="A258" s="25"/>
      <c r="B258" s="25"/>
      <c r="C258" s="3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customFormat="false" ht="37.5" hidden="false" customHeight="true" outlineLevel="0" collapsed="false">
      <c r="A259" s="25"/>
      <c r="B259" s="25"/>
      <c r="C259" s="3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customFormat="false" ht="37.5" hidden="false" customHeight="true" outlineLevel="0" collapsed="false">
      <c r="A260" s="25"/>
      <c r="B260" s="25"/>
      <c r="C260" s="3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customFormat="false" ht="37.5" hidden="false" customHeight="true" outlineLevel="0" collapsed="false">
      <c r="A261" s="25"/>
      <c r="B261" s="25"/>
      <c r="C261" s="3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customFormat="false" ht="37.5" hidden="false" customHeight="true" outlineLevel="0" collapsed="false">
      <c r="A262" s="25"/>
      <c r="B262" s="25"/>
      <c r="C262" s="3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customFormat="false" ht="37.5" hidden="false" customHeight="true" outlineLevel="0" collapsed="false">
      <c r="A263" s="25"/>
      <c r="B263" s="25"/>
      <c r="C263" s="3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customFormat="false" ht="37.5" hidden="false" customHeight="true" outlineLevel="0" collapsed="false">
      <c r="A264" s="25"/>
      <c r="B264" s="25"/>
      <c r="C264" s="3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customFormat="false" ht="37.5" hidden="false" customHeight="true" outlineLevel="0" collapsed="false">
      <c r="A265" s="25"/>
      <c r="B265" s="25"/>
      <c r="C265" s="3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customFormat="false" ht="37.5" hidden="false" customHeight="true" outlineLevel="0" collapsed="false">
      <c r="A266" s="25"/>
      <c r="B266" s="25"/>
      <c r="C266" s="3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customFormat="false" ht="37.5" hidden="false" customHeight="true" outlineLevel="0" collapsed="false">
      <c r="A267" s="25"/>
      <c r="B267" s="25"/>
      <c r="C267" s="3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customFormat="false" ht="37.5" hidden="false" customHeight="true" outlineLevel="0" collapsed="false">
      <c r="A268" s="25"/>
      <c r="B268" s="25"/>
      <c r="C268" s="3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customFormat="false" ht="37.5" hidden="false" customHeight="true" outlineLevel="0" collapsed="false">
      <c r="A269" s="25"/>
      <c r="B269" s="25"/>
      <c r="C269" s="3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customFormat="false" ht="37.5" hidden="false" customHeight="true" outlineLevel="0" collapsed="false">
      <c r="A270" s="25"/>
      <c r="B270" s="25"/>
      <c r="C270" s="3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customFormat="false" ht="37.5" hidden="false" customHeight="true" outlineLevel="0" collapsed="false">
      <c r="A271" s="25"/>
      <c r="B271" s="25"/>
      <c r="C271" s="3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customFormat="false" ht="37.5" hidden="false" customHeight="true" outlineLevel="0" collapsed="false">
      <c r="A272" s="25"/>
      <c r="B272" s="25"/>
      <c r="C272" s="3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customFormat="false" ht="37.5" hidden="false" customHeight="true" outlineLevel="0" collapsed="false">
      <c r="A273" s="25"/>
      <c r="B273" s="25"/>
      <c r="C273" s="3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customFormat="false" ht="37.5" hidden="false" customHeight="true" outlineLevel="0" collapsed="false">
      <c r="A274" s="25"/>
      <c r="B274" s="25"/>
      <c r="C274" s="3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customFormat="false" ht="37.5" hidden="false" customHeight="true" outlineLevel="0" collapsed="false">
      <c r="A275" s="25"/>
      <c r="B275" s="25"/>
      <c r="C275" s="3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customFormat="false" ht="37.5" hidden="false" customHeight="true" outlineLevel="0" collapsed="false">
      <c r="A276" s="25"/>
      <c r="B276" s="25"/>
      <c r="C276" s="3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customFormat="false" ht="37.5" hidden="false" customHeight="true" outlineLevel="0" collapsed="false">
      <c r="A277" s="25"/>
      <c r="B277" s="25"/>
      <c r="C277" s="3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customFormat="false" ht="37.5" hidden="false" customHeight="true" outlineLevel="0" collapsed="false">
      <c r="A278" s="25"/>
      <c r="B278" s="25"/>
      <c r="C278" s="3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customFormat="false" ht="37.5" hidden="false" customHeight="true" outlineLevel="0" collapsed="false">
      <c r="A279" s="25"/>
      <c r="B279" s="25"/>
      <c r="C279" s="3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customFormat="false" ht="37.5" hidden="false" customHeight="true" outlineLevel="0" collapsed="false">
      <c r="A280" s="25"/>
      <c r="B280" s="25"/>
      <c r="C280" s="3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customFormat="false" ht="37.5" hidden="false" customHeight="true" outlineLevel="0" collapsed="false">
      <c r="A281" s="25"/>
      <c r="B281" s="25"/>
      <c r="C281" s="3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customFormat="false" ht="37.5" hidden="false" customHeight="true" outlineLevel="0" collapsed="false">
      <c r="A282" s="25"/>
      <c r="B282" s="25"/>
      <c r="C282" s="3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customFormat="false" ht="37.5" hidden="false" customHeight="true" outlineLevel="0" collapsed="false">
      <c r="A283" s="25"/>
      <c r="B283" s="25"/>
      <c r="C283" s="3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customFormat="false" ht="37.5" hidden="false" customHeight="true" outlineLevel="0" collapsed="false">
      <c r="A284" s="25"/>
      <c r="B284" s="25"/>
      <c r="C284" s="3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customFormat="false" ht="37.5" hidden="false" customHeight="true" outlineLevel="0" collapsed="false">
      <c r="A285" s="25"/>
      <c r="B285" s="25"/>
      <c r="C285" s="3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customFormat="false" ht="37.5" hidden="false" customHeight="true" outlineLevel="0" collapsed="false">
      <c r="A286" s="25"/>
      <c r="B286" s="25"/>
      <c r="C286" s="3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customFormat="false" ht="37.5" hidden="false" customHeight="true" outlineLevel="0" collapsed="false">
      <c r="A287" s="25"/>
      <c r="B287" s="25"/>
      <c r="C287" s="3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customFormat="false" ht="37.5" hidden="false" customHeight="true" outlineLevel="0" collapsed="false">
      <c r="A288" s="25"/>
      <c r="B288" s="25"/>
      <c r="C288" s="3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customFormat="false" ht="37.5" hidden="false" customHeight="true" outlineLevel="0" collapsed="false">
      <c r="A289" s="25"/>
      <c r="B289" s="25"/>
      <c r="C289" s="3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customFormat="false" ht="37.5" hidden="false" customHeight="true" outlineLevel="0" collapsed="false">
      <c r="A290" s="25"/>
      <c r="B290" s="25"/>
      <c r="C290" s="3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customFormat="false" ht="37.5" hidden="false" customHeight="true" outlineLevel="0" collapsed="false">
      <c r="A291" s="25"/>
      <c r="B291" s="25"/>
      <c r="C291" s="3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customFormat="false" ht="37.5" hidden="false" customHeight="true" outlineLevel="0" collapsed="false">
      <c r="A292" s="25"/>
      <c r="B292" s="25"/>
      <c r="C292" s="3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customFormat="false" ht="37.5" hidden="false" customHeight="true" outlineLevel="0" collapsed="false">
      <c r="A293" s="25"/>
      <c r="B293" s="25"/>
      <c r="C293" s="3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customFormat="false" ht="37.5" hidden="false" customHeight="true" outlineLevel="0" collapsed="false">
      <c r="A294" s="25"/>
      <c r="B294" s="25"/>
      <c r="C294" s="3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customFormat="false" ht="37.5" hidden="false" customHeight="true" outlineLevel="0" collapsed="false">
      <c r="A295" s="25"/>
      <c r="B295" s="25"/>
      <c r="C295" s="3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customFormat="false" ht="37.5" hidden="false" customHeight="true" outlineLevel="0" collapsed="false">
      <c r="A296" s="25"/>
      <c r="B296" s="25"/>
      <c r="C296" s="3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customFormat="false" ht="37.5" hidden="false" customHeight="true" outlineLevel="0" collapsed="false">
      <c r="A297" s="25"/>
      <c r="B297" s="25"/>
      <c r="C297" s="3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customFormat="false" ht="37.5" hidden="false" customHeight="true" outlineLevel="0" collapsed="false">
      <c r="A298" s="25"/>
      <c r="B298" s="25"/>
      <c r="C298" s="3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customFormat="false" ht="37.5" hidden="false" customHeight="true" outlineLevel="0" collapsed="false">
      <c r="A299" s="25"/>
      <c r="B299" s="25"/>
      <c r="C299" s="3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customFormat="false" ht="37.5" hidden="false" customHeight="true" outlineLevel="0" collapsed="false">
      <c r="A300" s="25"/>
      <c r="B300" s="25"/>
      <c r="C300" s="3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customFormat="false" ht="37.5" hidden="false" customHeight="true" outlineLevel="0" collapsed="false">
      <c r="A301" s="25"/>
      <c r="B301" s="25"/>
      <c r="C301" s="3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customFormat="false" ht="37.5" hidden="false" customHeight="true" outlineLevel="0" collapsed="false">
      <c r="A302" s="25"/>
      <c r="B302" s="25"/>
      <c r="C302" s="3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customFormat="false" ht="37.5" hidden="false" customHeight="true" outlineLevel="0" collapsed="false">
      <c r="A303" s="25"/>
      <c r="B303" s="25"/>
      <c r="C303" s="3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customFormat="false" ht="37.5" hidden="false" customHeight="true" outlineLevel="0" collapsed="false">
      <c r="A304" s="25"/>
      <c r="B304" s="25"/>
      <c r="C304" s="3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customFormat="false" ht="37.5" hidden="false" customHeight="true" outlineLevel="0" collapsed="false">
      <c r="A305" s="25"/>
      <c r="B305" s="25"/>
      <c r="C305" s="3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customFormat="false" ht="37.5" hidden="false" customHeight="true" outlineLevel="0" collapsed="false">
      <c r="A306" s="25"/>
      <c r="B306" s="25"/>
      <c r="C306" s="3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customFormat="false" ht="37.5" hidden="false" customHeight="true" outlineLevel="0" collapsed="false">
      <c r="A307" s="25"/>
      <c r="B307" s="25"/>
      <c r="C307" s="3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customFormat="false" ht="37.5" hidden="false" customHeight="true" outlineLevel="0" collapsed="false">
      <c r="A308" s="25"/>
      <c r="B308" s="25"/>
      <c r="C308" s="3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customFormat="false" ht="37.5" hidden="false" customHeight="true" outlineLevel="0" collapsed="false">
      <c r="A309" s="25"/>
      <c r="B309" s="25"/>
      <c r="C309" s="3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customFormat="false" ht="37.5" hidden="false" customHeight="true" outlineLevel="0" collapsed="false">
      <c r="A310" s="25"/>
      <c r="B310" s="25"/>
      <c r="C310" s="3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customFormat="false" ht="37.5" hidden="false" customHeight="true" outlineLevel="0" collapsed="false">
      <c r="A311" s="25"/>
      <c r="B311" s="25"/>
      <c r="C311" s="3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customFormat="false" ht="37.5" hidden="false" customHeight="true" outlineLevel="0" collapsed="false">
      <c r="A312" s="25"/>
      <c r="B312" s="25"/>
      <c r="C312" s="3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customFormat="false" ht="37.5" hidden="false" customHeight="true" outlineLevel="0" collapsed="false">
      <c r="A313" s="25"/>
      <c r="B313" s="25"/>
      <c r="C313" s="3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customFormat="false" ht="37.5" hidden="false" customHeight="true" outlineLevel="0" collapsed="false">
      <c r="A314" s="25"/>
      <c r="B314" s="25"/>
      <c r="C314" s="3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customFormat="false" ht="37.5" hidden="false" customHeight="true" outlineLevel="0" collapsed="false">
      <c r="A315" s="25"/>
      <c r="B315" s="25"/>
      <c r="C315" s="3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customFormat="false" ht="37.5" hidden="false" customHeight="true" outlineLevel="0" collapsed="false">
      <c r="A316" s="25"/>
      <c r="B316" s="25"/>
      <c r="C316" s="3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customFormat="false" ht="37.5" hidden="false" customHeight="true" outlineLevel="0" collapsed="false">
      <c r="A317" s="25"/>
      <c r="B317" s="25"/>
      <c r="C317" s="3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customFormat="false" ht="37.5" hidden="false" customHeight="true" outlineLevel="0" collapsed="false">
      <c r="A318" s="25"/>
      <c r="B318" s="25"/>
      <c r="C318" s="3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customFormat="false" ht="37.5" hidden="false" customHeight="true" outlineLevel="0" collapsed="false">
      <c r="A319" s="25"/>
      <c r="B319" s="25"/>
      <c r="C319" s="3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customFormat="false" ht="37.5" hidden="false" customHeight="true" outlineLevel="0" collapsed="false">
      <c r="A320" s="25"/>
      <c r="B320" s="25"/>
      <c r="C320" s="3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customFormat="false" ht="37.5" hidden="false" customHeight="true" outlineLevel="0" collapsed="false">
      <c r="A321" s="25"/>
      <c r="B321" s="25"/>
      <c r="C321" s="3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customFormat="false" ht="37.5" hidden="false" customHeight="true" outlineLevel="0" collapsed="false">
      <c r="A322" s="25"/>
      <c r="B322" s="25"/>
      <c r="C322" s="3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customFormat="false" ht="37.5" hidden="false" customHeight="true" outlineLevel="0" collapsed="false">
      <c r="A323" s="25"/>
      <c r="B323" s="25"/>
      <c r="C323" s="3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customFormat="false" ht="37.5" hidden="false" customHeight="true" outlineLevel="0" collapsed="false">
      <c r="A324" s="25"/>
      <c r="B324" s="25"/>
      <c r="C324" s="3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customFormat="false" ht="37.5" hidden="false" customHeight="true" outlineLevel="0" collapsed="false">
      <c r="A325" s="25"/>
      <c r="B325" s="25"/>
      <c r="C325" s="3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customFormat="false" ht="37.5" hidden="false" customHeight="true" outlineLevel="0" collapsed="false">
      <c r="A326" s="25"/>
      <c r="B326" s="25"/>
      <c r="C326" s="3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customFormat="false" ht="37.5" hidden="false" customHeight="true" outlineLevel="0" collapsed="false">
      <c r="A327" s="25"/>
      <c r="B327" s="25"/>
      <c r="C327" s="3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customFormat="false" ht="37.5" hidden="false" customHeight="true" outlineLevel="0" collapsed="false">
      <c r="A328" s="25"/>
      <c r="B328" s="25"/>
      <c r="C328" s="3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customFormat="false" ht="37.5" hidden="false" customHeight="true" outlineLevel="0" collapsed="false">
      <c r="A329" s="25"/>
      <c r="B329" s="25"/>
      <c r="C329" s="3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customFormat="false" ht="37.5" hidden="false" customHeight="true" outlineLevel="0" collapsed="false">
      <c r="A330" s="25"/>
      <c r="B330" s="25"/>
      <c r="C330" s="3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customFormat="false" ht="37.5" hidden="false" customHeight="true" outlineLevel="0" collapsed="false">
      <c r="A331" s="25"/>
      <c r="B331" s="25"/>
      <c r="C331" s="3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customFormat="false" ht="37.5" hidden="false" customHeight="true" outlineLevel="0" collapsed="false">
      <c r="A332" s="25"/>
      <c r="B332" s="25"/>
      <c r="C332" s="3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customFormat="false" ht="37.5" hidden="false" customHeight="true" outlineLevel="0" collapsed="false">
      <c r="A333" s="25"/>
      <c r="B333" s="25"/>
      <c r="C333" s="3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customFormat="false" ht="37.5" hidden="false" customHeight="true" outlineLevel="0" collapsed="false">
      <c r="A334" s="25"/>
      <c r="B334" s="25"/>
      <c r="C334" s="3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customFormat="false" ht="37.5" hidden="false" customHeight="true" outlineLevel="0" collapsed="false">
      <c r="A335" s="25"/>
      <c r="B335" s="25"/>
      <c r="C335" s="3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customFormat="false" ht="37.5" hidden="false" customHeight="true" outlineLevel="0" collapsed="false">
      <c r="A336" s="25"/>
      <c r="B336" s="25"/>
      <c r="C336" s="3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customFormat="false" ht="37.5" hidden="false" customHeight="true" outlineLevel="0" collapsed="false">
      <c r="A337" s="25"/>
      <c r="B337" s="25"/>
      <c r="C337" s="3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customFormat="false" ht="37.5" hidden="false" customHeight="true" outlineLevel="0" collapsed="false">
      <c r="A338" s="25"/>
      <c r="B338" s="25"/>
      <c r="C338" s="3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customFormat="false" ht="37.5" hidden="false" customHeight="true" outlineLevel="0" collapsed="false">
      <c r="A339" s="25"/>
      <c r="B339" s="25"/>
      <c r="C339" s="3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customFormat="false" ht="37.5" hidden="false" customHeight="true" outlineLevel="0" collapsed="false">
      <c r="A340" s="25"/>
      <c r="B340" s="25"/>
      <c r="C340" s="3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customFormat="false" ht="37.5" hidden="false" customHeight="true" outlineLevel="0" collapsed="false">
      <c r="A341" s="25"/>
      <c r="B341" s="25"/>
      <c r="C341" s="3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customFormat="false" ht="37.5" hidden="false" customHeight="true" outlineLevel="0" collapsed="false">
      <c r="A342" s="25"/>
      <c r="B342" s="25"/>
      <c r="C342" s="3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customFormat="false" ht="37.5" hidden="false" customHeight="true" outlineLevel="0" collapsed="false">
      <c r="A343" s="25"/>
      <c r="B343" s="25"/>
      <c r="C343" s="3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customFormat="false" ht="37.5" hidden="false" customHeight="true" outlineLevel="0" collapsed="false">
      <c r="A344" s="25"/>
      <c r="B344" s="25"/>
      <c r="C344" s="3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customFormat="false" ht="37.5" hidden="false" customHeight="true" outlineLevel="0" collapsed="false">
      <c r="A345" s="25"/>
      <c r="B345" s="25"/>
      <c r="C345" s="3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customFormat="false" ht="37.5" hidden="false" customHeight="true" outlineLevel="0" collapsed="false">
      <c r="A346" s="25"/>
      <c r="B346" s="25"/>
      <c r="C346" s="3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customFormat="false" ht="37.5" hidden="false" customHeight="true" outlineLevel="0" collapsed="false">
      <c r="A347" s="25"/>
      <c r="B347" s="25"/>
      <c r="C347" s="3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customFormat="false" ht="37.5" hidden="false" customHeight="true" outlineLevel="0" collapsed="false">
      <c r="A348" s="25"/>
      <c r="B348" s="25"/>
      <c r="C348" s="3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customFormat="false" ht="37.5" hidden="false" customHeight="true" outlineLevel="0" collapsed="false">
      <c r="A349" s="25"/>
      <c r="B349" s="25"/>
      <c r="C349" s="3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customFormat="false" ht="37.5" hidden="false" customHeight="true" outlineLevel="0" collapsed="false">
      <c r="A350" s="25"/>
      <c r="B350" s="25"/>
      <c r="C350" s="3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customFormat="false" ht="37.5" hidden="false" customHeight="true" outlineLevel="0" collapsed="false">
      <c r="A351" s="25"/>
      <c r="B351" s="25"/>
      <c r="C351" s="3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customFormat="false" ht="37.5" hidden="false" customHeight="true" outlineLevel="0" collapsed="false">
      <c r="A352" s="25"/>
      <c r="B352" s="25"/>
      <c r="C352" s="3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customFormat="false" ht="37.5" hidden="false" customHeight="true" outlineLevel="0" collapsed="false">
      <c r="A353" s="25"/>
      <c r="B353" s="25"/>
      <c r="C353" s="3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customFormat="false" ht="37.5" hidden="false" customHeight="true" outlineLevel="0" collapsed="false">
      <c r="A354" s="25"/>
      <c r="B354" s="25"/>
      <c r="C354" s="3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customFormat="false" ht="37.5" hidden="false" customHeight="true" outlineLevel="0" collapsed="false">
      <c r="A355" s="25"/>
      <c r="B355" s="25"/>
      <c r="C355" s="3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customFormat="false" ht="37.5" hidden="false" customHeight="true" outlineLevel="0" collapsed="false">
      <c r="A356" s="25"/>
      <c r="B356" s="25"/>
      <c r="C356" s="3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customFormat="false" ht="37.5" hidden="false" customHeight="true" outlineLevel="0" collapsed="false">
      <c r="A357" s="25"/>
      <c r="B357" s="25"/>
      <c r="C357" s="3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customFormat="false" ht="37.5" hidden="false" customHeight="true" outlineLevel="0" collapsed="false">
      <c r="A358" s="25"/>
      <c r="B358" s="25"/>
      <c r="C358" s="3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customFormat="false" ht="37.5" hidden="false" customHeight="true" outlineLevel="0" collapsed="false">
      <c r="A359" s="25"/>
      <c r="B359" s="25"/>
      <c r="C359" s="3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customFormat="false" ht="37.5" hidden="false" customHeight="true" outlineLevel="0" collapsed="false">
      <c r="A360" s="25"/>
      <c r="B360" s="25"/>
      <c r="C360" s="3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customFormat="false" ht="37.5" hidden="false" customHeight="true" outlineLevel="0" collapsed="false">
      <c r="A361" s="25"/>
      <c r="B361" s="25"/>
      <c r="C361" s="3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customFormat="false" ht="37.5" hidden="false" customHeight="true" outlineLevel="0" collapsed="false">
      <c r="A362" s="25"/>
      <c r="B362" s="25"/>
      <c r="C362" s="3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customFormat="false" ht="37.5" hidden="false" customHeight="true" outlineLevel="0" collapsed="false">
      <c r="A363" s="25"/>
      <c r="B363" s="25"/>
      <c r="C363" s="3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customFormat="false" ht="37.5" hidden="false" customHeight="true" outlineLevel="0" collapsed="false">
      <c r="A364" s="25"/>
      <c r="B364" s="25"/>
      <c r="C364" s="3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customFormat="false" ht="37.5" hidden="false" customHeight="true" outlineLevel="0" collapsed="false">
      <c r="A365" s="25"/>
      <c r="B365" s="25"/>
      <c r="C365" s="3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customFormat="false" ht="37.5" hidden="false" customHeight="true" outlineLevel="0" collapsed="false">
      <c r="A366" s="25"/>
      <c r="B366" s="25"/>
      <c r="C366" s="3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customFormat="false" ht="37.5" hidden="false" customHeight="true" outlineLevel="0" collapsed="false">
      <c r="A367" s="25"/>
      <c r="B367" s="25"/>
      <c r="C367" s="3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customFormat="false" ht="37.5" hidden="false" customHeight="true" outlineLevel="0" collapsed="false">
      <c r="A368" s="25"/>
      <c r="B368" s="25"/>
      <c r="C368" s="3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customFormat="false" ht="37.5" hidden="false" customHeight="true" outlineLevel="0" collapsed="false">
      <c r="A369" s="25"/>
      <c r="B369" s="25"/>
      <c r="C369" s="3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customFormat="false" ht="37.5" hidden="false" customHeight="true" outlineLevel="0" collapsed="false">
      <c r="A370" s="25"/>
      <c r="B370" s="25"/>
      <c r="C370" s="3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customFormat="false" ht="37.5" hidden="false" customHeight="true" outlineLevel="0" collapsed="false">
      <c r="A371" s="25"/>
      <c r="B371" s="25"/>
      <c r="C371" s="3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customFormat="false" ht="37.5" hidden="false" customHeight="true" outlineLevel="0" collapsed="false">
      <c r="A372" s="25"/>
      <c r="B372" s="25"/>
      <c r="C372" s="3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customFormat="false" ht="37.5" hidden="false" customHeight="true" outlineLevel="0" collapsed="false">
      <c r="A373" s="25"/>
      <c r="B373" s="25"/>
      <c r="C373" s="3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customFormat="false" ht="37.5" hidden="false" customHeight="true" outlineLevel="0" collapsed="false">
      <c r="A374" s="25"/>
      <c r="B374" s="25"/>
      <c r="C374" s="3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customFormat="false" ht="37.5" hidden="false" customHeight="true" outlineLevel="0" collapsed="false">
      <c r="A375" s="25"/>
      <c r="B375" s="25"/>
      <c r="C375" s="3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customFormat="false" ht="37.5" hidden="false" customHeight="true" outlineLevel="0" collapsed="false">
      <c r="A376" s="25"/>
      <c r="B376" s="25"/>
      <c r="C376" s="3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customFormat="false" ht="37.5" hidden="false" customHeight="true" outlineLevel="0" collapsed="false">
      <c r="A377" s="25"/>
      <c r="B377" s="25"/>
      <c r="C377" s="3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customFormat="false" ht="37.5" hidden="false" customHeight="true" outlineLevel="0" collapsed="false">
      <c r="A378" s="25"/>
      <c r="B378" s="25"/>
      <c r="C378" s="3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customFormat="false" ht="37.5" hidden="false" customHeight="true" outlineLevel="0" collapsed="false">
      <c r="A379" s="25"/>
      <c r="B379" s="25"/>
      <c r="C379" s="3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customFormat="false" ht="37.5" hidden="false" customHeight="true" outlineLevel="0" collapsed="false">
      <c r="A380" s="25"/>
      <c r="B380" s="25"/>
      <c r="C380" s="3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customFormat="false" ht="37.5" hidden="false" customHeight="true" outlineLevel="0" collapsed="false">
      <c r="A381" s="25"/>
      <c r="B381" s="25"/>
      <c r="C381" s="3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customFormat="false" ht="37.5" hidden="false" customHeight="true" outlineLevel="0" collapsed="false">
      <c r="A382" s="25"/>
      <c r="B382" s="25"/>
      <c r="C382" s="3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customFormat="false" ht="37.5" hidden="false" customHeight="true" outlineLevel="0" collapsed="false">
      <c r="A383" s="25"/>
      <c r="B383" s="25"/>
      <c r="C383" s="3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customFormat="false" ht="37.5" hidden="false" customHeight="true" outlineLevel="0" collapsed="false">
      <c r="A384" s="25"/>
      <c r="B384" s="25"/>
      <c r="C384" s="3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customFormat="false" ht="37.5" hidden="false" customHeight="true" outlineLevel="0" collapsed="false">
      <c r="A385" s="25"/>
      <c r="B385" s="25"/>
      <c r="C385" s="3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customFormat="false" ht="37.5" hidden="false" customHeight="true" outlineLevel="0" collapsed="false">
      <c r="A386" s="25"/>
      <c r="B386" s="25"/>
      <c r="C386" s="3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customFormat="false" ht="37.5" hidden="false" customHeight="true" outlineLevel="0" collapsed="false">
      <c r="A387" s="25"/>
      <c r="B387" s="25"/>
      <c r="C387" s="3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customFormat="false" ht="37.5" hidden="false" customHeight="true" outlineLevel="0" collapsed="false">
      <c r="A388" s="25"/>
      <c r="B388" s="25"/>
      <c r="C388" s="3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customFormat="false" ht="37.5" hidden="false" customHeight="true" outlineLevel="0" collapsed="false">
      <c r="A389" s="25"/>
      <c r="B389" s="25"/>
      <c r="C389" s="3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customFormat="false" ht="37.5" hidden="false" customHeight="true" outlineLevel="0" collapsed="false">
      <c r="A390" s="25"/>
      <c r="B390" s="25"/>
      <c r="C390" s="3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customFormat="false" ht="37.5" hidden="false" customHeight="true" outlineLevel="0" collapsed="false">
      <c r="A391" s="25"/>
      <c r="B391" s="25"/>
      <c r="C391" s="3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customFormat="false" ht="37.5" hidden="false" customHeight="true" outlineLevel="0" collapsed="false">
      <c r="A392" s="25"/>
      <c r="B392" s="25"/>
      <c r="C392" s="3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customFormat="false" ht="37.5" hidden="false" customHeight="true" outlineLevel="0" collapsed="false">
      <c r="A393" s="25"/>
      <c r="B393" s="25"/>
      <c r="C393" s="3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customFormat="false" ht="37.5" hidden="false" customHeight="true" outlineLevel="0" collapsed="false">
      <c r="A394" s="25"/>
      <c r="B394" s="25"/>
      <c r="C394" s="3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customFormat="false" ht="37.5" hidden="false" customHeight="true" outlineLevel="0" collapsed="false">
      <c r="A395" s="25"/>
      <c r="B395" s="25"/>
      <c r="C395" s="3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customFormat="false" ht="37.5" hidden="false" customHeight="true" outlineLevel="0" collapsed="false">
      <c r="A396" s="25"/>
      <c r="B396" s="25"/>
      <c r="C396" s="3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customFormat="false" ht="37.5" hidden="false" customHeight="true" outlineLevel="0" collapsed="false">
      <c r="A397" s="25"/>
      <c r="B397" s="25"/>
      <c r="C397" s="3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customFormat="false" ht="37.5" hidden="false" customHeight="true" outlineLevel="0" collapsed="false">
      <c r="A398" s="25"/>
      <c r="B398" s="25"/>
      <c r="C398" s="3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customFormat="false" ht="37.5" hidden="false" customHeight="true" outlineLevel="0" collapsed="false">
      <c r="A399" s="25"/>
      <c r="B399" s="25"/>
      <c r="C399" s="3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customFormat="false" ht="37.5" hidden="false" customHeight="true" outlineLevel="0" collapsed="false">
      <c r="A400" s="25"/>
      <c r="B400" s="25"/>
      <c r="C400" s="3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customFormat="false" ht="37.5" hidden="false" customHeight="true" outlineLevel="0" collapsed="false">
      <c r="A401" s="25"/>
      <c r="B401" s="25"/>
      <c r="C401" s="3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customFormat="false" ht="37.5" hidden="false" customHeight="true" outlineLevel="0" collapsed="false">
      <c r="A402" s="25"/>
      <c r="B402" s="25"/>
      <c r="C402" s="3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customFormat="false" ht="37.5" hidden="false" customHeight="true" outlineLevel="0" collapsed="false">
      <c r="A403" s="25"/>
      <c r="B403" s="25"/>
      <c r="C403" s="3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customFormat="false" ht="37.5" hidden="false" customHeight="true" outlineLevel="0" collapsed="false">
      <c r="A404" s="25"/>
      <c r="B404" s="25"/>
      <c r="C404" s="3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customFormat="false" ht="37.5" hidden="false" customHeight="true" outlineLevel="0" collapsed="false">
      <c r="A405" s="25"/>
      <c r="B405" s="25"/>
      <c r="C405" s="3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customFormat="false" ht="37.5" hidden="false" customHeight="true" outlineLevel="0" collapsed="false">
      <c r="A406" s="25"/>
      <c r="B406" s="25"/>
      <c r="C406" s="3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customFormat="false" ht="37.5" hidden="false" customHeight="true" outlineLevel="0" collapsed="false">
      <c r="A407" s="25"/>
      <c r="B407" s="25"/>
      <c r="C407" s="3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customFormat="false" ht="37.5" hidden="false" customHeight="true" outlineLevel="0" collapsed="false">
      <c r="A408" s="25"/>
      <c r="B408" s="25"/>
      <c r="C408" s="3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customFormat="false" ht="37.5" hidden="false" customHeight="true" outlineLevel="0" collapsed="false">
      <c r="A409" s="25"/>
      <c r="B409" s="25"/>
      <c r="C409" s="3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customFormat="false" ht="37.5" hidden="false" customHeight="true" outlineLevel="0" collapsed="false">
      <c r="A410" s="25"/>
      <c r="B410" s="25"/>
      <c r="C410" s="3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customFormat="false" ht="37.5" hidden="false" customHeight="true" outlineLevel="0" collapsed="false">
      <c r="A411" s="25"/>
      <c r="B411" s="25"/>
      <c r="C411" s="3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customFormat="false" ht="37.5" hidden="false" customHeight="true" outlineLevel="0" collapsed="false">
      <c r="A412" s="25"/>
      <c r="B412" s="25"/>
      <c r="C412" s="3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customFormat="false" ht="37.5" hidden="false" customHeight="true" outlineLevel="0" collapsed="false">
      <c r="A413" s="25"/>
      <c r="B413" s="25"/>
      <c r="C413" s="3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customFormat="false" ht="37.5" hidden="false" customHeight="true" outlineLevel="0" collapsed="false">
      <c r="A414" s="25"/>
      <c r="B414" s="25"/>
      <c r="C414" s="3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customFormat="false" ht="37.5" hidden="false" customHeight="true" outlineLevel="0" collapsed="false">
      <c r="A415" s="25"/>
      <c r="B415" s="25"/>
      <c r="C415" s="3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customFormat="false" ht="37.5" hidden="false" customHeight="true" outlineLevel="0" collapsed="false">
      <c r="A416" s="25"/>
      <c r="B416" s="25"/>
      <c r="C416" s="3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customFormat="false" ht="37.5" hidden="false" customHeight="true" outlineLevel="0" collapsed="false">
      <c r="A417" s="25"/>
      <c r="B417" s="25"/>
      <c r="C417" s="3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customFormat="false" ht="37.5" hidden="false" customHeight="true" outlineLevel="0" collapsed="false">
      <c r="A418" s="25"/>
      <c r="B418" s="25"/>
      <c r="C418" s="3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customFormat="false" ht="37.5" hidden="false" customHeight="true" outlineLevel="0" collapsed="false">
      <c r="A419" s="25"/>
      <c r="B419" s="25"/>
      <c r="C419" s="3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customFormat="false" ht="37.5" hidden="false" customHeight="true" outlineLevel="0" collapsed="false">
      <c r="A420" s="25"/>
      <c r="B420" s="25"/>
      <c r="C420" s="3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customFormat="false" ht="37.5" hidden="false" customHeight="true" outlineLevel="0" collapsed="false">
      <c r="A421" s="25"/>
      <c r="B421" s="25"/>
      <c r="C421" s="3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customFormat="false" ht="37.5" hidden="false" customHeight="true" outlineLevel="0" collapsed="false">
      <c r="A422" s="25"/>
      <c r="B422" s="25"/>
      <c r="C422" s="3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customFormat="false" ht="37.5" hidden="false" customHeight="true" outlineLevel="0" collapsed="false">
      <c r="A423" s="25"/>
      <c r="B423" s="25"/>
      <c r="C423" s="3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customFormat="false" ht="37.5" hidden="false" customHeight="true" outlineLevel="0" collapsed="false">
      <c r="A424" s="25"/>
      <c r="B424" s="25"/>
      <c r="C424" s="3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customFormat="false" ht="37.5" hidden="false" customHeight="true" outlineLevel="0" collapsed="false">
      <c r="A425" s="25"/>
      <c r="B425" s="25"/>
      <c r="C425" s="3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customFormat="false" ht="37.5" hidden="false" customHeight="true" outlineLevel="0" collapsed="false">
      <c r="A426" s="25"/>
      <c r="B426" s="25"/>
      <c r="C426" s="3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customFormat="false" ht="37.5" hidden="false" customHeight="true" outlineLevel="0" collapsed="false">
      <c r="A427" s="25"/>
      <c r="B427" s="25"/>
      <c r="C427" s="3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customFormat="false" ht="37.5" hidden="false" customHeight="true" outlineLevel="0" collapsed="false">
      <c r="A428" s="25"/>
      <c r="B428" s="25"/>
      <c r="C428" s="3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customFormat="false" ht="37.5" hidden="false" customHeight="true" outlineLevel="0" collapsed="false">
      <c r="A429" s="25"/>
      <c r="B429" s="25"/>
      <c r="C429" s="3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customFormat="false" ht="37.5" hidden="false" customHeight="true" outlineLevel="0" collapsed="false">
      <c r="A430" s="25"/>
      <c r="B430" s="25"/>
      <c r="C430" s="3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customFormat="false" ht="37.5" hidden="false" customHeight="true" outlineLevel="0" collapsed="false">
      <c r="A431" s="25"/>
      <c r="B431" s="25"/>
      <c r="C431" s="3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customFormat="false" ht="37.5" hidden="false" customHeight="true" outlineLevel="0" collapsed="false">
      <c r="A432" s="25"/>
      <c r="B432" s="25"/>
      <c r="C432" s="3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customFormat="false" ht="37.5" hidden="false" customHeight="true" outlineLevel="0" collapsed="false">
      <c r="A433" s="25"/>
      <c r="B433" s="25"/>
      <c r="C433" s="3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customFormat="false" ht="37.5" hidden="false" customHeight="true" outlineLevel="0" collapsed="false">
      <c r="A434" s="25"/>
      <c r="B434" s="25"/>
      <c r="C434" s="3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customFormat="false" ht="37.5" hidden="false" customHeight="true" outlineLevel="0" collapsed="false">
      <c r="A435" s="25"/>
      <c r="B435" s="25"/>
      <c r="C435" s="3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customFormat="false" ht="37.5" hidden="false" customHeight="true" outlineLevel="0" collapsed="false">
      <c r="A436" s="25"/>
      <c r="B436" s="25"/>
      <c r="C436" s="3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customFormat="false" ht="37.5" hidden="false" customHeight="true" outlineLevel="0" collapsed="false">
      <c r="A437" s="25"/>
      <c r="B437" s="25"/>
      <c r="C437" s="3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customFormat="false" ht="37.5" hidden="false" customHeight="true" outlineLevel="0" collapsed="false">
      <c r="A438" s="25"/>
      <c r="B438" s="25"/>
      <c r="C438" s="3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customFormat="false" ht="37.5" hidden="false" customHeight="true" outlineLevel="0" collapsed="false">
      <c r="A439" s="25"/>
      <c r="B439" s="25"/>
      <c r="C439" s="3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customFormat="false" ht="37.5" hidden="false" customHeight="true" outlineLevel="0" collapsed="false">
      <c r="A440" s="25"/>
      <c r="B440" s="25"/>
      <c r="C440" s="3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customFormat="false" ht="37.5" hidden="false" customHeight="true" outlineLevel="0" collapsed="false">
      <c r="A441" s="25"/>
      <c r="B441" s="25"/>
      <c r="C441" s="3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customFormat="false" ht="37.5" hidden="false" customHeight="true" outlineLevel="0" collapsed="false">
      <c r="A442" s="25"/>
      <c r="B442" s="25"/>
      <c r="C442" s="3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customFormat="false" ht="37.5" hidden="false" customHeight="true" outlineLevel="0" collapsed="false">
      <c r="A443" s="25"/>
      <c r="B443" s="25"/>
      <c r="C443" s="3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customFormat="false" ht="37.5" hidden="false" customHeight="true" outlineLevel="0" collapsed="false">
      <c r="A444" s="25"/>
      <c r="B444" s="25"/>
      <c r="C444" s="3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customFormat="false" ht="37.5" hidden="false" customHeight="true" outlineLevel="0" collapsed="false">
      <c r="A445" s="25"/>
      <c r="B445" s="25"/>
      <c r="C445" s="3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customFormat="false" ht="37.5" hidden="false" customHeight="true" outlineLevel="0" collapsed="false">
      <c r="A446" s="25"/>
      <c r="B446" s="25"/>
      <c r="C446" s="3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customFormat="false" ht="37.5" hidden="false" customHeight="true" outlineLevel="0" collapsed="false">
      <c r="A447" s="25"/>
      <c r="B447" s="25"/>
      <c r="C447" s="3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customFormat="false" ht="37.5" hidden="false" customHeight="true" outlineLevel="0" collapsed="false">
      <c r="A448" s="25"/>
      <c r="B448" s="25"/>
      <c r="C448" s="3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customFormat="false" ht="37.5" hidden="false" customHeight="true" outlineLevel="0" collapsed="false">
      <c r="A449" s="25"/>
      <c r="B449" s="25"/>
      <c r="C449" s="3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customFormat="false" ht="37.5" hidden="false" customHeight="true" outlineLevel="0" collapsed="false">
      <c r="A450" s="25"/>
      <c r="B450" s="25"/>
      <c r="C450" s="3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customFormat="false" ht="37.5" hidden="false" customHeight="true" outlineLevel="0" collapsed="false">
      <c r="A451" s="25"/>
      <c r="B451" s="25"/>
      <c r="C451" s="3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customFormat="false" ht="37.5" hidden="false" customHeight="true" outlineLevel="0" collapsed="false">
      <c r="A452" s="25"/>
      <c r="B452" s="25"/>
      <c r="C452" s="3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customFormat="false" ht="37.5" hidden="false" customHeight="true" outlineLevel="0" collapsed="false">
      <c r="A453" s="25"/>
      <c r="B453" s="25"/>
      <c r="C453" s="3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customFormat="false" ht="37.5" hidden="false" customHeight="true" outlineLevel="0" collapsed="false">
      <c r="A454" s="25"/>
      <c r="B454" s="25"/>
      <c r="C454" s="3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customFormat="false" ht="37.5" hidden="false" customHeight="true" outlineLevel="0" collapsed="false">
      <c r="A455" s="25"/>
      <c r="B455" s="25"/>
      <c r="C455" s="3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customFormat="false" ht="37.5" hidden="false" customHeight="true" outlineLevel="0" collapsed="false">
      <c r="A456" s="25"/>
      <c r="B456" s="25"/>
      <c r="C456" s="3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customFormat="false" ht="37.5" hidden="false" customHeight="true" outlineLevel="0" collapsed="false">
      <c r="A457" s="25"/>
      <c r="B457" s="25"/>
      <c r="C457" s="3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customFormat="false" ht="37.5" hidden="false" customHeight="true" outlineLevel="0" collapsed="false">
      <c r="A458" s="25"/>
      <c r="B458" s="25"/>
      <c r="C458" s="3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customFormat="false" ht="37.5" hidden="false" customHeight="true" outlineLevel="0" collapsed="false">
      <c r="A459" s="25"/>
      <c r="B459" s="25"/>
      <c r="C459" s="3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customFormat="false" ht="37.5" hidden="false" customHeight="true" outlineLevel="0" collapsed="false">
      <c r="A460" s="25"/>
      <c r="B460" s="25"/>
      <c r="C460" s="3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customFormat="false" ht="37.5" hidden="false" customHeight="true" outlineLevel="0" collapsed="false">
      <c r="A461" s="25"/>
      <c r="B461" s="25"/>
      <c r="C461" s="3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customFormat="false" ht="37.5" hidden="false" customHeight="true" outlineLevel="0" collapsed="false">
      <c r="A462" s="25"/>
      <c r="B462" s="25"/>
      <c r="C462" s="3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customFormat="false" ht="37.5" hidden="false" customHeight="true" outlineLevel="0" collapsed="false">
      <c r="A463" s="25"/>
      <c r="B463" s="25"/>
      <c r="C463" s="3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customFormat="false" ht="37.5" hidden="false" customHeight="true" outlineLevel="0" collapsed="false">
      <c r="A464" s="25"/>
      <c r="B464" s="25"/>
      <c r="C464" s="3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customFormat="false" ht="37.5" hidden="false" customHeight="true" outlineLevel="0" collapsed="false">
      <c r="A465" s="25"/>
      <c r="B465" s="25"/>
      <c r="C465" s="3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customFormat="false" ht="37.5" hidden="false" customHeight="true" outlineLevel="0" collapsed="false">
      <c r="A466" s="25"/>
      <c r="B466" s="25"/>
      <c r="C466" s="3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customFormat="false" ht="37.5" hidden="false" customHeight="true" outlineLevel="0" collapsed="false">
      <c r="A467" s="25"/>
      <c r="B467" s="25"/>
      <c r="C467" s="3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customFormat="false" ht="37.5" hidden="false" customHeight="true" outlineLevel="0" collapsed="false">
      <c r="A468" s="25"/>
      <c r="B468" s="25"/>
      <c r="C468" s="3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customFormat="false" ht="37.5" hidden="false" customHeight="true" outlineLevel="0" collapsed="false">
      <c r="A469" s="25"/>
      <c r="B469" s="25"/>
      <c r="C469" s="3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customFormat="false" ht="37.5" hidden="false" customHeight="true" outlineLevel="0" collapsed="false">
      <c r="A470" s="25"/>
      <c r="B470" s="25"/>
      <c r="C470" s="3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customFormat="false" ht="37.5" hidden="false" customHeight="true" outlineLevel="0" collapsed="false">
      <c r="A471" s="25"/>
      <c r="B471" s="25"/>
      <c r="C471" s="3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customFormat="false" ht="37.5" hidden="false" customHeight="true" outlineLevel="0" collapsed="false">
      <c r="A472" s="25"/>
      <c r="B472" s="25"/>
      <c r="C472" s="3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customFormat="false" ht="37.5" hidden="false" customHeight="true" outlineLevel="0" collapsed="false">
      <c r="A473" s="25"/>
      <c r="B473" s="25"/>
      <c r="C473" s="3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customFormat="false" ht="37.5" hidden="false" customHeight="true" outlineLevel="0" collapsed="false">
      <c r="A474" s="25"/>
      <c r="B474" s="25"/>
      <c r="C474" s="3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customFormat="false" ht="37.5" hidden="false" customHeight="true" outlineLevel="0" collapsed="false">
      <c r="A475" s="25"/>
      <c r="B475" s="25"/>
      <c r="C475" s="3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customFormat="false" ht="37.5" hidden="false" customHeight="true" outlineLevel="0" collapsed="false">
      <c r="A476" s="25"/>
      <c r="B476" s="25"/>
      <c r="C476" s="3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customFormat="false" ht="37.5" hidden="false" customHeight="true" outlineLevel="0" collapsed="false">
      <c r="A477" s="25"/>
      <c r="B477" s="25"/>
      <c r="C477" s="3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customFormat="false" ht="37.5" hidden="false" customHeight="true" outlineLevel="0" collapsed="false">
      <c r="A478" s="25"/>
      <c r="B478" s="25"/>
      <c r="C478" s="3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customFormat="false" ht="37.5" hidden="false" customHeight="true" outlineLevel="0" collapsed="false">
      <c r="A479" s="25"/>
      <c r="B479" s="25"/>
      <c r="C479" s="3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customFormat="false" ht="37.5" hidden="false" customHeight="true" outlineLevel="0" collapsed="false">
      <c r="A480" s="25"/>
      <c r="B480" s="25"/>
      <c r="C480" s="3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customFormat="false" ht="37.5" hidden="false" customHeight="true" outlineLevel="0" collapsed="false">
      <c r="A481" s="25"/>
      <c r="B481" s="25"/>
      <c r="C481" s="3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customFormat="false" ht="37.5" hidden="false" customHeight="true" outlineLevel="0" collapsed="false">
      <c r="A482" s="25"/>
      <c r="B482" s="25"/>
      <c r="C482" s="3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customFormat="false" ht="37.5" hidden="false" customHeight="true" outlineLevel="0" collapsed="false">
      <c r="A483" s="25"/>
      <c r="B483" s="25"/>
      <c r="C483" s="3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customFormat="false" ht="37.5" hidden="false" customHeight="true" outlineLevel="0" collapsed="false">
      <c r="A484" s="25"/>
      <c r="B484" s="25"/>
      <c r="C484" s="3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customFormat="false" ht="37.5" hidden="false" customHeight="true" outlineLevel="0" collapsed="false">
      <c r="A485" s="25"/>
      <c r="B485" s="25"/>
      <c r="C485" s="3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customFormat="false" ht="37.5" hidden="false" customHeight="true" outlineLevel="0" collapsed="false">
      <c r="A486" s="25"/>
      <c r="B486" s="25"/>
      <c r="C486" s="3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customFormat="false" ht="37.5" hidden="false" customHeight="true" outlineLevel="0" collapsed="false">
      <c r="A487" s="25"/>
      <c r="B487" s="25"/>
      <c r="C487" s="3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customFormat="false" ht="37.5" hidden="false" customHeight="true" outlineLevel="0" collapsed="false">
      <c r="A488" s="25"/>
      <c r="B488" s="25"/>
      <c r="C488" s="3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customFormat="false" ht="37.5" hidden="false" customHeight="true" outlineLevel="0" collapsed="false">
      <c r="A489" s="25"/>
      <c r="B489" s="25"/>
      <c r="C489" s="3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customFormat="false" ht="37.5" hidden="false" customHeight="true" outlineLevel="0" collapsed="false">
      <c r="A490" s="25"/>
      <c r="B490" s="25"/>
      <c r="C490" s="3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customFormat="false" ht="37.5" hidden="false" customHeight="true" outlineLevel="0" collapsed="false">
      <c r="A491" s="25"/>
      <c r="B491" s="25"/>
      <c r="C491" s="3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customFormat="false" ht="37.5" hidden="false" customHeight="true" outlineLevel="0" collapsed="false">
      <c r="A492" s="25"/>
      <c r="B492" s="25"/>
      <c r="C492" s="3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customFormat="false" ht="37.5" hidden="false" customHeight="true" outlineLevel="0" collapsed="false">
      <c r="A493" s="25"/>
      <c r="B493" s="25"/>
      <c r="C493" s="3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customFormat="false" ht="37.5" hidden="false" customHeight="true" outlineLevel="0" collapsed="false">
      <c r="A494" s="25"/>
      <c r="B494" s="25"/>
      <c r="C494" s="3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customFormat="false" ht="37.5" hidden="false" customHeight="true" outlineLevel="0" collapsed="false">
      <c r="A495" s="25"/>
      <c r="B495" s="25"/>
      <c r="C495" s="3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customFormat="false" ht="37.5" hidden="false" customHeight="true" outlineLevel="0" collapsed="false">
      <c r="A496" s="25"/>
      <c r="B496" s="25"/>
      <c r="C496" s="3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customFormat="false" ht="37.5" hidden="false" customHeight="true" outlineLevel="0" collapsed="false">
      <c r="A497" s="25"/>
      <c r="B497" s="25"/>
      <c r="C497" s="3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customFormat="false" ht="37.5" hidden="false" customHeight="true" outlineLevel="0" collapsed="false">
      <c r="A498" s="25"/>
      <c r="B498" s="25"/>
      <c r="C498" s="3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customFormat="false" ht="37.5" hidden="false" customHeight="true" outlineLevel="0" collapsed="false">
      <c r="A499" s="25"/>
      <c r="B499" s="25"/>
      <c r="C499" s="3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customFormat="false" ht="37.5" hidden="false" customHeight="true" outlineLevel="0" collapsed="false">
      <c r="A500" s="25"/>
      <c r="B500" s="25"/>
      <c r="C500" s="3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customFormat="false" ht="37.5" hidden="false" customHeight="true" outlineLevel="0" collapsed="false">
      <c r="A501" s="25"/>
      <c r="B501" s="25"/>
      <c r="C501" s="3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customFormat="false" ht="37.5" hidden="false" customHeight="true" outlineLevel="0" collapsed="false">
      <c r="A502" s="25"/>
      <c r="B502" s="25"/>
      <c r="C502" s="3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customFormat="false" ht="37.5" hidden="false" customHeight="true" outlineLevel="0" collapsed="false">
      <c r="A503" s="25"/>
      <c r="B503" s="25"/>
      <c r="C503" s="3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customFormat="false" ht="37.5" hidden="false" customHeight="true" outlineLevel="0" collapsed="false">
      <c r="A504" s="25"/>
      <c r="B504" s="25"/>
      <c r="C504" s="3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customFormat="false" ht="37.5" hidden="false" customHeight="true" outlineLevel="0" collapsed="false">
      <c r="A505" s="25"/>
      <c r="B505" s="25"/>
      <c r="C505" s="3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customFormat="false" ht="37.5" hidden="false" customHeight="true" outlineLevel="0" collapsed="false">
      <c r="A506" s="25"/>
      <c r="B506" s="25"/>
      <c r="C506" s="3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customFormat="false" ht="37.5" hidden="false" customHeight="true" outlineLevel="0" collapsed="false">
      <c r="A507" s="25"/>
      <c r="B507" s="25"/>
      <c r="C507" s="3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customFormat="false" ht="37.5" hidden="false" customHeight="true" outlineLevel="0" collapsed="false">
      <c r="A508" s="25"/>
      <c r="B508" s="25"/>
      <c r="C508" s="3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customFormat="false" ht="37.5" hidden="false" customHeight="true" outlineLevel="0" collapsed="false">
      <c r="A509" s="25"/>
      <c r="B509" s="25"/>
      <c r="C509" s="3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customFormat="false" ht="37.5" hidden="false" customHeight="true" outlineLevel="0" collapsed="false">
      <c r="A510" s="25"/>
      <c r="B510" s="25"/>
      <c r="C510" s="3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customFormat="false" ht="37.5" hidden="false" customHeight="true" outlineLevel="0" collapsed="false">
      <c r="A511" s="25"/>
      <c r="B511" s="25"/>
      <c r="C511" s="3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customFormat="false" ht="37.5" hidden="false" customHeight="true" outlineLevel="0" collapsed="false">
      <c r="A512" s="25"/>
      <c r="B512" s="25"/>
      <c r="C512" s="3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customFormat="false" ht="37.5" hidden="false" customHeight="true" outlineLevel="0" collapsed="false">
      <c r="A513" s="25"/>
      <c r="B513" s="25"/>
      <c r="C513" s="3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customFormat="false" ht="37.5" hidden="false" customHeight="true" outlineLevel="0" collapsed="false">
      <c r="A514" s="25"/>
      <c r="B514" s="25"/>
      <c r="C514" s="3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customFormat="false" ht="37.5" hidden="false" customHeight="true" outlineLevel="0" collapsed="false">
      <c r="A515" s="25"/>
      <c r="B515" s="25"/>
      <c r="C515" s="3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customFormat="false" ht="37.5" hidden="false" customHeight="true" outlineLevel="0" collapsed="false">
      <c r="A516" s="25"/>
      <c r="B516" s="25"/>
      <c r="C516" s="3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customFormat="false" ht="37.5" hidden="false" customHeight="true" outlineLevel="0" collapsed="false">
      <c r="A517" s="25"/>
      <c r="B517" s="25"/>
      <c r="C517" s="3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customFormat="false" ht="37.5" hidden="false" customHeight="true" outlineLevel="0" collapsed="false">
      <c r="A518" s="25"/>
      <c r="B518" s="25"/>
      <c r="C518" s="3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customFormat="false" ht="37.5" hidden="false" customHeight="true" outlineLevel="0" collapsed="false">
      <c r="A519" s="25"/>
      <c r="B519" s="25"/>
      <c r="C519" s="3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customFormat="false" ht="37.5" hidden="false" customHeight="true" outlineLevel="0" collapsed="false">
      <c r="A520" s="25"/>
      <c r="B520" s="25"/>
      <c r="C520" s="3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customFormat="false" ht="37.5" hidden="false" customHeight="true" outlineLevel="0" collapsed="false">
      <c r="A521" s="25"/>
      <c r="B521" s="25"/>
      <c r="C521" s="3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customFormat="false" ht="37.5" hidden="false" customHeight="true" outlineLevel="0" collapsed="false">
      <c r="A522" s="25"/>
      <c r="B522" s="25"/>
      <c r="C522" s="3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customFormat="false" ht="37.5" hidden="false" customHeight="true" outlineLevel="0" collapsed="false">
      <c r="A523" s="25"/>
      <c r="B523" s="25"/>
      <c r="C523" s="3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customFormat="false" ht="37.5" hidden="false" customHeight="true" outlineLevel="0" collapsed="false">
      <c r="A524" s="25"/>
      <c r="B524" s="25"/>
      <c r="C524" s="3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customFormat="false" ht="37.5" hidden="false" customHeight="true" outlineLevel="0" collapsed="false">
      <c r="A525" s="25"/>
      <c r="B525" s="25"/>
      <c r="C525" s="3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customFormat="false" ht="37.5" hidden="false" customHeight="true" outlineLevel="0" collapsed="false">
      <c r="A526" s="25"/>
      <c r="B526" s="25"/>
      <c r="C526" s="3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customFormat="false" ht="37.5" hidden="false" customHeight="true" outlineLevel="0" collapsed="false">
      <c r="A527" s="25"/>
      <c r="B527" s="25"/>
      <c r="C527" s="3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customFormat="false" ht="37.5" hidden="false" customHeight="true" outlineLevel="0" collapsed="false">
      <c r="A528" s="25"/>
      <c r="B528" s="25"/>
      <c r="C528" s="3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customFormat="false" ht="37.5" hidden="false" customHeight="true" outlineLevel="0" collapsed="false">
      <c r="A529" s="25"/>
      <c r="B529" s="25"/>
      <c r="C529" s="3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customFormat="false" ht="37.5" hidden="false" customHeight="true" outlineLevel="0" collapsed="false">
      <c r="A530" s="25"/>
      <c r="B530" s="25"/>
      <c r="C530" s="3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customFormat="false" ht="37.5" hidden="false" customHeight="true" outlineLevel="0" collapsed="false">
      <c r="A531" s="25"/>
      <c r="B531" s="25"/>
      <c r="C531" s="3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customFormat="false" ht="37.5" hidden="false" customHeight="true" outlineLevel="0" collapsed="false">
      <c r="A532" s="25"/>
      <c r="B532" s="25"/>
      <c r="C532" s="3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customFormat="false" ht="37.5" hidden="false" customHeight="true" outlineLevel="0" collapsed="false">
      <c r="A533" s="25"/>
      <c r="B533" s="25"/>
      <c r="C533" s="3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customFormat="false" ht="37.5" hidden="false" customHeight="true" outlineLevel="0" collapsed="false">
      <c r="A534" s="25"/>
      <c r="B534" s="25"/>
      <c r="C534" s="3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customFormat="false" ht="37.5" hidden="false" customHeight="true" outlineLevel="0" collapsed="false">
      <c r="A535" s="25"/>
      <c r="B535" s="25"/>
      <c r="C535" s="3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customFormat="false" ht="37.5" hidden="false" customHeight="true" outlineLevel="0" collapsed="false">
      <c r="A536" s="25"/>
      <c r="B536" s="25"/>
      <c r="C536" s="3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customFormat="false" ht="37.5" hidden="false" customHeight="true" outlineLevel="0" collapsed="false">
      <c r="A537" s="25"/>
      <c r="B537" s="25"/>
      <c r="C537" s="3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customFormat="false" ht="37.5" hidden="false" customHeight="true" outlineLevel="0" collapsed="false">
      <c r="A538" s="25"/>
      <c r="B538" s="25"/>
      <c r="C538" s="3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customFormat="false" ht="37.5" hidden="false" customHeight="true" outlineLevel="0" collapsed="false">
      <c r="A539" s="25"/>
      <c r="B539" s="25"/>
      <c r="C539" s="3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customFormat="false" ht="37.5" hidden="false" customHeight="true" outlineLevel="0" collapsed="false">
      <c r="A540" s="25"/>
      <c r="B540" s="25"/>
      <c r="C540" s="3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customFormat="false" ht="37.5" hidden="false" customHeight="true" outlineLevel="0" collapsed="false">
      <c r="A541" s="25"/>
      <c r="B541" s="25"/>
      <c r="C541" s="3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customFormat="false" ht="37.5" hidden="false" customHeight="true" outlineLevel="0" collapsed="false">
      <c r="A542" s="25"/>
      <c r="B542" s="25"/>
      <c r="C542" s="3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customFormat="false" ht="37.5" hidden="false" customHeight="true" outlineLevel="0" collapsed="false">
      <c r="A543" s="25"/>
      <c r="B543" s="25"/>
      <c r="C543" s="3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customFormat="false" ht="37.5" hidden="false" customHeight="true" outlineLevel="0" collapsed="false">
      <c r="A544" s="25"/>
      <c r="B544" s="25"/>
      <c r="C544" s="3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customFormat="false" ht="37.5" hidden="false" customHeight="true" outlineLevel="0" collapsed="false">
      <c r="A545" s="25"/>
      <c r="B545" s="25"/>
      <c r="C545" s="3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customFormat="false" ht="37.5" hidden="false" customHeight="true" outlineLevel="0" collapsed="false">
      <c r="A546" s="25"/>
      <c r="B546" s="25"/>
      <c r="C546" s="3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customFormat="false" ht="37.5" hidden="false" customHeight="true" outlineLevel="0" collapsed="false">
      <c r="A547" s="25"/>
      <c r="B547" s="25"/>
      <c r="C547" s="3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customFormat="false" ht="37.5" hidden="false" customHeight="true" outlineLevel="0" collapsed="false">
      <c r="A548" s="25"/>
      <c r="B548" s="25"/>
      <c r="C548" s="3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customFormat="false" ht="37.5" hidden="false" customHeight="true" outlineLevel="0" collapsed="false">
      <c r="A549" s="25"/>
      <c r="B549" s="25"/>
      <c r="C549" s="3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customFormat="false" ht="37.5" hidden="false" customHeight="true" outlineLevel="0" collapsed="false">
      <c r="A550" s="25"/>
      <c r="B550" s="25"/>
      <c r="C550" s="3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customFormat="false" ht="37.5" hidden="false" customHeight="true" outlineLevel="0" collapsed="false">
      <c r="A551" s="25"/>
      <c r="B551" s="25"/>
      <c r="C551" s="3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customFormat="false" ht="37.5" hidden="false" customHeight="true" outlineLevel="0" collapsed="false">
      <c r="A552" s="25"/>
      <c r="B552" s="25"/>
      <c r="C552" s="3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customFormat="false" ht="37.5" hidden="false" customHeight="true" outlineLevel="0" collapsed="false">
      <c r="A553" s="25"/>
      <c r="B553" s="25"/>
      <c r="C553" s="3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customFormat="false" ht="37.5" hidden="false" customHeight="true" outlineLevel="0" collapsed="false">
      <c r="A554" s="25"/>
      <c r="B554" s="25"/>
      <c r="C554" s="3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customFormat="false" ht="37.5" hidden="false" customHeight="true" outlineLevel="0" collapsed="false">
      <c r="A555" s="25"/>
      <c r="B555" s="25"/>
      <c r="C555" s="3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customFormat="false" ht="37.5" hidden="false" customHeight="true" outlineLevel="0" collapsed="false">
      <c r="A556" s="25"/>
      <c r="B556" s="25"/>
      <c r="C556" s="3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customFormat="false" ht="37.5" hidden="false" customHeight="true" outlineLevel="0" collapsed="false">
      <c r="A557" s="25"/>
      <c r="B557" s="25"/>
      <c r="C557" s="3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customFormat="false" ht="37.5" hidden="false" customHeight="true" outlineLevel="0" collapsed="false">
      <c r="A558" s="25"/>
      <c r="B558" s="25"/>
      <c r="C558" s="3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customFormat="false" ht="37.5" hidden="false" customHeight="true" outlineLevel="0" collapsed="false">
      <c r="A559" s="25"/>
      <c r="B559" s="25"/>
      <c r="C559" s="3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customFormat="false" ht="37.5" hidden="false" customHeight="true" outlineLevel="0" collapsed="false">
      <c r="A560" s="25"/>
      <c r="B560" s="25"/>
      <c r="C560" s="3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customFormat="false" ht="37.5" hidden="false" customHeight="true" outlineLevel="0" collapsed="false">
      <c r="A561" s="25"/>
      <c r="B561" s="25"/>
      <c r="C561" s="3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customFormat="false" ht="37.5" hidden="false" customHeight="true" outlineLevel="0" collapsed="false">
      <c r="A562" s="25"/>
      <c r="B562" s="25"/>
      <c r="C562" s="3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customFormat="false" ht="37.5" hidden="false" customHeight="true" outlineLevel="0" collapsed="false">
      <c r="A563" s="25"/>
      <c r="B563" s="25"/>
      <c r="C563" s="3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customFormat="false" ht="37.5" hidden="false" customHeight="true" outlineLevel="0" collapsed="false">
      <c r="A564" s="25"/>
      <c r="B564" s="25"/>
      <c r="C564" s="3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customFormat="false" ht="37.5" hidden="false" customHeight="true" outlineLevel="0" collapsed="false">
      <c r="A565" s="25"/>
      <c r="B565" s="25"/>
      <c r="C565" s="3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customFormat="false" ht="37.5" hidden="false" customHeight="true" outlineLevel="0" collapsed="false">
      <c r="A566" s="25"/>
      <c r="B566" s="25"/>
      <c r="C566" s="3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customFormat="false" ht="37.5" hidden="false" customHeight="true" outlineLevel="0" collapsed="false">
      <c r="A567" s="25"/>
      <c r="B567" s="25"/>
      <c r="C567" s="3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customFormat="false" ht="37.5" hidden="false" customHeight="true" outlineLevel="0" collapsed="false">
      <c r="A568" s="25"/>
      <c r="B568" s="25"/>
      <c r="C568" s="3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customFormat="false" ht="37.5" hidden="false" customHeight="true" outlineLevel="0" collapsed="false">
      <c r="A569" s="25"/>
      <c r="B569" s="25"/>
      <c r="C569" s="3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customFormat="false" ht="37.5" hidden="false" customHeight="true" outlineLevel="0" collapsed="false">
      <c r="A570" s="25"/>
      <c r="B570" s="25"/>
      <c r="C570" s="3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customFormat="false" ht="37.5" hidden="false" customHeight="true" outlineLevel="0" collapsed="false">
      <c r="A571" s="25"/>
      <c r="B571" s="25"/>
      <c r="C571" s="3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customFormat="false" ht="37.5" hidden="false" customHeight="true" outlineLevel="0" collapsed="false">
      <c r="A572" s="25"/>
      <c r="B572" s="25"/>
      <c r="C572" s="3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customFormat="false" ht="37.5" hidden="false" customHeight="true" outlineLevel="0" collapsed="false">
      <c r="A573" s="25"/>
      <c r="B573" s="25"/>
      <c r="C573" s="3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customFormat="false" ht="37.5" hidden="false" customHeight="true" outlineLevel="0" collapsed="false">
      <c r="A574" s="25"/>
      <c r="B574" s="25"/>
      <c r="C574" s="3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customFormat="false" ht="37.5" hidden="false" customHeight="true" outlineLevel="0" collapsed="false">
      <c r="A575" s="25"/>
      <c r="B575" s="25"/>
      <c r="C575" s="3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customFormat="false" ht="37.5" hidden="false" customHeight="true" outlineLevel="0" collapsed="false">
      <c r="A576" s="25"/>
      <c r="B576" s="25"/>
      <c r="C576" s="3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customFormat="false" ht="37.5" hidden="false" customHeight="true" outlineLevel="0" collapsed="false">
      <c r="A577" s="25"/>
      <c r="B577" s="25"/>
      <c r="C577" s="3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customFormat="false" ht="37.5" hidden="false" customHeight="true" outlineLevel="0" collapsed="false">
      <c r="A578" s="25"/>
      <c r="B578" s="25"/>
      <c r="C578" s="3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customFormat="false" ht="37.5" hidden="false" customHeight="true" outlineLevel="0" collapsed="false">
      <c r="A579" s="25"/>
      <c r="B579" s="25"/>
      <c r="C579" s="3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customFormat="false" ht="37.5" hidden="false" customHeight="true" outlineLevel="0" collapsed="false">
      <c r="A580" s="25"/>
      <c r="B580" s="25"/>
      <c r="C580" s="3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customFormat="false" ht="37.5" hidden="false" customHeight="true" outlineLevel="0" collapsed="false">
      <c r="A581" s="25"/>
      <c r="B581" s="25"/>
      <c r="C581" s="3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customFormat="false" ht="37.5" hidden="false" customHeight="true" outlineLevel="0" collapsed="false">
      <c r="A582" s="25"/>
      <c r="B582" s="25"/>
      <c r="C582" s="3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customFormat="false" ht="37.5" hidden="false" customHeight="true" outlineLevel="0" collapsed="false">
      <c r="A583" s="25"/>
      <c r="B583" s="25"/>
      <c r="C583" s="3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customFormat="false" ht="37.5" hidden="false" customHeight="true" outlineLevel="0" collapsed="false">
      <c r="A584" s="25"/>
      <c r="B584" s="25"/>
      <c r="C584" s="3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customFormat="false" ht="37.5" hidden="false" customHeight="true" outlineLevel="0" collapsed="false">
      <c r="A585" s="25"/>
      <c r="B585" s="25"/>
      <c r="C585" s="3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customFormat="false" ht="37.5" hidden="false" customHeight="true" outlineLevel="0" collapsed="false">
      <c r="A586" s="25"/>
      <c r="B586" s="25"/>
      <c r="C586" s="3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customFormat="false" ht="37.5" hidden="false" customHeight="true" outlineLevel="0" collapsed="false">
      <c r="A587" s="25"/>
      <c r="B587" s="25"/>
      <c r="C587" s="3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customFormat="false" ht="37.5" hidden="false" customHeight="true" outlineLevel="0" collapsed="false">
      <c r="A588" s="25"/>
      <c r="B588" s="25"/>
      <c r="C588" s="3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customFormat="false" ht="37.5" hidden="false" customHeight="true" outlineLevel="0" collapsed="false">
      <c r="A589" s="25"/>
      <c r="B589" s="25"/>
      <c r="C589" s="3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customFormat="false" ht="37.5" hidden="false" customHeight="true" outlineLevel="0" collapsed="false">
      <c r="A590" s="25"/>
      <c r="B590" s="25"/>
      <c r="C590" s="3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customFormat="false" ht="37.5" hidden="false" customHeight="true" outlineLevel="0" collapsed="false">
      <c r="A591" s="25"/>
      <c r="B591" s="25"/>
      <c r="C591" s="3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customFormat="false" ht="37.5" hidden="false" customHeight="true" outlineLevel="0" collapsed="false">
      <c r="A592" s="25"/>
      <c r="B592" s="25"/>
      <c r="C592" s="3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customFormat="false" ht="37.5" hidden="false" customHeight="true" outlineLevel="0" collapsed="false">
      <c r="A593" s="25"/>
      <c r="B593" s="25"/>
      <c r="C593" s="3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customFormat="false" ht="37.5" hidden="false" customHeight="true" outlineLevel="0" collapsed="false">
      <c r="A594" s="25"/>
      <c r="B594" s="25"/>
      <c r="C594" s="3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customFormat="false" ht="37.5" hidden="false" customHeight="true" outlineLevel="0" collapsed="false">
      <c r="A595" s="25"/>
      <c r="B595" s="25"/>
      <c r="C595" s="3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customFormat="false" ht="37.5" hidden="false" customHeight="true" outlineLevel="0" collapsed="false">
      <c r="A596" s="25"/>
      <c r="B596" s="25"/>
      <c r="C596" s="3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customFormat="false" ht="37.5" hidden="false" customHeight="true" outlineLevel="0" collapsed="false">
      <c r="A597" s="25"/>
      <c r="B597" s="25"/>
      <c r="C597" s="3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customFormat="false" ht="37.5" hidden="false" customHeight="true" outlineLevel="0" collapsed="false">
      <c r="A598" s="25"/>
      <c r="B598" s="25"/>
      <c r="C598" s="3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customFormat="false" ht="37.5" hidden="false" customHeight="true" outlineLevel="0" collapsed="false">
      <c r="A599" s="25"/>
      <c r="B599" s="25"/>
      <c r="C599" s="3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customFormat="false" ht="37.5" hidden="false" customHeight="true" outlineLevel="0" collapsed="false">
      <c r="A600" s="25"/>
      <c r="B600" s="25"/>
      <c r="C600" s="3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customFormat="false" ht="37.5" hidden="false" customHeight="true" outlineLevel="0" collapsed="false">
      <c r="A601" s="25"/>
      <c r="B601" s="25"/>
      <c r="C601" s="3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customFormat="false" ht="37.5" hidden="false" customHeight="true" outlineLevel="0" collapsed="false">
      <c r="A602" s="25"/>
      <c r="B602" s="25"/>
      <c r="C602" s="3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customFormat="false" ht="37.5" hidden="false" customHeight="true" outlineLevel="0" collapsed="false">
      <c r="A603" s="25"/>
      <c r="B603" s="25"/>
      <c r="C603" s="3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customFormat="false" ht="37.5" hidden="false" customHeight="true" outlineLevel="0" collapsed="false">
      <c r="A604" s="25"/>
      <c r="B604" s="25"/>
      <c r="C604" s="3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customFormat="false" ht="37.5" hidden="false" customHeight="true" outlineLevel="0" collapsed="false">
      <c r="A605" s="25"/>
      <c r="B605" s="25"/>
      <c r="C605" s="3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customFormat="false" ht="37.5" hidden="false" customHeight="true" outlineLevel="0" collapsed="false">
      <c r="A606" s="25"/>
      <c r="B606" s="25"/>
      <c r="C606" s="3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customFormat="false" ht="37.5" hidden="false" customHeight="true" outlineLevel="0" collapsed="false">
      <c r="A607" s="25"/>
      <c r="B607" s="25"/>
      <c r="C607" s="3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customFormat="false" ht="37.5" hidden="false" customHeight="true" outlineLevel="0" collapsed="false">
      <c r="A608" s="25"/>
      <c r="B608" s="25"/>
      <c r="C608" s="3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customFormat="false" ht="37.5" hidden="false" customHeight="true" outlineLevel="0" collapsed="false">
      <c r="A609" s="25"/>
      <c r="B609" s="25"/>
      <c r="C609" s="3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customFormat="false" ht="37.5" hidden="false" customHeight="true" outlineLevel="0" collapsed="false">
      <c r="A610" s="25"/>
      <c r="B610" s="25"/>
      <c r="C610" s="3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customFormat="false" ht="37.5" hidden="false" customHeight="true" outlineLevel="0" collapsed="false">
      <c r="A611" s="25"/>
      <c r="B611" s="25"/>
      <c r="C611" s="3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customFormat="false" ht="37.5" hidden="false" customHeight="true" outlineLevel="0" collapsed="false">
      <c r="A612" s="25"/>
      <c r="B612" s="25"/>
      <c r="C612" s="3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customFormat="false" ht="37.5" hidden="false" customHeight="true" outlineLevel="0" collapsed="false">
      <c r="A613" s="25"/>
      <c r="B613" s="25"/>
      <c r="C613" s="3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customFormat="false" ht="37.5" hidden="false" customHeight="true" outlineLevel="0" collapsed="false">
      <c r="A614" s="25"/>
      <c r="B614" s="25"/>
      <c r="C614" s="3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customFormat="false" ht="37.5" hidden="false" customHeight="true" outlineLevel="0" collapsed="false">
      <c r="A615" s="25"/>
      <c r="B615" s="25"/>
      <c r="C615" s="3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customFormat="false" ht="37.5" hidden="false" customHeight="true" outlineLevel="0" collapsed="false">
      <c r="A616" s="25"/>
      <c r="B616" s="25"/>
      <c r="C616" s="3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customFormat="false" ht="37.5" hidden="false" customHeight="true" outlineLevel="0" collapsed="false">
      <c r="A617" s="25"/>
      <c r="B617" s="25"/>
      <c r="C617" s="3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customFormat="false" ht="37.5" hidden="false" customHeight="true" outlineLevel="0" collapsed="false">
      <c r="A618" s="25"/>
      <c r="B618" s="25"/>
      <c r="C618" s="3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customFormat="false" ht="37.5" hidden="false" customHeight="true" outlineLevel="0" collapsed="false">
      <c r="A619" s="25"/>
      <c r="B619" s="25"/>
      <c r="C619" s="3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customFormat="false" ht="37.5" hidden="false" customHeight="true" outlineLevel="0" collapsed="false">
      <c r="A620" s="25"/>
      <c r="B620" s="25"/>
      <c r="C620" s="3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customFormat="false" ht="37.5" hidden="false" customHeight="true" outlineLevel="0" collapsed="false">
      <c r="A621" s="25"/>
      <c r="B621" s="25"/>
      <c r="C621" s="3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customFormat="false" ht="37.5" hidden="false" customHeight="true" outlineLevel="0" collapsed="false">
      <c r="A622" s="25"/>
      <c r="B622" s="25"/>
      <c r="C622" s="3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customFormat="false" ht="37.5" hidden="false" customHeight="true" outlineLevel="0" collapsed="false">
      <c r="A623" s="25"/>
      <c r="B623" s="25"/>
      <c r="C623" s="3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customFormat="false" ht="37.5" hidden="false" customHeight="true" outlineLevel="0" collapsed="false">
      <c r="A624" s="25"/>
      <c r="B624" s="25"/>
      <c r="C624" s="3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customFormat="false" ht="37.5" hidden="false" customHeight="true" outlineLevel="0" collapsed="false">
      <c r="A625" s="25"/>
      <c r="B625" s="25"/>
      <c r="C625" s="3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customFormat="false" ht="37.5" hidden="false" customHeight="true" outlineLevel="0" collapsed="false">
      <c r="A626" s="25"/>
      <c r="B626" s="25"/>
      <c r="C626" s="3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customFormat="false" ht="37.5" hidden="false" customHeight="true" outlineLevel="0" collapsed="false">
      <c r="A627" s="25"/>
      <c r="B627" s="25"/>
      <c r="C627" s="3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customFormat="false" ht="37.5" hidden="false" customHeight="true" outlineLevel="0" collapsed="false">
      <c r="A628" s="25"/>
      <c r="B628" s="25"/>
      <c r="C628" s="3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customFormat="false" ht="37.5" hidden="false" customHeight="true" outlineLevel="0" collapsed="false">
      <c r="A629" s="25"/>
      <c r="B629" s="25"/>
      <c r="C629" s="3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customFormat="false" ht="37.5" hidden="false" customHeight="true" outlineLevel="0" collapsed="false">
      <c r="A630" s="25"/>
      <c r="B630" s="25"/>
      <c r="C630" s="3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customFormat="false" ht="37.5" hidden="false" customHeight="true" outlineLevel="0" collapsed="false">
      <c r="A631" s="25"/>
      <c r="B631" s="25"/>
      <c r="C631" s="3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customFormat="false" ht="37.5" hidden="false" customHeight="true" outlineLevel="0" collapsed="false">
      <c r="A632" s="25"/>
      <c r="B632" s="25"/>
      <c r="C632" s="3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customFormat="false" ht="37.5" hidden="false" customHeight="true" outlineLevel="0" collapsed="false">
      <c r="A633" s="25"/>
      <c r="B633" s="25"/>
      <c r="C633" s="3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customFormat="false" ht="37.5" hidden="false" customHeight="true" outlineLevel="0" collapsed="false">
      <c r="A634" s="25"/>
      <c r="B634" s="25"/>
      <c r="C634" s="3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customFormat="false" ht="37.5" hidden="false" customHeight="true" outlineLevel="0" collapsed="false">
      <c r="A635" s="25"/>
      <c r="B635" s="25"/>
      <c r="C635" s="3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customFormat="false" ht="37.5" hidden="false" customHeight="true" outlineLevel="0" collapsed="false">
      <c r="A636" s="25"/>
      <c r="B636" s="25"/>
      <c r="C636" s="3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customFormat="false" ht="37.5" hidden="false" customHeight="true" outlineLevel="0" collapsed="false">
      <c r="A637" s="25"/>
      <c r="B637" s="25"/>
      <c r="C637" s="3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customFormat="false" ht="37.5" hidden="false" customHeight="true" outlineLevel="0" collapsed="false">
      <c r="A638" s="25"/>
      <c r="B638" s="25"/>
      <c r="C638" s="3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customFormat="false" ht="37.5" hidden="false" customHeight="true" outlineLevel="0" collapsed="false">
      <c r="A639" s="25"/>
      <c r="B639" s="25"/>
      <c r="C639" s="3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customFormat="false" ht="37.5" hidden="false" customHeight="true" outlineLevel="0" collapsed="false">
      <c r="A640" s="25"/>
      <c r="B640" s="25"/>
      <c r="C640" s="3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customFormat="false" ht="37.5" hidden="false" customHeight="true" outlineLevel="0" collapsed="false">
      <c r="A641" s="25"/>
      <c r="B641" s="25"/>
      <c r="C641" s="3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customFormat="false" ht="37.5" hidden="false" customHeight="true" outlineLevel="0" collapsed="false">
      <c r="A642" s="25"/>
      <c r="B642" s="25"/>
      <c r="C642" s="3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customFormat="false" ht="37.5" hidden="false" customHeight="true" outlineLevel="0" collapsed="false">
      <c r="A643" s="25"/>
      <c r="B643" s="25"/>
      <c r="C643" s="3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customFormat="false" ht="37.5" hidden="false" customHeight="true" outlineLevel="0" collapsed="false">
      <c r="A644" s="25"/>
      <c r="B644" s="25"/>
      <c r="C644" s="3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customFormat="false" ht="37.5" hidden="false" customHeight="true" outlineLevel="0" collapsed="false">
      <c r="A645" s="25"/>
      <c r="B645" s="25"/>
      <c r="C645" s="3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customFormat="false" ht="37.5" hidden="false" customHeight="true" outlineLevel="0" collapsed="false">
      <c r="A646" s="25"/>
      <c r="B646" s="25"/>
      <c r="C646" s="3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customFormat="false" ht="37.5" hidden="false" customHeight="true" outlineLevel="0" collapsed="false">
      <c r="A647" s="25"/>
      <c r="B647" s="25"/>
      <c r="C647" s="3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customFormat="false" ht="37.5" hidden="false" customHeight="true" outlineLevel="0" collapsed="false">
      <c r="A648" s="25"/>
      <c r="B648" s="25"/>
      <c r="C648" s="3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customFormat="false" ht="37.5" hidden="false" customHeight="true" outlineLevel="0" collapsed="false">
      <c r="A649" s="25"/>
      <c r="B649" s="25"/>
      <c r="C649" s="3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customFormat="false" ht="37.5" hidden="false" customHeight="true" outlineLevel="0" collapsed="false">
      <c r="A650" s="25"/>
      <c r="B650" s="25"/>
      <c r="C650" s="3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customFormat="false" ht="37.5" hidden="false" customHeight="true" outlineLevel="0" collapsed="false">
      <c r="A651" s="25"/>
      <c r="B651" s="25"/>
      <c r="C651" s="3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customFormat="false" ht="37.5" hidden="false" customHeight="true" outlineLevel="0" collapsed="false">
      <c r="A652" s="25"/>
      <c r="B652" s="25"/>
      <c r="C652" s="3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customFormat="false" ht="37.5" hidden="false" customHeight="true" outlineLevel="0" collapsed="false">
      <c r="A653" s="25"/>
      <c r="B653" s="25"/>
      <c r="C653" s="3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customFormat="false" ht="37.5" hidden="false" customHeight="true" outlineLevel="0" collapsed="false">
      <c r="A654" s="25"/>
      <c r="B654" s="25"/>
      <c r="C654" s="3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customFormat="false" ht="37.5" hidden="false" customHeight="true" outlineLevel="0" collapsed="false">
      <c r="A655" s="25"/>
      <c r="B655" s="25"/>
      <c r="C655" s="3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customFormat="false" ht="37.5" hidden="false" customHeight="true" outlineLevel="0" collapsed="false">
      <c r="A656" s="25"/>
      <c r="B656" s="25"/>
      <c r="C656" s="3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customFormat="false" ht="37.5" hidden="false" customHeight="true" outlineLevel="0" collapsed="false">
      <c r="A657" s="25"/>
      <c r="B657" s="25"/>
      <c r="C657" s="3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customFormat="false" ht="37.5" hidden="false" customHeight="true" outlineLevel="0" collapsed="false">
      <c r="A658" s="25"/>
      <c r="B658" s="25"/>
      <c r="C658" s="3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customFormat="false" ht="37.5" hidden="false" customHeight="true" outlineLevel="0" collapsed="false">
      <c r="A659" s="25"/>
      <c r="B659" s="25"/>
      <c r="C659" s="3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customFormat="false" ht="37.5" hidden="false" customHeight="true" outlineLevel="0" collapsed="false">
      <c r="A660" s="25"/>
      <c r="B660" s="25"/>
      <c r="C660" s="3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customFormat="false" ht="37.5" hidden="false" customHeight="true" outlineLevel="0" collapsed="false">
      <c r="A661" s="25"/>
      <c r="B661" s="25"/>
      <c r="C661" s="3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customFormat="false" ht="37.5" hidden="false" customHeight="true" outlineLevel="0" collapsed="false">
      <c r="A662" s="25"/>
      <c r="B662" s="25"/>
      <c r="C662" s="3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customFormat="false" ht="37.5" hidden="false" customHeight="true" outlineLevel="0" collapsed="false">
      <c r="A663" s="25"/>
      <c r="B663" s="25"/>
      <c r="C663" s="3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customFormat="false" ht="37.5" hidden="false" customHeight="true" outlineLevel="0" collapsed="false">
      <c r="A664" s="25"/>
      <c r="B664" s="25"/>
      <c r="C664" s="3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customFormat="false" ht="37.5" hidden="false" customHeight="true" outlineLevel="0" collapsed="false">
      <c r="A665" s="25"/>
      <c r="B665" s="25"/>
      <c r="C665" s="3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customFormat="false" ht="37.5" hidden="false" customHeight="true" outlineLevel="0" collapsed="false">
      <c r="A666" s="25"/>
      <c r="B666" s="25"/>
      <c r="C666" s="3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customFormat="false" ht="37.5" hidden="false" customHeight="true" outlineLevel="0" collapsed="false">
      <c r="A667" s="25"/>
      <c r="B667" s="25"/>
      <c r="C667" s="3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customFormat="false" ht="37.5" hidden="false" customHeight="true" outlineLevel="0" collapsed="false">
      <c r="A668" s="25"/>
      <c r="B668" s="25"/>
      <c r="C668" s="3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customFormat="false" ht="37.5" hidden="false" customHeight="true" outlineLevel="0" collapsed="false">
      <c r="A669" s="25"/>
      <c r="B669" s="25"/>
      <c r="C669" s="3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customFormat="false" ht="37.5" hidden="false" customHeight="true" outlineLevel="0" collapsed="false">
      <c r="A670" s="25"/>
      <c r="B670" s="25"/>
      <c r="C670" s="3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customFormat="false" ht="37.5" hidden="false" customHeight="true" outlineLevel="0" collapsed="false">
      <c r="A671" s="25"/>
      <c r="B671" s="25"/>
      <c r="C671" s="3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customFormat="false" ht="37.5" hidden="false" customHeight="true" outlineLevel="0" collapsed="false">
      <c r="A672" s="25"/>
      <c r="B672" s="25"/>
      <c r="C672" s="3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customFormat="false" ht="37.5" hidden="false" customHeight="true" outlineLevel="0" collapsed="false">
      <c r="A673" s="25"/>
      <c r="B673" s="25"/>
      <c r="C673" s="3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customFormat="false" ht="37.5" hidden="false" customHeight="true" outlineLevel="0" collapsed="false">
      <c r="A674" s="25"/>
      <c r="B674" s="25"/>
      <c r="C674" s="3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customFormat="false" ht="37.5" hidden="false" customHeight="true" outlineLevel="0" collapsed="false">
      <c r="A675" s="25"/>
      <c r="B675" s="25"/>
      <c r="C675" s="3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customFormat="false" ht="37.5" hidden="false" customHeight="true" outlineLevel="0" collapsed="false">
      <c r="A676" s="25"/>
      <c r="B676" s="25"/>
      <c r="C676" s="3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customFormat="false" ht="37.5" hidden="false" customHeight="true" outlineLevel="0" collapsed="false">
      <c r="A677" s="25"/>
      <c r="B677" s="25"/>
      <c r="C677" s="3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customFormat="false" ht="37.5" hidden="false" customHeight="true" outlineLevel="0" collapsed="false">
      <c r="A678" s="25"/>
      <c r="B678" s="25"/>
      <c r="C678" s="3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customFormat="false" ht="37.5" hidden="false" customHeight="true" outlineLevel="0" collapsed="false">
      <c r="A679" s="25"/>
      <c r="B679" s="25"/>
      <c r="C679" s="3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customFormat="false" ht="37.5" hidden="false" customHeight="true" outlineLevel="0" collapsed="false">
      <c r="A680" s="25"/>
      <c r="B680" s="25"/>
      <c r="C680" s="3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customFormat="false" ht="37.5" hidden="false" customHeight="true" outlineLevel="0" collapsed="false">
      <c r="A681" s="25"/>
      <c r="B681" s="25"/>
      <c r="C681" s="3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customFormat="false" ht="37.5" hidden="false" customHeight="true" outlineLevel="0" collapsed="false">
      <c r="A682" s="25"/>
      <c r="B682" s="25"/>
      <c r="C682" s="3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customFormat="false" ht="37.5" hidden="false" customHeight="true" outlineLevel="0" collapsed="false">
      <c r="A683" s="25"/>
      <c r="B683" s="25"/>
      <c r="C683" s="3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customFormat="false" ht="37.5" hidden="false" customHeight="true" outlineLevel="0" collapsed="false">
      <c r="A684" s="25"/>
      <c r="B684" s="25"/>
      <c r="C684" s="3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customFormat="false" ht="37.5" hidden="false" customHeight="true" outlineLevel="0" collapsed="false">
      <c r="A685" s="25"/>
      <c r="B685" s="25"/>
      <c r="C685" s="3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customFormat="false" ht="37.5" hidden="false" customHeight="true" outlineLevel="0" collapsed="false">
      <c r="A686" s="25"/>
      <c r="B686" s="25"/>
      <c r="C686" s="3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customFormat="false" ht="37.5" hidden="false" customHeight="true" outlineLevel="0" collapsed="false">
      <c r="A687" s="25"/>
      <c r="B687" s="25"/>
      <c r="C687" s="3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customFormat="false" ht="37.5" hidden="false" customHeight="true" outlineLevel="0" collapsed="false">
      <c r="A688" s="25"/>
      <c r="B688" s="25"/>
      <c r="C688" s="3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customFormat="false" ht="37.5" hidden="false" customHeight="true" outlineLevel="0" collapsed="false">
      <c r="A689" s="25"/>
      <c r="B689" s="25"/>
      <c r="C689" s="3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customFormat="false" ht="37.5" hidden="false" customHeight="true" outlineLevel="0" collapsed="false">
      <c r="A690" s="25"/>
      <c r="B690" s="25"/>
      <c r="C690" s="3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customFormat="false" ht="37.5" hidden="false" customHeight="true" outlineLevel="0" collapsed="false">
      <c r="A691" s="25"/>
      <c r="B691" s="25"/>
      <c r="C691" s="3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customFormat="false" ht="37.5" hidden="false" customHeight="true" outlineLevel="0" collapsed="false">
      <c r="A692" s="25"/>
      <c r="B692" s="25"/>
      <c r="C692" s="3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customFormat="false" ht="37.5" hidden="false" customHeight="true" outlineLevel="0" collapsed="false">
      <c r="A693" s="25"/>
      <c r="B693" s="25"/>
      <c r="C693" s="3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customFormat="false" ht="37.5" hidden="false" customHeight="true" outlineLevel="0" collapsed="false">
      <c r="A694" s="25"/>
      <c r="B694" s="25"/>
      <c r="C694" s="3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customFormat="false" ht="37.5" hidden="false" customHeight="true" outlineLevel="0" collapsed="false">
      <c r="A695" s="25"/>
      <c r="B695" s="25"/>
      <c r="C695" s="3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customFormat="false" ht="37.5" hidden="false" customHeight="true" outlineLevel="0" collapsed="false">
      <c r="A696" s="25"/>
      <c r="B696" s="25"/>
      <c r="C696" s="3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customFormat="false" ht="37.5" hidden="false" customHeight="true" outlineLevel="0" collapsed="false">
      <c r="A697" s="25"/>
      <c r="B697" s="25"/>
      <c r="C697" s="3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customFormat="false" ht="37.5" hidden="false" customHeight="true" outlineLevel="0" collapsed="false">
      <c r="A698" s="25"/>
      <c r="B698" s="25"/>
      <c r="C698" s="3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customFormat="false" ht="37.5" hidden="false" customHeight="true" outlineLevel="0" collapsed="false">
      <c r="A699" s="25"/>
      <c r="B699" s="25"/>
      <c r="C699" s="3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customFormat="false" ht="37.5" hidden="false" customHeight="true" outlineLevel="0" collapsed="false">
      <c r="A700" s="25"/>
      <c r="B700" s="25"/>
      <c r="C700" s="3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customFormat="false" ht="37.5" hidden="false" customHeight="true" outlineLevel="0" collapsed="false">
      <c r="A701" s="25"/>
      <c r="B701" s="25"/>
      <c r="C701" s="3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customFormat="false" ht="37.5" hidden="false" customHeight="true" outlineLevel="0" collapsed="false">
      <c r="A702" s="25"/>
      <c r="B702" s="25"/>
      <c r="C702" s="3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customFormat="false" ht="37.5" hidden="false" customHeight="true" outlineLevel="0" collapsed="false">
      <c r="A703" s="25"/>
      <c r="B703" s="25"/>
      <c r="C703" s="3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customFormat="false" ht="37.5" hidden="false" customHeight="true" outlineLevel="0" collapsed="false">
      <c r="A704" s="25"/>
      <c r="B704" s="25"/>
      <c r="C704" s="3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customFormat="false" ht="37.5" hidden="false" customHeight="true" outlineLevel="0" collapsed="false">
      <c r="A705" s="25"/>
      <c r="B705" s="25"/>
      <c r="C705" s="3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customFormat="false" ht="37.5" hidden="false" customHeight="true" outlineLevel="0" collapsed="false">
      <c r="A706" s="25"/>
      <c r="B706" s="25"/>
      <c r="C706" s="3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customFormat="false" ht="37.5" hidden="false" customHeight="true" outlineLevel="0" collapsed="false">
      <c r="A707" s="25"/>
      <c r="B707" s="25"/>
      <c r="C707" s="3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customFormat="false" ht="37.5" hidden="false" customHeight="true" outlineLevel="0" collapsed="false">
      <c r="A708" s="25"/>
      <c r="B708" s="25"/>
      <c r="C708" s="3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customFormat="false" ht="37.5" hidden="false" customHeight="true" outlineLevel="0" collapsed="false">
      <c r="A709" s="25"/>
      <c r="B709" s="25"/>
      <c r="C709" s="3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customFormat="false" ht="37.5" hidden="false" customHeight="true" outlineLevel="0" collapsed="false">
      <c r="A710" s="25"/>
      <c r="B710" s="25"/>
      <c r="C710" s="3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customFormat="false" ht="37.5" hidden="false" customHeight="true" outlineLevel="0" collapsed="false">
      <c r="A711" s="25"/>
      <c r="B711" s="25"/>
      <c r="C711" s="3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customFormat="false" ht="37.5" hidden="false" customHeight="true" outlineLevel="0" collapsed="false">
      <c r="A712" s="25"/>
      <c r="B712" s="25"/>
      <c r="C712" s="3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customFormat="false" ht="37.5" hidden="false" customHeight="true" outlineLevel="0" collapsed="false">
      <c r="A713" s="25"/>
      <c r="B713" s="25"/>
      <c r="C713" s="3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customFormat="false" ht="37.5" hidden="false" customHeight="true" outlineLevel="0" collapsed="false">
      <c r="A714" s="25"/>
      <c r="B714" s="25"/>
      <c r="C714" s="3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customFormat="false" ht="37.5" hidden="false" customHeight="true" outlineLevel="0" collapsed="false">
      <c r="A715" s="25"/>
      <c r="B715" s="25"/>
      <c r="C715" s="3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customFormat="false" ht="37.5" hidden="false" customHeight="true" outlineLevel="0" collapsed="false">
      <c r="A716" s="25"/>
      <c r="B716" s="25"/>
      <c r="C716" s="3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customFormat="false" ht="37.5" hidden="false" customHeight="true" outlineLevel="0" collapsed="false">
      <c r="A717" s="25"/>
      <c r="B717" s="25"/>
      <c r="C717" s="3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customFormat="false" ht="37.5" hidden="false" customHeight="true" outlineLevel="0" collapsed="false">
      <c r="A718" s="25"/>
      <c r="B718" s="25"/>
      <c r="C718" s="3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customFormat="false" ht="37.5" hidden="false" customHeight="true" outlineLevel="0" collapsed="false">
      <c r="A719" s="25"/>
      <c r="B719" s="25"/>
      <c r="C719" s="3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customFormat="false" ht="37.5" hidden="false" customHeight="true" outlineLevel="0" collapsed="false">
      <c r="A720" s="25"/>
      <c r="B720" s="25"/>
      <c r="C720" s="3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customFormat="false" ht="37.5" hidden="false" customHeight="true" outlineLevel="0" collapsed="false">
      <c r="A721" s="25"/>
      <c r="B721" s="25"/>
      <c r="C721" s="3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customFormat="false" ht="37.5" hidden="false" customHeight="true" outlineLevel="0" collapsed="false">
      <c r="A722" s="25"/>
      <c r="B722" s="25"/>
      <c r="C722" s="3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customFormat="false" ht="37.5" hidden="false" customHeight="true" outlineLevel="0" collapsed="false">
      <c r="A723" s="25"/>
      <c r="B723" s="25"/>
      <c r="C723" s="3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customFormat="false" ht="37.5" hidden="false" customHeight="true" outlineLevel="0" collapsed="false">
      <c r="A724" s="25"/>
      <c r="B724" s="25"/>
      <c r="C724" s="3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customFormat="false" ht="37.5" hidden="false" customHeight="true" outlineLevel="0" collapsed="false">
      <c r="A725" s="25"/>
      <c r="B725" s="25"/>
      <c r="C725" s="3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customFormat="false" ht="37.5" hidden="false" customHeight="true" outlineLevel="0" collapsed="false">
      <c r="A726" s="25"/>
      <c r="B726" s="25"/>
      <c r="C726" s="3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customFormat="false" ht="37.5" hidden="false" customHeight="true" outlineLevel="0" collapsed="false">
      <c r="A727" s="25"/>
      <c r="B727" s="25"/>
      <c r="C727" s="3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customFormat="false" ht="37.5" hidden="false" customHeight="true" outlineLevel="0" collapsed="false">
      <c r="A728" s="25"/>
      <c r="B728" s="25"/>
      <c r="C728" s="3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customFormat="false" ht="37.5" hidden="false" customHeight="true" outlineLevel="0" collapsed="false">
      <c r="A729" s="25"/>
      <c r="B729" s="25"/>
      <c r="C729" s="3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customFormat="false" ht="37.5" hidden="false" customHeight="true" outlineLevel="0" collapsed="false">
      <c r="A730" s="25"/>
      <c r="B730" s="25"/>
      <c r="C730" s="3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customFormat="false" ht="37.5" hidden="false" customHeight="true" outlineLevel="0" collapsed="false">
      <c r="A731" s="25"/>
      <c r="B731" s="25"/>
      <c r="C731" s="3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customFormat="false" ht="37.5" hidden="false" customHeight="true" outlineLevel="0" collapsed="false">
      <c r="A732" s="25"/>
      <c r="B732" s="25"/>
      <c r="C732" s="3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customFormat="false" ht="37.5" hidden="false" customHeight="true" outlineLevel="0" collapsed="false">
      <c r="A733" s="25"/>
      <c r="B733" s="25"/>
      <c r="C733" s="3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customFormat="false" ht="37.5" hidden="false" customHeight="true" outlineLevel="0" collapsed="false">
      <c r="A734" s="25"/>
      <c r="B734" s="25"/>
      <c r="C734" s="3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customFormat="false" ht="37.5" hidden="false" customHeight="true" outlineLevel="0" collapsed="false">
      <c r="A735" s="25"/>
      <c r="B735" s="25"/>
      <c r="C735" s="3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customFormat="false" ht="37.5" hidden="false" customHeight="true" outlineLevel="0" collapsed="false">
      <c r="A736" s="25"/>
      <c r="B736" s="25"/>
      <c r="C736" s="3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customFormat="false" ht="37.5" hidden="false" customHeight="true" outlineLevel="0" collapsed="false">
      <c r="A737" s="25"/>
      <c r="B737" s="25"/>
      <c r="C737" s="3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customFormat="false" ht="37.5" hidden="false" customHeight="true" outlineLevel="0" collapsed="false">
      <c r="A738" s="25"/>
      <c r="B738" s="25"/>
      <c r="C738" s="3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customFormat="false" ht="37.5" hidden="false" customHeight="true" outlineLevel="0" collapsed="false">
      <c r="A739" s="25"/>
      <c r="B739" s="25"/>
      <c r="C739" s="3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customFormat="false" ht="37.5" hidden="false" customHeight="true" outlineLevel="0" collapsed="false">
      <c r="A740" s="25"/>
      <c r="B740" s="25"/>
      <c r="C740" s="3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customFormat="false" ht="37.5" hidden="false" customHeight="true" outlineLevel="0" collapsed="false">
      <c r="A741" s="25"/>
      <c r="B741" s="25"/>
      <c r="C741" s="3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customFormat="false" ht="37.5" hidden="false" customHeight="true" outlineLevel="0" collapsed="false">
      <c r="A742" s="25"/>
      <c r="B742" s="25"/>
      <c r="C742" s="3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customFormat="false" ht="37.5" hidden="false" customHeight="true" outlineLevel="0" collapsed="false">
      <c r="A743" s="25"/>
      <c r="B743" s="25"/>
      <c r="C743" s="3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customFormat="false" ht="37.5" hidden="false" customHeight="true" outlineLevel="0" collapsed="false">
      <c r="A744" s="25"/>
      <c r="B744" s="25"/>
      <c r="C744" s="3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customFormat="false" ht="37.5" hidden="false" customHeight="true" outlineLevel="0" collapsed="false">
      <c r="A745" s="25"/>
      <c r="B745" s="25"/>
      <c r="C745" s="3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customFormat="false" ht="37.5" hidden="false" customHeight="true" outlineLevel="0" collapsed="false">
      <c r="A746" s="25"/>
      <c r="B746" s="25"/>
      <c r="C746" s="3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customFormat="false" ht="37.5" hidden="false" customHeight="true" outlineLevel="0" collapsed="false">
      <c r="A747" s="25"/>
      <c r="B747" s="25"/>
      <c r="C747" s="3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customFormat="false" ht="37.5" hidden="false" customHeight="true" outlineLevel="0" collapsed="false">
      <c r="A748" s="25"/>
      <c r="B748" s="25"/>
      <c r="C748" s="3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customFormat="false" ht="37.5" hidden="false" customHeight="true" outlineLevel="0" collapsed="false">
      <c r="A749" s="25"/>
      <c r="B749" s="25"/>
      <c r="C749" s="3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customFormat="false" ht="37.5" hidden="false" customHeight="true" outlineLevel="0" collapsed="false">
      <c r="A750" s="25"/>
      <c r="B750" s="25"/>
      <c r="C750" s="3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customFormat="false" ht="37.5" hidden="false" customHeight="true" outlineLevel="0" collapsed="false">
      <c r="A751" s="25"/>
      <c r="B751" s="25"/>
      <c r="C751" s="3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customFormat="false" ht="37.5" hidden="false" customHeight="true" outlineLevel="0" collapsed="false">
      <c r="A752" s="25"/>
      <c r="B752" s="25"/>
      <c r="C752" s="3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customFormat="false" ht="37.5" hidden="false" customHeight="true" outlineLevel="0" collapsed="false">
      <c r="A753" s="25"/>
      <c r="B753" s="25"/>
      <c r="C753" s="3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customFormat="false" ht="37.5" hidden="false" customHeight="true" outlineLevel="0" collapsed="false">
      <c r="A754" s="25"/>
      <c r="B754" s="25"/>
      <c r="C754" s="3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customFormat="false" ht="37.5" hidden="false" customHeight="true" outlineLevel="0" collapsed="false">
      <c r="A755" s="25"/>
      <c r="B755" s="25"/>
      <c r="C755" s="3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customFormat="false" ht="37.5" hidden="false" customHeight="true" outlineLevel="0" collapsed="false">
      <c r="A756" s="25"/>
      <c r="B756" s="25"/>
      <c r="C756" s="3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customFormat="false" ht="37.5" hidden="false" customHeight="true" outlineLevel="0" collapsed="false">
      <c r="A757" s="25"/>
      <c r="B757" s="25"/>
      <c r="C757" s="3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customFormat="false" ht="37.5" hidden="false" customHeight="true" outlineLevel="0" collapsed="false">
      <c r="A758" s="25"/>
      <c r="B758" s="25"/>
      <c r="C758" s="3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customFormat="false" ht="37.5" hidden="false" customHeight="true" outlineLevel="0" collapsed="false">
      <c r="A759" s="25"/>
      <c r="B759" s="25"/>
      <c r="C759" s="3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customFormat="false" ht="37.5" hidden="false" customHeight="true" outlineLevel="0" collapsed="false">
      <c r="A760" s="25"/>
      <c r="B760" s="25"/>
      <c r="C760" s="3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customFormat="false" ht="37.5" hidden="false" customHeight="true" outlineLevel="0" collapsed="false">
      <c r="A761" s="25"/>
      <c r="B761" s="25"/>
      <c r="C761" s="3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customFormat="false" ht="37.5" hidden="false" customHeight="true" outlineLevel="0" collapsed="false">
      <c r="A762" s="25"/>
      <c r="B762" s="25"/>
      <c r="C762" s="3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customFormat="false" ht="37.5" hidden="false" customHeight="true" outlineLevel="0" collapsed="false">
      <c r="A763" s="25"/>
      <c r="B763" s="25"/>
      <c r="C763" s="3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customFormat="false" ht="37.5" hidden="false" customHeight="true" outlineLevel="0" collapsed="false">
      <c r="A764" s="25"/>
      <c r="B764" s="25"/>
      <c r="C764" s="3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customFormat="false" ht="37.5" hidden="false" customHeight="true" outlineLevel="0" collapsed="false">
      <c r="A765" s="25"/>
      <c r="B765" s="25"/>
      <c r="C765" s="3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customFormat="false" ht="37.5" hidden="false" customHeight="true" outlineLevel="0" collapsed="false">
      <c r="A766" s="25"/>
      <c r="B766" s="25"/>
      <c r="C766" s="3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customFormat="false" ht="37.5" hidden="false" customHeight="true" outlineLevel="0" collapsed="false">
      <c r="A767" s="25"/>
      <c r="B767" s="25"/>
      <c r="C767" s="3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customFormat="false" ht="37.5" hidden="false" customHeight="true" outlineLevel="0" collapsed="false">
      <c r="A768" s="25"/>
      <c r="B768" s="25"/>
      <c r="C768" s="3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customFormat="false" ht="37.5" hidden="false" customHeight="true" outlineLevel="0" collapsed="false">
      <c r="A769" s="25"/>
      <c r="B769" s="25"/>
      <c r="C769" s="3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customFormat="false" ht="37.5" hidden="false" customHeight="true" outlineLevel="0" collapsed="false">
      <c r="A770" s="25"/>
      <c r="B770" s="25"/>
      <c r="C770" s="3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customFormat="false" ht="37.5" hidden="false" customHeight="true" outlineLevel="0" collapsed="false">
      <c r="A771" s="25"/>
      <c r="B771" s="25"/>
      <c r="C771" s="3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customFormat="false" ht="37.5" hidden="false" customHeight="true" outlineLevel="0" collapsed="false">
      <c r="A772" s="25"/>
      <c r="B772" s="25"/>
      <c r="C772" s="3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customFormat="false" ht="37.5" hidden="false" customHeight="true" outlineLevel="0" collapsed="false">
      <c r="A773" s="25"/>
      <c r="B773" s="25"/>
      <c r="C773" s="3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customFormat="false" ht="37.5" hidden="false" customHeight="true" outlineLevel="0" collapsed="false">
      <c r="A774" s="25"/>
      <c r="B774" s="25"/>
      <c r="C774" s="3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customFormat="false" ht="37.5" hidden="false" customHeight="true" outlineLevel="0" collapsed="false">
      <c r="A775" s="25"/>
      <c r="B775" s="25"/>
      <c r="C775" s="3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customFormat="false" ht="37.5" hidden="false" customHeight="true" outlineLevel="0" collapsed="false">
      <c r="A776" s="25"/>
      <c r="B776" s="25"/>
      <c r="C776" s="3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customFormat="false" ht="37.5" hidden="false" customHeight="true" outlineLevel="0" collapsed="false">
      <c r="A777" s="25"/>
      <c r="B777" s="25"/>
      <c r="C777" s="3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customFormat="false" ht="37.5" hidden="false" customHeight="true" outlineLevel="0" collapsed="false">
      <c r="A778" s="25"/>
      <c r="B778" s="25"/>
      <c r="C778" s="3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customFormat="false" ht="37.5" hidden="false" customHeight="true" outlineLevel="0" collapsed="false">
      <c r="A779" s="25"/>
      <c r="B779" s="25"/>
      <c r="C779" s="3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customFormat="false" ht="37.5" hidden="false" customHeight="true" outlineLevel="0" collapsed="false">
      <c r="A780" s="25"/>
      <c r="B780" s="25"/>
      <c r="C780" s="3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customFormat="false" ht="37.5" hidden="false" customHeight="true" outlineLevel="0" collapsed="false">
      <c r="A781" s="25"/>
      <c r="B781" s="25"/>
      <c r="C781" s="3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customFormat="false" ht="37.5" hidden="false" customHeight="true" outlineLevel="0" collapsed="false">
      <c r="A782" s="25"/>
      <c r="B782" s="25"/>
      <c r="C782" s="3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customFormat="false" ht="37.5" hidden="false" customHeight="true" outlineLevel="0" collapsed="false">
      <c r="A783" s="25"/>
      <c r="B783" s="25"/>
      <c r="C783" s="3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customFormat="false" ht="37.5" hidden="false" customHeight="true" outlineLevel="0" collapsed="false">
      <c r="A784" s="25"/>
      <c r="B784" s="25"/>
      <c r="C784" s="3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customFormat="false" ht="37.5" hidden="false" customHeight="true" outlineLevel="0" collapsed="false">
      <c r="A785" s="25"/>
      <c r="B785" s="25"/>
      <c r="C785" s="3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customFormat="false" ht="37.5" hidden="false" customHeight="true" outlineLevel="0" collapsed="false">
      <c r="A786" s="25"/>
      <c r="B786" s="25"/>
      <c r="C786" s="3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customFormat="false" ht="37.5" hidden="false" customHeight="true" outlineLevel="0" collapsed="false">
      <c r="A787" s="25"/>
      <c r="B787" s="25"/>
      <c r="C787" s="3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customFormat="false" ht="37.5" hidden="false" customHeight="true" outlineLevel="0" collapsed="false">
      <c r="A788" s="25"/>
      <c r="B788" s="25"/>
      <c r="C788" s="3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customFormat="false" ht="37.5" hidden="false" customHeight="true" outlineLevel="0" collapsed="false">
      <c r="A789" s="25"/>
      <c r="B789" s="25"/>
      <c r="C789" s="3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customFormat="false" ht="37.5" hidden="false" customHeight="true" outlineLevel="0" collapsed="false">
      <c r="A790" s="25"/>
      <c r="B790" s="25"/>
      <c r="C790" s="3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customFormat="false" ht="37.5" hidden="false" customHeight="true" outlineLevel="0" collapsed="false">
      <c r="A791" s="25"/>
      <c r="B791" s="25"/>
      <c r="C791" s="3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customFormat="false" ht="37.5" hidden="false" customHeight="true" outlineLevel="0" collapsed="false">
      <c r="A792" s="25"/>
      <c r="B792" s="25"/>
      <c r="C792" s="3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customFormat="false" ht="37.5" hidden="false" customHeight="true" outlineLevel="0" collapsed="false">
      <c r="A793" s="25"/>
      <c r="B793" s="25"/>
      <c r="C793" s="3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customFormat="false" ht="37.5" hidden="false" customHeight="true" outlineLevel="0" collapsed="false">
      <c r="A794" s="25"/>
      <c r="B794" s="25"/>
      <c r="C794" s="3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customFormat="false" ht="37.5" hidden="false" customHeight="true" outlineLevel="0" collapsed="false">
      <c r="A795" s="25"/>
      <c r="B795" s="25"/>
      <c r="C795" s="3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customFormat="false" ht="37.5" hidden="false" customHeight="true" outlineLevel="0" collapsed="false">
      <c r="A796" s="25"/>
      <c r="B796" s="25"/>
      <c r="C796" s="3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customFormat="false" ht="37.5" hidden="false" customHeight="true" outlineLevel="0" collapsed="false">
      <c r="A797" s="25"/>
      <c r="B797" s="25"/>
      <c r="C797" s="3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customFormat="false" ht="37.5" hidden="false" customHeight="true" outlineLevel="0" collapsed="false">
      <c r="A798" s="25"/>
      <c r="B798" s="25"/>
      <c r="C798" s="3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customFormat="false" ht="37.5" hidden="false" customHeight="true" outlineLevel="0" collapsed="false">
      <c r="A799" s="25"/>
      <c r="B799" s="25"/>
      <c r="C799" s="3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customFormat="false" ht="37.5" hidden="false" customHeight="true" outlineLevel="0" collapsed="false">
      <c r="A800" s="25"/>
      <c r="B800" s="25"/>
      <c r="C800" s="3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customFormat="false" ht="37.5" hidden="false" customHeight="true" outlineLevel="0" collapsed="false">
      <c r="A801" s="25"/>
      <c r="B801" s="25"/>
      <c r="C801" s="3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customFormat="false" ht="37.5" hidden="false" customHeight="true" outlineLevel="0" collapsed="false">
      <c r="A802" s="25"/>
      <c r="B802" s="25"/>
      <c r="C802" s="3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customFormat="false" ht="37.5" hidden="false" customHeight="true" outlineLevel="0" collapsed="false">
      <c r="A803" s="25"/>
      <c r="B803" s="25"/>
      <c r="C803" s="3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customFormat="false" ht="37.5" hidden="false" customHeight="true" outlineLevel="0" collapsed="false">
      <c r="A804" s="25"/>
      <c r="B804" s="25"/>
      <c r="C804" s="3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customFormat="false" ht="37.5" hidden="false" customHeight="true" outlineLevel="0" collapsed="false">
      <c r="A805" s="25"/>
      <c r="B805" s="25"/>
      <c r="C805" s="3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customFormat="false" ht="37.5" hidden="false" customHeight="true" outlineLevel="0" collapsed="false">
      <c r="A806" s="25"/>
      <c r="B806" s="25"/>
      <c r="C806" s="3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customFormat="false" ht="37.5" hidden="false" customHeight="true" outlineLevel="0" collapsed="false">
      <c r="A807" s="25"/>
      <c r="B807" s="25"/>
      <c r="C807" s="3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customFormat="false" ht="37.5" hidden="false" customHeight="true" outlineLevel="0" collapsed="false">
      <c r="A808" s="25"/>
      <c r="B808" s="25"/>
      <c r="C808" s="3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customFormat="false" ht="37.5" hidden="false" customHeight="true" outlineLevel="0" collapsed="false">
      <c r="A809" s="25"/>
      <c r="B809" s="25"/>
      <c r="C809" s="3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customFormat="false" ht="37.5" hidden="false" customHeight="true" outlineLevel="0" collapsed="false">
      <c r="A810" s="25"/>
      <c r="B810" s="25"/>
      <c r="C810" s="3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customFormat="false" ht="37.5" hidden="false" customHeight="true" outlineLevel="0" collapsed="false">
      <c r="A811" s="25"/>
      <c r="B811" s="25"/>
      <c r="C811" s="3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customFormat="false" ht="37.5" hidden="false" customHeight="true" outlineLevel="0" collapsed="false">
      <c r="A812" s="25"/>
      <c r="B812" s="25"/>
      <c r="C812" s="3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customFormat="false" ht="37.5" hidden="false" customHeight="true" outlineLevel="0" collapsed="false">
      <c r="A813" s="25"/>
      <c r="B813" s="25"/>
      <c r="C813" s="3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customFormat="false" ht="37.5" hidden="false" customHeight="true" outlineLevel="0" collapsed="false">
      <c r="A814" s="25"/>
      <c r="B814" s="25"/>
      <c r="C814" s="3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customFormat="false" ht="37.5" hidden="false" customHeight="true" outlineLevel="0" collapsed="false">
      <c r="A815" s="25"/>
      <c r="B815" s="25"/>
      <c r="C815" s="3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customFormat="false" ht="37.5" hidden="false" customHeight="true" outlineLevel="0" collapsed="false">
      <c r="A816" s="25"/>
      <c r="B816" s="25"/>
      <c r="C816" s="3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customFormat="false" ht="37.5" hidden="false" customHeight="true" outlineLevel="0" collapsed="false">
      <c r="A817" s="25"/>
      <c r="B817" s="25"/>
      <c r="C817" s="3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customFormat="false" ht="37.5" hidden="false" customHeight="true" outlineLevel="0" collapsed="false">
      <c r="A818" s="25"/>
      <c r="B818" s="25"/>
      <c r="C818" s="3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customFormat="false" ht="37.5" hidden="false" customHeight="true" outlineLevel="0" collapsed="false">
      <c r="A819" s="25"/>
      <c r="B819" s="25"/>
      <c r="C819" s="3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customFormat="false" ht="37.5" hidden="false" customHeight="true" outlineLevel="0" collapsed="false">
      <c r="A820" s="25"/>
      <c r="B820" s="25"/>
      <c r="C820" s="3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customFormat="false" ht="37.5" hidden="false" customHeight="true" outlineLevel="0" collapsed="false">
      <c r="A821" s="25"/>
      <c r="B821" s="25"/>
      <c r="C821" s="3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customFormat="false" ht="37.5" hidden="false" customHeight="true" outlineLevel="0" collapsed="false">
      <c r="A822" s="25"/>
      <c r="B822" s="25"/>
      <c r="C822" s="3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customFormat="false" ht="37.5" hidden="false" customHeight="true" outlineLevel="0" collapsed="false">
      <c r="A823" s="25"/>
      <c r="B823" s="25"/>
      <c r="C823" s="3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customFormat="false" ht="37.5" hidden="false" customHeight="true" outlineLevel="0" collapsed="false">
      <c r="A824" s="25"/>
      <c r="B824" s="25"/>
      <c r="C824" s="3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customFormat="false" ht="37.5" hidden="false" customHeight="true" outlineLevel="0" collapsed="false">
      <c r="A825" s="25"/>
      <c r="B825" s="25"/>
      <c r="C825" s="3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customFormat="false" ht="37.5" hidden="false" customHeight="true" outlineLevel="0" collapsed="false">
      <c r="A826" s="25"/>
      <c r="B826" s="25"/>
      <c r="C826" s="3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customFormat="false" ht="37.5" hidden="false" customHeight="true" outlineLevel="0" collapsed="false">
      <c r="A827" s="25"/>
      <c r="B827" s="25"/>
      <c r="C827" s="3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customFormat="false" ht="37.5" hidden="false" customHeight="true" outlineLevel="0" collapsed="false">
      <c r="A828" s="25"/>
      <c r="B828" s="25"/>
      <c r="C828" s="3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customFormat="false" ht="37.5" hidden="false" customHeight="true" outlineLevel="0" collapsed="false">
      <c r="A829" s="25"/>
      <c r="B829" s="25"/>
      <c r="C829" s="3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customFormat="false" ht="37.5" hidden="false" customHeight="true" outlineLevel="0" collapsed="false">
      <c r="A830" s="25"/>
      <c r="B830" s="25"/>
      <c r="C830" s="3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customFormat="false" ht="37.5" hidden="false" customHeight="true" outlineLevel="0" collapsed="false">
      <c r="A831" s="25"/>
      <c r="B831" s="25"/>
      <c r="C831" s="3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customFormat="false" ht="37.5" hidden="false" customHeight="true" outlineLevel="0" collapsed="false">
      <c r="A832" s="25"/>
      <c r="B832" s="25"/>
      <c r="C832" s="3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customFormat="false" ht="37.5" hidden="false" customHeight="true" outlineLevel="0" collapsed="false">
      <c r="A833" s="25"/>
      <c r="B833" s="25"/>
      <c r="C833" s="3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customFormat="false" ht="37.5" hidden="false" customHeight="true" outlineLevel="0" collapsed="false">
      <c r="A834" s="25"/>
      <c r="B834" s="25"/>
      <c r="C834" s="3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customFormat="false" ht="37.5" hidden="false" customHeight="true" outlineLevel="0" collapsed="false">
      <c r="A835" s="25"/>
      <c r="B835" s="25"/>
      <c r="C835" s="3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customFormat="false" ht="37.5" hidden="false" customHeight="true" outlineLevel="0" collapsed="false">
      <c r="A836" s="25"/>
      <c r="B836" s="25"/>
      <c r="C836" s="3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customFormat="false" ht="37.5" hidden="false" customHeight="true" outlineLevel="0" collapsed="false">
      <c r="A837" s="25"/>
      <c r="B837" s="25"/>
      <c r="C837" s="3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customFormat="false" ht="37.5" hidden="false" customHeight="true" outlineLevel="0" collapsed="false">
      <c r="A838" s="25"/>
      <c r="B838" s="25"/>
      <c r="C838" s="3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customFormat="false" ht="37.5" hidden="false" customHeight="true" outlineLevel="0" collapsed="false">
      <c r="A839" s="25"/>
      <c r="B839" s="25"/>
      <c r="C839" s="3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customFormat="false" ht="37.5" hidden="false" customHeight="true" outlineLevel="0" collapsed="false">
      <c r="A840" s="25"/>
      <c r="B840" s="25"/>
      <c r="C840" s="3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customFormat="false" ht="37.5" hidden="false" customHeight="true" outlineLevel="0" collapsed="false">
      <c r="A841" s="25"/>
      <c r="B841" s="25"/>
      <c r="C841" s="3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customFormat="false" ht="37.5" hidden="false" customHeight="true" outlineLevel="0" collapsed="false">
      <c r="A842" s="25"/>
      <c r="B842" s="25"/>
      <c r="C842" s="3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customFormat="false" ht="37.5" hidden="false" customHeight="true" outlineLevel="0" collapsed="false">
      <c r="A843" s="25"/>
      <c r="B843" s="25"/>
      <c r="C843" s="3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customFormat="false" ht="37.5" hidden="false" customHeight="true" outlineLevel="0" collapsed="false">
      <c r="A844" s="25"/>
      <c r="B844" s="25"/>
      <c r="C844" s="3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customFormat="false" ht="37.5" hidden="false" customHeight="true" outlineLevel="0" collapsed="false">
      <c r="A845" s="25"/>
      <c r="B845" s="25"/>
      <c r="C845" s="3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customFormat="false" ht="37.5" hidden="false" customHeight="true" outlineLevel="0" collapsed="false">
      <c r="A846" s="25"/>
      <c r="B846" s="25"/>
      <c r="C846" s="3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customFormat="false" ht="37.5" hidden="false" customHeight="true" outlineLevel="0" collapsed="false">
      <c r="A847" s="25"/>
      <c r="B847" s="25"/>
      <c r="C847" s="3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customFormat="false" ht="37.5" hidden="false" customHeight="true" outlineLevel="0" collapsed="false">
      <c r="A848" s="25"/>
      <c r="B848" s="25"/>
      <c r="C848" s="3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customFormat="false" ht="37.5" hidden="false" customHeight="true" outlineLevel="0" collapsed="false">
      <c r="A849" s="25"/>
      <c r="B849" s="25"/>
      <c r="C849" s="3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customFormat="false" ht="37.5" hidden="false" customHeight="true" outlineLevel="0" collapsed="false">
      <c r="A850" s="25"/>
      <c r="B850" s="25"/>
      <c r="C850" s="3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customFormat="false" ht="37.5" hidden="false" customHeight="true" outlineLevel="0" collapsed="false">
      <c r="A851" s="25"/>
      <c r="B851" s="25"/>
      <c r="C851" s="3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customFormat="false" ht="37.5" hidden="false" customHeight="true" outlineLevel="0" collapsed="false">
      <c r="A852" s="25"/>
      <c r="B852" s="25"/>
      <c r="C852" s="3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customFormat="false" ht="37.5" hidden="false" customHeight="true" outlineLevel="0" collapsed="false">
      <c r="A853" s="25"/>
      <c r="B853" s="25"/>
      <c r="C853" s="3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customFormat="false" ht="37.5" hidden="false" customHeight="true" outlineLevel="0" collapsed="false">
      <c r="A854" s="25"/>
      <c r="B854" s="25"/>
      <c r="C854" s="3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customFormat="false" ht="37.5" hidden="false" customHeight="true" outlineLevel="0" collapsed="false">
      <c r="A855" s="25"/>
      <c r="B855" s="25"/>
      <c r="C855" s="3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customFormat="false" ht="37.5" hidden="false" customHeight="true" outlineLevel="0" collapsed="false">
      <c r="A856" s="25"/>
      <c r="B856" s="25"/>
      <c r="C856" s="3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customFormat="false" ht="37.5" hidden="false" customHeight="true" outlineLevel="0" collapsed="false">
      <c r="A857" s="25"/>
      <c r="B857" s="25"/>
      <c r="C857" s="3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customFormat="false" ht="37.5" hidden="false" customHeight="true" outlineLevel="0" collapsed="false">
      <c r="A858" s="25"/>
      <c r="B858" s="25"/>
      <c r="C858" s="3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customFormat="false" ht="37.5" hidden="false" customHeight="true" outlineLevel="0" collapsed="false">
      <c r="A859" s="25"/>
      <c r="B859" s="25"/>
      <c r="C859" s="3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customFormat="false" ht="37.5" hidden="false" customHeight="true" outlineLevel="0" collapsed="false">
      <c r="A860" s="25"/>
      <c r="B860" s="25"/>
      <c r="C860" s="3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customFormat="false" ht="37.5" hidden="false" customHeight="true" outlineLevel="0" collapsed="false">
      <c r="A861" s="25"/>
      <c r="B861" s="25"/>
      <c r="C861" s="3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customFormat="false" ht="37.5" hidden="false" customHeight="true" outlineLevel="0" collapsed="false">
      <c r="A862" s="25"/>
      <c r="B862" s="25"/>
      <c r="C862" s="3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customFormat="false" ht="37.5" hidden="false" customHeight="true" outlineLevel="0" collapsed="false">
      <c r="A863" s="25"/>
      <c r="B863" s="25"/>
      <c r="C863" s="3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customFormat="false" ht="37.5" hidden="false" customHeight="true" outlineLevel="0" collapsed="false">
      <c r="A864" s="25"/>
      <c r="B864" s="25"/>
      <c r="C864" s="3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customFormat="false" ht="37.5" hidden="false" customHeight="true" outlineLevel="0" collapsed="false">
      <c r="A865" s="25"/>
      <c r="B865" s="25"/>
      <c r="C865" s="3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customFormat="false" ht="37.5" hidden="false" customHeight="true" outlineLevel="0" collapsed="false">
      <c r="A866" s="25"/>
      <c r="B866" s="25"/>
      <c r="C866" s="3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customFormat="false" ht="37.5" hidden="false" customHeight="true" outlineLevel="0" collapsed="false">
      <c r="A867" s="25"/>
      <c r="B867" s="25"/>
      <c r="C867" s="3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customFormat="false" ht="37.5" hidden="false" customHeight="true" outlineLevel="0" collapsed="false">
      <c r="A868" s="25"/>
      <c r="B868" s="25"/>
      <c r="C868" s="3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customFormat="false" ht="37.5" hidden="false" customHeight="true" outlineLevel="0" collapsed="false">
      <c r="A869" s="25"/>
      <c r="B869" s="25"/>
      <c r="C869" s="3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customFormat="false" ht="37.5" hidden="false" customHeight="true" outlineLevel="0" collapsed="false">
      <c r="A870" s="25"/>
      <c r="B870" s="25"/>
      <c r="C870" s="3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customFormat="false" ht="37.5" hidden="false" customHeight="true" outlineLevel="0" collapsed="false">
      <c r="A871" s="25"/>
      <c r="B871" s="25"/>
      <c r="C871" s="3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customFormat="false" ht="37.5" hidden="false" customHeight="true" outlineLevel="0" collapsed="false">
      <c r="A872" s="25"/>
      <c r="B872" s="25"/>
      <c r="C872" s="3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customFormat="false" ht="37.5" hidden="false" customHeight="true" outlineLevel="0" collapsed="false">
      <c r="A873" s="25"/>
      <c r="B873" s="25"/>
      <c r="C873" s="3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customFormat="false" ht="37.5" hidden="false" customHeight="true" outlineLevel="0" collapsed="false">
      <c r="A874" s="25"/>
      <c r="B874" s="25"/>
      <c r="C874" s="3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customFormat="false" ht="37.5" hidden="false" customHeight="true" outlineLevel="0" collapsed="false">
      <c r="A875" s="25"/>
      <c r="B875" s="25"/>
      <c r="C875" s="3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customFormat="false" ht="37.5" hidden="false" customHeight="true" outlineLevel="0" collapsed="false">
      <c r="A876" s="25"/>
      <c r="B876" s="25"/>
      <c r="C876" s="3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customFormat="false" ht="37.5" hidden="false" customHeight="true" outlineLevel="0" collapsed="false">
      <c r="A877" s="25"/>
      <c r="B877" s="25"/>
      <c r="C877" s="3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customFormat="false" ht="37.5" hidden="false" customHeight="true" outlineLevel="0" collapsed="false">
      <c r="A878" s="25"/>
      <c r="B878" s="25"/>
      <c r="C878" s="3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customFormat="false" ht="37.5" hidden="false" customHeight="true" outlineLevel="0" collapsed="false">
      <c r="A879" s="25"/>
      <c r="B879" s="25"/>
      <c r="C879" s="3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customFormat="false" ht="37.5" hidden="false" customHeight="true" outlineLevel="0" collapsed="false">
      <c r="A880" s="25"/>
      <c r="B880" s="25"/>
      <c r="C880" s="3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customFormat="false" ht="37.5" hidden="false" customHeight="true" outlineLevel="0" collapsed="false">
      <c r="A881" s="25"/>
      <c r="B881" s="25"/>
      <c r="C881" s="3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customFormat="false" ht="37.5" hidden="false" customHeight="true" outlineLevel="0" collapsed="false">
      <c r="A882" s="25"/>
      <c r="B882" s="25"/>
      <c r="C882" s="3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customFormat="false" ht="37.5" hidden="false" customHeight="true" outlineLevel="0" collapsed="false">
      <c r="A883" s="25"/>
      <c r="B883" s="25"/>
      <c r="C883" s="3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customFormat="false" ht="37.5" hidden="false" customHeight="true" outlineLevel="0" collapsed="false">
      <c r="A884" s="25"/>
      <c r="B884" s="25"/>
      <c r="C884" s="3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customFormat="false" ht="37.5" hidden="false" customHeight="true" outlineLevel="0" collapsed="false">
      <c r="A885" s="25"/>
      <c r="B885" s="25"/>
      <c r="C885" s="3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customFormat="false" ht="37.5" hidden="false" customHeight="true" outlineLevel="0" collapsed="false">
      <c r="A886" s="25"/>
      <c r="B886" s="25"/>
      <c r="C886" s="3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customFormat="false" ht="37.5" hidden="false" customHeight="true" outlineLevel="0" collapsed="false">
      <c r="A887" s="25"/>
      <c r="B887" s="25"/>
      <c r="C887" s="3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customFormat="false" ht="37.5" hidden="false" customHeight="true" outlineLevel="0" collapsed="false">
      <c r="A888" s="25"/>
      <c r="B888" s="25"/>
      <c r="C888" s="3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customFormat="false" ht="37.5" hidden="false" customHeight="true" outlineLevel="0" collapsed="false">
      <c r="A889" s="25"/>
      <c r="B889" s="25"/>
      <c r="C889" s="3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customFormat="false" ht="37.5" hidden="false" customHeight="true" outlineLevel="0" collapsed="false">
      <c r="A890" s="25"/>
      <c r="B890" s="25"/>
      <c r="C890" s="3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customFormat="false" ht="37.5" hidden="false" customHeight="true" outlineLevel="0" collapsed="false">
      <c r="A891" s="25"/>
      <c r="B891" s="25"/>
      <c r="C891" s="3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customFormat="false" ht="37.5" hidden="false" customHeight="true" outlineLevel="0" collapsed="false">
      <c r="A892" s="25"/>
      <c r="B892" s="25"/>
      <c r="C892" s="3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customFormat="false" ht="37.5" hidden="false" customHeight="true" outlineLevel="0" collapsed="false">
      <c r="A893" s="25"/>
      <c r="B893" s="25"/>
      <c r="C893" s="3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customFormat="false" ht="37.5" hidden="false" customHeight="true" outlineLevel="0" collapsed="false">
      <c r="A894" s="25"/>
      <c r="B894" s="25"/>
      <c r="C894" s="3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customFormat="false" ht="37.5" hidden="false" customHeight="true" outlineLevel="0" collapsed="false">
      <c r="A895" s="25"/>
      <c r="B895" s="25"/>
      <c r="C895" s="3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customFormat="false" ht="37.5" hidden="false" customHeight="true" outlineLevel="0" collapsed="false">
      <c r="A896" s="25"/>
      <c r="B896" s="25"/>
      <c r="C896" s="3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customFormat="false" ht="37.5" hidden="false" customHeight="true" outlineLevel="0" collapsed="false">
      <c r="A897" s="25"/>
      <c r="B897" s="25"/>
      <c r="C897" s="3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customFormat="false" ht="37.5" hidden="false" customHeight="true" outlineLevel="0" collapsed="false">
      <c r="A898" s="25"/>
      <c r="B898" s="25"/>
      <c r="C898" s="3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customFormat="false" ht="37.5" hidden="false" customHeight="true" outlineLevel="0" collapsed="false">
      <c r="A899" s="25"/>
      <c r="B899" s="25"/>
      <c r="C899" s="3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customFormat="false" ht="37.5" hidden="false" customHeight="true" outlineLevel="0" collapsed="false">
      <c r="A900" s="25"/>
      <c r="B900" s="25"/>
      <c r="C900" s="3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customFormat="false" ht="37.5" hidden="false" customHeight="true" outlineLevel="0" collapsed="false">
      <c r="A901" s="25"/>
      <c r="B901" s="25"/>
      <c r="C901" s="3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customFormat="false" ht="37.5" hidden="false" customHeight="true" outlineLevel="0" collapsed="false">
      <c r="A902" s="25"/>
      <c r="B902" s="25"/>
      <c r="C902" s="3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customFormat="false" ht="37.5" hidden="false" customHeight="true" outlineLevel="0" collapsed="false">
      <c r="A903" s="25"/>
      <c r="B903" s="25"/>
      <c r="C903" s="3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customFormat="false" ht="37.5" hidden="false" customHeight="true" outlineLevel="0" collapsed="false">
      <c r="A904" s="25"/>
      <c r="B904" s="25"/>
      <c r="C904" s="3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customFormat="false" ht="37.5" hidden="false" customHeight="true" outlineLevel="0" collapsed="false">
      <c r="A905" s="25"/>
      <c r="B905" s="25"/>
      <c r="C905" s="3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customFormat="false" ht="37.5" hidden="false" customHeight="true" outlineLevel="0" collapsed="false">
      <c r="A906" s="25"/>
      <c r="B906" s="25"/>
      <c r="C906" s="3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customFormat="false" ht="37.5" hidden="false" customHeight="true" outlineLevel="0" collapsed="false">
      <c r="A907" s="25"/>
      <c r="B907" s="25"/>
      <c r="C907" s="3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customFormat="false" ht="37.5" hidden="false" customHeight="true" outlineLevel="0" collapsed="false">
      <c r="A908" s="25"/>
      <c r="B908" s="25"/>
      <c r="C908" s="3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customFormat="false" ht="37.5" hidden="false" customHeight="true" outlineLevel="0" collapsed="false">
      <c r="A909" s="25"/>
      <c r="B909" s="25"/>
      <c r="C909" s="3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customFormat="false" ht="37.5" hidden="false" customHeight="true" outlineLevel="0" collapsed="false">
      <c r="A910" s="25"/>
      <c r="B910" s="25"/>
      <c r="C910" s="3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customFormat="false" ht="37.5" hidden="false" customHeight="true" outlineLevel="0" collapsed="false">
      <c r="A911" s="25"/>
      <c r="B911" s="25"/>
      <c r="C911" s="3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customFormat="false" ht="37.5" hidden="false" customHeight="true" outlineLevel="0" collapsed="false">
      <c r="A912" s="25"/>
      <c r="B912" s="25"/>
      <c r="C912" s="3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customFormat="false" ht="37.5" hidden="false" customHeight="true" outlineLevel="0" collapsed="false">
      <c r="A913" s="25"/>
      <c r="B913" s="25"/>
      <c r="C913" s="3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customFormat="false" ht="37.5" hidden="false" customHeight="true" outlineLevel="0" collapsed="false">
      <c r="A914" s="25"/>
      <c r="B914" s="25"/>
      <c r="C914" s="3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customFormat="false" ht="37.5" hidden="false" customHeight="true" outlineLevel="0" collapsed="false">
      <c r="A915" s="25"/>
      <c r="B915" s="25"/>
      <c r="C915" s="3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customFormat="false" ht="37.5" hidden="false" customHeight="true" outlineLevel="0" collapsed="false">
      <c r="A916" s="25"/>
      <c r="B916" s="25"/>
      <c r="C916" s="3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customFormat="false" ht="37.5" hidden="false" customHeight="true" outlineLevel="0" collapsed="false">
      <c r="A917" s="25"/>
      <c r="B917" s="25"/>
      <c r="C917" s="3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customFormat="false" ht="37.5" hidden="false" customHeight="true" outlineLevel="0" collapsed="false">
      <c r="A918" s="25"/>
      <c r="B918" s="25"/>
      <c r="C918" s="3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customFormat="false" ht="37.5" hidden="false" customHeight="true" outlineLevel="0" collapsed="false">
      <c r="A919" s="25"/>
      <c r="B919" s="25"/>
      <c r="C919" s="3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customFormat="false" ht="37.5" hidden="false" customHeight="true" outlineLevel="0" collapsed="false">
      <c r="A920" s="25"/>
      <c r="B920" s="25"/>
      <c r="C920" s="3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customFormat="false" ht="37.5" hidden="false" customHeight="true" outlineLevel="0" collapsed="false">
      <c r="A921" s="25"/>
      <c r="B921" s="25"/>
      <c r="C921" s="3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customFormat="false" ht="37.5" hidden="false" customHeight="true" outlineLevel="0" collapsed="false">
      <c r="A922" s="25"/>
      <c r="B922" s="25"/>
      <c r="C922" s="3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customFormat="false" ht="37.5" hidden="false" customHeight="true" outlineLevel="0" collapsed="false">
      <c r="A923" s="25"/>
      <c r="B923" s="25"/>
      <c r="C923" s="3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customFormat="false" ht="37.5" hidden="false" customHeight="true" outlineLevel="0" collapsed="false">
      <c r="A924" s="25"/>
      <c r="B924" s="25"/>
      <c r="C924" s="3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customFormat="false" ht="37.5" hidden="false" customHeight="true" outlineLevel="0" collapsed="false">
      <c r="A925" s="25"/>
      <c r="B925" s="25"/>
      <c r="C925" s="3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customFormat="false" ht="37.5" hidden="false" customHeight="true" outlineLevel="0" collapsed="false">
      <c r="A926" s="25"/>
      <c r="B926" s="25"/>
      <c r="C926" s="3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customFormat="false" ht="37.5" hidden="false" customHeight="true" outlineLevel="0" collapsed="false">
      <c r="A927" s="25"/>
      <c r="B927" s="25"/>
      <c r="C927" s="3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customFormat="false" ht="37.5" hidden="false" customHeight="true" outlineLevel="0" collapsed="false">
      <c r="A928" s="25"/>
      <c r="B928" s="25"/>
      <c r="C928" s="3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customFormat="false" ht="37.5" hidden="false" customHeight="true" outlineLevel="0" collapsed="false">
      <c r="A929" s="25"/>
      <c r="B929" s="25"/>
      <c r="C929" s="3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customFormat="false" ht="37.5" hidden="false" customHeight="true" outlineLevel="0" collapsed="false">
      <c r="A930" s="25"/>
      <c r="B930" s="25"/>
      <c r="C930" s="3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customFormat="false" ht="37.5" hidden="false" customHeight="true" outlineLevel="0" collapsed="false">
      <c r="A931" s="25"/>
      <c r="B931" s="25"/>
      <c r="C931" s="3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customFormat="false" ht="37.5" hidden="false" customHeight="true" outlineLevel="0" collapsed="false">
      <c r="A932" s="25"/>
      <c r="B932" s="25"/>
      <c r="C932" s="3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customFormat="false" ht="37.5" hidden="false" customHeight="true" outlineLevel="0" collapsed="false">
      <c r="A933" s="25"/>
      <c r="B933" s="25"/>
      <c r="C933" s="3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customFormat="false" ht="37.5" hidden="false" customHeight="true" outlineLevel="0" collapsed="false">
      <c r="A934" s="25"/>
      <c r="B934" s="25"/>
      <c r="C934" s="3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customFormat="false" ht="37.5" hidden="false" customHeight="true" outlineLevel="0" collapsed="false">
      <c r="A935" s="25"/>
      <c r="B935" s="25"/>
      <c r="C935" s="3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customFormat="false" ht="37.5" hidden="false" customHeight="true" outlineLevel="0" collapsed="false">
      <c r="A936" s="25"/>
      <c r="B936" s="25"/>
      <c r="C936" s="3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customFormat="false" ht="37.5" hidden="false" customHeight="true" outlineLevel="0" collapsed="false">
      <c r="A937" s="25"/>
      <c r="B937" s="25"/>
      <c r="C937" s="3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customFormat="false" ht="37.5" hidden="false" customHeight="true" outlineLevel="0" collapsed="false">
      <c r="A938" s="25"/>
      <c r="B938" s="25"/>
      <c r="C938" s="3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customFormat="false" ht="37.5" hidden="false" customHeight="true" outlineLevel="0" collapsed="false">
      <c r="A939" s="25"/>
      <c r="B939" s="25"/>
      <c r="C939" s="3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customFormat="false" ht="37.5" hidden="false" customHeight="true" outlineLevel="0" collapsed="false">
      <c r="A940" s="25"/>
      <c r="B940" s="25"/>
      <c r="C940" s="3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customFormat="false" ht="37.5" hidden="false" customHeight="true" outlineLevel="0" collapsed="false">
      <c r="A941" s="25"/>
      <c r="B941" s="25"/>
      <c r="C941" s="3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customFormat="false" ht="37.5" hidden="false" customHeight="true" outlineLevel="0" collapsed="false">
      <c r="A942" s="25"/>
      <c r="B942" s="25"/>
      <c r="C942" s="3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customFormat="false" ht="37.5" hidden="false" customHeight="true" outlineLevel="0" collapsed="false">
      <c r="A943" s="25"/>
      <c r="B943" s="25"/>
      <c r="C943" s="3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customFormat="false" ht="37.5" hidden="false" customHeight="true" outlineLevel="0" collapsed="false">
      <c r="A944" s="25"/>
      <c r="B944" s="25"/>
      <c r="C944" s="3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customFormat="false" ht="37.5" hidden="false" customHeight="true" outlineLevel="0" collapsed="false">
      <c r="A945" s="25"/>
      <c r="B945" s="25"/>
      <c r="C945" s="3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customFormat="false" ht="37.5" hidden="false" customHeight="true" outlineLevel="0" collapsed="false">
      <c r="A946" s="25"/>
      <c r="B946" s="25"/>
      <c r="C946" s="3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customFormat="false" ht="37.5" hidden="false" customHeight="true" outlineLevel="0" collapsed="false">
      <c r="A947" s="25"/>
      <c r="B947" s="25"/>
      <c r="C947" s="3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customFormat="false" ht="37.5" hidden="false" customHeight="true" outlineLevel="0" collapsed="false">
      <c r="A948" s="25"/>
      <c r="B948" s="25"/>
      <c r="C948" s="3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customFormat="false" ht="37.5" hidden="false" customHeight="true" outlineLevel="0" collapsed="false">
      <c r="A949" s="25"/>
      <c r="B949" s="25"/>
      <c r="C949" s="3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customFormat="false" ht="37.5" hidden="false" customHeight="true" outlineLevel="0" collapsed="false">
      <c r="A950" s="25"/>
      <c r="B950" s="25"/>
      <c r="C950" s="3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customFormat="false" ht="37.5" hidden="false" customHeight="true" outlineLevel="0" collapsed="false">
      <c r="A951" s="25"/>
      <c r="B951" s="25"/>
      <c r="C951" s="3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customFormat="false" ht="37.5" hidden="false" customHeight="true" outlineLevel="0" collapsed="false">
      <c r="A952" s="25"/>
      <c r="B952" s="25"/>
      <c r="C952" s="3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customFormat="false" ht="37.5" hidden="false" customHeight="true" outlineLevel="0" collapsed="false">
      <c r="A953" s="25"/>
      <c r="B953" s="25"/>
      <c r="C953" s="3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customFormat="false" ht="37.5" hidden="false" customHeight="true" outlineLevel="0" collapsed="false">
      <c r="A954" s="25"/>
      <c r="B954" s="25"/>
      <c r="C954" s="3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customFormat="false" ht="37.5" hidden="false" customHeight="true" outlineLevel="0" collapsed="false">
      <c r="A955" s="25"/>
      <c r="B955" s="25"/>
      <c r="C955" s="3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customFormat="false" ht="37.5" hidden="false" customHeight="true" outlineLevel="0" collapsed="false">
      <c r="A956" s="25"/>
      <c r="B956" s="25"/>
      <c r="C956" s="3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customFormat="false" ht="37.5" hidden="false" customHeight="true" outlineLevel="0" collapsed="false">
      <c r="A957" s="25"/>
      <c r="B957" s="25"/>
      <c r="C957" s="3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customFormat="false" ht="37.5" hidden="false" customHeight="true" outlineLevel="0" collapsed="false">
      <c r="A958" s="25"/>
      <c r="B958" s="25"/>
      <c r="C958" s="3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customFormat="false" ht="37.5" hidden="false" customHeight="true" outlineLevel="0" collapsed="false">
      <c r="A959" s="25"/>
      <c r="B959" s="25"/>
      <c r="C959" s="3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customFormat="false" ht="37.5" hidden="false" customHeight="true" outlineLevel="0" collapsed="false">
      <c r="A960" s="25"/>
      <c r="B960" s="25"/>
      <c r="C960" s="3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customFormat="false" ht="37.5" hidden="false" customHeight="true" outlineLevel="0" collapsed="false">
      <c r="A961" s="25"/>
      <c r="B961" s="25"/>
      <c r="C961" s="3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customFormat="false" ht="37.5" hidden="false" customHeight="true" outlineLevel="0" collapsed="false">
      <c r="A962" s="25"/>
      <c r="B962" s="25"/>
      <c r="C962" s="3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customFormat="false" ht="37.5" hidden="false" customHeight="true" outlineLevel="0" collapsed="false">
      <c r="A963" s="25"/>
      <c r="B963" s="25"/>
      <c r="C963" s="3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customFormat="false" ht="37.5" hidden="false" customHeight="true" outlineLevel="0" collapsed="false">
      <c r="A964" s="25"/>
      <c r="B964" s="25"/>
      <c r="C964" s="3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customFormat="false" ht="37.5" hidden="false" customHeight="true" outlineLevel="0" collapsed="false">
      <c r="A965" s="25"/>
      <c r="B965" s="25"/>
      <c r="C965" s="3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customFormat="false" ht="37.5" hidden="false" customHeight="true" outlineLevel="0" collapsed="false">
      <c r="A966" s="25"/>
      <c r="B966" s="25"/>
      <c r="C966" s="3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customFormat="false" ht="37.5" hidden="false" customHeight="true" outlineLevel="0" collapsed="false">
      <c r="A967" s="25"/>
      <c r="B967" s="25"/>
      <c r="C967" s="3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customFormat="false" ht="37.5" hidden="false" customHeight="true" outlineLevel="0" collapsed="false">
      <c r="A968" s="25"/>
      <c r="B968" s="25"/>
      <c r="C968" s="3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customFormat="false" ht="37.5" hidden="false" customHeight="true" outlineLevel="0" collapsed="false">
      <c r="A969" s="25"/>
      <c r="B969" s="25"/>
      <c r="C969" s="3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customFormat="false" ht="37.5" hidden="false" customHeight="true" outlineLevel="0" collapsed="false">
      <c r="A970" s="25"/>
      <c r="B970" s="25"/>
      <c r="C970" s="3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customFormat="false" ht="37.5" hidden="false" customHeight="true" outlineLevel="0" collapsed="false">
      <c r="A971" s="25"/>
      <c r="B971" s="25"/>
      <c r="C971" s="3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customFormat="false" ht="37.5" hidden="false" customHeight="true" outlineLevel="0" collapsed="false">
      <c r="A972" s="25"/>
      <c r="B972" s="25"/>
      <c r="C972" s="3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customFormat="false" ht="37.5" hidden="false" customHeight="true" outlineLevel="0" collapsed="false">
      <c r="A973" s="25"/>
      <c r="B973" s="25"/>
      <c r="C973" s="3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customFormat="false" ht="37.5" hidden="false" customHeight="true" outlineLevel="0" collapsed="false">
      <c r="A974" s="25"/>
      <c r="B974" s="25"/>
      <c r="C974" s="3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customFormat="false" ht="37.5" hidden="false" customHeight="true" outlineLevel="0" collapsed="false">
      <c r="A975" s="25"/>
      <c r="B975" s="25"/>
      <c r="C975" s="3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customFormat="false" ht="37.5" hidden="false" customHeight="true" outlineLevel="0" collapsed="false">
      <c r="A976" s="25"/>
      <c r="B976" s="25"/>
      <c r="C976" s="3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customFormat="false" ht="37.5" hidden="false" customHeight="true" outlineLevel="0" collapsed="false">
      <c r="A977" s="25"/>
      <c r="B977" s="25"/>
      <c r="C977" s="3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customFormat="false" ht="37.5" hidden="false" customHeight="true" outlineLevel="0" collapsed="false">
      <c r="A978" s="25"/>
      <c r="B978" s="25"/>
      <c r="C978" s="3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customFormat="false" ht="37.5" hidden="false" customHeight="true" outlineLevel="0" collapsed="false">
      <c r="A979" s="25"/>
      <c r="B979" s="25"/>
      <c r="C979" s="3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customFormat="false" ht="37.5" hidden="false" customHeight="true" outlineLevel="0" collapsed="false">
      <c r="A980" s="25"/>
      <c r="B980" s="25"/>
      <c r="C980" s="3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customFormat="false" ht="37.5" hidden="false" customHeight="true" outlineLevel="0" collapsed="false">
      <c r="A981" s="25"/>
      <c r="B981" s="25"/>
      <c r="C981" s="3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customFormat="false" ht="37.5" hidden="false" customHeight="true" outlineLevel="0" collapsed="false">
      <c r="A982" s="25"/>
      <c r="B982" s="25"/>
      <c r="C982" s="3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customFormat="false" ht="37.5" hidden="false" customHeight="true" outlineLevel="0" collapsed="false">
      <c r="A983" s="25"/>
      <c r="B983" s="25"/>
      <c r="C983" s="3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customFormat="false" ht="37.5" hidden="false" customHeight="true" outlineLevel="0" collapsed="false">
      <c r="A984" s="25"/>
      <c r="B984" s="25"/>
      <c r="C984" s="3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customFormat="false" ht="37.5" hidden="false" customHeight="true" outlineLevel="0" collapsed="false">
      <c r="A985" s="25"/>
      <c r="B985" s="25"/>
      <c r="C985" s="3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customFormat="false" ht="37.5" hidden="false" customHeight="true" outlineLevel="0" collapsed="false">
      <c r="A986" s="25"/>
      <c r="B986" s="25"/>
      <c r="C986" s="3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customFormat="false" ht="37.5" hidden="false" customHeight="true" outlineLevel="0" collapsed="false">
      <c r="A987" s="25"/>
      <c r="B987" s="25"/>
      <c r="C987" s="3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customFormat="false" ht="37.5" hidden="false" customHeight="true" outlineLevel="0" collapsed="false">
      <c r="A988" s="25"/>
      <c r="B988" s="25"/>
      <c r="C988" s="3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customFormat="false" ht="37.5" hidden="false" customHeight="true" outlineLevel="0" collapsed="false">
      <c r="A989" s="25"/>
      <c r="B989" s="25"/>
      <c r="C989" s="3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customFormat="false" ht="37.5" hidden="false" customHeight="true" outlineLevel="0" collapsed="false">
      <c r="A990" s="25"/>
      <c r="B990" s="25"/>
      <c r="C990" s="3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customFormat="false" ht="37.5" hidden="false" customHeight="true" outlineLevel="0" collapsed="false">
      <c r="A991" s="25"/>
      <c r="B991" s="25"/>
      <c r="C991" s="3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customFormat="false" ht="37.5" hidden="false" customHeight="true" outlineLevel="0" collapsed="false">
      <c r="A992" s="25"/>
      <c r="B992" s="25"/>
      <c r="C992" s="3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customFormat="false" ht="37.5" hidden="false" customHeight="true" outlineLevel="0" collapsed="false">
      <c r="A993" s="25"/>
      <c r="B993" s="25"/>
      <c r="C993" s="3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customFormat="false" ht="37.5" hidden="false" customHeight="true" outlineLevel="0" collapsed="false">
      <c r="A994" s="25"/>
      <c r="B994" s="25"/>
      <c r="C994" s="3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customFormat="false" ht="37.5" hidden="false" customHeight="true" outlineLevel="0" collapsed="false">
      <c r="A995" s="25"/>
      <c r="B995" s="25"/>
      <c r="C995" s="3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customFormat="false" ht="37.5" hidden="false" customHeight="true" outlineLevel="0" collapsed="false">
      <c r="A996" s="25"/>
      <c r="B996" s="25"/>
      <c r="C996" s="3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customFormat="false" ht="37.5" hidden="false" customHeight="true" outlineLevel="0" collapsed="false">
      <c r="A997" s="25"/>
      <c r="B997" s="25"/>
      <c r="C997" s="3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customFormat="false" ht="37.5" hidden="false" customHeight="true" outlineLevel="0" collapsed="false">
      <c r="A998" s="25"/>
      <c r="B998" s="25"/>
      <c r="C998" s="3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customFormat="false" ht="37.5" hidden="false" customHeight="true" outlineLevel="0" collapsed="false">
      <c r="A999" s="25"/>
      <c r="B999" s="25"/>
      <c r="C999" s="3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customFormat="false" ht="37.5" hidden="false" customHeight="true" outlineLevel="0" collapsed="false">
      <c r="A1000" s="25"/>
      <c r="B1000" s="25"/>
      <c r="C1000" s="3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5703125" defaultRowHeight="15" zeroHeight="false" outlineLevelRow="0" outlineLevelCol="0"/>
  <cols>
    <col collapsed="false" customWidth="true" hidden="false" outlineLevel="0" max="3" min="1" style="1" width="34.57"/>
    <col collapsed="false" customWidth="true" hidden="false" outlineLevel="0" max="4" min="4" style="1" width="51"/>
    <col collapsed="false" customWidth="true" hidden="false" outlineLevel="0" max="5" min="5" style="1" width="42.42"/>
    <col collapsed="false" customWidth="true" hidden="false" outlineLevel="0" max="6" min="6" style="1" width="17.42"/>
    <col collapsed="false" customWidth="true" hidden="false" outlineLevel="0" max="26" min="7" style="1" width="8.57"/>
  </cols>
  <sheetData>
    <row r="1" customFormat="false" ht="27" hidden="false" customHeight="true" outlineLevel="0" collapsed="false">
      <c r="A1" s="21" t="s">
        <v>45</v>
      </c>
      <c r="B1" s="22" t="s">
        <v>46</v>
      </c>
      <c r="C1" s="22" t="s">
        <v>47</v>
      </c>
      <c r="D1" s="22" t="s">
        <v>9</v>
      </c>
      <c r="E1" s="24" t="s">
        <v>48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customFormat="false" ht="27" hidden="false" customHeight="true" outlineLevel="0" collapsed="false">
      <c r="A2" s="26" t="s">
        <v>49</v>
      </c>
      <c r="B2" s="27" t="n">
        <v>25</v>
      </c>
      <c r="C2" s="27" t="s">
        <v>50</v>
      </c>
      <c r="D2" s="27" t="s">
        <v>51</v>
      </c>
      <c r="E2" s="39" t="s">
        <v>52</v>
      </c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customFormat="false" ht="27" hidden="false" customHeight="true" outlineLevel="0" collapsed="false">
      <c r="A3" s="26" t="s">
        <v>53</v>
      </c>
      <c r="B3" s="27" t="n">
        <v>24</v>
      </c>
      <c r="C3" s="27" t="s">
        <v>54</v>
      </c>
      <c r="D3" s="27" t="s">
        <v>55</v>
      </c>
      <c r="E3" s="39" t="s">
        <v>56</v>
      </c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customFormat="false" ht="27" hidden="false" customHeight="true" outlineLevel="0" collapsed="false">
      <c r="A4" s="26" t="s">
        <v>57</v>
      </c>
      <c r="B4" s="27" t="n">
        <v>1</v>
      </c>
      <c r="C4" s="27" t="s">
        <v>31</v>
      </c>
      <c r="D4" s="27" t="s">
        <v>58</v>
      </c>
      <c r="E4" s="39" t="s">
        <v>59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customFormat="false" ht="27" hidden="false" customHeight="true" outlineLevel="0" collapsed="false">
      <c r="A5" s="26" t="s">
        <v>60</v>
      </c>
      <c r="B5" s="27" t="n">
        <v>9</v>
      </c>
      <c r="C5" s="27" t="s">
        <v>61</v>
      </c>
      <c r="D5" s="27" t="s">
        <v>62</v>
      </c>
      <c r="E5" s="39" t="s">
        <v>63</v>
      </c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customFormat="false" ht="27" hidden="false" customHeight="true" outlineLevel="0" collapsed="false">
      <c r="A6" s="26" t="s">
        <v>64</v>
      </c>
      <c r="B6" s="27" t="n">
        <v>16</v>
      </c>
      <c r="C6" s="27" t="s">
        <v>65</v>
      </c>
      <c r="D6" s="27" t="s">
        <v>66</v>
      </c>
      <c r="E6" s="39" t="s">
        <v>67</v>
      </c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customFormat="false" ht="27" hidden="false" customHeight="true" outlineLevel="0" collapsed="false">
      <c r="A7" s="40" t="s">
        <v>68</v>
      </c>
      <c r="B7" s="32" t="n">
        <v>4</v>
      </c>
      <c r="C7" s="32" t="s">
        <v>69</v>
      </c>
      <c r="D7" s="32" t="s">
        <v>70</v>
      </c>
      <c r="E7" s="41" t="s">
        <v>71</v>
      </c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customFormat="false" ht="27" hidden="false" customHeight="true" outlineLevel="0" collapsed="false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customFormat="false" ht="27" hidden="false" customHeight="true" outlineLevel="0" collapsed="false">
      <c r="A9" s="21" t="s">
        <v>45</v>
      </c>
      <c r="B9" s="22" t="s">
        <v>46</v>
      </c>
      <c r="C9" s="22" t="s">
        <v>72</v>
      </c>
      <c r="D9" s="22" t="s">
        <v>9</v>
      </c>
      <c r="E9" s="24" t="s">
        <v>48</v>
      </c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customFormat="false" ht="27" hidden="false" customHeight="true" outlineLevel="0" collapsed="false">
      <c r="A10" s="26" t="s">
        <v>73</v>
      </c>
      <c r="B10" s="27" t="n">
        <v>51</v>
      </c>
      <c r="C10" s="27" t="s">
        <v>74</v>
      </c>
      <c r="D10" s="27" t="s">
        <v>75</v>
      </c>
      <c r="E10" s="39" t="s">
        <v>76</v>
      </c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customFormat="false" ht="27" hidden="false" customHeight="true" outlineLevel="0" collapsed="false">
      <c r="A11" s="26" t="s">
        <v>77</v>
      </c>
      <c r="B11" s="27" t="n">
        <v>25</v>
      </c>
      <c r="C11" s="27" t="s">
        <v>50</v>
      </c>
      <c r="D11" s="27" t="s">
        <v>31</v>
      </c>
      <c r="E11" s="39" t="s">
        <v>78</v>
      </c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customFormat="false" ht="27" hidden="false" customHeight="true" outlineLevel="0" collapsed="false">
      <c r="A12" s="26" t="s">
        <v>57</v>
      </c>
      <c r="B12" s="27" t="n">
        <v>1</v>
      </c>
      <c r="C12" s="27" t="s">
        <v>31</v>
      </c>
      <c r="D12" s="27" t="s">
        <v>58</v>
      </c>
      <c r="E12" s="39" t="s">
        <v>59</v>
      </c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customFormat="false" ht="27" hidden="false" customHeight="true" outlineLevel="0" collapsed="false">
      <c r="A13" s="40" t="s">
        <v>79</v>
      </c>
      <c r="B13" s="32" t="n">
        <v>25</v>
      </c>
      <c r="C13" s="32" t="s">
        <v>50</v>
      </c>
      <c r="D13" s="32" t="s">
        <v>31</v>
      </c>
      <c r="E13" s="41" t="s">
        <v>80</v>
      </c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customFormat="false" ht="27" hidden="false" customHeight="true" outlineLevel="0" collapsed="false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customFormat="false" ht="27" hidden="false" customHeight="true" outlineLevel="0" collapsed="false">
      <c r="A15" s="21" t="s">
        <v>81</v>
      </c>
      <c r="B15" s="22" t="s">
        <v>82</v>
      </c>
      <c r="C15" s="22" t="s">
        <v>9</v>
      </c>
      <c r="D15" s="24" t="s">
        <v>48</v>
      </c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customFormat="false" ht="27" hidden="false" customHeight="true" outlineLevel="0" collapsed="false">
      <c r="A16" s="26" t="s">
        <v>83</v>
      </c>
      <c r="B16" s="27" t="s">
        <v>84</v>
      </c>
      <c r="C16" s="27" t="s">
        <v>85</v>
      </c>
      <c r="D16" s="39" t="s">
        <v>86</v>
      </c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customFormat="false" ht="27" hidden="false" customHeight="true" outlineLevel="0" collapsed="false">
      <c r="A17" s="40" t="s">
        <v>87</v>
      </c>
      <c r="B17" s="32" t="s">
        <v>88</v>
      </c>
      <c r="C17" s="32" t="s">
        <v>31</v>
      </c>
      <c r="D17" s="41" t="s">
        <v>89</v>
      </c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customFormat="false" ht="27" hidden="false" customHeight="true" outlineLevel="0" collapsed="false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customFormat="false" ht="27" hidden="false" customHeight="true" outlineLevel="0" collapsed="false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customFormat="false" ht="27" hidden="false" customHeight="true" outlineLevel="0" collapsed="false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customFormat="false" ht="27" hidden="false" customHeight="true" outlineLevel="0" collapsed="false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customFormat="false" ht="27" hidden="false" customHeight="true" outlineLevel="0" collapsed="false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customFormat="false" ht="27" hidden="false" customHeight="true" outlineLevel="0" collapsed="false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customFormat="false" ht="27" hidden="false" customHeight="true" outlineLevel="0" collapsed="false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customFormat="false" ht="27" hidden="false" customHeight="true" outlineLevel="0" collapsed="false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customFormat="false" ht="27" hidden="false" customHeight="true" outlineLevel="0" collapsed="false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customFormat="false" ht="27" hidden="false" customHeight="true" outlineLevel="0" collapsed="false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customFormat="false" ht="27" hidden="false" customHeight="true" outlineLevel="0" collapsed="false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customFormat="false" ht="27" hidden="false" customHeight="true" outlineLevel="0" collapsed="false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customFormat="false" ht="27" hidden="false" customHeight="true" outlineLevel="0" collapsed="false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customFormat="false" ht="27" hidden="false" customHeight="true" outlineLevel="0" collapsed="false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customFormat="false" ht="27" hidden="false" customHeight="true" outlineLevel="0" collapsed="false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customFormat="false" ht="27" hidden="false" customHeight="true" outlineLevel="0" collapsed="false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customFormat="false" ht="27" hidden="false" customHeight="true" outlineLevel="0" collapsed="false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customFormat="false" ht="27" hidden="false" customHeight="true" outlineLevel="0" collapsed="false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customFormat="false" ht="27" hidden="false" customHeight="true" outlineLevel="0" collapsed="false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customFormat="false" ht="27" hidden="false" customHeight="true" outlineLevel="0" collapsed="false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customFormat="false" ht="27" hidden="false" customHeight="true" outlineLevel="0" collapsed="false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customFormat="false" ht="27" hidden="false" customHeight="true" outlineLevel="0" collapsed="false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customFormat="false" ht="27" hidden="false" customHeight="true" outlineLevel="0" collapsed="false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customFormat="false" ht="27" hidden="false" customHeight="true" outlineLevel="0" collapsed="false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customFormat="false" ht="27" hidden="false" customHeight="true" outlineLevel="0" collapsed="false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customFormat="false" ht="27" hidden="false" customHeight="true" outlineLevel="0" collapsed="false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customFormat="false" ht="27" hidden="false" customHeight="true" outlineLevel="0" collapsed="false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customFormat="false" ht="27" hidden="false" customHeight="true" outlineLevel="0" collapsed="false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customFormat="false" ht="27" hidden="false" customHeight="true" outlineLevel="0" collapsed="false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customFormat="false" ht="27" hidden="false" customHeight="true" outlineLevel="0" collapsed="false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customFormat="false" ht="27" hidden="false" customHeight="true" outlineLevel="0" collapsed="false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customFormat="false" ht="27" hidden="false" customHeight="true" outlineLevel="0" collapsed="false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customFormat="false" ht="27" hidden="false" customHeight="true" outlineLevel="0" collapsed="false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customFormat="false" ht="27" hidden="false" customHeight="true" outlineLevel="0" collapsed="false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customFormat="false" ht="27" hidden="false" customHeight="true" outlineLevel="0" collapsed="false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customFormat="false" ht="27" hidden="false" customHeight="true" outlineLevel="0" collapsed="false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customFormat="false" ht="27" hidden="false" customHeight="true" outlineLevel="0" collapsed="false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customFormat="false" ht="27" hidden="false" customHeight="true" outlineLevel="0" collapsed="false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customFormat="false" ht="27" hidden="false" customHeight="true" outlineLevel="0" collapsed="false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customFormat="false" ht="27" hidden="false" customHeight="true" outlineLevel="0" collapsed="false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customFormat="false" ht="27" hidden="false" customHeight="true" outlineLevel="0" collapsed="false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customFormat="false" ht="27" hidden="false" customHeight="true" outlineLevel="0" collapsed="false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customFormat="false" ht="27" hidden="false" customHeight="true" outlineLevel="0" collapsed="false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customFormat="false" ht="27" hidden="false" customHeight="true" outlineLevel="0" collapsed="false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customFormat="false" ht="27" hidden="false" customHeight="true" outlineLevel="0" collapsed="false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customFormat="false" ht="27" hidden="false" customHeight="true" outlineLevel="0" collapsed="false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customFormat="false" ht="27" hidden="false" customHeight="true" outlineLevel="0" collapsed="false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customFormat="false" ht="27" hidden="false" customHeight="true" outlineLevel="0" collapsed="false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customFormat="false" ht="27" hidden="false" customHeight="true" outlineLevel="0" collapsed="false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customFormat="false" ht="27" hidden="false" customHeight="true" outlineLevel="0" collapsed="false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customFormat="false" ht="27" hidden="false" customHeight="true" outlineLevel="0" collapsed="false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customFormat="false" ht="27" hidden="false" customHeight="true" outlineLevel="0" collapsed="false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customFormat="false" ht="27" hidden="false" customHeight="true" outlineLevel="0" collapsed="false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customFormat="false" ht="27" hidden="false" customHeight="true" outlineLevel="0" collapsed="false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customFormat="false" ht="27" hidden="false" customHeight="true" outlineLevel="0" collapsed="false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customFormat="false" ht="27" hidden="false" customHeight="true" outlineLevel="0" collapsed="false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customFormat="false" ht="27" hidden="false" customHeight="true" outlineLevel="0" collapsed="false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customFormat="false" ht="27" hidden="false" customHeight="true" outlineLevel="0" collapsed="false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customFormat="false" ht="27" hidden="false" customHeight="true" outlineLevel="0" collapsed="false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customFormat="false" ht="27" hidden="false" customHeight="true" outlineLevel="0" collapsed="false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customFormat="false" ht="27" hidden="false" customHeight="true" outlineLevel="0" collapsed="false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customFormat="false" ht="27" hidden="false" customHeight="true" outlineLevel="0" collapsed="false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customFormat="false" ht="27" hidden="false" customHeight="true" outlineLevel="0" collapsed="false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customFormat="false" ht="27" hidden="false" customHeight="true" outlineLevel="0" collapsed="false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customFormat="false" ht="27" hidden="false" customHeight="true" outlineLevel="0" collapsed="false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customFormat="false" ht="27" hidden="false" customHeight="true" outlineLevel="0" collapsed="false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customFormat="false" ht="27" hidden="false" customHeight="true" outlineLevel="0" collapsed="false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customFormat="false" ht="27" hidden="false" customHeight="true" outlineLevel="0" collapsed="false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customFormat="false" ht="27" hidden="false" customHeight="true" outlineLevel="0" collapsed="false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customFormat="false" ht="27" hidden="false" customHeight="true" outlineLevel="0" collapsed="false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customFormat="false" ht="27" hidden="false" customHeight="true" outlineLevel="0" collapsed="false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customFormat="false" ht="27" hidden="false" customHeight="true" outlineLevel="0" collapsed="false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customFormat="false" ht="27" hidden="false" customHeight="true" outlineLevel="0" collapsed="false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customFormat="false" ht="27" hidden="false" customHeight="true" outlineLevel="0" collapsed="false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customFormat="false" ht="27" hidden="false" customHeight="true" outlineLevel="0" collapsed="false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customFormat="false" ht="27" hidden="false" customHeight="true" outlineLevel="0" collapsed="false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customFormat="false" ht="27" hidden="false" customHeight="true" outlineLevel="0" collapsed="false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customFormat="false" ht="27" hidden="false" customHeight="true" outlineLevel="0" collapsed="false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customFormat="false" ht="27" hidden="false" customHeight="true" outlineLevel="0" collapsed="false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customFormat="false" ht="27" hidden="false" customHeight="true" outlineLevel="0" collapsed="false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customFormat="false" ht="27" hidden="false" customHeight="true" outlineLevel="0" collapsed="false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customFormat="false" ht="27" hidden="false" customHeight="true" outlineLevel="0" collapsed="false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customFormat="false" ht="27" hidden="false" customHeight="true" outlineLevel="0" collapsed="false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customFormat="false" ht="27" hidden="false" customHeight="true" outlineLevel="0" collapsed="false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customFormat="false" ht="27" hidden="false" customHeight="true" outlineLevel="0" collapsed="false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customFormat="false" ht="27" hidden="false" customHeight="true" outlineLevel="0" collapsed="false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customFormat="false" ht="27" hidden="false" customHeight="true" outlineLevel="0" collapsed="false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customFormat="false" ht="27" hidden="false" customHeight="true" outlineLevel="0" collapsed="false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customFormat="false" ht="27" hidden="false" customHeight="true" outlineLevel="0" collapsed="false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customFormat="false" ht="27" hidden="false" customHeight="true" outlineLevel="0" collapsed="false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customFormat="false" ht="27" hidden="false" customHeight="true" outlineLevel="0" collapsed="false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customFormat="false" ht="27" hidden="false" customHeight="true" outlineLevel="0" collapsed="false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customFormat="false" ht="27" hidden="false" customHeight="true" outlineLevel="0" collapsed="false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customFormat="false" ht="27" hidden="false" customHeight="true" outlineLevel="0" collapsed="false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customFormat="false" ht="27" hidden="false" customHeight="true" outlineLevel="0" collapsed="false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customFormat="false" ht="27" hidden="false" customHeight="true" outlineLevel="0" collapsed="false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customFormat="false" ht="27" hidden="false" customHeight="true" outlineLevel="0" collapsed="false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customFormat="false" ht="27" hidden="false" customHeight="true" outlineLevel="0" collapsed="false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customFormat="false" ht="27" hidden="false" customHeight="true" outlineLevel="0" collapsed="false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customFormat="false" ht="27" hidden="false" customHeight="true" outlineLevel="0" collapsed="false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customFormat="false" ht="27" hidden="false" customHeight="true" outlineLevel="0" collapsed="false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customFormat="false" ht="27" hidden="false" customHeight="true" outlineLevel="0" collapsed="false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customFormat="false" ht="27" hidden="false" customHeight="true" outlineLevel="0" collapsed="false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customFormat="false" ht="27" hidden="false" customHeight="true" outlineLevel="0" collapsed="false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customFormat="false" ht="27" hidden="false" customHeight="true" outlineLevel="0" collapsed="false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customFormat="false" ht="27" hidden="false" customHeight="true" outlineLevel="0" collapsed="false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customFormat="false" ht="27" hidden="false" customHeight="true" outlineLevel="0" collapsed="false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customFormat="false" ht="27" hidden="false" customHeight="true" outlineLevel="0" collapsed="false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customFormat="false" ht="27" hidden="false" customHeight="true" outlineLevel="0" collapsed="false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customFormat="false" ht="27" hidden="false" customHeight="true" outlineLevel="0" collapsed="false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customFormat="false" ht="27" hidden="false" customHeight="true" outlineLevel="0" collapsed="false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customFormat="false" ht="27" hidden="false" customHeight="true" outlineLevel="0" collapsed="false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customFormat="false" ht="27" hidden="false" customHeight="true" outlineLevel="0" collapsed="false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customFormat="false" ht="27" hidden="false" customHeight="true" outlineLevel="0" collapsed="false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customFormat="false" ht="27" hidden="false" customHeight="true" outlineLevel="0" collapsed="false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customFormat="false" ht="27" hidden="false" customHeight="true" outlineLevel="0" collapsed="false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customFormat="false" ht="27" hidden="false" customHeight="true" outlineLevel="0" collapsed="false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customFormat="false" ht="27" hidden="false" customHeight="true" outlineLevel="0" collapsed="false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customFormat="false" ht="27" hidden="false" customHeight="true" outlineLevel="0" collapsed="false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customFormat="false" ht="27" hidden="false" customHeight="true" outlineLevel="0" collapsed="false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customFormat="false" ht="27" hidden="false" customHeight="true" outlineLevel="0" collapsed="false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customFormat="false" ht="27" hidden="false" customHeight="true" outlineLevel="0" collapsed="false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customFormat="false" ht="27" hidden="false" customHeight="true" outlineLevel="0" collapsed="false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customFormat="false" ht="27" hidden="false" customHeight="true" outlineLevel="0" collapsed="false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customFormat="false" ht="27" hidden="false" customHeight="true" outlineLevel="0" collapsed="false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customFormat="false" ht="27" hidden="false" customHeight="true" outlineLevel="0" collapsed="false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customFormat="false" ht="27" hidden="false" customHeight="true" outlineLevel="0" collapsed="false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customFormat="false" ht="27" hidden="false" customHeight="true" outlineLevel="0" collapsed="false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customFormat="false" ht="27" hidden="false" customHeight="true" outlineLevel="0" collapsed="false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customFormat="false" ht="27" hidden="false" customHeight="true" outlineLevel="0" collapsed="false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customFormat="false" ht="27" hidden="false" customHeight="true" outlineLevel="0" collapsed="false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customFormat="false" ht="27" hidden="false" customHeight="true" outlineLevel="0" collapsed="false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customFormat="false" ht="27" hidden="false" customHeight="true" outlineLevel="0" collapsed="false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customFormat="false" ht="27" hidden="false" customHeight="true" outlineLevel="0" collapsed="false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customFormat="false" ht="27" hidden="false" customHeight="true" outlineLevel="0" collapsed="false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customFormat="false" ht="27" hidden="false" customHeight="true" outlineLevel="0" collapsed="false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customFormat="false" ht="27" hidden="false" customHeight="true" outlineLevel="0" collapsed="false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customFormat="false" ht="27" hidden="false" customHeight="true" outlineLevel="0" collapsed="false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customFormat="false" ht="27" hidden="false" customHeight="true" outlineLevel="0" collapsed="false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customFormat="false" ht="27" hidden="false" customHeight="true" outlineLevel="0" collapsed="false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customFormat="false" ht="27" hidden="false" customHeight="true" outlineLevel="0" collapsed="false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customFormat="false" ht="27" hidden="false" customHeight="true" outlineLevel="0" collapsed="false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customFormat="false" ht="27" hidden="false" customHeight="true" outlineLevel="0" collapsed="false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customFormat="false" ht="27" hidden="false" customHeight="true" outlineLevel="0" collapsed="false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customFormat="false" ht="27" hidden="false" customHeight="true" outlineLevel="0" collapsed="false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customFormat="false" ht="27" hidden="false" customHeight="true" outlineLevel="0" collapsed="false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customFormat="false" ht="27" hidden="false" customHeight="true" outlineLevel="0" collapsed="false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customFormat="false" ht="27" hidden="false" customHeight="true" outlineLevel="0" collapsed="false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customFormat="false" ht="27" hidden="false" customHeight="true" outlineLevel="0" collapsed="false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customFormat="false" ht="27" hidden="false" customHeight="true" outlineLevel="0" collapsed="false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customFormat="false" ht="27" hidden="false" customHeight="true" outlineLevel="0" collapsed="false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customFormat="false" ht="27" hidden="false" customHeight="true" outlineLevel="0" collapsed="false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customFormat="false" ht="27" hidden="false" customHeight="true" outlineLevel="0" collapsed="false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customFormat="false" ht="27" hidden="false" customHeight="true" outlineLevel="0" collapsed="false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customFormat="false" ht="27" hidden="false" customHeight="true" outlineLevel="0" collapsed="false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customFormat="false" ht="27" hidden="false" customHeight="true" outlineLevel="0" collapsed="false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customFormat="false" ht="27" hidden="false" customHeight="true" outlineLevel="0" collapsed="false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customFormat="false" ht="27" hidden="false" customHeight="true" outlineLevel="0" collapsed="false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customFormat="false" ht="27" hidden="false" customHeight="true" outlineLevel="0" collapsed="false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customFormat="false" ht="27" hidden="false" customHeight="true" outlineLevel="0" collapsed="false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customFormat="false" ht="27" hidden="false" customHeight="true" outlineLevel="0" collapsed="false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customFormat="false" ht="27" hidden="false" customHeight="true" outlineLevel="0" collapsed="false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customFormat="false" ht="27" hidden="false" customHeight="true" outlineLevel="0" collapsed="false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customFormat="false" ht="27" hidden="false" customHeight="true" outlineLevel="0" collapsed="false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customFormat="false" ht="27" hidden="false" customHeight="true" outlineLevel="0" collapsed="false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customFormat="false" ht="27" hidden="false" customHeight="true" outlineLevel="0" collapsed="false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customFormat="false" ht="27" hidden="false" customHeight="true" outlineLevel="0" collapsed="false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customFormat="false" ht="27" hidden="false" customHeight="true" outlineLevel="0" collapsed="false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customFormat="false" ht="27" hidden="false" customHeight="true" outlineLevel="0" collapsed="false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customFormat="false" ht="27" hidden="false" customHeight="true" outlineLevel="0" collapsed="false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customFormat="false" ht="27" hidden="false" customHeight="true" outlineLevel="0" collapsed="false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customFormat="false" ht="27" hidden="false" customHeight="true" outlineLevel="0" collapsed="false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customFormat="false" ht="27" hidden="false" customHeight="true" outlineLevel="0" collapsed="false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customFormat="false" ht="27" hidden="false" customHeight="true" outlineLevel="0" collapsed="false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customFormat="false" ht="27" hidden="false" customHeight="true" outlineLevel="0" collapsed="false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customFormat="false" ht="27" hidden="false" customHeight="true" outlineLevel="0" collapsed="false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customFormat="false" ht="27" hidden="false" customHeight="true" outlineLevel="0" collapsed="false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customFormat="false" ht="27" hidden="false" customHeight="true" outlineLevel="0" collapsed="false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customFormat="false" ht="27" hidden="false" customHeight="true" outlineLevel="0" collapsed="false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customFormat="false" ht="27" hidden="false" customHeight="true" outlineLevel="0" collapsed="false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customFormat="false" ht="27" hidden="false" customHeight="true" outlineLevel="0" collapsed="false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customFormat="false" ht="27" hidden="false" customHeight="true" outlineLevel="0" collapsed="false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customFormat="false" ht="27" hidden="false" customHeight="true" outlineLevel="0" collapsed="false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customFormat="false" ht="27" hidden="false" customHeight="true" outlineLevel="0" collapsed="false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customFormat="false" ht="27" hidden="false" customHeight="true" outlineLevel="0" collapsed="false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customFormat="false" ht="27" hidden="false" customHeight="true" outlineLevel="0" collapsed="false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customFormat="false" ht="27" hidden="false" customHeight="true" outlineLevel="0" collapsed="false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customFormat="false" ht="27" hidden="false" customHeight="true" outlineLevel="0" collapsed="false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customFormat="false" ht="27" hidden="false" customHeight="true" outlineLevel="0" collapsed="false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customFormat="false" ht="27" hidden="false" customHeight="true" outlineLevel="0" collapsed="false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customFormat="false" ht="27" hidden="false" customHeight="true" outlineLevel="0" collapsed="false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customFormat="false" ht="27" hidden="false" customHeight="true" outlineLevel="0" collapsed="false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customFormat="false" ht="27" hidden="false" customHeight="true" outlineLevel="0" collapsed="false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customFormat="false" ht="27" hidden="false" customHeight="true" outlineLevel="0" collapsed="false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customFormat="false" ht="27" hidden="false" customHeight="true" outlineLevel="0" collapsed="false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customFormat="false" ht="27" hidden="false" customHeight="true" outlineLevel="0" collapsed="false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customFormat="false" ht="27" hidden="false" customHeight="true" outlineLevel="0" collapsed="false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customFormat="false" ht="27" hidden="false" customHeight="true" outlineLevel="0" collapsed="false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customFormat="false" ht="27" hidden="false" customHeight="true" outlineLevel="0" collapsed="false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customFormat="false" ht="27" hidden="false" customHeight="true" outlineLevel="0" collapsed="false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customFormat="false" ht="27" hidden="false" customHeight="true" outlineLevel="0" collapsed="false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customFormat="false" ht="27" hidden="false" customHeight="true" outlineLevel="0" collapsed="false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customFormat="false" ht="27" hidden="false" customHeight="true" outlineLevel="0" collapsed="false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customFormat="false" ht="27" hidden="false" customHeight="true" outlineLevel="0" collapsed="false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customFormat="false" ht="27" hidden="false" customHeight="true" outlineLevel="0" collapsed="false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customFormat="false" ht="27" hidden="false" customHeight="true" outlineLevel="0" collapsed="false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customFormat="false" ht="27" hidden="false" customHeight="true" outlineLevel="0" collapsed="false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customFormat="false" ht="27" hidden="false" customHeight="true" outlineLevel="0" collapsed="false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customFormat="false" ht="27" hidden="false" customHeight="true" outlineLevel="0" collapsed="false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customFormat="false" ht="27" hidden="false" customHeight="true" outlineLevel="0" collapsed="false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customFormat="false" ht="27" hidden="false" customHeight="true" outlineLevel="0" collapsed="false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customFormat="false" ht="27" hidden="false" customHeight="true" outlineLevel="0" collapsed="false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customFormat="false" ht="27" hidden="false" customHeight="true" outlineLevel="0" collapsed="false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customFormat="false" ht="27" hidden="false" customHeight="true" outlineLevel="0" collapsed="false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customFormat="false" ht="27" hidden="false" customHeight="true" outlineLevel="0" collapsed="false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customFormat="false" ht="27" hidden="false" customHeight="true" outlineLevel="0" collapsed="false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customFormat="false" ht="27" hidden="false" customHeight="true" outlineLevel="0" collapsed="false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customFormat="false" ht="27" hidden="false" customHeight="true" outlineLevel="0" collapsed="false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customFormat="false" ht="27" hidden="false" customHeight="true" outlineLevel="0" collapsed="false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customFormat="false" ht="27" hidden="false" customHeight="true" outlineLevel="0" collapsed="false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customFormat="false" ht="27" hidden="false" customHeight="true" outlineLevel="0" collapsed="false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customFormat="false" ht="27" hidden="false" customHeight="true" outlineLevel="0" collapsed="false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customFormat="false" ht="27" hidden="false" customHeight="true" outlineLevel="0" collapsed="false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customFormat="false" ht="27" hidden="false" customHeight="true" outlineLevel="0" collapsed="false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customFormat="false" ht="27" hidden="false" customHeight="true" outlineLevel="0" collapsed="false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customFormat="false" ht="27" hidden="false" customHeight="true" outlineLevel="0" collapsed="false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customFormat="false" ht="27" hidden="false" customHeight="true" outlineLevel="0" collapsed="false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customFormat="false" ht="27" hidden="false" customHeight="true" outlineLevel="0" collapsed="false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customFormat="false" ht="27" hidden="false" customHeight="true" outlineLevel="0" collapsed="false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customFormat="false" ht="27" hidden="false" customHeight="true" outlineLevel="0" collapsed="false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customFormat="false" ht="27" hidden="false" customHeight="true" outlineLevel="0" collapsed="false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customFormat="false" ht="27" hidden="false" customHeight="true" outlineLevel="0" collapsed="false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customFormat="false" ht="27" hidden="false" customHeight="true" outlineLevel="0" collapsed="false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customFormat="false" ht="27" hidden="false" customHeight="true" outlineLevel="0" collapsed="false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customFormat="false" ht="27" hidden="false" customHeight="true" outlineLevel="0" collapsed="false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customFormat="false" ht="27" hidden="false" customHeight="true" outlineLevel="0" collapsed="false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customFormat="false" ht="27" hidden="false" customHeight="true" outlineLevel="0" collapsed="false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customFormat="false" ht="27" hidden="false" customHeight="true" outlineLevel="0" collapsed="false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customFormat="false" ht="27" hidden="false" customHeight="true" outlineLevel="0" collapsed="false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customFormat="false" ht="27" hidden="false" customHeight="true" outlineLevel="0" collapsed="false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customFormat="false" ht="27" hidden="false" customHeight="true" outlineLevel="0" collapsed="false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customFormat="false" ht="27" hidden="false" customHeight="true" outlineLevel="0" collapsed="false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customFormat="false" ht="27" hidden="false" customHeight="true" outlineLevel="0" collapsed="false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customFormat="false" ht="27" hidden="false" customHeight="true" outlineLevel="0" collapsed="false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customFormat="false" ht="27" hidden="false" customHeight="true" outlineLevel="0" collapsed="false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customFormat="false" ht="27" hidden="false" customHeight="true" outlineLevel="0" collapsed="false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customFormat="false" ht="27" hidden="false" customHeight="true" outlineLevel="0" collapsed="false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customFormat="false" ht="27" hidden="false" customHeight="true" outlineLevel="0" collapsed="false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customFormat="false" ht="27" hidden="false" customHeight="true" outlineLevel="0" collapsed="false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customFormat="false" ht="27" hidden="false" customHeight="true" outlineLevel="0" collapsed="false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customFormat="false" ht="27" hidden="false" customHeight="true" outlineLevel="0" collapsed="false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customFormat="false" ht="27" hidden="false" customHeight="true" outlineLevel="0" collapsed="false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customFormat="false" ht="27" hidden="false" customHeight="true" outlineLevel="0" collapsed="false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customFormat="false" ht="27" hidden="false" customHeight="true" outlineLevel="0" collapsed="false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customFormat="false" ht="27" hidden="false" customHeight="true" outlineLevel="0" collapsed="false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customFormat="false" ht="27" hidden="false" customHeight="true" outlineLevel="0" collapsed="false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customFormat="false" ht="27" hidden="false" customHeight="true" outlineLevel="0" collapsed="false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customFormat="false" ht="27" hidden="false" customHeight="true" outlineLevel="0" collapsed="false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customFormat="false" ht="27" hidden="false" customHeight="true" outlineLevel="0" collapsed="false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customFormat="false" ht="27" hidden="false" customHeight="true" outlineLevel="0" collapsed="false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customFormat="false" ht="27" hidden="false" customHeight="true" outlineLevel="0" collapsed="false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customFormat="false" ht="27" hidden="false" customHeight="true" outlineLevel="0" collapsed="false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customFormat="false" ht="27" hidden="false" customHeight="true" outlineLevel="0" collapsed="false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customFormat="false" ht="27" hidden="false" customHeight="true" outlineLevel="0" collapsed="false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customFormat="false" ht="27" hidden="false" customHeight="true" outlineLevel="0" collapsed="false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customFormat="false" ht="27" hidden="false" customHeight="true" outlineLevel="0" collapsed="false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customFormat="false" ht="27" hidden="false" customHeight="true" outlineLevel="0" collapsed="false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customFormat="false" ht="27" hidden="false" customHeight="true" outlineLevel="0" collapsed="false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customFormat="false" ht="27" hidden="false" customHeight="true" outlineLevel="0" collapsed="false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customFormat="false" ht="27" hidden="false" customHeight="true" outlineLevel="0" collapsed="false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customFormat="false" ht="27" hidden="false" customHeight="true" outlineLevel="0" collapsed="false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customFormat="false" ht="27" hidden="false" customHeight="true" outlineLevel="0" collapsed="false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customFormat="false" ht="27" hidden="false" customHeight="true" outlineLevel="0" collapsed="false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customFormat="false" ht="27" hidden="false" customHeight="true" outlineLevel="0" collapsed="false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customFormat="false" ht="27" hidden="false" customHeight="true" outlineLevel="0" collapsed="false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customFormat="false" ht="27" hidden="false" customHeight="true" outlineLevel="0" collapsed="false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customFormat="false" ht="27" hidden="false" customHeight="true" outlineLevel="0" collapsed="false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customFormat="false" ht="27" hidden="false" customHeight="true" outlineLevel="0" collapsed="false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customFormat="false" ht="27" hidden="false" customHeight="true" outlineLevel="0" collapsed="false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customFormat="false" ht="27" hidden="false" customHeight="true" outlineLevel="0" collapsed="false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customFormat="false" ht="27" hidden="false" customHeight="true" outlineLevel="0" collapsed="false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customFormat="false" ht="27" hidden="false" customHeight="true" outlineLevel="0" collapsed="false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customFormat="false" ht="27" hidden="false" customHeight="true" outlineLevel="0" collapsed="false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customFormat="false" ht="27" hidden="false" customHeight="true" outlineLevel="0" collapsed="false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customFormat="false" ht="27" hidden="false" customHeight="true" outlineLevel="0" collapsed="false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customFormat="false" ht="27" hidden="false" customHeight="true" outlineLevel="0" collapsed="false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customFormat="false" ht="27" hidden="false" customHeight="true" outlineLevel="0" collapsed="false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customFormat="false" ht="27" hidden="false" customHeight="true" outlineLevel="0" collapsed="false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customFormat="false" ht="27" hidden="false" customHeight="true" outlineLevel="0" collapsed="false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customFormat="false" ht="27" hidden="false" customHeight="true" outlineLevel="0" collapsed="false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customFormat="false" ht="27" hidden="false" customHeight="true" outlineLevel="0" collapsed="false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customFormat="false" ht="27" hidden="false" customHeight="true" outlineLevel="0" collapsed="false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customFormat="false" ht="27" hidden="false" customHeight="true" outlineLevel="0" collapsed="false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customFormat="false" ht="27" hidden="false" customHeight="true" outlineLevel="0" collapsed="false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customFormat="false" ht="27" hidden="false" customHeight="true" outlineLevel="0" collapsed="false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customFormat="false" ht="27" hidden="false" customHeight="true" outlineLevel="0" collapsed="false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customFormat="false" ht="27" hidden="false" customHeight="true" outlineLevel="0" collapsed="false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customFormat="false" ht="27" hidden="false" customHeight="true" outlineLevel="0" collapsed="false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customFormat="false" ht="27" hidden="false" customHeight="true" outlineLevel="0" collapsed="false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customFormat="false" ht="27" hidden="false" customHeight="true" outlineLevel="0" collapsed="false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customFormat="false" ht="27" hidden="false" customHeight="true" outlineLevel="0" collapsed="false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customFormat="false" ht="27" hidden="false" customHeight="true" outlineLevel="0" collapsed="false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customFormat="false" ht="27" hidden="false" customHeight="true" outlineLevel="0" collapsed="false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customFormat="false" ht="27" hidden="false" customHeight="true" outlineLevel="0" collapsed="false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customFormat="false" ht="27" hidden="false" customHeight="true" outlineLevel="0" collapsed="false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customFormat="false" ht="27" hidden="false" customHeight="true" outlineLevel="0" collapsed="false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customFormat="false" ht="27" hidden="false" customHeight="true" outlineLevel="0" collapsed="false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customFormat="false" ht="27" hidden="false" customHeight="true" outlineLevel="0" collapsed="false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customFormat="false" ht="27" hidden="false" customHeight="true" outlineLevel="0" collapsed="false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customFormat="false" ht="27" hidden="false" customHeight="true" outlineLevel="0" collapsed="false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customFormat="false" ht="27" hidden="false" customHeight="true" outlineLevel="0" collapsed="false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customFormat="false" ht="27" hidden="false" customHeight="true" outlineLevel="0" collapsed="false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customFormat="false" ht="27" hidden="false" customHeight="true" outlineLevel="0" collapsed="false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customFormat="false" ht="27" hidden="false" customHeight="true" outlineLevel="0" collapsed="false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customFormat="false" ht="27" hidden="false" customHeight="true" outlineLevel="0" collapsed="false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customFormat="false" ht="27" hidden="false" customHeight="true" outlineLevel="0" collapsed="false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customFormat="false" ht="27" hidden="false" customHeight="true" outlineLevel="0" collapsed="false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customFormat="false" ht="27" hidden="false" customHeight="true" outlineLevel="0" collapsed="false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customFormat="false" ht="27" hidden="false" customHeight="true" outlineLevel="0" collapsed="false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customFormat="false" ht="27" hidden="false" customHeight="true" outlineLevel="0" collapsed="false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customFormat="false" ht="27" hidden="false" customHeight="true" outlineLevel="0" collapsed="false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customFormat="false" ht="27" hidden="false" customHeight="true" outlineLevel="0" collapsed="false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customFormat="false" ht="27" hidden="false" customHeight="true" outlineLevel="0" collapsed="false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customFormat="false" ht="27" hidden="false" customHeight="true" outlineLevel="0" collapsed="false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customFormat="false" ht="27" hidden="false" customHeight="true" outlineLevel="0" collapsed="false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customFormat="false" ht="27" hidden="false" customHeight="true" outlineLevel="0" collapsed="false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customFormat="false" ht="27" hidden="false" customHeight="true" outlineLevel="0" collapsed="false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customFormat="false" ht="27" hidden="false" customHeight="true" outlineLevel="0" collapsed="false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customFormat="false" ht="27" hidden="false" customHeight="true" outlineLevel="0" collapsed="false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customFormat="false" ht="27" hidden="false" customHeight="true" outlineLevel="0" collapsed="false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customFormat="false" ht="27" hidden="false" customHeight="true" outlineLevel="0" collapsed="false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customFormat="false" ht="27" hidden="false" customHeight="true" outlineLevel="0" collapsed="false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customFormat="false" ht="27" hidden="false" customHeight="true" outlineLevel="0" collapsed="false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customFormat="false" ht="27" hidden="false" customHeight="true" outlineLevel="0" collapsed="false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customFormat="false" ht="27" hidden="false" customHeight="true" outlineLevel="0" collapsed="false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customFormat="false" ht="27" hidden="false" customHeight="true" outlineLevel="0" collapsed="false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customFormat="false" ht="27" hidden="false" customHeight="true" outlineLevel="0" collapsed="false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customFormat="false" ht="27" hidden="false" customHeight="true" outlineLevel="0" collapsed="false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customFormat="false" ht="27" hidden="false" customHeight="true" outlineLevel="0" collapsed="false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customFormat="false" ht="27" hidden="false" customHeight="true" outlineLevel="0" collapsed="false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customFormat="false" ht="27" hidden="false" customHeight="true" outlineLevel="0" collapsed="false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customFormat="false" ht="27" hidden="false" customHeight="true" outlineLevel="0" collapsed="false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customFormat="false" ht="27" hidden="false" customHeight="true" outlineLevel="0" collapsed="false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customFormat="false" ht="27" hidden="false" customHeight="true" outlineLevel="0" collapsed="false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customFormat="false" ht="27" hidden="false" customHeight="true" outlineLevel="0" collapsed="false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customFormat="false" ht="27" hidden="false" customHeight="true" outlineLevel="0" collapsed="false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customFormat="false" ht="27" hidden="false" customHeight="true" outlineLevel="0" collapsed="false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customFormat="false" ht="27" hidden="false" customHeight="true" outlineLevel="0" collapsed="false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customFormat="false" ht="27" hidden="false" customHeight="true" outlineLevel="0" collapsed="false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customFormat="false" ht="27" hidden="false" customHeight="true" outlineLevel="0" collapsed="false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customFormat="false" ht="27" hidden="false" customHeight="true" outlineLevel="0" collapsed="false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customFormat="false" ht="27" hidden="false" customHeight="true" outlineLevel="0" collapsed="false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customFormat="false" ht="27" hidden="false" customHeight="true" outlineLevel="0" collapsed="false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customFormat="false" ht="27" hidden="false" customHeight="true" outlineLevel="0" collapsed="false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customFormat="false" ht="27" hidden="false" customHeight="true" outlineLevel="0" collapsed="false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customFormat="false" ht="27" hidden="false" customHeight="true" outlineLevel="0" collapsed="false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customFormat="false" ht="27" hidden="false" customHeight="true" outlineLevel="0" collapsed="false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customFormat="false" ht="27" hidden="false" customHeight="true" outlineLevel="0" collapsed="false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customFormat="false" ht="27" hidden="false" customHeight="true" outlineLevel="0" collapsed="false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customFormat="false" ht="27" hidden="false" customHeight="true" outlineLevel="0" collapsed="false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customFormat="false" ht="27" hidden="false" customHeight="true" outlineLevel="0" collapsed="false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customFormat="false" ht="27" hidden="false" customHeight="true" outlineLevel="0" collapsed="false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customFormat="false" ht="27" hidden="false" customHeight="true" outlineLevel="0" collapsed="false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customFormat="false" ht="27" hidden="false" customHeight="true" outlineLevel="0" collapsed="false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customFormat="false" ht="27" hidden="false" customHeight="true" outlineLevel="0" collapsed="false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customFormat="false" ht="27" hidden="false" customHeight="true" outlineLevel="0" collapsed="false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customFormat="false" ht="27" hidden="false" customHeight="true" outlineLevel="0" collapsed="false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customFormat="false" ht="27" hidden="false" customHeight="true" outlineLevel="0" collapsed="false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customFormat="false" ht="27" hidden="false" customHeight="true" outlineLevel="0" collapsed="false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customFormat="false" ht="27" hidden="false" customHeight="true" outlineLevel="0" collapsed="false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customFormat="false" ht="27" hidden="false" customHeight="true" outlineLevel="0" collapsed="false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customFormat="false" ht="27" hidden="false" customHeight="true" outlineLevel="0" collapsed="false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customFormat="false" ht="27" hidden="false" customHeight="true" outlineLevel="0" collapsed="false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customFormat="false" ht="27" hidden="false" customHeight="true" outlineLevel="0" collapsed="false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customFormat="false" ht="27" hidden="false" customHeight="true" outlineLevel="0" collapsed="false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customFormat="false" ht="27" hidden="false" customHeight="true" outlineLevel="0" collapsed="false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customFormat="false" ht="27" hidden="false" customHeight="true" outlineLevel="0" collapsed="false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customFormat="false" ht="27" hidden="false" customHeight="true" outlineLevel="0" collapsed="false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customFormat="false" ht="27" hidden="false" customHeight="true" outlineLevel="0" collapsed="false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customFormat="false" ht="27" hidden="false" customHeight="true" outlineLevel="0" collapsed="false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customFormat="false" ht="27" hidden="false" customHeight="true" outlineLevel="0" collapsed="false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customFormat="false" ht="27" hidden="false" customHeight="true" outlineLevel="0" collapsed="false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customFormat="false" ht="27" hidden="false" customHeight="true" outlineLevel="0" collapsed="false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customFormat="false" ht="27" hidden="false" customHeight="true" outlineLevel="0" collapsed="false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customFormat="false" ht="27" hidden="false" customHeight="true" outlineLevel="0" collapsed="false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customFormat="false" ht="27" hidden="false" customHeight="true" outlineLevel="0" collapsed="false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customFormat="false" ht="27" hidden="false" customHeight="true" outlineLevel="0" collapsed="false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customFormat="false" ht="27" hidden="false" customHeight="true" outlineLevel="0" collapsed="false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customFormat="false" ht="27" hidden="false" customHeight="true" outlineLevel="0" collapsed="false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customFormat="false" ht="27" hidden="false" customHeight="true" outlineLevel="0" collapsed="false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customFormat="false" ht="27" hidden="false" customHeight="true" outlineLevel="0" collapsed="false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customFormat="false" ht="27" hidden="false" customHeight="true" outlineLevel="0" collapsed="false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customFormat="false" ht="27" hidden="false" customHeight="true" outlineLevel="0" collapsed="false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customFormat="false" ht="27" hidden="false" customHeight="true" outlineLevel="0" collapsed="false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customFormat="false" ht="27" hidden="false" customHeight="true" outlineLevel="0" collapsed="false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customFormat="false" ht="27" hidden="false" customHeight="true" outlineLevel="0" collapsed="false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customFormat="false" ht="27" hidden="false" customHeight="true" outlineLevel="0" collapsed="false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customFormat="false" ht="27" hidden="false" customHeight="true" outlineLevel="0" collapsed="false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customFormat="false" ht="27" hidden="false" customHeight="true" outlineLevel="0" collapsed="false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customFormat="false" ht="27" hidden="false" customHeight="true" outlineLevel="0" collapsed="false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customFormat="false" ht="27" hidden="false" customHeight="true" outlineLevel="0" collapsed="false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customFormat="false" ht="27" hidden="false" customHeight="true" outlineLevel="0" collapsed="false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customFormat="false" ht="27" hidden="false" customHeight="true" outlineLevel="0" collapsed="false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customFormat="false" ht="27" hidden="false" customHeight="true" outlineLevel="0" collapsed="false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customFormat="false" ht="27" hidden="false" customHeight="true" outlineLevel="0" collapsed="false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customFormat="false" ht="27" hidden="false" customHeight="true" outlineLevel="0" collapsed="false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customFormat="false" ht="27" hidden="false" customHeight="true" outlineLevel="0" collapsed="false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customFormat="false" ht="27" hidden="false" customHeight="true" outlineLevel="0" collapsed="false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customFormat="false" ht="27" hidden="false" customHeight="true" outlineLevel="0" collapsed="false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customFormat="false" ht="27" hidden="false" customHeight="true" outlineLevel="0" collapsed="false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customFormat="false" ht="27" hidden="false" customHeight="true" outlineLevel="0" collapsed="false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customFormat="false" ht="27" hidden="false" customHeight="true" outlineLevel="0" collapsed="false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customFormat="false" ht="27" hidden="false" customHeight="true" outlineLevel="0" collapsed="false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customFormat="false" ht="27" hidden="false" customHeight="true" outlineLevel="0" collapsed="false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customFormat="false" ht="27" hidden="false" customHeight="true" outlineLevel="0" collapsed="false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customFormat="false" ht="27" hidden="false" customHeight="true" outlineLevel="0" collapsed="false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customFormat="false" ht="27" hidden="false" customHeight="true" outlineLevel="0" collapsed="false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customFormat="false" ht="27" hidden="false" customHeight="true" outlineLevel="0" collapsed="false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customFormat="false" ht="27" hidden="false" customHeight="true" outlineLevel="0" collapsed="false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customFormat="false" ht="27" hidden="false" customHeight="true" outlineLevel="0" collapsed="false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customFormat="false" ht="27" hidden="false" customHeight="true" outlineLevel="0" collapsed="false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customFormat="false" ht="27" hidden="false" customHeight="true" outlineLevel="0" collapsed="false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customFormat="false" ht="27" hidden="false" customHeight="true" outlineLevel="0" collapsed="false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customFormat="false" ht="27" hidden="false" customHeight="true" outlineLevel="0" collapsed="false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customFormat="false" ht="27" hidden="false" customHeight="true" outlineLevel="0" collapsed="false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customFormat="false" ht="27" hidden="false" customHeight="true" outlineLevel="0" collapsed="false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customFormat="false" ht="27" hidden="false" customHeight="true" outlineLevel="0" collapsed="false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customFormat="false" ht="27" hidden="false" customHeight="true" outlineLevel="0" collapsed="false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customFormat="false" ht="27" hidden="false" customHeight="true" outlineLevel="0" collapsed="false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customFormat="false" ht="27" hidden="false" customHeight="true" outlineLevel="0" collapsed="false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customFormat="false" ht="27" hidden="false" customHeight="true" outlineLevel="0" collapsed="false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customFormat="false" ht="27" hidden="false" customHeight="true" outlineLevel="0" collapsed="false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customFormat="false" ht="27" hidden="false" customHeight="true" outlineLevel="0" collapsed="false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customFormat="false" ht="27" hidden="false" customHeight="true" outlineLevel="0" collapsed="false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customFormat="false" ht="27" hidden="false" customHeight="true" outlineLevel="0" collapsed="false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customFormat="false" ht="27" hidden="false" customHeight="true" outlineLevel="0" collapsed="false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customFormat="false" ht="27" hidden="false" customHeight="true" outlineLevel="0" collapsed="false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customFormat="false" ht="27" hidden="false" customHeight="true" outlineLevel="0" collapsed="false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customFormat="false" ht="27" hidden="false" customHeight="true" outlineLevel="0" collapsed="false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customFormat="false" ht="27" hidden="false" customHeight="true" outlineLevel="0" collapsed="false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customFormat="false" ht="27" hidden="false" customHeight="true" outlineLevel="0" collapsed="false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customFormat="false" ht="27" hidden="false" customHeight="true" outlineLevel="0" collapsed="false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customFormat="false" ht="27" hidden="false" customHeight="true" outlineLevel="0" collapsed="false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customFormat="false" ht="27" hidden="false" customHeight="true" outlineLevel="0" collapsed="false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customFormat="false" ht="27" hidden="false" customHeight="true" outlineLevel="0" collapsed="false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customFormat="false" ht="27" hidden="false" customHeight="true" outlineLevel="0" collapsed="false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customFormat="false" ht="27" hidden="false" customHeight="true" outlineLevel="0" collapsed="false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customFormat="false" ht="27" hidden="false" customHeight="true" outlineLevel="0" collapsed="false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customFormat="false" ht="27" hidden="false" customHeight="true" outlineLevel="0" collapsed="false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customFormat="false" ht="27" hidden="false" customHeight="true" outlineLevel="0" collapsed="false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customFormat="false" ht="27" hidden="false" customHeight="true" outlineLevel="0" collapsed="false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customFormat="false" ht="27" hidden="false" customHeight="true" outlineLevel="0" collapsed="false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customFormat="false" ht="27" hidden="false" customHeight="true" outlineLevel="0" collapsed="false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customFormat="false" ht="27" hidden="false" customHeight="true" outlineLevel="0" collapsed="false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customFormat="false" ht="27" hidden="false" customHeight="true" outlineLevel="0" collapsed="false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customFormat="false" ht="27" hidden="false" customHeight="true" outlineLevel="0" collapsed="false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customFormat="false" ht="27" hidden="false" customHeight="true" outlineLevel="0" collapsed="false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customFormat="false" ht="27" hidden="false" customHeight="true" outlineLevel="0" collapsed="false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customFormat="false" ht="27" hidden="false" customHeight="true" outlineLevel="0" collapsed="false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customFormat="false" ht="27" hidden="false" customHeight="true" outlineLevel="0" collapsed="false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customFormat="false" ht="27" hidden="false" customHeight="true" outlineLevel="0" collapsed="false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customFormat="false" ht="27" hidden="false" customHeight="true" outlineLevel="0" collapsed="false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customFormat="false" ht="27" hidden="false" customHeight="true" outlineLevel="0" collapsed="false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customFormat="false" ht="27" hidden="false" customHeight="true" outlineLevel="0" collapsed="false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customFormat="false" ht="27" hidden="false" customHeight="true" outlineLevel="0" collapsed="false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customFormat="false" ht="27" hidden="false" customHeight="true" outlineLevel="0" collapsed="false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customFormat="false" ht="27" hidden="false" customHeight="true" outlineLevel="0" collapsed="false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customFormat="false" ht="27" hidden="false" customHeight="true" outlineLevel="0" collapsed="false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customFormat="false" ht="27" hidden="false" customHeight="true" outlineLevel="0" collapsed="false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customFormat="false" ht="27" hidden="false" customHeight="true" outlineLevel="0" collapsed="false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customFormat="false" ht="27" hidden="false" customHeight="true" outlineLevel="0" collapsed="false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customFormat="false" ht="27" hidden="false" customHeight="true" outlineLevel="0" collapsed="false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customFormat="false" ht="27" hidden="false" customHeight="true" outlineLevel="0" collapsed="false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customFormat="false" ht="27" hidden="false" customHeight="true" outlineLevel="0" collapsed="false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customFormat="false" ht="27" hidden="false" customHeight="true" outlineLevel="0" collapsed="false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customFormat="false" ht="27" hidden="false" customHeight="true" outlineLevel="0" collapsed="false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customFormat="false" ht="27" hidden="false" customHeight="true" outlineLevel="0" collapsed="false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customFormat="false" ht="27" hidden="false" customHeight="true" outlineLevel="0" collapsed="false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customFormat="false" ht="27" hidden="false" customHeight="true" outlineLevel="0" collapsed="false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customFormat="false" ht="27" hidden="false" customHeight="true" outlineLevel="0" collapsed="false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customFormat="false" ht="27" hidden="false" customHeight="true" outlineLevel="0" collapsed="false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customFormat="false" ht="27" hidden="false" customHeight="true" outlineLevel="0" collapsed="false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customFormat="false" ht="27" hidden="false" customHeight="true" outlineLevel="0" collapsed="false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customFormat="false" ht="27" hidden="false" customHeight="true" outlineLevel="0" collapsed="false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customFormat="false" ht="27" hidden="false" customHeight="true" outlineLevel="0" collapsed="false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customFormat="false" ht="27" hidden="false" customHeight="true" outlineLevel="0" collapsed="false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customFormat="false" ht="27" hidden="false" customHeight="true" outlineLevel="0" collapsed="false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customFormat="false" ht="27" hidden="false" customHeight="true" outlineLevel="0" collapsed="false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customFormat="false" ht="27" hidden="false" customHeight="true" outlineLevel="0" collapsed="false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customFormat="false" ht="27" hidden="false" customHeight="true" outlineLevel="0" collapsed="false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customFormat="false" ht="27" hidden="false" customHeight="true" outlineLevel="0" collapsed="false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customFormat="false" ht="27" hidden="false" customHeight="true" outlineLevel="0" collapsed="false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customFormat="false" ht="27" hidden="false" customHeight="true" outlineLevel="0" collapsed="false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customFormat="false" ht="27" hidden="false" customHeight="true" outlineLevel="0" collapsed="false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customFormat="false" ht="27" hidden="false" customHeight="true" outlineLevel="0" collapsed="false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customFormat="false" ht="27" hidden="false" customHeight="true" outlineLevel="0" collapsed="false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customFormat="false" ht="27" hidden="false" customHeight="true" outlineLevel="0" collapsed="false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customFormat="false" ht="27" hidden="false" customHeight="true" outlineLevel="0" collapsed="false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customFormat="false" ht="27" hidden="false" customHeight="true" outlineLevel="0" collapsed="false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customFormat="false" ht="27" hidden="false" customHeight="true" outlineLevel="0" collapsed="false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customFormat="false" ht="27" hidden="false" customHeight="true" outlineLevel="0" collapsed="false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customFormat="false" ht="27" hidden="false" customHeight="true" outlineLevel="0" collapsed="false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customFormat="false" ht="27" hidden="false" customHeight="true" outlineLevel="0" collapsed="false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customFormat="false" ht="27" hidden="false" customHeight="true" outlineLevel="0" collapsed="false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customFormat="false" ht="27" hidden="false" customHeight="true" outlineLevel="0" collapsed="false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customFormat="false" ht="27" hidden="false" customHeight="true" outlineLevel="0" collapsed="false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customFormat="false" ht="27" hidden="false" customHeight="true" outlineLevel="0" collapsed="false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customFormat="false" ht="27" hidden="false" customHeight="true" outlineLevel="0" collapsed="false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customFormat="false" ht="27" hidden="false" customHeight="true" outlineLevel="0" collapsed="false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customFormat="false" ht="27" hidden="false" customHeight="true" outlineLevel="0" collapsed="false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customFormat="false" ht="27" hidden="false" customHeight="true" outlineLevel="0" collapsed="false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customFormat="false" ht="27" hidden="false" customHeight="true" outlineLevel="0" collapsed="false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customFormat="false" ht="27" hidden="false" customHeight="true" outlineLevel="0" collapsed="false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customFormat="false" ht="27" hidden="false" customHeight="true" outlineLevel="0" collapsed="false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customFormat="false" ht="27" hidden="false" customHeight="true" outlineLevel="0" collapsed="false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customFormat="false" ht="27" hidden="false" customHeight="true" outlineLevel="0" collapsed="false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customFormat="false" ht="27" hidden="false" customHeight="true" outlineLevel="0" collapsed="false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customFormat="false" ht="27" hidden="false" customHeight="true" outlineLevel="0" collapsed="false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customFormat="false" ht="27" hidden="false" customHeight="true" outlineLevel="0" collapsed="false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customFormat="false" ht="27" hidden="false" customHeight="true" outlineLevel="0" collapsed="false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customFormat="false" ht="27" hidden="false" customHeight="true" outlineLevel="0" collapsed="false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customFormat="false" ht="27" hidden="false" customHeight="true" outlineLevel="0" collapsed="false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customFormat="false" ht="27" hidden="false" customHeight="true" outlineLevel="0" collapsed="false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customFormat="false" ht="27" hidden="false" customHeight="true" outlineLevel="0" collapsed="false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customFormat="false" ht="27" hidden="false" customHeight="true" outlineLevel="0" collapsed="false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customFormat="false" ht="27" hidden="false" customHeight="true" outlineLevel="0" collapsed="false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customFormat="false" ht="27" hidden="false" customHeight="true" outlineLevel="0" collapsed="false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customFormat="false" ht="27" hidden="false" customHeight="true" outlineLevel="0" collapsed="false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customFormat="false" ht="27" hidden="false" customHeight="true" outlineLevel="0" collapsed="false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customFormat="false" ht="27" hidden="false" customHeight="true" outlineLevel="0" collapsed="false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customFormat="false" ht="27" hidden="false" customHeight="true" outlineLevel="0" collapsed="false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customFormat="false" ht="27" hidden="false" customHeight="true" outlineLevel="0" collapsed="false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customFormat="false" ht="27" hidden="false" customHeight="true" outlineLevel="0" collapsed="false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customFormat="false" ht="27" hidden="false" customHeight="true" outlineLevel="0" collapsed="false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customFormat="false" ht="27" hidden="false" customHeight="true" outlineLevel="0" collapsed="false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customFormat="false" ht="27" hidden="false" customHeight="true" outlineLevel="0" collapsed="false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customFormat="false" ht="27" hidden="false" customHeight="true" outlineLevel="0" collapsed="false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customFormat="false" ht="27" hidden="false" customHeight="true" outlineLevel="0" collapsed="false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customFormat="false" ht="27" hidden="false" customHeight="true" outlineLevel="0" collapsed="false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customFormat="false" ht="27" hidden="false" customHeight="true" outlineLevel="0" collapsed="false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customFormat="false" ht="27" hidden="false" customHeight="true" outlineLevel="0" collapsed="false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customFormat="false" ht="27" hidden="false" customHeight="true" outlineLevel="0" collapsed="false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customFormat="false" ht="27" hidden="false" customHeight="true" outlineLevel="0" collapsed="false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customFormat="false" ht="27" hidden="false" customHeight="true" outlineLevel="0" collapsed="false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customFormat="false" ht="27" hidden="false" customHeight="true" outlineLevel="0" collapsed="false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customFormat="false" ht="27" hidden="false" customHeight="true" outlineLevel="0" collapsed="false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customFormat="false" ht="27" hidden="false" customHeight="true" outlineLevel="0" collapsed="false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customFormat="false" ht="27" hidden="false" customHeight="true" outlineLevel="0" collapsed="false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customFormat="false" ht="27" hidden="false" customHeight="true" outlineLevel="0" collapsed="false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customFormat="false" ht="27" hidden="false" customHeight="true" outlineLevel="0" collapsed="false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customFormat="false" ht="27" hidden="false" customHeight="true" outlineLevel="0" collapsed="false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customFormat="false" ht="27" hidden="false" customHeight="true" outlineLevel="0" collapsed="false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customFormat="false" ht="27" hidden="false" customHeight="true" outlineLevel="0" collapsed="false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customFormat="false" ht="27" hidden="false" customHeight="true" outlineLevel="0" collapsed="false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customFormat="false" ht="27" hidden="false" customHeight="true" outlineLevel="0" collapsed="false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customFormat="false" ht="27" hidden="false" customHeight="true" outlineLevel="0" collapsed="false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customFormat="false" ht="27" hidden="false" customHeight="true" outlineLevel="0" collapsed="false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customFormat="false" ht="27" hidden="false" customHeight="true" outlineLevel="0" collapsed="false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customFormat="false" ht="27" hidden="false" customHeight="true" outlineLevel="0" collapsed="false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customFormat="false" ht="27" hidden="false" customHeight="true" outlineLevel="0" collapsed="false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customFormat="false" ht="27" hidden="false" customHeight="true" outlineLevel="0" collapsed="false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customFormat="false" ht="27" hidden="false" customHeight="true" outlineLevel="0" collapsed="false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customFormat="false" ht="27" hidden="false" customHeight="true" outlineLevel="0" collapsed="false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customFormat="false" ht="27" hidden="false" customHeight="true" outlineLevel="0" collapsed="false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customFormat="false" ht="27" hidden="false" customHeight="true" outlineLevel="0" collapsed="false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customFormat="false" ht="27" hidden="false" customHeight="true" outlineLevel="0" collapsed="false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customFormat="false" ht="27" hidden="false" customHeight="true" outlineLevel="0" collapsed="false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customFormat="false" ht="27" hidden="false" customHeight="true" outlineLevel="0" collapsed="false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customFormat="false" ht="27" hidden="false" customHeight="true" outlineLevel="0" collapsed="false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customFormat="false" ht="27" hidden="false" customHeight="true" outlineLevel="0" collapsed="false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customFormat="false" ht="27" hidden="false" customHeight="true" outlineLevel="0" collapsed="false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customFormat="false" ht="27" hidden="false" customHeight="true" outlineLevel="0" collapsed="false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customFormat="false" ht="27" hidden="false" customHeight="true" outlineLevel="0" collapsed="false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customFormat="false" ht="27" hidden="false" customHeight="true" outlineLevel="0" collapsed="false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customFormat="false" ht="27" hidden="false" customHeight="true" outlineLevel="0" collapsed="false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customFormat="false" ht="27" hidden="false" customHeight="true" outlineLevel="0" collapsed="false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customFormat="false" ht="27" hidden="false" customHeight="true" outlineLevel="0" collapsed="false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customFormat="false" ht="27" hidden="false" customHeight="true" outlineLevel="0" collapsed="false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customFormat="false" ht="27" hidden="false" customHeight="true" outlineLevel="0" collapsed="false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customFormat="false" ht="27" hidden="false" customHeight="true" outlineLevel="0" collapsed="false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customFormat="false" ht="27" hidden="false" customHeight="true" outlineLevel="0" collapsed="false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customFormat="false" ht="27" hidden="false" customHeight="true" outlineLevel="0" collapsed="false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customFormat="false" ht="27" hidden="false" customHeight="true" outlineLevel="0" collapsed="false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customFormat="false" ht="27" hidden="false" customHeight="true" outlineLevel="0" collapsed="false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customFormat="false" ht="27" hidden="false" customHeight="true" outlineLevel="0" collapsed="false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customFormat="false" ht="27" hidden="false" customHeight="true" outlineLevel="0" collapsed="false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customFormat="false" ht="27" hidden="false" customHeight="true" outlineLevel="0" collapsed="false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customFormat="false" ht="27" hidden="false" customHeight="true" outlineLevel="0" collapsed="false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customFormat="false" ht="27" hidden="false" customHeight="true" outlineLevel="0" collapsed="false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customFormat="false" ht="27" hidden="false" customHeight="true" outlineLevel="0" collapsed="false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customFormat="false" ht="27" hidden="false" customHeight="true" outlineLevel="0" collapsed="false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customFormat="false" ht="27" hidden="false" customHeight="true" outlineLevel="0" collapsed="false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customFormat="false" ht="27" hidden="false" customHeight="true" outlineLevel="0" collapsed="false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customFormat="false" ht="27" hidden="false" customHeight="true" outlineLevel="0" collapsed="false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customFormat="false" ht="27" hidden="false" customHeight="true" outlineLevel="0" collapsed="false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customFormat="false" ht="27" hidden="false" customHeight="true" outlineLevel="0" collapsed="false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customFormat="false" ht="27" hidden="false" customHeight="true" outlineLevel="0" collapsed="false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customFormat="false" ht="27" hidden="false" customHeight="true" outlineLevel="0" collapsed="false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customFormat="false" ht="27" hidden="false" customHeight="true" outlineLevel="0" collapsed="false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customFormat="false" ht="27" hidden="false" customHeight="true" outlineLevel="0" collapsed="false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customFormat="false" ht="27" hidden="false" customHeight="true" outlineLevel="0" collapsed="false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customFormat="false" ht="27" hidden="false" customHeight="true" outlineLevel="0" collapsed="false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customFormat="false" ht="27" hidden="false" customHeight="true" outlineLevel="0" collapsed="false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customFormat="false" ht="27" hidden="false" customHeight="true" outlineLevel="0" collapsed="false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customFormat="false" ht="27" hidden="false" customHeight="true" outlineLevel="0" collapsed="false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customFormat="false" ht="27" hidden="false" customHeight="true" outlineLevel="0" collapsed="false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customFormat="false" ht="27" hidden="false" customHeight="true" outlineLevel="0" collapsed="false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customFormat="false" ht="27" hidden="false" customHeight="true" outlineLevel="0" collapsed="false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customFormat="false" ht="27" hidden="false" customHeight="true" outlineLevel="0" collapsed="false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customFormat="false" ht="27" hidden="false" customHeight="true" outlineLevel="0" collapsed="false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customFormat="false" ht="27" hidden="false" customHeight="true" outlineLevel="0" collapsed="false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customFormat="false" ht="27" hidden="false" customHeight="true" outlineLevel="0" collapsed="false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customFormat="false" ht="27" hidden="false" customHeight="true" outlineLevel="0" collapsed="false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customFormat="false" ht="27" hidden="false" customHeight="true" outlineLevel="0" collapsed="false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customFormat="false" ht="27" hidden="false" customHeight="true" outlineLevel="0" collapsed="false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customFormat="false" ht="27" hidden="false" customHeight="true" outlineLevel="0" collapsed="false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customFormat="false" ht="27" hidden="false" customHeight="true" outlineLevel="0" collapsed="false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customFormat="false" ht="27" hidden="false" customHeight="true" outlineLevel="0" collapsed="false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customFormat="false" ht="27" hidden="false" customHeight="true" outlineLevel="0" collapsed="false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customFormat="false" ht="27" hidden="false" customHeight="true" outlineLevel="0" collapsed="false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customFormat="false" ht="27" hidden="false" customHeight="true" outlineLevel="0" collapsed="false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customFormat="false" ht="27" hidden="false" customHeight="true" outlineLevel="0" collapsed="false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customFormat="false" ht="27" hidden="false" customHeight="true" outlineLevel="0" collapsed="false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customFormat="false" ht="27" hidden="false" customHeight="true" outlineLevel="0" collapsed="false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customFormat="false" ht="27" hidden="false" customHeight="true" outlineLevel="0" collapsed="false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customFormat="false" ht="27" hidden="false" customHeight="true" outlineLevel="0" collapsed="false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customFormat="false" ht="27" hidden="false" customHeight="true" outlineLevel="0" collapsed="false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customFormat="false" ht="27" hidden="false" customHeight="true" outlineLevel="0" collapsed="false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customFormat="false" ht="27" hidden="false" customHeight="true" outlineLevel="0" collapsed="false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customFormat="false" ht="27" hidden="false" customHeight="true" outlineLevel="0" collapsed="false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customFormat="false" ht="27" hidden="false" customHeight="true" outlineLevel="0" collapsed="false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customFormat="false" ht="27" hidden="false" customHeight="true" outlineLevel="0" collapsed="false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customFormat="false" ht="27" hidden="false" customHeight="true" outlineLevel="0" collapsed="false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customFormat="false" ht="27" hidden="false" customHeight="true" outlineLevel="0" collapsed="false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customFormat="false" ht="27" hidden="false" customHeight="true" outlineLevel="0" collapsed="false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customFormat="false" ht="27" hidden="false" customHeight="true" outlineLevel="0" collapsed="false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customFormat="false" ht="27" hidden="false" customHeight="true" outlineLevel="0" collapsed="false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customFormat="false" ht="27" hidden="false" customHeight="true" outlineLevel="0" collapsed="false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customFormat="false" ht="27" hidden="false" customHeight="true" outlineLevel="0" collapsed="false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customFormat="false" ht="27" hidden="false" customHeight="true" outlineLevel="0" collapsed="false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customFormat="false" ht="27" hidden="false" customHeight="true" outlineLevel="0" collapsed="false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customFormat="false" ht="27" hidden="false" customHeight="true" outlineLevel="0" collapsed="false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customFormat="false" ht="27" hidden="false" customHeight="true" outlineLevel="0" collapsed="false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customFormat="false" ht="27" hidden="false" customHeight="true" outlineLevel="0" collapsed="false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customFormat="false" ht="27" hidden="false" customHeight="true" outlineLevel="0" collapsed="false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customFormat="false" ht="27" hidden="false" customHeight="true" outlineLevel="0" collapsed="false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customFormat="false" ht="27" hidden="false" customHeight="true" outlineLevel="0" collapsed="false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customFormat="false" ht="27" hidden="false" customHeight="true" outlineLevel="0" collapsed="false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customFormat="false" ht="27" hidden="false" customHeight="true" outlineLevel="0" collapsed="false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customFormat="false" ht="27" hidden="false" customHeight="true" outlineLevel="0" collapsed="false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customFormat="false" ht="27" hidden="false" customHeight="true" outlineLevel="0" collapsed="false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customFormat="false" ht="27" hidden="false" customHeight="true" outlineLevel="0" collapsed="false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customFormat="false" ht="27" hidden="false" customHeight="true" outlineLevel="0" collapsed="false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customFormat="false" ht="27" hidden="false" customHeight="true" outlineLevel="0" collapsed="false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customFormat="false" ht="27" hidden="false" customHeight="true" outlineLevel="0" collapsed="false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customFormat="false" ht="27" hidden="false" customHeight="true" outlineLevel="0" collapsed="false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customFormat="false" ht="27" hidden="false" customHeight="true" outlineLevel="0" collapsed="false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customFormat="false" ht="27" hidden="false" customHeight="true" outlineLevel="0" collapsed="false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customFormat="false" ht="27" hidden="false" customHeight="true" outlineLevel="0" collapsed="false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customFormat="false" ht="27" hidden="false" customHeight="true" outlineLevel="0" collapsed="false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customFormat="false" ht="27" hidden="false" customHeight="true" outlineLevel="0" collapsed="false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customFormat="false" ht="27" hidden="false" customHeight="true" outlineLevel="0" collapsed="false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customFormat="false" ht="27" hidden="false" customHeight="true" outlineLevel="0" collapsed="false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customFormat="false" ht="27" hidden="false" customHeight="true" outlineLevel="0" collapsed="false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customFormat="false" ht="27" hidden="false" customHeight="true" outlineLevel="0" collapsed="false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customFormat="false" ht="27" hidden="false" customHeight="true" outlineLevel="0" collapsed="false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customFormat="false" ht="27" hidden="false" customHeight="true" outlineLevel="0" collapsed="false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customFormat="false" ht="27" hidden="false" customHeight="true" outlineLevel="0" collapsed="false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customFormat="false" ht="27" hidden="false" customHeight="true" outlineLevel="0" collapsed="false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customFormat="false" ht="27" hidden="false" customHeight="true" outlineLevel="0" collapsed="false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customFormat="false" ht="27" hidden="false" customHeight="true" outlineLevel="0" collapsed="false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customFormat="false" ht="27" hidden="false" customHeight="true" outlineLevel="0" collapsed="false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customFormat="false" ht="27" hidden="false" customHeight="true" outlineLevel="0" collapsed="false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customFormat="false" ht="27" hidden="false" customHeight="true" outlineLevel="0" collapsed="false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customFormat="false" ht="27" hidden="false" customHeight="true" outlineLevel="0" collapsed="false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customFormat="false" ht="27" hidden="false" customHeight="true" outlineLevel="0" collapsed="false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customFormat="false" ht="27" hidden="false" customHeight="true" outlineLevel="0" collapsed="false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customFormat="false" ht="27" hidden="false" customHeight="true" outlineLevel="0" collapsed="false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customFormat="false" ht="27" hidden="false" customHeight="true" outlineLevel="0" collapsed="false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customFormat="false" ht="27" hidden="false" customHeight="true" outlineLevel="0" collapsed="false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customFormat="false" ht="27" hidden="false" customHeight="true" outlineLevel="0" collapsed="false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customFormat="false" ht="27" hidden="false" customHeight="true" outlineLevel="0" collapsed="false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customFormat="false" ht="27" hidden="false" customHeight="true" outlineLevel="0" collapsed="false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customFormat="false" ht="27" hidden="false" customHeight="true" outlineLevel="0" collapsed="false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customFormat="false" ht="27" hidden="false" customHeight="true" outlineLevel="0" collapsed="false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customFormat="false" ht="27" hidden="false" customHeight="true" outlineLevel="0" collapsed="false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customFormat="false" ht="27" hidden="false" customHeight="true" outlineLevel="0" collapsed="false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customFormat="false" ht="27" hidden="false" customHeight="true" outlineLevel="0" collapsed="false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customFormat="false" ht="27" hidden="false" customHeight="true" outlineLevel="0" collapsed="false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customFormat="false" ht="27" hidden="false" customHeight="true" outlineLevel="0" collapsed="false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customFormat="false" ht="27" hidden="false" customHeight="true" outlineLevel="0" collapsed="false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customFormat="false" ht="27" hidden="false" customHeight="true" outlineLevel="0" collapsed="false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customFormat="false" ht="27" hidden="false" customHeight="true" outlineLevel="0" collapsed="false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customFormat="false" ht="27" hidden="false" customHeight="true" outlineLevel="0" collapsed="false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customFormat="false" ht="27" hidden="false" customHeight="true" outlineLevel="0" collapsed="false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customFormat="false" ht="27" hidden="false" customHeight="true" outlineLevel="0" collapsed="false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customFormat="false" ht="27" hidden="false" customHeight="true" outlineLevel="0" collapsed="false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customFormat="false" ht="27" hidden="false" customHeight="true" outlineLevel="0" collapsed="false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customFormat="false" ht="27" hidden="false" customHeight="true" outlineLevel="0" collapsed="false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customFormat="false" ht="27" hidden="false" customHeight="true" outlineLevel="0" collapsed="false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customFormat="false" ht="27" hidden="false" customHeight="true" outlineLevel="0" collapsed="false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customFormat="false" ht="27" hidden="false" customHeight="true" outlineLevel="0" collapsed="false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customFormat="false" ht="27" hidden="false" customHeight="true" outlineLevel="0" collapsed="false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customFormat="false" ht="27" hidden="false" customHeight="true" outlineLevel="0" collapsed="false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customFormat="false" ht="27" hidden="false" customHeight="true" outlineLevel="0" collapsed="false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customFormat="false" ht="27" hidden="false" customHeight="true" outlineLevel="0" collapsed="false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customFormat="false" ht="27" hidden="false" customHeight="true" outlineLevel="0" collapsed="false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customFormat="false" ht="27" hidden="false" customHeight="true" outlineLevel="0" collapsed="false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customFormat="false" ht="27" hidden="false" customHeight="true" outlineLevel="0" collapsed="false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customFormat="false" ht="27" hidden="false" customHeight="true" outlineLevel="0" collapsed="false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customFormat="false" ht="27" hidden="false" customHeight="true" outlineLevel="0" collapsed="false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customFormat="false" ht="27" hidden="false" customHeight="true" outlineLevel="0" collapsed="false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customFormat="false" ht="27" hidden="false" customHeight="true" outlineLevel="0" collapsed="false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customFormat="false" ht="27" hidden="false" customHeight="true" outlineLevel="0" collapsed="false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customFormat="false" ht="27" hidden="false" customHeight="true" outlineLevel="0" collapsed="false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customFormat="false" ht="27" hidden="false" customHeight="true" outlineLevel="0" collapsed="false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customFormat="false" ht="27" hidden="false" customHeight="true" outlineLevel="0" collapsed="false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customFormat="false" ht="27" hidden="false" customHeight="true" outlineLevel="0" collapsed="false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customFormat="false" ht="27" hidden="false" customHeight="true" outlineLevel="0" collapsed="false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customFormat="false" ht="27" hidden="false" customHeight="true" outlineLevel="0" collapsed="false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customFormat="false" ht="27" hidden="false" customHeight="true" outlineLevel="0" collapsed="false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customFormat="false" ht="27" hidden="false" customHeight="true" outlineLevel="0" collapsed="false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customFormat="false" ht="27" hidden="false" customHeight="true" outlineLevel="0" collapsed="false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customFormat="false" ht="27" hidden="false" customHeight="true" outlineLevel="0" collapsed="false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customFormat="false" ht="27" hidden="false" customHeight="true" outlineLevel="0" collapsed="false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customFormat="false" ht="27" hidden="false" customHeight="true" outlineLevel="0" collapsed="false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customFormat="false" ht="27" hidden="false" customHeight="true" outlineLevel="0" collapsed="false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customFormat="false" ht="27" hidden="false" customHeight="true" outlineLevel="0" collapsed="false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customFormat="false" ht="27" hidden="false" customHeight="true" outlineLevel="0" collapsed="false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customFormat="false" ht="27" hidden="false" customHeight="true" outlineLevel="0" collapsed="false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customFormat="false" ht="27" hidden="false" customHeight="true" outlineLevel="0" collapsed="false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customFormat="false" ht="27" hidden="false" customHeight="true" outlineLevel="0" collapsed="false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customFormat="false" ht="27" hidden="false" customHeight="true" outlineLevel="0" collapsed="false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customFormat="false" ht="27" hidden="false" customHeight="true" outlineLevel="0" collapsed="false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customFormat="false" ht="27" hidden="false" customHeight="true" outlineLevel="0" collapsed="false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customFormat="false" ht="27" hidden="false" customHeight="true" outlineLevel="0" collapsed="false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customFormat="false" ht="27" hidden="false" customHeight="true" outlineLevel="0" collapsed="false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customFormat="false" ht="27" hidden="false" customHeight="true" outlineLevel="0" collapsed="false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customFormat="false" ht="27" hidden="false" customHeight="true" outlineLevel="0" collapsed="false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customFormat="false" ht="27" hidden="false" customHeight="true" outlineLevel="0" collapsed="false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customFormat="false" ht="27" hidden="false" customHeight="true" outlineLevel="0" collapsed="false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customFormat="false" ht="27" hidden="false" customHeight="true" outlineLevel="0" collapsed="false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customFormat="false" ht="27" hidden="false" customHeight="true" outlineLevel="0" collapsed="false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customFormat="false" ht="27" hidden="false" customHeight="true" outlineLevel="0" collapsed="false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customFormat="false" ht="27" hidden="false" customHeight="true" outlineLevel="0" collapsed="false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customFormat="false" ht="27" hidden="false" customHeight="true" outlineLevel="0" collapsed="false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customFormat="false" ht="27" hidden="false" customHeight="true" outlineLevel="0" collapsed="false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customFormat="false" ht="27" hidden="false" customHeight="true" outlineLevel="0" collapsed="false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customFormat="false" ht="27" hidden="false" customHeight="true" outlineLevel="0" collapsed="false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customFormat="false" ht="27" hidden="false" customHeight="true" outlineLevel="0" collapsed="false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customFormat="false" ht="27" hidden="false" customHeight="true" outlineLevel="0" collapsed="false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customFormat="false" ht="27" hidden="false" customHeight="true" outlineLevel="0" collapsed="false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customFormat="false" ht="27" hidden="false" customHeight="true" outlineLevel="0" collapsed="false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customFormat="false" ht="27" hidden="false" customHeight="true" outlineLevel="0" collapsed="false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customFormat="false" ht="27" hidden="false" customHeight="true" outlineLevel="0" collapsed="false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customFormat="false" ht="27" hidden="false" customHeight="true" outlineLevel="0" collapsed="false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customFormat="false" ht="27" hidden="false" customHeight="true" outlineLevel="0" collapsed="false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customFormat="false" ht="27" hidden="false" customHeight="true" outlineLevel="0" collapsed="false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customFormat="false" ht="27" hidden="false" customHeight="true" outlineLevel="0" collapsed="false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customFormat="false" ht="27" hidden="false" customHeight="true" outlineLevel="0" collapsed="false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customFormat="false" ht="27" hidden="false" customHeight="true" outlineLevel="0" collapsed="false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customFormat="false" ht="27" hidden="false" customHeight="true" outlineLevel="0" collapsed="false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customFormat="false" ht="27" hidden="false" customHeight="true" outlineLevel="0" collapsed="false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customFormat="false" ht="27" hidden="false" customHeight="true" outlineLevel="0" collapsed="false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customFormat="false" ht="27" hidden="false" customHeight="true" outlineLevel="0" collapsed="false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customFormat="false" ht="27" hidden="false" customHeight="true" outlineLevel="0" collapsed="false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customFormat="false" ht="27" hidden="false" customHeight="true" outlineLevel="0" collapsed="false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customFormat="false" ht="27" hidden="false" customHeight="true" outlineLevel="0" collapsed="false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customFormat="false" ht="27" hidden="false" customHeight="true" outlineLevel="0" collapsed="false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customFormat="false" ht="27" hidden="false" customHeight="true" outlineLevel="0" collapsed="false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customFormat="false" ht="27" hidden="false" customHeight="true" outlineLevel="0" collapsed="false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customFormat="false" ht="27" hidden="false" customHeight="true" outlineLevel="0" collapsed="false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customFormat="false" ht="27" hidden="false" customHeight="true" outlineLevel="0" collapsed="false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customFormat="false" ht="27" hidden="false" customHeight="true" outlineLevel="0" collapsed="false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customFormat="false" ht="27" hidden="false" customHeight="true" outlineLevel="0" collapsed="false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customFormat="false" ht="27" hidden="false" customHeight="true" outlineLevel="0" collapsed="false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customFormat="false" ht="27" hidden="false" customHeight="true" outlineLevel="0" collapsed="false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customFormat="false" ht="27" hidden="false" customHeight="true" outlineLevel="0" collapsed="false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customFormat="false" ht="27" hidden="false" customHeight="true" outlineLevel="0" collapsed="false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customFormat="false" ht="27" hidden="false" customHeight="true" outlineLevel="0" collapsed="false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customFormat="false" ht="27" hidden="false" customHeight="true" outlineLevel="0" collapsed="false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customFormat="false" ht="27" hidden="false" customHeight="true" outlineLevel="0" collapsed="false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customFormat="false" ht="27" hidden="false" customHeight="true" outlineLevel="0" collapsed="false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customFormat="false" ht="27" hidden="false" customHeight="true" outlineLevel="0" collapsed="false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customFormat="false" ht="27" hidden="false" customHeight="true" outlineLevel="0" collapsed="false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customFormat="false" ht="27" hidden="false" customHeight="true" outlineLevel="0" collapsed="false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customFormat="false" ht="27" hidden="false" customHeight="true" outlineLevel="0" collapsed="false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customFormat="false" ht="27" hidden="false" customHeight="true" outlineLevel="0" collapsed="false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customFormat="false" ht="27" hidden="false" customHeight="true" outlineLevel="0" collapsed="false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customFormat="false" ht="27" hidden="false" customHeight="true" outlineLevel="0" collapsed="false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customFormat="false" ht="27" hidden="false" customHeight="true" outlineLevel="0" collapsed="false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customFormat="false" ht="27" hidden="false" customHeight="true" outlineLevel="0" collapsed="false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customFormat="false" ht="27" hidden="false" customHeight="true" outlineLevel="0" collapsed="false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customFormat="false" ht="27" hidden="false" customHeight="true" outlineLevel="0" collapsed="false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customFormat="false" ht="27" hidden="false" customHeight="true" outlineLevel="0" collapsed="false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customFormat="false" ht="27" hidden="false" customHeight="true" outlineLevel="0" collapsed="false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customFormat="false" ht="27" hidden="false" customHeight="true" outlineLevel="0" collapsed="false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customFormat="false" ht="27" hidden="false" customHeight="true" outlineLevel="0" collapsed="false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customFormat="false" ht="27" hidden="false" customHeight="true" outlineLevel="0" collapsed="false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customFormat="false" ht="27" hidden="false" customHeight="true" outlineLevel="0" collapsed="false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customFormat="false" ht="27" hidden="false" customHeight="true" outlineLevel="0" collapsed="false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customFormat="false" ht="27" hidden="false" customHeight="true" outlineLevel="0" collapsed="false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customFormat="false" ht="27" hidden="false" customHeight="true" outlineLevel="0" collapsed="false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customFormat="false" ht="27" hidden="false" customHeight="true" outlineLevel="0" collapsed="false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customFormat="false" ht="27" hidden="false" customHeight="true" outlineLevel="0" collapsed="false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customFormat="false" ht="27" hidden="false" customHeight="true" outlineLevel="0" collapsed="false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customFormat="false" ht="27" hidden="false" customHeight="true" outlineLevel="0" collapsed="false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customFormat="false" ht="27" hidden="false" customHeight="true" outlineLevel="0" collapsed="false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customFormat="false" ht="27" hidden="false" customHeight="true" outlineLevel="0" collapsed="false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customFormat="false" ht="27" hidden="false" customHeight="true" outlineLevel="0" collapsed="false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customFormat="false" ht="27" hidden="false" customHeight="true" outlineLevel="0" collapsed="false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customFormat="false" ht="27" hidden="false" customHeight="true" outlineLevel="0" collapsed="false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customFormat="false" ht="27" hidden="false" customHeight="true" outlineLevel="0" collapsed="false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customFormat="false" ht="27" hidden="false" customHeight="true" outlineLevel="0" collapsed="false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customFormat="false" ht="27" hidden="false" customHeight="true" outlineLevel="0" collapsed="false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customFormat="false" ht="27" hidden="false" customHeight="true" outlineLevel="0" collapsed="false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customFormat="false" ht="27" hidden="false" customHeight="true" outlineLevel="0" collapsed="false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customFormat="false" ht="27" hidden="false" customHeight="true" outlineLevel="0" collapsed="false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customFormat="false" ht="27" hidden="false" customHeight="true" outlineLevel="0" collapsed="false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customFormat="false" ht="27" hidden="false" customHeight="true" outlineLevel="0" collapsed="false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customFormat="false" ht="27" hidden="false" customHeight="true" outlineLevel="0" collapsed="false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customFormat="false" ht="27" hidden="false" customHeight="true" outlineLevel="0" collapsed="false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customFormat="false" ht="27" hidden="false" customHeight="true" outlineLevel="0" collapsed="false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customFormat="false" ht="27" hidden="false" customHeight="true" outlineLevel="0" collapsed="false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customFormat="false" ht="27" hidden="false" customHeight="true" outlineLevel="0" collapsed="false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customFormat="false" ht="27" hidden="false" customHeight="true" outlineLevel="0" collapsed="false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customFormat="false" ht="27" hidden="false" customHeight="true" outlineLevel="0" collapsed="false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customFormat="false" ht="27" hidden="false" customHeight="true" outlineLevel="0" collapsed="false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customFormat="false" ht="27" hidden="false" customHeight="true" outlineLevel="0" collapsed="false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customFormat="false" ht="27" hidden="false" customHeight="true" outlineLevel="0" collapsed="false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customFormat="false" ht="27" hidden="false" customHeight="true" outlineLevel="0" collapsed="false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customFormat="false" ht="27" hidden="false" customHeight="true" outlineLevel="0" collapsed="false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customFormat="false" ht="27" hidden="false" customHeight="true" outlineLevel="0" collapsed="false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customFormat="false" ht="27" hidden="false" customHeight="true" outlineLevel="0" collapsed="false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customFormat="false" ht="27" hidden="false" customHeight="true" outlineLevel="0" collapsed="false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customFormat="false" ht="27" hidden="false" customHeight="true" outlineLevel="0" collapsed="false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customFormat="false" ht="27" hidden="false" customHeight="true" outlineLevel="0" collapsed="false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customFormat="false" ht="27" hidden="false" customHeight="true" outlineLevel="0" collapsed="false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customFormat="false" ht="27" hidden="false" customHeight="true" outlineLevel="0" collapsed="false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customFormat="false" ht="27" hidden="false" customHeight="true" outlineLevel="0" collapsed="false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customFormat="false" ht="27" hidden="false" customHeight="true" outlineLevel="0" collapsed="false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customFormat="false" ht="27" hidden="false" customHeight="true" outlineLevel="0" collapsed="false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customFormat="false" ht="27" hidden="false" customHeight="true" outlineLevel="0" collapsed="false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customFormat="false" ht="27" hidden="false" customHeight="true" outlineLevel="0" collapsed="false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customFormat="false" ht="27" hidden="false" customHeight="true" outlineLevel="0" collapsed="false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customFormat="false" ht="27" hidden="false" customHeight="true" outlineLevel="0" collapsed="false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customFormat="false" ht="27" hidden="false" customHeight="true" outlineLevel="0" collapsed="false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customFormat="false" ht="27" hidden="false" customHeight="true" outlineLevel="0" collapsed="false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customFormat="false" ht="27" hidden="false" customHeight="true" outlineLevel="0" collapsed="false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customFormat="false" ht="27" hidden="false" customHeight="true" outlineLevel="0" collapsed="false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customFormat="false" ht="27" hidden="false" customHeight="true" outlineLevel="0" collapsed="false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customFormat="false" ht="27" hidden="false" customHeight="true" outlineLevel="0" collapsed="false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customFormat="false" ht="27" hidden="false" customHeight="true" outlineLevel="0" collapsed="false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customFormat="false" ht="27" hidden="false" customHeight="true" outlineLevel="0" collapsed="false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customFormat="false" ht="27" hidden="false" customHeight="true" outlineLevel="0" collapsed="false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customFormat="false" ht="27" hidden="false" customHeight="true" outlineLevel="0" collapsed="false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customFormat="false" ht="27" hidden="false" customHeight="true" outlineLevel="0" collapsed="false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customFormat="false" ht="27" hidden="false" customHeight="true" outlineLevel="0" collapsed="false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customFormat="false" ht="27" hidden="false" customHeight="true" outlineLevel="0" collapsed="false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customFormat="false" ht="27" hidden="false" customHeight="true" outlineLevel="0" collapsed="false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customFormat="false" ht="27" hidden="false" customHeight="true" outlineLevel="0" collapsed="false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customFormat="false" ht="27" hidden="false" customHeight="true" outlineLevel="0" collapsed="false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customFormat="false" ht="27" hidden="false" customHeight="true" outlineLevel="0" collapsed="false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customFormat="false" ht="27" hidden="false" customHeight="true" outlineLevel="0" collapsed="false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customFormat="false" ht="27" hidden="false" customHeight="true" outlineLevel="0" collapsed="false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customFormat="false" ht="27" hidden="false" customHeight="true" outlineLevel="0" collapsed="false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customFormat="false" ht="27" hidden="false" customHeight="true" outlineLevel="0" collapsed="false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customFormat="false" ht="27" hidden="false" customHeight="true" outlineLevel="0" collapsed="false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customFormat="false" ht="27" hidden="false" customHeight="true" outlineLevel="0" collapsed="false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customFormat="false" ht="27" hidden="false" customHeight="true" outlineLevel="0" collapsed="false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customFormat="false" ht="27" hidden="false" customHeight="true" outlineLevel="0" collapsed="false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customFormat="false" ht="27" hidden="false" customHeight="true" outlineLevel="0" collapsed="false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customFormat="false" ht="27" hidden="false" customHeight="true" outlineLevel="0" collapsed="false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customFormat="false" ht="27" hidden="false" customHeight="true" outlineLevel="0" collapsed="false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customFormat="false" ht="27" hidden="false" customHeight="true" outlineLevel="0" collapsed="false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customFormat="false" ht="27" hidden="false" customHeight="true" outlineLevel="0" collapsed="false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customFormat="false" ht="27" hidden="false" customHeight="true" outlineLevel="0" collapsed="false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customFormat="false" ht="27" hidden="false" customHeight="true" outlineLevel="0" collapsed="false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customFormat="false" ht="27" hidden="false" customHeight="true" outlineLevel="0" collapsed="false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customFormat="false" ht="27" hidden="false" customHeight="true" outlineLevel="0" collapsed="false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customFormat="false" ht="27" hidden="false" customHeight="true" outlineLevel="0" collapsed="false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customFormat="false" ht="27" hidden="false" customHeight="true" outlineLevel="0" collapsed="false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customFormat="false" ht="27" hidden="false" customHeight="true" outlineLevel="0" collapsed="false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customFormat="false" ht="27" hidden="false" customHeight="true" outlineLevel="0" collapsed="false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customFormat="false" ht="27" hidden="false" customHeight="true" outlineLevel="0" collapsed="false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customFormat="false" ht="27" hidden="false" customHeight="true" outlineLevel="0" collapsed="false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customFormat="false" ht="27" hidden="false" customHeight="true" outlineLevel="0" collapsed="false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customFormat="false" ht="27" hidden="false" customHeight="true" outlineLevel="0" collapsed="false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customFormat="false" ht="27" hidden="false" customHeight="true" outlineLevel="0" collapsed="false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customFormat="false" ht="27" hidden="false" customHeight="true" outlineLevel="0" collapsed="false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customFormat="false" ht="27" hidden="false" customHeight="true" outlineLevel="0" collapsed="false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customFormat="false" ht="27" hidden="false" customHeight="true" outlineLevel="0" collapsed="false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customFormat="false" ht="27" hidden="false" customHeight="true" outlineLevel="0" collapsed="false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customFormat="false" ht="27" hidden="false" customHeight="true" outlineLevel="0" collapsed="false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customFormat="false" ht="27" hidden="false" customHeight="true" outlineLevel="0" collapsed="false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customFormat="false" ht="27" hidden="false" customHeight="true" outlineLevel="0" collapsed="false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customFormat="false" ht="27" hidden="false" customHeight="true" outlineLevel="0" collapsed="false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customFormat="false" ht="27" hidden="false" customHeight="true" outlineLevel="0" collapsed="false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customFormat="false" ht="27" hidden="false" customHeight="true" outlineLevel="0" collapsed="false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customFormat="false" ht="27" hidden="false" customHeight="true" outlineLevel="0" collapsed="false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customFormat="false" ht="27" hidden="false" customHeight="true" outlineLevel="0" collapsed="false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customFormat="false" ht="27" hidden="false" customHeight="true" outlineLevel="0" collapsed="false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customFormat="false" ht="27" hidden="false" customHeight="true" outlineLevel="0" collapsed="false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customFormat="false" ht="27" hidden="false" customHeight="true" outlineLevel="0" collapsed="false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customFormat="false" ht="27" hidden="false" customHeight="true" outlineLevel="0" collapsed="false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customFormat="false" ht="27" hidden="false" customHeight="true" outlineLevel="0" collapsed="false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customFormat="false" ht="27" hidden="false" customHeight="true" outlineLevel="0" collapsed="false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customFormat="false" ht="27" hidden="false" customHeight="true" outlineLevel="0" collapsed="false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customFormat="false" ht="27" hidden="false" customHeight="true" outlineLevel="0" collapsed="false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customFormat="false" ht="27" hidden="false" customHeight="true" outlineLevel="0" collapsed="false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customFormat="false" ht="27" hidden="false" customHeight="true" outlineLevel="0" collapsed="false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customFormat="false" ht="27" hidden="false" customHeight="true" outlineLevel="0" collapsed="false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customFormat="false" ht="27" hidden="false" customHeight="true" outlineLevel="0" collapsed="false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customFormat="false" ht="27" hidden="false" customHeight="true" outlineLevel="0" collapsed="false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customFormat="false" ht="27" hidden="false" customHeight="true" outlineLevel="0" collapsed="false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customFormat="false" ht="27" hidden="false" customHeight="true" outlineLevel="0" collapsed="false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customFormat="false" ht="27" hidden="false" customHeight="true" outlineLevel="0" collapsed="false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customFormat="false" ht="27" hidden="false" customHeight="true" outlineLevel="0" collapsed="false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customFormat="false" ht="27" hidden="false" customHeight="true" outlineLevel="0" collapsed="false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customFormat="false" ht="27" hidden="false" customHeight="true" outlineLevel="0" collapsed="false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customFormat="false" ht="27" hidden="false" customHeight="true" outlineLevel="0" collapsed="false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customFormat="false" ht="27" hidden="false" customHeight="true" outlineLevel="0" collapsed="false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customFormat="false" ht="27" hidden="false" customHeight="true" outlineLevel="0" collapsed="false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customFormat="false" ht="27" hidden="false" customHeight="true" outlineLevel="0" collapsed="false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customFormat="false" ht="27" hidden="false" customHeight="true" outlineLevel="0" collapsed="false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customFormat="false" ht="27" hidden="false" customHeight="true" outlineLevel="0" collapsed="false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customFormat="false" ht="27" hidden="false" customHeight="true" outlineLevel="0" collapsed="false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customFormat="false" ht="27" hidden="false" customHeight="true" outlineLevel="0" collapsed="false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customFormat="false" ht="27" hidden="false" customHeight="true" outlineLevel="0" collapsed="false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customFormat="false" ht="27" hidden="false" customHeight="true" outlineLevel="0" collapsed="false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customFormat="false" ht="27" hidden="false" customHeight="true" outlineLevel="0" collapsed="false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customFormat="false" ht="27" hidden="false" customHeight="true" outlineLevel="0" collapsed="false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customFormat="false" ht="27" hidden="false" customHeight="true" outlineLevel="0" collapsed="false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customFormat="false" ht="27" hidden="false" customHeight="true" outlineLevel="0" collapsed="false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customFormat="false" ht="27" hidden="false" customHeight="true" outlineLevel="0" collapsed="false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customFormat="false" ht="27" hidden="false" customHeight="true" outlineLevel="0" collapsed="false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customFormat="false" ht="27" hidden="false" customHeight="true" outlineLevel="0" collapsed="false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customFormat="false" ht="27" hidden="false" customHeight="true" outlineLevel="0" collapsed="false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customFormat="false" ht="27" hidden="false" customHeight="true" outlineLevel="0" collapsed="false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customFormat="false" ht="27" hidden="false" customHeight="true" outlineLevel="0" collapsed="false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customFormat="false" ht="27" hidden="false" customHeight="true" outlineLevel="0" collapsed="false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customFormat="false" ht="27" hidden="false" customHeight="true" outlineLevel="0" collapsed="false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customFormat="false" ht="27" hidden="false" customHeight="true" outlineLevel="0" collapsed="false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customFormat="false" ht="27" hidden="false" customHeight="true" outlineLevel="0" collapsed="false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customFormat="false" ht="27" hidden="false" customHeight="true" outlineLevel="0" collapsed="false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customFormat="false" ht="27" hidden="false" customHeight="true" outlineLevel="0" collapsed="false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customFormat="false" ht="27" hidden="false" customHeight="true" outlineLevel="0" collapsed="false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customFormat="false" ht="27" hidden="false" customHeight="true" outlineLevel="0" collapsed="false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customFormat="false" ht="27" hidden="false" customHeight="true" outlineLevel="0" collapsed="false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customFormat="false" ht="27" hidden="false" customHeight="true" outlineLevel="0" collapsed="false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customFormat="false" ht="27" hidden="false" customHeight="true" outlineLevel="0" collapsed="false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customFormat="false" ht="27" hidden="false" customHeight="true" outlineLevel="0" collapsed="false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customFormat="false" ht="27" hidden="false" customHeight="true" outlineLevel="0" collapsed="false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customFormat="false" ht="27" hidden="false" customHeight="true" outlineLevel="0" collapsed="false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customFormat="false" ht="27" hidden="false" customHeight="true" outlineLevel="0" collapsed="false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customFormat="false" ht="27" hidden="false" customHeight="true" outlineLevel="0" collapsed="false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customFormat="false" ht="27" hidden="false" customHeight="true" outlineLevel="0" collapsed="false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customFormat="false" ht="27" hidden="false" customHeight="true" outlineLevel="0" collapsed="false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customFormat="false" ht="27" hidden="false" customHeight="true" outlineLevel="0" collapsed="false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customFormat="false" ht="27" hidden="false" customHeight="true" outlineLevel="0" collapsed="false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customFormat="false" ht="27" hidden="false" customHeight="true" outlineLevel="0" collapsed="false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customFormat="false" ht="27" hidden="false" customHeight="true" outlineLevel="0" collapsed="false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customFormat="false" ht="27" hidden="false" customHeight="true" outlineLevel="0" collapsed="false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customFormat="false" ht="27" hidden="false" customHeight="true" outlineLevel="0" collapsed="false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customFormat="false" ht="27" hidden="false" customHeight="true" outlineLevel="0" collapsed="false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customFormat="false" ht="27" hidden="false" customHeight="true" outlineLevel="0" collapsed="false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customFormat="false" ht="27" hidden="false" customHeight="true" outlineLevel="0" collapsed="false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customFormat="false" ht="27" hidden="false" customHeight="true" outlineLevel="0" collapsed="false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customFormat="false" ht="27" hidden="false" customHeight="true" outlineLevel="0" collapsed="false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customFormat="false" ht="27" hidden="false" customHeight="true" outlineLevel="0" collapsed="false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customFormat="false" ht="27" hidden="false" customHeight="true" outlineLevel="0" collapsed="false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customFormat="false" ht="27" hidden="false" customHeight="true" outlineLevel="0" collapsed="false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customFormat="false" ht="27" hidden="false" customHeight="true" outlineLevel="0" collapsed="false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customFormat="false" ht="27" hidden="false" customHeight="true" outlineLevel="0" collapsed="false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customFormat="false" ht="27" hidden="false" customHeight="true" outlineLevel="0" collapsed="false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customFormat="false" ht="27" hidden="false" customHeight="true" outlineLevel="0" collapsed="false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customFormat="false" ht="27" hidden="false" customHeight="true" outlineLevel="0" collapsed="false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customFormat="false" ht="27" hidden="false" customHeight="true" outlineLevel="0" collapsed="false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customFormat="false" ht="27" hidden="false" customHeight="true" outlineLevel="0" collapsed="false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customFormat="false" ht="27" hidden="false" customHeight="true" outlineLevel="0" collapsed="false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customFormat="false" ht="27" hidden="false" customHeight="true" outlineLevel="0" collapsed="false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customFormat="false" ht="27" hidden="false" customHeight="true" outlineLevel="0" collapsed="false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customFormat="false" ht="27" hidden="false" customHeight="true" outlineLevel="0" collapsed="false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5703125" defaultRowHeight="15" zeroHeight="false" outlineLevelRow="0" outlineLevelCol="0"/>
  <cols>
    <col collapsed="false" customWidth="true" hidden="false" outlineLevel="0" max="1" min="1" style="1" width="7.71"/>
    <col collapsed="false" customWidth="true" hidden="false" outlineLevel="0" max="2" min="2" style="1" width="5.71"/>
    <col collapsed="false" customWidth="true" hidden="false" outlineLevel="0" max="3" min="3" style="1" width="14.42"/>
    <col collapsed="false" customWidth="true" hidden="false" outlineLevel="0" max="4" min="4" style="1" width="14.71"/>
    <col collapsed="false" customWidth="true" hidden="false" outlineLevel="0" max="5" min="5" style="1" width="15"/>
    <col collapsed="false" customWidth="true" hidden="false" outlineLevel="0" max="6" min="6" style="1" width="17.42"/>
    <col collapsed="false" customWidth="true" hidden="false" outlineLevel="0" max="7" min="7" style="1" width="14.14"/>
    <col collapsed="false" customWidth="true" hidden="false" outlineLevel="0" max="8" min="8" style="1" width="11.85"/>
    <col collapsed="false" customWidth="true" hidden="false" outlineLevel="0" max="26" min="9" style="1" width="8.57"/>
  </cols>
  <sheetData>
    <row r="1" customFormat="false" ht="15.75" hidden="false" customHeight="true" outlineLevel="0" collapsed="false">
      <c r="A1" s="42" t="s">
        <v>90</v>
      </c>
      <c r="B1" s="43" t="s">
        <v>25</v>
      </c>
      <c r="C1" s="43" t="s">
        <v>8</v>
      </c>
      <c r="D1" s="43" t="s">
        <v>9</v>
      </c>
      <c r="E1" s="43" t="s">
        <v>91</v>
      </c>
      <c r="F1" s="43" t="s">
        <v>92</v>
      </c>
      <c r="G1" s="43" t="s">
        <v>93</v>
      </c>
      <c r="H1" s="44" t="s">
        <v>94</v>
      </c>
      <c r="I1" s="12"/>
      <c r="J1" s="12"/>
      <c r="K1" s="12"/>
      <c r="L1" s="12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</row>
    <row r="2" customFormat="false" ht="15.75" hidden="false" customHeight="true" outlineLevel="0" collapsed="false">
      <c r="A2" s="45" t="n">
        <v>0</v>
      </c>
      <c r="B2" s="46" t="n">
        <f aca="false">'Pentametric Cycle'!H2</f>
        <v>0</v>
      </c>
      <c r="C2" s="46" t="str">
        <f aca="false">IF(B2=0,"—",IF(B2=1,"unison (1:1)",IF(B2=2,"octave (2:1)",IF(B2=3,"fifth (3:2)",IF(B2=4,"fourth (4:3)","?")))))</f>
        <v>—</v>
      </c>
      <c r="D2" s="46" t="str">
        <f aca="false">IF(B2=0,"—",IF(B2=1,"ὁμώνυμον",IF(B2=2,"διὰ πασῶν",IF(B2=3,"διὰ πέντε",IF(B2=4,"διὰ τεσσάρων","?")))))</f>
        <v>—</v>
      </c>
      <c r="E2" s="46" t="s">
        <v>31</v>
      </c>
      <c r="F2" s="46" t="str">
        <f aca="false">IF(A2=0,"START",IF(A2=25,"MIRROR AXIS",IF(A2=50,"END",IF(A2=51,"NEXT CYCLE","—"))))</f>
        <v>START</v>
      </c>
      <c r="G2" s="46" t="str">
        <f aca="false">REPT("█",B2)</f>
        <v/>
      </c>
      <c r="H2" s="47"/>
      <c r="I2" s="12"/>
      <c r="J2" s="12"/>
      <c r="K2" s="12"/>
      <c r="L2" s="12"/>
      <c r="M2" s="12"/>
      <c r="N2" s="12"/>
      <c r="O2" s="12"/>
      <c r="P2" s="12"/>
      <c r="Q2" s="12"/>
      <c r="R2" s="12"/>
      <c r="S2" s="12"/>
      <c r="T2" s="12"/>
      <c r="U2" s="12"/>
      <c r="V2" s="12"/>
      <c r="W2" s="12"/>
      <c r="X2" s="12"/>
      <c r="Y2" s="12"/>
      <c r="Z2" s="12"/>
    </row>
    <row r="3" customFormat="false" ht="15.75" hidden="false" customHeight="true" outlineLevel="0" collapsed="false">
      <c r="A3" s="48" t="n">
        <f aca="false">A2+1</f>
        <v>1</v>
      </c>
      <c r="B3" s="49" t="n">
        <f aca="false">'Pentametric Cycle'!H3</f>
        <v>1</v>
      </c>
      <c r="C3" s="49" t="str">
        <f aca="false">IF(B3=0,"—",IF(B3=1,"unison (1:1)",IF(B3=2,"octave (2:1)",IF(B3=3,"fifth (3:2)",IF(B3=4,"fourth (4:3)","?")))))</f>
        <v>unison (1:1)</v>
      </c>
      <c r="D3" s="49" t="str">
        <f aca="false">IF(B3=0,"—",IF(B3=1,"ὁμώνυμον",IF(B3=2,"διὰ πασῶν",IF(B3=3,"διὰ πέντε",IF(B3=4,"διὰ τεσσάρων","?")))))</f>
        <v>ὁμώνυμον</v>
      </c>
      <c r="E3" s="49" t="str">
        <f aca="false">IF(B3=0,"—",IF(B3=1,"homonymous",IF(B3=2,"through all",IF(B3=3,"through five",IF(B3=4,"through four","?")))))</f>
        <v>homonymous</v>
      </c>
      <c r="F3" s="49" t="str">
        <f aca="false">IF(A3=0,"START",IF(A3=25,"MIRROR AXIS",IF(A3=50,"END",IF(A3=51,"NEXT CYCLE","—"))))</f>
        <v>—</v>
      </c>
      <c r="G3" s="49" t="str">
        <f aca="false">REPT("█",B3)</f>
        <v>█</v>
      </c>
      <c r="H3" s="50" t="n">
        <f aca="false">H4+1</f>
        <v>24</v>
      </c>
      <c r="I3" s="12"/>
      <c r="J3" s="12"/>
      <c r="K3" s="12"/>
      <c r="L3" s="12"/>
      <c r="M3" s="12"/>
      <c r="N3" s="12"/>
      <c r="O3" s="12"/>
      <c r="P3" s="12"/>
      <c r="Q3" s="12"/>
      <c r="R3" s="12"/>
      <c r="S3" s="12"/>
      <c r="T3" s="12"/>
      <c r="U3" s="12"/>
      <c r="V3" s="12"/>
      <c r="W3" s="12"/>
      <c r="X3" s="12"/>
      <c r="Y3" s="12"/>
      <c r="Z3" s="12"/>
    </row>
    <row r="4" customFormat="false" ht="15.75" hidden="false" customHeight="true" outlineLevel="0" collapsed="false">
      <c r="A4" s="48" t="n">
        <f aca="false">A3+1</f>
        <v>2</v>
      </c>
      <c r="B4" s="49" t="n">
        <f aca="false">'Pentametric Cycle'!H4</f>
        <v>0</v>
      </c>
      <c r="C4" s="49" t="str">
        <f aca="false">IF(B4=0,"—",IF(B4=1,"unison (1:1)",IF(B4=2,"octave (2:1)",IF(B4=3,"fifth (3:2)",IF(B4=4,"fourth (4:3)","?")))))</f>
        <v>—</v>
      </c>
      <c r="D4" s="49" t="str">
        <f aca="false">IF(B4=0,"—",IF(B4=1,"ὁμώνυμον",IF(B4=2,"διὰ πασῶν",IF(B4=3,"διὰ πέντε",IF(B4=4,"διὰ τεσσάρων","?")))))</f>
        <v>—</v>
      </c>
      <c r="E4" s="49" t="str">
        <f aca="false">IF(B4=0,"—",IF(B4=1,"homonymous",IF(B4=2,"through all",IF(B4=3,"through five",IF(B4=4,"through four","?")))))</f>
        <v>—</v>
      </c>
      <c r="F4" s="49" t="str">
        <f aca="false">IF(A4=0,"START",IF(A4=25,"MIRROR AXIS",IF(A4=50,"END",IF(A4=51,"NEXT CYCLE","—"))))</f>
        <v>—</v>
      </c>
      <c r="G4" s="49" t="str">
        <f aca="false">REPT("█",B4)</f>
        <v/>
      </c>
      <c r="H4" s="50" t="n">
        <f aca="false">H5+1</f>
        <v>23</v>
      </c>
      <c r="I4" s="12"/>
      <c r="J4" s="12"/>
      <c r="K4" s="12"/>
      <c r="L4" s="12"/>
      <c r="M4" s="12"/>
      <c r="N4" s="12"/>
      <c r="O4" s="12"/>
      <c r="P4" s="12"/>
      <c r="Q4" s="12"/>
      <c r="R4" s="12"/>
      <c r="S4" s="12"/>
      <c r="T4" s="12"/>
      <c r="U4" s="12"/>
      <c r="V4" s="12"/>
      <c r="W4" s="12"/>
      <c r="X4" s="12"/>
      <c r="Y4" s="12"/>
      <c r="Z4" s="12"/>
    </row>
    <row r="5" customFormat="false" ht="15.75" hidden="false" customHeight="true" outlineLevel="0" collapsed="false">
      <c r="A5" s="48" t="n">
        <f aca="false">A4+1</f>
        <v>3</v>
      </c>
      <c r="B5" s="49" t="n">
        <f aca="false">'Pentametric Cycle'!H5</f>
        <v>1</v>
      </c>
      <c r="C5" s="49" t="str">
        <f aca="false">IF(B5=0,"—",IF(B5=1,"unison (1:1)",IF(B5=2,"octave (2:1)",IF(B5=3,"fifth (3:2)",IF(B5=4,"fourth (4:3)","?")))))</f>
        <v>unison (1:1)</v>
      </c>
      <c r="D5" s="49" t="str">
        <f aca="false">IF(B5=0,"—",IF(B5=1,"ὁμώνυμον",IF(B5=2,"διὰ πασῶν",IF(B5=3,"διὰ πέντε",IF(B5=4,"διὰ τεσσάρων","?")))))</f>
        <v>ὁμώνυμον</v>
      </c>
      <c r="E5" s="49" t="str">
        <f aca="false">IF(B5=0,"—",IF(B5=1,"homonymous",IF(B5=2,"through all",IF(B5=3,"through five",IF(B5=4,"through four","?")))))</f>
        <v>homonymous</v>
      </c>
      <c r="F5" s="49" t="str">
        <f aca="false">IF(A5=0,"START",IF(A5=25,"MIRROR AXIS",IF(A5=50,"END",IF(A5=51,"NEXT CYCLE","—"))))</f>
        <v>—</v>
      </c>
      <c r="G5" s="49" t="str">
        <f aca="false">REPT("█",B5)</f>
        <v>█</v>
      </c>
      <c r="H5" s="50" t="n">
        <f aca="false">H6+1</f>
        <v>22</v>
      </c>
      <c r="I5" s="12"/>
      <c r="J5" s="12"/>
      <c r="K5" s="12"/>
      <c r="L5" s="12"/>
      <c r="M5" s="12"/>
      <c r="N5" s="12"/>
      <c r="O5" s="12"/>
      <c r="P5" s="12"/>
      <c r="Q5" s="12"/>
      <c r="R5" s="12"/>
      <c r="S5" s="12"/>
      <c r="T5" s="12"/>
      <c r="U5" s="12"/>
      <c r="V5" s="12"/>
      <c r="W5" s="12"/>
      <c r="X5" s="12"/>
      <c r="Y5" s="12"/>
      <c r="Z5" s="12"/>
    </row>
    <row r="6" customFormat="false" ht="15.75" hidden="false" customHeight="true" outlineLevel="0" collapsed="false">
      <c r="A6" s="48" t="n">
        <f aca="false">A5+1</f>
        <v>4</v>
      </c>
      <c r="B6" s="49" t="n">
        <f aca="false">'Pentametric Cycle'!H6</f>
        <v>4</v>
      </c>
      <c r="C6" s="49" t="str">
        <f aca="false">IF(B6=0,"—",IF(B6=1,"unison (1:1)",IF(B6=2,"octave (2:1)",IF(B6=3,"fifth (3:2)",IF(B6=4,"fourth (4:3)","?")))))</f>
        <v>fourth (4:3)</v>
      </c>
      <c r="D6" s="49" t="str">
        <f aca="false">IF(B6=0,"—",IF(B6=1,"ὁμώνυμον",IF(B6=2,"διὰ πασῶν",IF(B6=3,"διὰ πέντε",IF(B6=4,"διὰ τεσσάρων","?")))))</f>
        <v>διὰ τεσσάρων</v>
      </c>
      <c r="E6" s="49" t="str">
        <f aca="false">IF(B6=0,"—",IF(B6=1,"homonymous",IF(B6=2,"through all",IF(B6=3,"through five",IF(B6=4,"through four","?")))))</f>
        <v>through four</v>
      </c>
      <c r="F6" s="49" t="str">
        <f aca="false">IF(A6=0,"START",IF(A6=25,"MIRROR AXIS",IF(A6=50,"END",IF(A6=51,"NEXT CYCLE","—"))))</f>
        <v>—</v>
      </c>
      <c r="G6" s="49" t="str">
        <f aca="false">REPT("█",B6)</f>
        <v>████</v>
      </c>
      <c r="H6" s="50" t="n">
        <f aca="false">H7+1</f>
        <v>21</v>
      </c>
      <c r="I6" s="12"/>
      <c r="J6" s="12"/>
      <c r="K6" s="12"/>
      <c r="L6" s="12"/>
      <c r="M6" s="12"/>
      <c r="N6" s="12"/>
      <c r="O6" s="12"/>
      <c r="P6" s="12"/>
      <c r="Q6" s="12"/>
      <c r="R6" s="12"/>
      <c r="S6" s="12"/>
      <c r="T6" s="12"/>
      <c r="U6" s="12"/>
      <c r="V6" s="12"/>
      <c r="W6" s="12"/>
      <c r="X6" s="12"/>
      <c r="Y6" s="12"/>
      <c r="Z6" s="12"/>
    </row>
    <row r="7" customFormat="false" ht="15.75" hidden="false" customHeight="true" outlineLevel="0" collapsed="false">
      <c r="A7" s="48" t="n">
        <f aca="false">A6+1</f>
        <v>5</v>
      </c>
      <c r="B7" s="49" t="n">
        <f aca="false">'Pentametric Cycle'!H7</f>
        <v>0</v>
      </c>
      <c r="C7" s="49" t="str">
        <f aca="false">IF(B7=0,"—",IF(B7=1,"unison (1:1)",IF(B7=2,"octave (2:1)",IF(B7=3,"fifth (3:2)",IF(B7=4,"fourth (4:3)","?")))))</f>
        <v>—</v>
      </c>
      <c r="D7" s="49" t="str">
        <f aca="false">IF(B7=0,"—",IF(B7=1,"ὁμώνυμον",IF(B7=2,"διὰ πασῶν",IF(B7=3,"διὰ πέντε",IF(B7=4,"διὰ τεσσάρων","?")))))</f>
        <v>—</v>
      </c>
      <c r="E7" s="49" t="str">
        <f aca="false">IF(B7=0,"—",IF(B7=1,"homonymous",IF(B7=2,"through all",IF(B7=3,"through five",IF(B7=4,"through four","?")))))</f>
        <v>—</v>
      </c>
      <c r="F7" s="49" t="str">
        <f aca="false">IF(A7=0,"START",IF(A7=25,"MIRROR AXIS",IF(A7=50,"END",IF(A7=51,"NEXT CYCLE","—"))))</f>
        <v>—</v>
      </c>
      <c r="G7" s="49" t="str">
        <f aca="false">REPT("█",B7)</f>
        <v/>
      </c>
      <c r="H7" s="50" t="n">
        <f aca="false">H8+1</f>
        <v>20</v>
      </c>
      <c r="I7" s="12"/>
      <c r="J7" s="12"/>
      <c r="K7" s="12"/>
      <c r="L7" s="12"/>
      <c r="M7" s="12"/>
      <c r="N7" s="12"/>
      <c r="O7" s="12"/>
      <c r="P7" s="12"/>
      <c r="Q7" s="12"/>
      <c r="R7" s="12"/>
      <c r="S7" s="12"/>
      <c r="T7" s="12"/>
      <c r="U7" s="12"/>
      <c r="V7" s="12"/>
      <c r="W7" s="12"/>
      <c r="X7" s="12"/>
      <c r="Y7" s="12"/>
      <c r="Z7" s="12"/>
    </row>
    <row r="8" customFormat="false" ht="15.75" hidden="false" customHeight="true" outlineLevel="0" collapsed="false">
      <c r="A8" s="48" t="n">
        <f aca="false">A7+1</f>
        <v>6</v>
      </c>
      <c r="B8" s="49" t="n">
        <f aca="false">'Pentametric Cycle'!H8</f>
        <v>3</v>
      </c>
      <c r="C8" s="49" t="str">
        <f aca="false">IF(B8=0,"—",IF(B8=1,"unison (1:1)",IF(B8=2,"octave (2:1)",IF(B8=3,"fifth (3:2)",IF(B8=4,"fourth (4:3)","?")))))</f>
        <v>fifth (3:2)</v>
      </c>
      <c r="D8" s="49" t="str">
        <f aca="false">IF(B8=0,"—",IF(B8=1,"ὁμώνυμον",IF(B8=2,"διὰ πασῶν",IF(B8=3,"διὰ πέντε",IF(B8=4,"διὰ τεσσάρων","?")))))</f>
        <v>διὰ πέντε</v>
      </c>
      <c r="E8" s="49" t="str">
        <f aca="false">IF(B8=0,"—",IF(B8=1,"homonymous",IF(B8=2,"through all",IF(B8=3,"through five",IF(B8=4,"through four","?")))))</f>
        <v>through five</v>
      </c>
      <c r="F8" s="49" t="str">
        <f aca="false">IF(A8=0,"START",IF(A8=25,"MIRROR AXIS",IF(A8=50,"END",IF(A8=51,"NEXT CYCLE","—"))))</f>
        <v>—</v>
      </c>
      <c r="G8" s="49" t="str">
        <f aca="false">REPT("█",B8)</f>
        <v>███</v>
      </c>
      <c r="H8" s="50" t="n">
        <f aca="false">H9+1</f>
        <v>19</v>
      </c>
      <c r="I8" s="12"/>
      <c r="J8" s="12"/>
      <c r="K8" s="12"/>
      <c r="L8" s="12"/>
      <c r="M8" s="12"/>
      <c r="N8" s="12"/>
      <c r="O8" s="12"/>
      <c r="P8" s="12"/>
      <c r="Q8" s="12"/>
      <c r="R8" s="12"/>
      <c r="S8" s="12"/>
      <c r="T8" s="12"/>
      <c r="U8" s="12"/>
      <c r="V8" s="12"/>
      <c r="W8" s="12"/>
      <c r="X8" s="12"/>
      <c r="Y8" s="12"/>
      <c r="Z8" s="12"/>
    </row>
    <row r="9" customFormat="false" ht="15.75" hidden="false" customHeight="true" outlineLevel="0" collapsed="false">
      <c r="A9" s="48" t="n">
        <f aca="false">A8+1</f>
        <v>7</v>
      </c>
      <c r="B9" s="49" t="n">
        <f aca="false">'Pentametric Cycle'!H9</f>
        <v>4</v>
      </c>
      <c r="C9" s="49" t="str">
        <f aca="false">IF(B9=0,"—",IF(B9=1,"unison (1:1)",IF(B9=2,"octave (2:1)",IF(B9=3,"fifth (3:2)",IF(B9=4,"fourth (4:3)","?")))))</f>
        <v>fourth (4:3)</v>
      </c>
      <c r="D9" s="49" t="str">
        <f aca="false">IF(B9=0,"—",IF(B9=1,"ὁμώνυμον",IF(B9=2,"διὰ πασῶν",IF(B9=3,"διὰ πέντε",IF(B9=4,"διὰ τεσσάρων","?")))))</f>
        <v>διὰ τεσσάρων</v>
      </c>
      <c r="E9" s="49" t="str">
        <f aca="false">IF(B9=0,"—",IF(B9=1,"homonymous",IF(B9=2,"through all",IF(B9=3,"through five",IF(B9=4,"through four","?")))))</f>
        <v>through four</v>
      </c>
      <c r="F9" s="49" t="str">
        <f aca="false">IF(A9=0,"START",IF(A9=25,"MIRROR AXIS",IF(A9=50,"END",IF(A9=51,"NEXT CYCLE","—"))))</f>
        <v>—</v>
      </c>
      <c r="G9" s="49" t="str">
        <f aca="false">REPT("█",B9)</f>
        <v>████</v>
      </c>
      <c r="H9" s="50" t="n">
        <f aca="false">H10+1</f>
        <v>18</v>
      </c>
      <c r="I9" s="12"/>
      <c r="J9" s="12"/>
      <c r="K9" s="12"/>
      <c r="L9" s="12"/>
      <c r="M9" s="12"/>
      <c r="N9" s="12"/>
      <c r="O9" s="12"/>
      <c r="P9" s="12"/>
      <c r="Q9" s="12"/>
      <c r="R9" s="12"/>
      <c r="S9" s="12"/>
      <c r="T9" s="12"/>
      <c r="U9" s="12"/>
      <c r="V9" s="12"/>
      <c r="W9" s="12"/>
      <c r="X9" s="12"/>
      <c r="Y9" s="12"/>
      <c r="Z9" s="12"/>
    </row>
    <row r="10" customFormat="false" ht="15.75" hidden="false" customHeight="true" outlineLevel="0" collapsed="false">
      <c r="A10" s="48" t="n">
        <f aca="false">A9+1</f>
        <v>8</v>
      </c>
      <c r="B10" s="49" t="n">
        <f aca="false">'Pentametric Cycle'!H10</f>
        <v>2</v>
      </c>
      <c r="C10" s="49" t="str">
        <f aca="false">IF(B10=0,"—",IF(B10=1,"unison (1:1)",IF(B10=2,"octave (2:1)",IF(B10=3,"fifth (3:2)",IF(B10=4,"fourth (4:3)","?")))))</f>
        <v>octave (2:1)</v>
      </c>
      <c r="D10" s="49" t="str">
        <f aca="false">IF(B10=0,"—",IF(B10=1,"ὁμώνυμον",IF(B10=2,"διὰ πασῶν",IF(B10=3,"διὰ πέντε",IF(B10=4,"διὰ τεσσάρων","?")))))</f>
        <v>διὰ πασῶν</v>
      </c>
      <c r="E10" s="49" t="str">
        <f aca="false">IF(B10=0,"—",IF(B10=1,"homonymous",IF(B10=2,"through all",IF(B10=3,"through five",IF(B10=4,"through four","?")))))</f>
        <v>through all</v>
      </c>
      <c r="F10" s="49" t="str">
        <f aca="false">IF(A10=0,"START",IF(A10=25,"MIRROR AXIS",IF(A10=50,"END",IF(A10=51,"NEXT CYCLE","—"))))</f>
        <v>—</v>
      </c>
      <c r="G10" s="49" t="str">
        <f aca="false">REPT("█",B10)</f>
        <v>██</v>
      </c>
      <c r="H10" s="50" t="n">
        <f aca="false">H11+1</f>
        <v>17</v>
      </c>
      <c r="I10" s="12"/>
      <c r="J10" s="12"/>
      <c r="K10" s="12"/>
      <c r="L10" s="12"/>
      <c r="M10" s="12"/>
      <c r="N10" s="12"/>
      <c r="O10" s="12"/>
      <c r="P10" s="12"/>
      <c r="Q10" s="12"/>
      <c r="R10" s="12"/>
      <c r="S10" s="12"/>
      <c r="T10" s="12"/>
      <c r="U10" s="12"/>
      <c r="V10" s="12"/>
      <c r="W10" s="12"/>
      <c r="X10" s="12"/>
      <c r="Y10" s="12"/>
      <c r="Z10" s="12"/>
    </row>
    <row r="11" customFormat="false" ht="15.75" hidden="false" customHeight="true" outlineLevel="0" collapsed="false">
      <c r="A11" s="48" t="n">
        <f aca="false">A10+1</f>
        <v>9</v>
      </c>
      <c r="B11" s="49" t="n">
        <f aca="false">'Pentametric Cycle'!H11</f>
        <v>2</v>
      </c>
      <c r="C11" s="49" t="str">
        <f aca="false">IF(B11=0,"—",IF(B11=1,"unison (1:1)",IF(B11=2,"octave (2:1)",IF(B11=3,"fifth (3:2)",IF(B11=4,"fourth (4:3)","?")))))</f>
        <v>octave (2:1)</v>
      </c>
      <c r="D11" s="49" t="str">
        <f aca="false">IF(B11=0,"—",IF(B11=1,"ὁμώνυμον",IF(B11=2,"διὰ πασῶν",IF(B11=3,"διὰ πέντε",IF(B11=4,"διὰ τεσσάρων","?")))))</f>
        <v>διὰ πασῶν</v>
      </c>
      <c r="E11" s="49" t="str">
        <f aca="false">IF(B11=0,"—",IF(B11=1,"homonymous",IF(B11=2,"through all",IF(B11=3,"through five",IF(B11=4,"through four","?")))))</f>
        <v>through all</v>
      </c>
      <c r="F11" s="49" t="str">
        <f aca="false">IF(A11=0,"START",IF(A11=25,"MIRROR AXIS",IF(A11=50,"END",IF(A11=51,"NEXT CYCLE","—"))))</f>
        <v>—</v>
      </c>
      <c r="G11" s="49" t="str">
        <f aca="false">REPT("█",B11)</f>
        <v>██</v>
      </c>
      <c r="H11" s="50" t="n">
        <f aca="false">H12+1</f>
        <v>16</v>
      </c>
      <c r="I11" s="12"/>
      <c r="J11" s="12"/>
      <c r="K11" s="12"/>
      <c r="L11" s="12"/>
      <c r="M11" s="12"/>
      <c r="N11" s="12"/>
      <c r="O11" s="12"/>
      <c r="P11" s="12"/>
      <c r="Q11" s="12"/>
      <c r="R11" s="12"/>
      <c r="S11" s="12"/>
      <c r="T11" s="12"/>
      <c r="U11" s="12"/>
      <c r="V11" s="12"/>
      <c r="W11" s="12"/>
      <c r="X11" s="12"/>
      <c r="Y11" s="12"/>
      <c r="Z11" s="12"/>
    </row>
    <row r="12" customFormat="false" ht="15.75" hidden="false" customHeight="true" outlineLevel="0" collapsed="false">
      <c r="A12" s="48" t="n">
        <f aca="false">A11+1</f>
        <v>10</v>
      </c>
      <c r="B12" s="49" t="n">
        <f aca="false">'Pentametric Cycle'!H12</f>
        <v>0</v>
      </c>
      <c r="C12" s="49" t="str">
        <f aca="false">IF(B12=0,"—",IF(B12=1,"unison (1:1)",IF(B12=2,"octave (2:1)",IF(B12=3,"fifth (3:2)",IF(B12=4,"fourth (4:3)","?")))))</f>
        <v>—</v>
      </c>
      <c r="D12" s="49" t="str">
        <f aca="false">IF(B12=0,"—",IF(B12=1,"ὁμώνυμον",IF(B12=2,"διὰ πασῶν",IF(B12=3,"διὰ πέντε",IF(B12=4,"διὰ τεσσάρων","?")))))</f>
        <v>—</v>
      </c>
      <c r="E12" s="49" t="str">
        <f aca="false">IF(B12=0,"—",IF(B12=1,"homonymous",IF(B12=2,"through all",IF(B12=3,"through five",IF(B12=4,"through four","?")))))</f>
        <v>—</v>
      </c>
      <c r="F12" s="49" t="str">
        <f aca="false">IF(A12=0,"START",IF(A12=25,"MIRROR AXIS",IF(A12=50,"END",IF(A12=51,"NEXT CYCLE","—"))))</f>
        <v>—</v>
      </c>
      <c r="G12" s="49" t="str">
        <f aca="false">REPT("█",B12)</f>
        <v/>
      </c>
      <c r="H12" s="50" t="n">
        <f aca="false">H13+1</f>
        <v>15</v>
      </c>
      <c r="I12" s="12"/>
      <c r="J12" s="12"/>
      <c r="K12" s="12"/>
      <c r="L12" s="12"/>
      <c r="M12" s="12"/>
      <c r="N12" s="12"/>
      <c r="O12" s="12"/>
      <c r="P12" s="12"/>
      <c r="Q12" s="12"/>
      <c r="R12" s="12"/>
      <c r="S12" s="12"/>
      <c r="T12" s="12"/>
      <c r="U12" s="12"/>
      <c r="V12" s="12"/>
      <c r="W12" s="12"/>
      <c r="X12" s="12"/>
      <c r="Y12" s="12"/>
      <c r="Z12" s="12"/>
    </row>
    <row r="13" customFormat="false" ht="15.75" hidden="false" customHeight="true" outlineLevel="0" collapsed="false">
      <c r="A13" s="48" t="n">
        <f aca="false">A12+1</f>
        <v>11</v>
      </c>
      <c r="B13" s="49" t="n">
        <f aca="false">'Pentametric Cycle'!H13</f>
        <v>0</v>
      </c>
      <c r="C13" s="49" t="str">
        <f aca="false">IF(B13=0,"—",IF(B13=1,"unison (1:1)",IF(B13=2,"octave (2:1)",IF(B13=3,"fifth (3:2)",IF(B13=4,"fourth (4:3)","?")))))</f>
        <v>—</v>
      </c>
      <c r="D13" s="49" t="str">
        <f aca="false">IF(B13=0,"—",IF(B13=1,"ὁμώνυμον",IF(B13=2,"διὰ πασῶν",IF(B13=3,"διὰ πέντε",IF(B13=4,"διὰ τεσσάρων","?")))))</f>
        <v>—</v>
      </c>
      <c r="E13" s="49" t="str">
        <f aca="false">IF(B13=0,"—",IF(B13=1,"homonymous",IF(B13=2,"through all",IF(B13=3,"through five",IF(B13=4,"through four","?")))))</f>
        <v>—</v>
      </c>
      <c r="F13" s="49" t="str">
        <f aca="false">IF(A13=0,"START",IF(A13=25,"MIRROR AXIS",IF(A13=50,"END",IF(A13=51,"NEXT CYCLE","—"))))</f>
        <v>—</v>
      </c>
      <c r="G13" s="49" t="str">
        <f aca="false">REPT("█",B13)</f>
        <v/>
      </c>
      <c r="H13" s="50" t="n">
        <f aca="false">H14+1</f>
        <v>14</v>
      </c>
      <c r="I13" s="12"/>
      <c r="J13" s="12"/>
      <c r="K13" s="12"/>
      <c r="L13" s="12"/>
      <c r="M13" s="12"/>
      <c r="N13" s="12"/>
      <c r="O13" s="12"/>
      <c r="P13" s="12"/>
      <c r="Q13" s="12"/>
      <c r="R13" s="12"/>
      <c r="S13" s="12"/>
      <c r="T13" s="12"/>
      <c r="U13" s="12"/>
      <c r="V13" s="12"/>
      <c r="W13" s="12"/>
      <c r="X13" s="12"/>
      <c r="Y13" s="12"/>
      <c r="Z13" s="12"/>
    </row>
    <row r="14" customFormat="false" ht="15.75" hidden="false" customHeight="true" outlineLevel="0" collapsed="false">
      <c r="A14" s="48" t="n">
        <f aca="false">A13+1</f>
        <v>12</v>
      </c>
      <c r="B14" s="49" t="n">
        <f aca="false">'Pentametric Cycle'!H14</f>
        <v>3</v>
      </c>
      <c r="C14" s="49" t="str">
        <f aca="false">IF(B14=0,"—",IF(B14=1,"unison (1:1)",IF(B14=2,"octave (2:1)",IF(B14=3,"fifth (3:2)",IF(B14=4,"fourth (4:3)","?")))))</f>
        <v>fifth (3:2)</v>
      </c>
      <c r="D14" s="49" t="str">
        <f aca="false">IF(B14=0,"—",IF(B14=1,"ὁμώνυμον",IF(B14=2,"διὰ πασῶν",IF(B14=3,"διὰ πέντε",IF(B14=4,"διὰ τεσσάρων","?")))))</f>
        <v>διὰ πέντε</v>
      </c>
      <c r="E14" s="49" t="str">
        <f aca="false">IF(B14=0,"—",IF(B14=1,"homonymous",IF(B14=2,"through all",IF(B14=3,"through five",IF(B14=4,"through four","?")))))</f>
        <v>through five</v>
      </c>
      <c r="F14" s="49" t="str">
        <f aca="false">IF(A14=0,"START",IF(A14=25,"MIRROR AXIS",IF(A14=50,"END",IF(A14=51,"NEXT CYCLE","—"))))</f>
        <v>—</v>
      </c>
      <c r="G14" s="49" t="str">
        <f aca="false">REPT("█",B14)</f>
        <v>███</v>
      </c>
      <c r="H14" s="50" t="n">
        <f aca="false">H15+1</f>
        <v>13</v>
      </c>
      <c r="I14" s="12"/>
      <c r="J14" s="12"/>
      <c r="K14" s="12"/>
      <c r="L14" s="12"/>
      <c r="M14" s="12"/>
      <c r="N14" s="12"/>
      <c r="O14" s="12"/>
      <c r="P14" s="12"/>
      <c r="Q14" s="12"/>
      <c r="R14" s="12"/>
      <c r="S14" s="12"/>
      <c r="T14" s="12"/>
      <c r="U14" s="12"/>
      <c r="V14" s="12"/>
      <c r="W14" s="12"/>
      <c r="X14" s="12"/>
      <c r="Y14" s="12"/>
      <c r="Z14" s="12"/>
    </row>
    <row r="15" customFormat="false" ht="15.75" hidden="false" customHeight="true" outlineLevel="0" collapsed="false">
      <c r="A15" s="48" t="n">
        <f aca="false">A14+1</f>
        <v>13</v>
      </c>
      <c r="B15" s="49" t="n">
        <f aca="false">'Pentametric Cycle'!H15</f>
        <v>3</v>
      </c>
      <c r="C15" s="49" t="str">
        <f aca="false">IF(B15=0,"—",IF(B15=1,"unison (1:1)",IF(B15=2,"octave (2:1)",IF(B15=3,"fifth (3:2)",IF(B15=4,"fourth (4:3)","?")))))</f>
        <v>fifth (3:2)</v>
      </c>
      <c r="D15" s="49" t="str">
        <f aca="false">IF(B15=0,"—",IF(B15=1,"ὁμώνυμον",IF(B15=2,"διὰ πασῶν",IF(B15=3,"διὰ πέντε",IF(B15=4,"διὰ τεσσάρων","?")))))</f>
        <v>διὰ πέντε</v>
      </c>
      <c r="E15" s="49" t="str">
        <f aca="false">IF(B15=0,"—",IF(B15=1,"homonymous",IF(B15=2,"through all",IF(B15=3,"through five",IF(B15=4,"through four","?")))))</f>
        <v>through five</v>
      </c>
      <c r="F15" s="49" t="str">
        <f aca="false">IF(A15=0,"START",IF(A15=25,"MIRROR AXIS",IF(A15=50,"END",IF(A15=51,"NEXT CYCLE","—"))))</f>
        <v>—</v>
      </c>
      <c r="G15" s="49" t="str">
        <f aca="false">REPT("█",B15)</f>
        <v>███</v>
      </c>
      <c r="H15" s="50" t="n">
        <f aca="false">H16+1</f>
        <v>12</v>
      </c>
      <c r="I15" s="12"/>
      <c r="J15" s="12"/>
      <c r="K15" s="12"/>
      <c r="L15" s="12"/>
      <c r="M15" s="12"/>
      <c r="N15" s="12"/>
      <c r="O15" s="12"/>
      <c r="P15" s="12"/>
      <c r="Q15" s="12"/>
      <c r="R15" s="12"/>
      <c r="S15" s="12"/>
      <c r="T15" s="12"/>
      <c r="U15" s="12"/>
      <c r="V15" s="12"/>
      <c r="W15" s="12"/>
      <c r="X15" s="12"/>
      <c r="Y15" s="12"/>
      <c r="Z15" s="12"/>
    </row>
    <row r="16" customFormat="false" ht="15.75" hidden="false" customHeight="true" outlineLevel="0" collapsed="false">
      <c r="A16" s="48" t="n">
        <f aca="false">A15+1</f>
        <v>14</v>
      </c>
      <c r="B16" s="49" t="n">
        <f aca="false">'Pentametric Cycle'!H16</f>
        <v>0</v>
      </c>
      <c r="C16" s="49" t="str">
        <f aca="false">IF(B16=0,"—",IF(B16=1,"unison (1:1)",IF(B16=2,"octave (2:1)",IF(B16=3,"fifth (3:2)",IF(B16=4,"fourth (4:3)","?")))))</f>
        <v>—</v>
      </c>
      <c r="D16" s="49" t="str">
        <f aca="false">IF(B16=0,"—",IF(B16=1,"ὁμώνυμον",IF(B16=2,"διὰ πασῶν",IF(B16=3,"διὰ πέντε",IF(B16=4,"διὰ τεσσάρων","?")))))</f>
        <v>—</v>
      </c>
      <c r="E16" s="49" t="str">
        <f aca="false">IF(B16=0,"—",IF(B16=1,"homonymous",IF(B16=2,"through all",IF(B16=3,"through five",IF(B16=4,"through four","?")))))</f>
        <v>—</v>
      </c>
      <c r="F16" s="49" t="str">
        <f aca="false">IF(A16=0,"START",IF(A16=25,"MIRROR AXIS",IF(A16=50,"END",IF(A16=51,"NEXT CYCLE","—"))))</f>
        <v>—</v>
      </c>
      <c r="G16" s="49" t="str">
        <f aca="false">REPT("█",B16)</f>
        <v/>
      </c>
      <c r="H16" s="50" t="n">
        <f aca="false">H17+1</f>
        <v>11</v>
      </c>
      <c r="I16" s="12"/>
      <c r="J16" s="12"/>
      <c r="K16" s="12"/>
      <c r="L16" s="12"/>
      <c r="M16" s="12"/>
      <c r="N16" s="12"/>
      <c r="O16" s="12"/>
      <c r="P16" s="12"/>
      <c r="Q16" s="12"/>
      <c r="R16" s="12"/>
      <c r="S16" s="12"/>
      <c r="T16" s="12"/>
      <c r="U16" s="12"/>
      <c r="V16" s="12"/>
      <c r="W16" s="12"/>
      <c r="X16" s="12"/>
      <c r="Y16" s="12"/>
      <c r="Z16" s="12"/>
    </row>
    <row r="17" customFormat="false" ht="15.75" hidden="false" customHeight="true" outlineLevel="0" collapsed="false">
      <c r="A17" s="48" t="n">
        <f aca="false">A16+1</f>
        <v>15</v>
      </c>
      <c r="B17" s="49" t="n">
        <f aca="false">'Pentametric Cycle'!H17</f>
        <v>0</v>
      </c>
      <c r="C17" s="49" t="str">
        <f aca="false">IF(B17=0,"—",IF(B17=1,"unison (1:1)",IF(B17=2,"octave (2:1)",IF(B17=3,"fifth (3:2)",IF(B17=4,"fourth (4:3)","?")))))</f>
        <v>—</v>
      </c>
      <c r="D17" s="49" t="str">
        <f aca="false">IF(B17=0,"—",IF(B17=1,"ὁμώνυμον",IF(B17=2,"διὰ πασῶν",IF(B17=3,"διὰ πέντε",IF(B17=4,"διὰ τεσσάρων","?")))))</f>
        <v>—</v>
      </c>
      <c r="E17" s="49" t="str">
        <f aca="false">IF(B17=0,"—",IF(B17=1,"homonymous",IF(B17=2,"through all",IF(B17=3,"through five",IF(B17=4,"through four","?")))))</f>
        <v>—</v>
      </c>
      <c r="F17" s="49" t="str">
        <f aca="false">IF(A17=0,"START",IF(A17=25,"MIRROR AXIS",IF(A17=50,"END",IF(A17=51,"NEXT CYCLE","—"))))</f>
        <v>—</v>
      </c>
      <c r="G17" s="49" t="str">
        <f aca="false">REPT("█",B17)</f>
        <v/>
      </c>
      <c r="H17" s="50" t="n">
        <f aca="false">H18+1</f>
        <v>10</v>
      </c>
      <c r="I17" s="12"/>
      <c r="J17" s="12"/>
      <c r="K17" s="12"/>
      <c r="L17" s="12"/>
      <c r="M17" s="12"/>
      <c r="N17" s="12"/>
      <c r="O17" s="12"/>
      <c r="P17" s="12"/>
      <c r="Q17" s="12"/>
      <c r="R17" s="12"/>
      <c r="S17" s="12"/>
      <c r="T17" s="12"/>
      <c r="U17" s="12"/>
      <c r="V17" s="12"/>
      <c r="W17" s="12"/>
      <c r="X17" s="12"/>
      <c r="Y17" s="12"/>
      <c r="Z17" s="12"/>
    </row>
    <row r="18" customFormat="false" ht="15.75" hidden="false" customHeight="true" outlineLevel="0" collapsed="false">
      <c r="A18" s="48" t="n">
        <f aca="false">A17+1</f>
        <v>16</v>
      </c>
      <c r="B18" s="49" t="n">
        <f aca="false">'Pentametric Cycle'!H18</f>
        <v>2</v>
      </c>
      <c r="C18" s="49" t="str">
        <f aca="false">IF(B18=0,"—",IF(B18=1,"unison (1:1)",IF(B18=2,"octave (2:1)",IF(B18=3,"fifth (3:2)",IF(B18=4,"fourth (4:3)","?")))))</f>
        <v>octave (2:1)</v>
      </c>
      <c r="D18" s="49" t="str">
        <f aca="false">IF(B18=0,"—",IF(B18=1,"ὁμώνυμον",IF(B18=2,"διὰ πασῶν",IF(B18=3,"διὰ πέντε",IF(B18=4,"διὰ τεσσάρων","?")))))</f>
        <v>διὰ πασῶν</v>
      </c>
      <c r="E18" s="49" t="str">
        <f aca="false">IF(B18=0,"—",IF(B18=1,"homonymous",IF(B18=2,"through all",IF(B18=3,"through five",IF(B18=4,"through four","?")))))</f>
        <v>through all</v>
      </c>
      <c r="F18" s="49" t="str">
        <f aca="false">IF(A18=0,"START",IF(A18=25,"MIRROR AXIS",IF(A18=50,"END",IF(A18=51,"NEXT CYCLE","—"))))</f>
        <v>—</v>
      </c>
      <c r="G18" s="49" t="str">
        <f aca="false">REPT("█",B18)</f>
        <v>██</v>
      </c>
      <c r="H18" s="50" t="n">
        <f aca="false">H19+1</f>
        <v>9</v>
      </c>
      <c r="I18" s="12"/>
      <c r="J18" s="12"/>
      <c r="K18" s="12"/>
      <c r="L18" s="12"/>
      <c r="M18" s="12"/>
      <c r="N18" s="12"/>
      <c r="O18" s="12"/>
      <c r="P18" s="12"/>
      <c r="Q18" s="12"/>
      <c r="R18" s="12"/>
      <c r="S18" s="12"/>
      <c r="T18" s="12"/>
      <c r="U18" s="12"/>
      <c r="V18" s="12"/>
      <c r="W18" s="12"/>
      <c r="X18" s="12"/>
      <c r="Y18" s="12"/>
      <c r="Z18" s="12"/>
    </row>
    <row r="19" customFormat="false" ht="15.75" hidden="false" customHeight="true" outlineLevel="0" collapsed="false">
      <c r="A19" s="48" t="n">
        <f aca="false">A18+1</f>
        <v>17</v>
      </c>
      <c r="B19" s="49" t="n">
        <f aca="false">'Pentametric Cycle'!H19</f>
        <v>2</v>
      </c>
      <c r="C19" s="49" t="str">
        <f aca="false">IF(B19=0,"—",IF(B19=1,"unison (1:1)",IF(B19=2,"octave (2:1)",IF(B19=3,"fifth (3:2)",IF(B19=4,"fourth (4:3)","?")))))</f>
        <v>octave (2:1)</v>
      </c>
      <c r="D19" s="49" t="str">
        <f aca="false">IF(B19=0,"—",IF(B19=1,"ὁμώνυμον",IF(B19=2,"διὰ πασῶν",IF(B19=3,"διὰ πέντε",IF(B19=4,"διὰ τεσσάρων","?")))))</f>
        <v>διὰ πασῶν</v>
      </c>
      <c r="E19" s="49" t="str">
        <f aca="false">IF(B19=0,"—",IF(B19=1,"homonymous",IF(B19=2,"through all",IF(B19=3,"through five",IF(B19=4,"through four","?")))))</f>
        <v>through all</v>
      </c>
      <c r="F19" s="49" t="str">
        <f aca="false">IF(A19=0,"START",IF(A19=25,"MIRROR AXIS",IF(A19=50,"END",IF(A19=51,"NEXT CYCLE","—"))))</f>
        <v>—</v>
      </c>
      <c r="G19" s="49" t="str">
        <f aca="false">REPT("█",B19)</f>
        <v>██</v>
      </c>
      <c r="H19" s="50" t="n">
        <f aca="false">H20+1</f>
        <v>8</v>
      </c>
      <c r="I19" s="12"/>
      <c r="J19" s="12"/>
      <c r="K19" s="12"/>
      <c r="L19" s="12"/>
      <c r="M19" s="12"/>
      <c r="N19" s="12"/>
      <c r="O19" s="12"/>
      <c r="P19" s="12"/>
      <c r="Q19" s="12"/>
      <c r="R19" s="12"/>
      <c r="S19" s="12"/>
      <c r="T19" s="12"/>
      <c r="U19" s="12"/>
      <c r="V19" s="12"/>
      <c r="W19" s="12"/>
      <c r="X19" s="12"/>
      <c r="Y19" s="12"/>
      <c r="Z19" s="12"/>
    </row>
    <row r="20" customFormat="false" ht="15.75" hidden="false" customHeight="true" outlineLevel="0" collapsed="false">
      <c r="A20" s="48" t="n">
        <f aca="false">A19+1</f>
        <v>18</v>
      </c>
      <c r="B20" s="49" t="n">
        <f aca="false">'Pentametric Cycle'!H20</f>
        <v>4</v>
      </c>
      <c r="C20" s="49" t="str">
        <f aca="false">IF(B20=0,"—",IF(B20=1,"unison (1:1)",IF(B20=2,"octave (2:1)",IF(B20=3,"fifth (3:2)",IF(B20=4,"fourth (4:3)","?")))))</f>
        <v>fourth (4:3)</v>
      </c>
      <c r="D20" s="49" t="str">
        <f aca="false">IF(B20=0,"—",IF(B20=1,"ὁμώνυμον",IF(B20=2,"διὰ πασῶν",IF(B20=3,"διὰ πέντε",IF(B20=4,"διὰ τεσσάρων","?")))))</f>
        <v>διὰ τεσσάρων</v>
      </c>
      <c r="E20" s="49" t="str">
        <f aca="false">IF(B20=0,"—",IF(B20=1,"homonymous",IF(B20=2,"through all",IF(B20=3,"through five",IF(B20=4,"through four","?")))))</f>
        <v>through four</v>
      </c>
      <c r="F20" s="49" t="str">
        <f aca="false">IF(A20=0,"START",IF(A20=25,"MIRROR AXIS",IF(A20=50,"END",IF(A20=51,"NEXT CYCLE","—"))))</f>
        <v>—</v>
      </c>
      <c r="G20" s="49" t="str">
        <f aca="false">REPT("█",B20)</f>
        <v>████</v>
      </c>
      <c r="H20" s="50" t="n">
        <f aca="false">H21+1</f>
        <v>7</v>
      </c>
      <c r="I20" s="12"/>
      <c r="J20" s="12"/>
      <c r="K20" s="12"/>
      <c r="L20" s="12"/>
      <c r="M20" s="12"/>
      <c r="N20" s="12"/>
      <c r="O20" s="12"/>
      <c r="P20" s="12"/>
      <c r="Q20" s="12"/>
      <c r="R20" s="12"/>
      <c r="S20" s="12"/>
      <c r="T20" s="12"/>
      <c r="U20" s="12"/>
      <c r="V20" s="12"/>
      <c r="W20" s="12"/>
      <c r="X20" s="12"/>
      <c r="Y20" s="12"/>
      <c r="Z20" s="12"/>
    </row>
    <row r="21" customFormat="false" ht="15.75" hidden="false" customHeight="true" outlineLevel="0" collapsed="false">
      <c r="A21" s="48" t="n">
        <f aca="false">A20+1</f>
        <v>19</v>
      </c>
      <c r="B21" s="49" t="n">
        <f aca="false">'Pentametric Cycle'!H21</f>
        <v>3</v>
      </c>
      <c r="C21" s="49" t="str">
        <f aca="false">IF(B21=0,"—",IF(B21=1,"unison (1:1)",IF(B21=2,"octave (2:1)",IF(B21=3,"fifth (3:2)",IF(B21=4,"fourth (4:3)","?")))))</f>
        <v>fifth (3:2)</v>
      </c>
      <c r="D21" s="49" t="str">
        <f aca="false">IF(B21=0,"—",IF(B21=1,"ὁμώνυμον",IF(B21=2,"διὰ πασῶν",IF(B21=3,"διὰ πέντε",IF(B21=4,"διὰ τεσσάρων","?")))))</f>
        <v>διὰ πέντε</v>
      </c>
      <c r="E21" s="49" t="str">
        <f aca="false">IF(B21=0,"—",IF(B21=1,"homonymous",IF(B21=2,"through all",IF(B21=3,"through five",IF(B21=4,"through four","?")))))</f>
        <v>through five</v>
      </c>
      <c r="F21" s="49" t="str">
        <f aca="false">IF(A21=0,"START",IF(A21=25,"MIRROR AXIS",IF(A21=50,"END",IF(A21=51,"NEXT CYCLE","—"))))</f>
        <v>—</v>
      </c>
      <c r="G21" s="49" t="str">
        <f aca="false">REPT("█",B21)</f>
        <v>███</v>
      </c>
      <c r="H21" s="50" t="n">
        <f aca="false">H22+1</f>
        <v>6</v>
      </c>
      <c r="I21" s="12"/>
      <c r="J21" s="12"/>
      <c r="K21" s="12"/>
      <c r="L21" s="12"/>
      <c r="M21" s="12"/>
      <c r="N21" s="12"/>
      <c r="O21" s="12"/>
      <c r="P21" s="12"/>
      <c r="Q21" s="12"/>
      <c r="R21" s="12"/>
      <c r="S21" s="12"/>
      <c r="T21" s="12"/>
      <c r="U21" s="12"/>
      <c r="V21" s="12"/>
      <c r="W21" s="12"/>
      <c r="X21" s="12"/>
      <c r="Y21" s="12"/>
      <c r="Z21" s="12"/>
    </row>
    <row r="22" customFormat="false" ht="15.75" hidden="false" customHeight="true" outlineLevel="0" collapsed="false">
      <c r="A22" s="48" t="n">
        <f aca="false">A21+1</f>
        <v>20</v>
      </c>
      <c r="B22" s="49" t="n">
        <f aca="false">'Pentametric Cycle'!H22</f>
        <v>0</v>
      </c>
      <c r="C22" s="49" t="str">
        <f aca="false">IF(B22=0,"—",IF(B22=1,"unison (1:1)",IF(B22=2,"octave (2:1)",IF(B22=3,"fifth (3:2)",IF(B22=4,"fourth (4:3)","?")))))</f>
        <v>—</v>
      </c>
      <c r="D22" s="49" t="str">
        <f aca="false">IF(B22=0,"—",IF(B22=1,"ὁμώνυμον",IF(B22=2,"διὰ πασῶν",IF(B22=3,"διὰ πέντε",IF(B22=4,"διὰ τεσσάρων","?")))))</f>
        <v>—</v>
      </c>
      <c r="E22" s="49" t="str">
        <f aca="false">IF(B22=0,"—",IF(B22=1,"homonymous",IF(B22=2,"through all",IF(B22=3,"through five",IF(B22=4,"through four","?")))))</f>
        <v>—</v>
      </c>
      <c r="F22" s="49" t="str">
        <f aca="false">IF(A22=0,"START",IF(A22=25,"MIRROR AXIS",IF(A22=50,"END",IF(A22=51,"NEXT CYCLE","—"))))</f>
        <v>—</v>
      </c>
      <c r="G22" s="49" t="str">
        <f aca="false">REPT("█",B22)</f>
        <v/>
      </c>
      <c r="H22" s="50" t="n">
        <f aca="false">H23+1</f>
        <v>5</v>
      </c>
      <c r="I22" s="12"/>
      <c r="J22" s="12"/>
      <c r="K22" s="12"/>
      <c r="L22" s="12"/>
      <c r="M22" s="12"/>
      <c r="N22" s="12"/>
      <c r="O22" s="12"/>
      <c r="P22" s="12"/>
      <c r="Q22" s="12"/>
      <c r="R22" s="12"/>
      <c r="S22" s="12"/>
      <c r="T22" s="12"/>
      <c r="U22" s="12"/>
      <c r="V22" s="12"/>
      <c r="W22" s="12"/>
      <c r="X22" s="12"/>
      <c r="Y22" s="12"/>
      <c r="Z22" s="12"/>
    </row>
    <row r="23" customFormat="false" ht="15.75" hidden="false" customHeight="true" outlineLevel="0" collapsed="false">
      <c r="A23" s="48" t="n">
        <f aca="false">A22+1</f>
        <v>21</v>
      </c>
      <c r="B23" s="49" t="n">
        <f aca="false">'Pentametric Cycle'!H23</f>
        <v>4</v>
      </c>
      <c r="C23" s="49" t="str">
        <f aca="false">IF(B23=0,"—",IF(B23=1,"unison (1:1)",IF(B23=2,"octave (2:1)",IF(B23=3,"fifth (3:2)",IF(B23=4,"fourth (4:3)","?")))))</f>
        <v>fourth (4:3)</v>
      </c>
      <c r="D23" s="49" t="str">
        <f aca="false">IF(B23=0,"—",IF(B23=1,"ὁμώνυμον",IF(B23=2,"διὰ πασῶν",IF(B23=3,"διὰ πέντε",IF(B23=4,"διὰ τεσσάρων","?")))))</f>
        <v>διὰ τεσσάρων</v>
      </c>
      <c r="E23" s="49" t="str">
        <f aca="false">IF(B23=0,"—",IF(B23=1,"homonymous",IF(B23=2,"through all",IF(B23=3,"through five",IF(B23=4,"through four","?")))))</f>
        <v>through four</v>
      </c>
      <c r="F23" s="49" t="str">
        <f aca="false">IF(A23=0,"START",IF(A23=25,"MIRROR AXIS",IF(A23=50,"END",IF(A23=51,"NEXT CYCLE","—"))))</f>
        <v>—</v>
      </c>
      <c r="G23" s="49" t="str">
        <f aca="false">REPT("█",B23)</f>
        <v>████</v>
      </c>
      <c r="H23" s="50" t="n">
        <f aca="false">H24+1</f>
        <v>4</v>
      </c>
      <c r="I23" s="12"/>
      <c r="J23" s="12"/>
      <c r="K23" s="12"/>
      <c r="L23" s="12"/>
      <c r="M23" s="12"/>
      <c r="N23" s="12"/>
      <c r="O23" s="12"/>
      <c r="P23" s="12"/>
      <c r="Q23" s="12"/>
      <c r="R23" s="12"/>
      <c r="S23" s="12"/>
      <c r="T23" s="12"/>
      <c r="U23" s="12"/>
      <c r="V23" s="12"/>
      <c r="W23" s="12"/>
      <c r="X23" s="12"/>
      <c r="Y23" s="12"/>
      <c r="Z23" s="12"/>
    </row>
    <row r="24" customFormat="false" ht="15.75" hidden="false" customHeight="true" outlineLevel="0" collapsed="false">
      <c r="A24" s="48" t="n">
        <f aca="false">A23+1</f>
        <v>22</v>
      </c>
      <c r="B24" s="49" t="n">
        <f aca="false">'Pentametric Cycle'!H24</f>
        <v>1</v>
      </c>
      <c r="C24" s="49" t="str">
        <f aca="false">IF(B24=0,"—",IF(B24=1,"unison (1:1)",IF(B24=2,"octave (2:1)",IF(B24=3,"fifth (3:2)",IF(B24=4,"fourth (4:3)","?")))))</f>
        <v>unison (1:1)</v>
      </c>
      <c r="D24" s="49" t="str">
        <f aca="false">IF(B24=0,"—",IF(B24=1,"ὁμώνυμον",IF(B24=2,"διὰ πασῶν",IF(B24=3,"διὰ πέντε",IF(B24=4,"διὰ τεσσάρων","?")))))</f>
        <v>ὁμώνυμον</v>
      </c>
      <c r="E24" s="49" t="str">
        <f aca="false">IF(B24=0,"—",IF(B24=1,"homonymous",IF(B24=2,"through all",IF(B24=3,"through five",IF(B24=4,"through four","?")))))</f>
        <v>homonymous</v>
      </c>
      <c r="F24" s="49" t="str">
        <f aca="false">IF(A24=0,"START",IF(A24=25,"MIRROR AXIS",IF(A24=50,"END",IF(A24=51,"NEXT CYCLE","—"))))</f>
        <v>—</v>
      </c>
      <c r="G24" s="49" t="str">
        <f aca="false">REPT("█",B24)</f>
        <v>█</v>
      </c>
      <c r="H24" s="50" t="n">
        <f aca="false">H25+1</f>
        <v>3</v>
      </c>
      <c r="I24" s="12"/>
      <c r="J24" s="12"/>
      <c r="K24" s="12"/>
      <c r="L24" s="12"/>
      <c r="M24" s="12"/>
      <c r="N24" s="12"/>
      <c r="O24" s="12"/>
      <c r="P24" s="12"/>
      <c r="Q24" s="12"/>
      <c r="R24" s="12"/>
      <c r="S24" s="12"/>
      <c r="T24" s="12"/>
      <c r="U24" s="12"/>
      <c r="V24" s="12"/>
      <c r="W24" s="12"/>
      <c r="X24" s="12"/>
      <c r="Y24" s="12"/>
      <c r="Z24" s="12"/>
    </row>
    <row r="25" customFormat="false" ht="15.75" hidden="false" customHeight="true" outlineLevel="0" collapsed="false">
      <c r="A25" s="48" t="n">
        <f aca="false">A24+1</f>
        <v>23</v>
      </c>
      <c r="B25" s="49" t="n">
        <f aca="false">'Pentametric Cycle'!H25</f>
        <v>0</v>
      </c>
      <c r="C25" s="49" t="str">
        <f aca="false">IF(B25=0,"—",IF(B25=1,"unison (1:1)",IF(B25=2,"octave (2:1)",IF(B25=3,"fifth (3:2)",IF(B25=4,"fourth (4:3)","?")))))</f>
        <v>—</v>
      </c>
      <c r="D25" s="49" t="str">
        <f aca="false">IF(B25=0,"—",IF(B25=1,"ὁμώνυμον",IF(B25=2,"διὰ πασῶν",IF(B25=3,"διὰ πέντε",IF(B25=4,"διὰ τεσσάρων","?")))))</f>
        <v>—</v>
      </c>
      <c r="E25" s="49" t="str">
        <f aca="false">IF(B25=0,"—",IF(B25=1,"homonymous",IF(B25=2,"through all",IF(B25=3,"through five",IF(B25=4,"through four","?")))))</f>
        <v>—</v>
      </c>
      <c r="F25" s="49" t="str">
        <f aca="false">IF(A25=0,"START",IF(A25=25,"MIRROR AXIS",IF(A25=50,"END",IF(A25=51,"NEXT CYCLE","—"))))</f>
        <v>—</v>
      </c>
      <c r="G25" s="49" t="str">
        <f aca="false">REPT("█",B25)</f>
        <v/>
      </c>
      <c r="H25" s="50" t="n">
        <f aca="false">H26+1</f>
        <v>2</v>
      </c>
      <c r="I25" s="12"/>
      <c r="J25" s="12"/>
      <c r="K25" s="12"/>
      <c r="L25" s="12"/>
      <c r="M25" s="12"/>
      <c r="N25" s="12"/>
      <c r="O25" s="12"/>
      <c r="P25" s="12"/>
      <c r="Q25" s="12"/>
      <c r="R25" s="12"/>
      <c r="S25" s="12"/>
      <c r="T25" s="12"/>
      <c r="U25" s="12"/>
      <c r="V25" s="12"/>
      <c r="W25" s="12"/>
      <c r="X25" s="12"/>
      <c r="Y25" s="12"/>
      <c r="Z25" s="12"/>
    </row>
    <row r="26" customFormat="false" ht="15.75" hidden="false" customHeight="true" outlineLevel="0" collapsed="false">
      <c r="A26" s="48" t="n">
        <f aca="false">A25+1</f>
        <v>24</v>
      </c>
      <c r="B26" s="49" t="n">
        <f aca="false">'Pentametric Cycle'!H26</f>
        <v>1</v>
      </c>
      <c r="C26" s="49" t="str">
        <f aca="false">IF(B26=0,"—",IF(B26=1,"unison (1:1)",IF(B26=2,"octave (2:1)",IF(B26=3,"fifth (3:2)",IF(B26=4,"fourth (4:3)","?")))))</f>
        <v>unison (1:1)</v>
      </c>
      <c r="D26" s="49" t="str">
        <f aca="false">IF(B26=0,"—",IF(B26=1,"ὁμώνυμον",IF(B26=2,"διὰ πασῶν",IF(B26=3,"διὰ πέντε",IF(B26=4,"διὰ τεσσάρων","?")))))</f>
        <v>ὁμώνυμον</v>
      </c>
      <c r="E26" s="49" t="str">
        <f aca="false">IF(B26=0,"—",IF(B26=1,"homonymous",IF(B26=2,"through all",IF(B26=3,"through five",IF(B26=4,"through four","?")))))</f>
        <v>homonymous</v>
      </c>
      <c r="F26" s="49" t="str">
        <f aca="false">IF(A26=0,"START",IF(A26=25,"MIRROR AXIS",IF(A26=50,"END",IF(A26=51,"NEXT CYCLE","—"))))</f>
        <v>—</v>
      </c>
      <c r="G26" s="49" t="str">
        <f aca="false">REPT("█",B26)</f>
        <v>█</v>
      </c>
      <c r="H26" s="50" t="n">
        <v>1</v>
      </c>
      <c r="I26" s="12"/>
      <c r="J26" s="12"/>
      <c r="K26" s="12"/>
      <c r="L26" s="12"/>
      <c r="M26" s="12"/>
      <c r="N26" s="12"/>
      <c r="O26" s="12"/>
      <c r="P26" s="12"/>
      <c r="Q26" s="12"/>
      <c r="R26" s="12"/>
      <c r="S26" s="12"/>
      <c r="T26" s="12"/>
      <c r="U26" s="12"/>
      <c r="V26" s="12"/>
      <c r="W26" s="12"/>
      <c r="X26" s="12"/>
      <c r="Y26" s="12"/>
      <c r="Z26" s="12"/>
    </row>
    <row r="27" customFormat="false" ht="15.75" hidden="false" customHeight="true" outlineLevel="0" collapsed="false">
      <c r="A27" s="51" t="n">
        <f aca="false">A26+1</f>
        <v>25</v>
      </c>
      <c r="B27" s="52" t="n">
        <f aca="false">'Pentametric Cycle'!H27</f>
        <v>0</v>
      </c>
      <c r="C27" s="52" t="str">
        <f aca="false">IF(B27=0,"—",IF(B27=1,"unison (1:1)",IF(B27=2,"octave (2:1)",IF(B27=3,"fifth (3:2)",IF(B27=4,"fourth (4:3)","?")))))</f>
        <v>—</v>
      </c>
      <c r="D27" s="52" t="str">
        <f aca="false">IF(B27=0,"—",IF(B27=1,"ὁμώνυμον",IF(B27=2,"διὰ πασῶν",IF(B27=3,"διὰ πέντε",IF(B27=4,"διὰ τεσσάρων","?")))))</f>
        <v>—</v>
      </c>
      <c r="E27" s="52" t="str">
        <f aca="false">IF(B27=0,"—",IF(B27=1,"homonymous",IF(B27=2,"through all",IF(B27=3,"through five",IF(B27=4,"through four","?")))))</f>
        <v>—</v>
      </c>
      <c r="F27" s="52" t="str">
        <f aca="false">IF(A27=0,"START",IF(A27=25,"MIRROR AXIS",IF(A27=50,"END",IF(A27=51,"NEXT CYCLE","—"))))</f>
        <v>MIRROR AXIS</v>
      </c>
      <c r="G27" s="52" t="str">
        <f aca="false">REPT("█",B27)</f>
        <v/>
      </c>
      <c r="H27" s="53"/>
      <c r="I27" s="12"/>
      <c r="J27" s="12"/>
      <c r="K27" s="12"/>
      <c r="L27" s="12"/>
      <c r="M27" s="12"/>
      <c r="N27" s="12"/>
      <c r="O27" s="12"/>
      <c r="P27" s="12"/>
      <c r="Q27" s="12"/>
      <c r="R27" s="12"/>
      <c r="S27" s="12"/>
      <c r="T27" s="12"/>
      <c r="U27" s="12"/>
      <c r="V27" s="12"/>
      <c r="W27" s="12"/>
      <c r="X27" s="12"/>
      <c r="Y27" s="12"/>
      <c r="Z27" s="12"/>
    </row>
    <row r="28" customFormat="false" ht="15.75" hidden="false" customHeight="true" outlineLevel="0" collapsed="false">
      <c r="A28" s="48" t="n">
        <f aca="false">A27+1</f>
        <v>26</v>
      </c>
      <c r="B28" s="49" t="n">
        <f aca="false">'Pentametric Cycle'!H28</f>
        <v>1</v>
      </c>
      <c r="C28" s="49" t="str">
        <f aca="false">IF(B28=0,"—",IF(B28=1,"unison (1:1)",IF(B28=2,"octave (2:1)",IF(B28=3,"fifth (3:2)",IF(B28=4,"fourth (4:3)","?")))))</f>
        <v>unison (1:1)</v>
      </c>
      <c r="D28" s="49" t="str">
        <f aca="false">IF(B28=0,"—",IF(B28=1,"ὁμώνυμον",IF(B28=2,"διὰ πασῶν",IF(B28=3,"διὰ πέντε",IF(B28=4,"διὰ τεσσάρων","?")))))</f>
        <v>ὁμώνυμον</v>
      </c>
      <c r="E28" s="49" t="str">
        <f aca="false">IF(B28=0,"—",IF(B28=1,"homonymous",IF(B28=2,"through all",IF(B28=3,"through five",IF(B28=4,"through four","?")))))</f>
        <v>homonymous</v>
      </c>
      <c r="F28" s="49" t="str">
        <f aca="false">IF(A28=0,"START",IF(A28=25,"MIRROR AXIS",IF(A28=50,"END",IF(A28=51,"NEXT CYCLE","—"))))</f>
        <v>—</v>
      </c>
      <c r="G28" s="49" t="str">
        <f aca="false">REPT("█",B28)</f>
        <v>█</v>
      </c>
      <c r="H28" s="50" t="n">
        <v>1</v>
      </c>
      <c r="I28" s="12"/>
      <c r="J28" s="12"/>
      <c r="K28" s="12"/>
      <c r="L28" s="12"/>
      <c r="M28" s="12"/>
      <c r="N28" s="12"/>
      <c r="O28" s="12"/>
      <c r="P28" s="12"/>
      <c r="Q28" s="12"/>
      <c r="R28" s="12"/>
      <c r="S28" s="12"/>
      <c r="T28" s="12"/>
      <c r="U28" s="12"/>
      <c r="V28" s="12"/>
      <c r="W28" s="12"/>
      <c r="X28" s="12"/>
      <c r="Y28" s="12"/>
      <c r="Z28" s="12"/>
    </row>
    <row r="29" customFormat="false" ht="15.75" hidden="false" customHeight="true" outlineLevel="0" collapsed="false">
      <c r="A29" s="48" t="n">
        <f aca="false">A28+1</f>
        <v>27</v>
      </c>
      <c r="B29" s="49" t="n">
        <f aca="false">'Pentametric Cycle'!H29</f>
        <v>0</v>
      </c>
      <c r="C29" s="49" t="str">
        <f aca="false">IF(B29=0,"—",IF(B29=1,"unison (1:1)",IF(B29=2,"octave (2:1)",IF(B29=3,"fifth (3:2)",IF(B29=4,"fourth (4:3)","?")))))</f>
        <v>—</v>
      </c>
      <c r="D29" s="49" t="str">
        <f aca="false">IF(B29=0,"—",IF(B29=1,"ὁμώνυμον",IF(B29=2,"διὰ πασῶν",IF(B29=3,"διὰ πέντε",IF(B29=4,"διὰ τεσσάρων","?")))))</f>
        <v>—</v>
      </c>
      <c r="E29" s="49" t="str">
        <f aca="false">IF(B29=0,"—",IF(B29=1,"homonymous",IF(B29=2,"through all",IF(B29=3,"through five",IF(B29=4,"through four","?")))))</f>
        <v>—</v>
      </c>
      <c r="F29" s="49" t="str">
        <f aca="false">IF(A29=0,"START",IF(A29=25,"MIRROR AXIS",IF(A29=50,"END",IF(A29=51,"NEXT CYCLE","—"))))</f>
        <v>—</v>
      </c>
      <c r="G29" s="49" t="str">
        <f aca="false">REPT("█",B29)</f>
        <v/>
      </c>
      <c r="H29" s="50" t="n">
        <f aca="false">H28+1</f>
        <v>2</v>
      </c>
      <c r="I29" s="12"/>
      <c r="J29" s="12"/>
      <c r="K29" s="12"/>
      <c r="L29" s="12"/>
      <c r="M29" s="12"/>
      <c r="N29" s="12"/>
      <c r="O29" s="12"/>
      <c r="P29" s="12"/>
      <c r="Q29" s="12"/>
      <c r="R29" s="12"/>
      <c r="S29" s="12"/>
      <c r="T29" s="12"/>
      <c r="U29" s="12"/>
      <c r="V29" s="12"/>
      <c r="W29" s="12"/>
      <c r="X29" s="12"/>
      <c r="Y29" s="12"/>
      <c r="Z29" s="12"/>
    </row>
    <row r="30" customFormat="false" ht="15.75" hidden="false" customHeight="true" outlineLevel="0" collapsed="false">
      <c r="A30" s="48" t="n">
        <f aca="false">A29+1</f>
        <v>28</v>
      </c>
      <c r="B30" s="49" t="n">
        <f aca="false">'Pentametric Cycle'!H30</f>
        <v>1</v>
      </c>
      <c r="C30" s="49" t="str">
        <f aca="false">IF(B30=0,"—",IF(B30=1,"unison (1:1)",IF(B30=2,"octave (2:1)",IF(B30=3,"fifth (3:2)",IF(B30=4,"fourth (4:3)","?")))))</f>
        <v>unison (1:1)</v>
      </c>
      <c r="D30" s="49" t="str">
        <f aca="false">IF(B30=0,"—",IF(B30=1,"ὁμώνυμον",IF(B30=2,"διὰ πασῶν",IF(B30=3,"διὰ πέντε",IF(B30=4,"διὰ τεσσάρων","?")))))</f>
        <v>ὁμώνυμον</v>
      </c>
      <c r="E30" s="49" t="str">
        <f aca="false">IF(B30=0,"—",IF(B30=1,"homonymous",IF(B30=2,"through all",IF(B30=3,"through five",IF(B30=4,"through four","?")))))</f>
        <v>homonymous</v>
      </c>
      <c r="F30" s="49" t="str">
        <f aca="false">IF(A30=0,"START",IF(A30=25,"MIRROR AXIS",IF(A30=50,"END",IF(A30=51,"NEXT CYCLE","—"))))</f>
        <v>—</v>
      </c>
      <c r="G30" s="49" t="str">
        <f aca="false">REPT("█",B30)</f>
        <v>█</v>
      </c>
      <c r="H30" s="50" t="n">
        <f aca="false">H29+1</f>
        <v>3</v>
      </c>
      <c r="I30" s="12"/>
      <c r="J30" s="12"/>
      <c r="K30" s="12"/>
      <c r="L30" s="12"/>
      <c r="M30" s="12"/>
      <c r="N30" s="12"/>
      <c r="O30" s="12"/>
      <c r="P30" s="12"/>
      <c r="Q30" s="12"/>
      <c r="R30" s="12"/>
      <c r="S30" s="12"/>
      <c r="T30" s="12"/>
      <c r="U30" s="12"/>
      <c r="V30" s="12"/>
      <c r="W30" s="12"/>
      <c r="X30" s="12"/>
      <c r="Y30" s="12"/>
      <c r="Z30" s="12"/>
    </row>
    <row r="31" customFormat="false" ht="15.75" hidden="false" customHeight="true" outlineLevel="0" collapsed="false">
      <c r="A31" s="48" t="n">
        <f aca="false">A30+1</f>
        <v>29</v>
      </c>
      <c r="B31" s="49" t="n">
        <f aca="false">'Pentametric Cycle'!H31</f>
        <v>4</v>
      </c>
      <c r="C31" s="49" t="str">
        <f aca="false">IF(B31=0,"—",IF(B31=1,"unison (1:1)",IF(B31=2,"octave (2:1)",IF(B31=3,"fifth (3:2)",IF(B31=4,"fourth (4:3)","?")))))</f>
        <v>fourth (4:3)</v>
      </c>
      <c r="D31" s="49" t="str">
        <f aca="false">IF(B31=0,"—",IF(B31=1,"ὁμώνυμον",IF(B31=2,"διὰ πασῶν",IF(B31=3,"διὰ πέντε",IF(B31=4,"διὰ τεσσάρων","?")))))</f>
        <v>διὰ τεσσάρων</v>
      </c>
      <c r="E31" s="49" t="str">
        <f aca="false">IF(B31=0,"—",IF(B31=1,"homonymous",IF(B31=2,"through all",IF(B31=3,"through five",IF(B31=4,"through four","?")))))</f>
        <v>through four</v>
      </c>
      <c r="F31" s="49" t="str">
        <f aca="false">IF(A31=0,"START",IF(A31=25,"MIRROR AXIS",IF(A31=50,"END",IF(A31=51,"NEXT CYCLE","—"))))</f>
        <v>—</v>
      </c>
      <c r="G31" s="49" t="str">
        <f aca="false">REPT("█",B31)</f>
        <v>████</v>
      </c>
      <c r="H31" s="50" t="n">
        <f aca="false">H30+1</f>
        <v>4</v>
      </c>
      <c r="I31" s="12"/>
      <c r="J31" s="12"/>
      <c r="K31" s="12"/>
      <c r="L31" s="12"/>
      <c r="M31" s="12"/>
      <c r="N31" s="12"/>
      <c r="O31" s="12"/>
      <c r="P31" s="12"/>
      <c r="Q31" s="12"/>
      <c r="R31" s="12"/>
      <c r="S31" s="12"/>
      <c r="T31" s="12"/>
      <c r="U31" s="12"/>
      <c r="V31" s="12"/>
      <c r="W31" s="12"/>
      <c r="X31" s="12"/>
      <c r="Y31" s="12"/>
      <c r="Z31" s="12"/>
    </row>
    <row r="32" customFormat="false" ht="15.75" hidden="false" customHeight="true" outlineLevel="0" collapsed="false">
      <c r="A32" s="48" t="n">
        <f aca="false">A31+1</f>
        <v>30</v>
      </c>
      <c r="B32" s="49" t="n">
        <f aca="false">'Pentametric Cycle'!H32</f>
        <v>0</v>
      </c>
      <c r="C32" s="49" t="str">
        <f aca="false">IF(B32=0,"—",IF(B32=1,"unison (1:1)",IF(B32=2,"octave (2:1)",IF(B32=3,"fifth (3:2)",IF(B32=4,"fourth (4:3)","?")))))</f>
        <v>—</v>
      </c>
      <c r="D32" s="49" t="str">
        <f aca="false">IF(B32=0,"—",IF(B32=1,"ὁμώνυμον",IF(B32=2,"διὰ πασῶν",IF(B32=3,"διὰ πέντε",IF(B32=4,"διὰ τεσσάρων","?")))))</f>
        <v>—</v>
      </c>
      <c r="E32" s="49" t="str">
        <f aca="false">IF(B32=0,"—",IF(B32=1,"homonymous",IF(B32=2,"through all",IF(B32=3,"through five",IF(B32=4,"through four","?")))))</f>
        <v>—</v>
      </c>
      <c r="F32" s="49" t="str">
        <f aca="false">IF(A32=0,"START",IF(A32=25,"MIRROR AXIS",IF(A32=50,"END",IF(A32=51,"NEXT CYCLE","—"))))</f>
        <v>—</v>
      </c>
      <c r="G32" s="49" t="str">
        <f aca="false">REPT("█",B32)</f>
        <v/>
      </c>
      <c r="H32" s="50" t="n">
        <f aca="false">H31+1</f>
        <v>5</v>
      </c>
      <c r="I32" s="12"/>
      <c r="J32" s="12"/>
      <c r="K32" s="12"/>
      <c r="L32" s="12"/>
      <c r="M32" s="12"/>
      <c r="N32" s="12"/>
      <c r="O32" s="12"/>
      <c r="P32" s="12"/>
      <c r="Q32" s="12"/>
      <c r="R32" s="12"/>
      <c r="S32" s="12"/>
      <c r="T32" s="12"/>
      <c r="U32" s="12"/>
      <c r="V32" s="12"/>
      <c r="W32" s="12"/>
      <c r="X32" s="12"/>
      <c r="Y32" s="12"/>
      <c r="Z32" s="12"/>
    </row>
    <row r="33" customFormat="false" ht="15.75" hidden="false" customHeight="true" outlineLevel="0" collapsed="false">
      <c r="A33" s="48" t="n">
        <f aca="false">A32+1</f>
        <v>31</v>
      </c>
      <c r="B33" s="49" t="n">
        <f aca="false">'Pentametric Cycle'!H33</f>
        <v>3</v>
      </c>
      <c r="C33" s="49" t="str">
        <f aca="false">IF(B33=0,"—",IF(B33=1,"unison (1:1)",IF(B33=2,"octave (2:1)",IF(B33=3,"fifth (3:2)",IF(B33=4,"fourth (4:3)","?")))))</f>
        <v>fifth (3:2)</v>
      </c>
      <c r="D33" s="49" t="str">
        <f aca="false">IF(B33=0,"—",IF(B33=1,"ὁμώνυμον",IF(B33=2,"διὰ πασῶν",IF(B33=3,"διὰ πέντε",IF(B33=4,"διὰ τεσσάρων","?")))))</f>
        <v>διὰ πέντε</v>
      </c>
      <c r="E33" s="49" t="str">
        <f aca="false">IF(B33=0,"—",IF(B33=1,"homonymous",IF(B33=2,"through all",IF(B33=3,"through five",IF(B33=4,"through four","?")))))</f>
        <v>through five</v>
      </c>
      <c r="F33" s="49" t="str">
        <f aca="false">IF(A33=0,"START",IF(A33=25,"MIRROR AXIS",IF(A33=50,"END",IF(A33=51,"NEXT CYCLE","—"))))</f>
        <v>—</v>
      </c>
      <c r="G33" s="49" t="str">
        <f aca="false">REPT("█",B33)</f>
        <v>███</v>
      </c>
      <c r="H33" s="50" t="n">
        <f aca="false">H32+1</f>
        <v>6</v>
      </c>
      <c r="I33" s="12"/>
      <c r="J33" s="12"/>
      <c r="K33" s="12"/>
      <c r="L33" s="12"/>
      <c r="M33" s="12"/>
      <c r="N33" s="12"/>
      <c r="O33" s="12"/>
      <c r="P33" s="12"/>
      <c r="Q33" s="12"/>
      <c r="R33" s="12"/>
      <c r="S33" s="12"/>
      <c r="T33" s="12"/>
      <c r="U33" s="12"/>
      <c r="V33" s="12"/>
      <c r="W33" s="12"/>
      <c r="X33" s="12"/>
      <c r="Y33" s="12"/>
      <c r="Z33" s="12"/>
    </row>
    <row r="34" customFormat="false" ht="15.75" hidden="false" customHeight="true" outlineLevel="0" collapsed="false">
      <c r="A34" s="48" t="n">
        <f aca="false">A33+1</f>
        <v>32</v>
      </c>
      <c r="B34" s="49" t="n">
        <f aca="false">'Pentametric Cycle'!H34</f>
        <v>4</v>
      </c>
      <c r="C34" s="49" t="str">
        <f aca="false">IF(B34=0,"—",IF(B34=1,"unison (1:1)",IF(B34=2,"octave (2:1)",IF(B34=3,"fifth (3:2)",IF(B34=4,"fourth (4:3)","?")))))</f>
        <v>fourth (4:3)</v>
      </c>
      <c r="D34" s="49" t="str">
        <f aca="false">IF(B34=0,"—",IF(B34=1,"ὁμώνυμον",IF(B34=2,"διὰ πασῶν",IF(B34=3,"διὰ πέντε",IF(B34=4,"διὰ τεσσάρων","?")))))</f>
        <v>διὰ τεσσάρων</v>
      </c>
      <c r="E34" s="49" t="str">
        <f aca="false">IF(B34=0,"—",IF(B34=1,"homonymous",IF(B34=2,"through all",IF(B34=3,"through five",IF(B34=4,"through four","?")))))</f>
        <v>through four</v>
      </c>
      <c r="F34" s="49" t="str">
        <f aca="false">IF(A34=0,"START",IF(A34=25,"MIRROR AXIS",IF(A34=50,"END",IF(A34=51,"NEXT CYCLE","—"))))</f>
        <v>—</v>
      </c>
      <c r="G34" s="49" t="str">
        <f aca="false">REPT("█",B34)</f>
        <v>████</v>
      </c>
      <c r="H34" s="50" t="n">
        <f aca="false">H33+1</f>
        <v>7</v>
      </c>
      <c r="I34" s="12"/>
      <c r="J34" s="12"/>
      <c r="K34" s="12"/>
      <c r="L34" s="12"/>
      <c r="M34" s="12"/>
      <c r="N34" s="12"/>
      <c r="O34" s="12"/>
      <c r="P34" s="12"/>
      <c r="Q34" s="12"/>
      <c r="R34" s="12"/>
      <c r="S34" s="12"/>
      <c r="T34" s="12"/>
      <c r="U34" s="12"/>
      <c r="V34" s="12"/>
      <c r="W34" s="12"/>
      <c r="X34" s="12"/>
      <c r="Y34" s="12"/>
      <c r="Z34" s="12"/>
    </row>
    <row r="35" customFormat="false" ht="15.75" hidden="false" customHeight="true" outlineLevel="0" collapsed="false">
      <c r="A35" s="48" t="n">
        <f aca="false">A34+1</f>
        <v>33</v>
      </c>
      <c r="B35" s="49" t="n">
        <f aca="false">'Pentametric Cycle'!H35</f>
        <v>2</v>
      </c>
      <c r="C35" s="49" t="str">
        <f aca="false">IF(B35=0,"—",IF(B35=1,"unison (1:1)",IF(B35=2,"octave (2:1)",IF(B35=3,"fifth (3:2)",IF(B35=4,"fourth (4:3)","?")))))</f>
        <v>octave (2:1)</v>
      </c>
      <c r="D35" s="49" t="str">
        <f aca="false">IF(B35=0,"—",IF(B35=1,"ὁμώνυμον",IF(B35=2,"διὰ πασῶν",IF(B35=3,"διὰ πέντε",IF(B35=4,"διὰ τεσσάρων","?")))))</f>
        <v>διὰ πασῶν</v>
      </c>
      <c r="E35" s="49" t="str">
        <f aca="false">IF(B35=0,"—",IF(B35=1,"homonymous",IF(B35=2,"through all",IF(B35=3,"through five",IF(B35=4,"through four","?")))))</f>
        <v>through all</v>
      </c>
      <c r="F35" s="49" t="str">
        <f aca="false">IF(A35=0,"START",IF(A35=25,"MIRROR AXIS",IF(A35=50,"END",IF(A35=51,"NEXT CYCLE","—"))))</f>
        <v>—</v>
      </c>
      <c r="G35" s="49" t="str">
        <f aca="false">REPT("█",B35)</f>
        <v>██</v>
      </c>
      <c r="H35" s="50" t="n">
        <f aca="false">H34+1</f>
        <v>8</v>
      </c>
      <c r="I35" s="12"/>
      <c r="J35" s="12"/>
      <c r="K35" s="12"/>
      <c r="L35" s="12"/>
      <c r="M35" s="12"/>
      <c r="N35" s="12"/>
      <c r="O35" s="12"/>
      <c r="P35" s="12"/>
      <c r="Q35" s="12"/>
      <c r="R35" s="12"/>
      <c r="S35" s="12"/>
      <c r="T35" s="12"/>
      <c r="U35" s="12"/>
      <c r="V35" s="12"/>
      <c r="W35" s="12"/>
      <c r="X35" s="12"/>
      <c r="Y35" s="12"/>
      <c r="Z35" s="12"/>
    </row>
    <row r="36" customFormat="false" ht="15.75" hidden="false" customHeight="true" outlineLevel="0" collapsed="false">
      <c r="A36" s="48" t="n">
        <f aca="false">A35+1</f>
        <v>34</v>
      </c>
      <c r="B36" s="49" t="n">
        <f aca="false">'Pentametric Cycle'!H36</f>
        <v>2</v>
      </c>
      <c r="C36" s="49" t="str">
        <f aca="false">IF(B36=0,"—",IF(B36=1,"unison (1:1)",IF(B36=2,"octave (2:1)",IF(B36=3,"fifth (3:2)",IF(B36=4,"fourth (4:3)","?")))))</f>
        <v>octave (2:1)</v>
      </c>
      <c r="D36" s="49" t="str">
        <f aca="false">IF(B36=0,"—",IF(B36=1,"ὁμώνυμον",IF(B36=2,"διὰ πασῶν",IF(B36=3,"διὰ πέντε",IF(B36=4,"διὰ τεσσάρων","?")))))</f>
        <v>διὰ πασῶν</v>
      </c>
      <c r="E36" s="49" t="str">
        <f aca="false">IF(B36=0,"—",IF(B36=1,"homonymous",IF(B36=2,"through all",IF(B36=3,"through five",IF(B36=4,"through four","?")))))</f>
        <v>through all</v>
      </c>
      <c r="F36" s="49" t="str">
        <f aca="false">IF(A36=0,"START",IF(A36=25,"MIRROR AXIS",IF(A36=50,"END",IF(A36=51,"NEXT CYCLE","—"))))</f>
        <v>—</v>
      </c>
      <c r="G36" s="49" t="str">
        <f aca="false">REPT("█",B36)</f>
        <v>██</v>
      </c>
      <c r="H36" s="50" t="n">
        <f aca="false">H35+1</f>
        <v>9</v>
      </c>
      <c r="I36" s="12"/>
      <c r="J36" s="12"/>
      <c r="K36" s="12"/>
      <c r="L36" s="12"/>
      <c r="M36" s="12"/>
      <c r="N36" s="12"/>
      <c r="O36" s="12"/>
      <c r="P36" s="12"/>
      <c r="Q36" s="12"/>
      <c r="R36" s="12"/>
      <c r="S36" s="12"/>
      <c r="T36" s="12"/>
      <c r="U36" s="12"/>
      <c r="V36" s="12"/>
      <c r="W36" s="12"/>
      <c r="X36" s="12"/>
      <c r="Y36" s="12"/>
      <c r="Z36" s="12"/>
    </row>
    <row r="37" customFormat="false" ht="15.75" hidden="false" customHeight="true" outlineLevel="0" collapsed="false">
      <c r="A37" s="48" t="n">
        <f aca="false">A36+1</f>
        <v>35</v>
      </c>
      <c r="B37" s="49" t="n">
        <f aca="false">'Pentametric Cycle'!H37</f>
        <v>0</v>
      </c>
      <c r="C37" s="49" t="str">
        <f aca="false">IF(B37=0,"—",IF(B37=1,"unison (1:1)",IF(B37=2,"octave (2:1)",IF(B37=3,"fifth (3:2)",IF(B37=4,"fourth (4:3)","?")))))</f>
        <v>—</v>
      </c>
      <c r="D37" s="49" t="str">
        <f aca="false">IF(B37=0,"—",IF(B37=1,"ὁμώνυμον",IF(B37=2,"διὰ πασῶν",IF(B37=3,"διὰ πέντε",IF(B37=4,"διὰ τεσσάρων","?")))))</f>
        <v>—</v>
      </c>
      <c r="E37" s="49" t="str">
        <f aca="false">IF(B37=0,"—",IF(B37=1,"homonymous",IF(B37=2,"through all",IF(B37=3,"through five",IF(B37=4,"through four","?")))))</f>
        <v>—</v>
      </c>
      <c r="F37" s="49" t="str">
        <f aca="false">IF(A37=0,"START",IF(A37=25,"MIRROR AXIS",IF(A37=50,"END",IF(A37=51,"NEXT CYCLE","—"))))</f>
        <v>—</v>
      </c>
      <c r="G37" s="49" t="str">
        <f aca="false">REPT("█",B37)</f>
        <v/>
      </c>
      <c r="H37" s="50" t="n">
        <f aca="false">H36+1</f>
        <v>10</v>
      </c>
      <c r="I37" s="12"/>
      <c r="J37" s="12"/>
      <c r="K37" s="12"/>
      <c r="L37" s="12"/>
      <c r="M37" s="12"/>
      <c r="N37" s="12"/>
      <c r="O37" s="12"/>
      <c r="P37" s="12"/>
      <c r="Q37" s="12"/>
      <c r="R37" s="12"/>
      <c r="S37" s="12"/>
      <c r="T37" s="12"/>
      <c r="U37" s="12"/>
      <c r="V37" s="12"/>
      <c r="W37" s="12"/>
      <c r="X37" s="12"/>
      <c r="Y37" s="12"/>
      <c r="Z37" s="12"/>
    </row>
    <row r="38" customFormat="false" ht="15.75" hidden="false" customHeight="true" outlineLevel="0" collapsed="false">
      <c r="A38" s="48" t="n">
        <f aca="false">A37+1</f>
        <v>36</v>
      </c>
      <c r="B38" s="49" t="n">
        <f aca="false">'Pentametric Cycle'!H38</f>
        <v>0</v>
      </c>
      <c r="C38" s="49" t="str">
        <f aca="false">IF(B38=0,"—",IF(B38=1,"unison (1:1)",IF(B38=2,"octave (2:1)",IF(B38=3,"fifth (3:2)",IF(B38=4,"fourth (4:3)","?")))))</f>
        <v>—</v>
      </c>
      <c r="D38" s="49" t="str">
        <f aca="false">IF(B38=0,"—",IF(B38=1,"ὁμώνυμον",IF(B38=2,"διὰ πασῶν",IF(B38=3,"διὰ πέντε",IF(B38=4,"διὰ τεσσάρων","?")))))</f>
        <v>—</v>
      </c>
      <c r="E38" s="49" t="str">
        <f aca="false">IF(B38=0,"—",IF(B38=1,"homonymous",IF(B38=2,"through all",IF(B38=3,"through five",IF(B38=4,"through four","?")))))</f>
        <v>—</v>
      </c>
      <c r="F38" s="49" t="str">
        <f aca="false">IF(A38=0,"START",IF(A38=25,"MIRROR AXIS",IF(A38=50,"END",IF(A38=51,"NEXT CYCLE","—"))))</f>
        <v>—</v>
      </c>
      <c r="G38" s="49" t="str">
        <f aca="false">REPT("█",B38)</f>
        <v/>
      </c>
      <c r="H38" s="50" t="n">
        <f aca="false">H37+1</f>
        <v>11</v>
      </c>
      <c r="I38" s="12"/>
      <c r="J38" s="12"/>
      <c r="K38" s="12"/>
      <c r="L38" s="12"/>
      <c r="M38" s="12"/>
      <c r="N38" s="12"/>
      <c r="O38" s="12"/>
      <c r="P38" s="12"/>
      <c r="Q38" s="12"/>
      <c r="R38" s="12"/>
      <c r="S38" s="12"/>
      <c r="T38" s="12"/>
      <c r="U38" s="12"/>
      <c r="V38" s="12"/>
      <c r="W38" s="12"/>
      <c r="X38" s="12"/>
      <c r="Y38" s="12"/>
      <c r="Z38" s="12"/>
    </row>
    <row r="39" customFormat="false" ht="15.75" hidden="false" customHeight="true" outlineLevel="0" collapsed="false">
      <c r="A39" s="48" t="n">
        <f aca="false">A38+1</f>
        <v>37</v>
      </c>
      <c r="B39" s="49" t="n">
        <f aca="false">'Pentametric Cycle'!H39</f>
        <v>3</v>
      </c>
      <c r="C39" s="49" t="str">
        <f aca="false">IF(B39=0,"—",IF(B39=1,"unison (1:1)",IF(B39=2,"octave (2:1)",IF(B39=3,"fifth (3:2)",IF(B39=4,"fourth (4:3)","?")))))</f>
        <v>fifth (3:2)</v>
      </c>
      <c r="D39" s="49" t="str">
        <f aca="false">IF(B39=0,"—",IF(B39=1,"ὁμώνυμον",IF(B39=2,"διὰ πασῶν",IF(B39=3,"διὰ πέντε",IF(B39=4,"διὰ τεσσάρων","?")))))</f>
        <v>διὰ πέντε</v>
      </c>
      <c r="E39" s="49" t="str">
        <f aca="false">IF(B39=0,"—",IF(B39=1,"homonymous",IF(B39=2,"through all",IF(B39=3,"through five",IF(B39=4,"through four","?")))))</f>
        <v>through five</v>
      </c>
      <c r="F39" s="49" t="str">
        <f aca="false">IF(A39=0,"START",IF(A39=25,"MIRROR AXIS",IF(A39=50,"END",IF(A39=51,"NEXT CYCLE","—"))))</f>
        <v>—</v>
      </c>
      <c r="G39" s="49" t="str">
        <f aca="false">REPT("█",B39)</f>
        <v>███</v>
      </c>
      <c r="H39" s="50" t="n">
        <f aca="false">H38+1</f>
        <v>12</v>
      </c>
      <c r="I39" s="12"/>
      <c r="J39" s="12"/>
      <c r="K39" s="12"/>
      <c r="L39" s="12"/>
      <c r="M39" s="12"/>
      <c r="N39" s="12"/>
      <c r="O39" s="12"/>
      <c r="P39" s="12"/>
      <c r="Q39" s="12"/>
      <c r="R39" s="12"/>
      <c r="S39" s="12"/>
      <c r="T39" s="12"/>
      <c r="U39" s="12"/>
      <c r="V39" s="12"/>
      <c r="W39" s="12"/>
      <c r="X39" s="12"/>
      <c r="Y39" s="12"/>
      <c r="Z39" s="12"/>
    </row>
    <row r="40" customFormat="false" ht="15.75" hidden="false" customHeight="true" outlineLevel="0" collapsed="false">
      <c r="A40" s="48" t="n">
        <f aca="false">A39+1</f>
        <v>38</v>
      </c>
      <c r="B40" s="49" t="n">
        <f aca="false">'Pentametric Cycle'!H40</f>
        <v>3</v>
      </c>
      <c r="C40" s="49" t="str">
        <f aca="false">IF(B40=0,"—",IF(B40=1,"unison (1:1)",IF(B40=2,"octave (2:1)",IF(B40=3,"fifth (3:2)",IF(B40=4,"fourth (4:3)","?")))))</f>
        <v>fifth (3:2)</v>
      </c>
      <c r="D40" s="49" t="str">
        <f aca="false">IF(B40=0,"—",IF(B40=1,"ὁμώνυμον",IF(B40=2,"διὰ πασῶν",IF(B40=3,"διὰ πέντε",IF(B40=4,"διὰ τεσσάρων","?")))))</f>
        <v>διὰ πέντε</v>
      </c>
      <c r="E40" s="49" t="str">
        <f aca="false">IF(B40=0,"—",IF(B40=1,"homonymous",IF(B40=2,"through all",IF(B40=3,"through five",IF(B40=4,"through four","?")))))</f>
        <v>through five</v>
      </c>
      <c r="F40" s="49" t="str">
        <f aca="false">IF(A40=0,"START",IF(A40=25,"MIRROR AXIS",IF(A40=50,"END",IF(A40=51,"NEXT CYCLE","—"))))</f>
        <v>—</v>
      </c>
      <c r="G40" s="49" t="str">
        <f aca="false">REPT("█",B40)</f>
        <v>███</v>
      </c>
      <c r="H40" s="50" t="n">
        <f aca="false">H39+1</f>
        <v>13</v>
      </c>
      <c r="I40" s="12"/>
      <c r="J40" s="12"/>
      <c r="K40" s="12"/>
      <c r="L40" s="12"/>
      <c r="M40" s="12"/>
      <c r="N40" s="12"/>
      <c r="O40" s="12"/>
      <c r="P40" s="12"/>
      <c r="Q40" s="12"/>
      <c r="R40" s="12"/>
      <c r="S40" s="12"/>
      <c r="T40" s="12"/>
      <c r="U40" s="12"/>
      <c r="V40" s="12"/>
      <c r="W40" s="12"/>
      <c r="X40" s="12"/>
      <c r="Y40" s="12"/>
      <c r="Z40" s="12"/>
    </row>
    <row r="41" customFormat="false" ht="15.75" hidden="false" customHeight="true" outlineLevel="0" collapsed="false">
      <c r="A41" s="48" t="n">
        <f aca="false">A40+1</f>
        <v>39</v>
      </c>
      <c r="B41" s="49" t="n">
        <f aca="false">'Pentametric Cycle'!H41</f>
        <v>0</v>
      </c>
      <c r="C41" s="49" t="str">
        <f aca="false">IF(B41=0,"—",IF(B41=1,"unison (1:1)",IF(B41=2,"octave (2:1)",IF(B41=3,"fifth (3:2)",IF(B41=4,"fourth (4:3)","?")))))</f>
        <v>—</v>
      </c>
      <c r="D41" s="49" t="str">
        <f aca="false">IF(B41=0,"—",IF(B41=1,"ὁμώνυμον",IF(B41=2,"διὰ πασῶν",IF(B41=3,"διὰ πέντε",IF(B41=4,"διὰ τεσσάρων","?")))))</f>
        <v>—</v>
      </c>
      <c r="E41" s="49" t="str">
        <f aca="false">IF(B41=0,"—",IF(B41=1,"homonymous",IF(B41=2,"through all",IF(B41=3,"through five",IF(B41=4,"through four","?")))))</f>
        <v>—</v>
      </c>
      <c r="F41" s="49" t="str">
        <f aca="false">IF(A41=0,"START",IF(A41=25,"MIRROR AXIS",IF(A41=50,"END",IF(A41=51,"NEXT CYCLE","—"))))</f>
        <v>—</v>
      </c>
      <c r="G41" s="49" t="str">
        <f aca="false">REPT("█",B41)</f>
        <v/>
      </c>
      <c r="H41" s="50" t="n">
        <f aca="false">H40+1</f>
        <v>14</v>
      </c>
      <c r="I41" s="12"/>
      <c r="J41" s="12"/>
      <c r="K41" s="12"/>
      <c r="L41" s="12"/>
      <c r="M41" s="12"/>
      <c r="N41" s="12"/>
      <c r="O41" s="12"/>
      <c r="P41" s="12"/>
      <c r="Q41" s="12"/>
      <c r="R41" s="12"/>
      <c r="S41" s="12"/>
      <c r="T41" s="12"/>
      <c r="U41" s="12"/>
      <c r="V41" s="12"/>
      <c r="W41" s="12"/>
      <c r="X41" s="12"/>
      <c r="Y41" s="12"/>
      <c r="Z41" s="12"/>
    </row>
    <row r="42" customFormat="false" ht="15.75" hidden="false" customHeight="true" outlineLevel="0" collapsed="false">
      <c r="A42" s="48" t="n">
        <f aca="false">A41+1</f>
        <v>40</v>
      </c>
      <c r="B42" s="49" t="n">
        <f aca="false">'Pentametric Cycle'!H42</f>
        <v>0</v>
      </c>
      <c r="C42" s="49" t="str">
        <f aca="false">IF(B42=0,"—",IF(B42=1,"unison (1:1)",IF(B42=2,"octave (2:1)",IF(B42=3,"fifth (3:2)",IF(B42=4,"fourth (4:3)","?")))))</f>
        <v>—</v>
      </c>
      <c r="D42" s="49" t="str">
        <f aca="false">IF(B42=0,"—",IF(B42=1,"ὁμώνυμον",IF(B42=2,"διὰ πασῶν",IF(B42=3,"διὰ πέντε",IF(B42=4,"διὰ τεσσάρων","?")))))</f>
        <v>—</v>
      </c>
      <c r="E42" s="49" t="str">
        <f aca="false">IF(B42=0,"—",IF(B42=1,"homonymous",IF(B42=2,"through all",IF(B42=3,"through five",IF(B42=4,"through four","?")))))</f>
        <v>—</v>
      </c>
      <c r="F42" s="49" t="str">
        <f aca="false">IF(A42=0,"START",IF(A42=25,"MIRROR AXIS",IF(A42=50,"END",IF(A42=51,"NEXT CYCLE","—"))))</f>
        <v>—</v>
      </c>
      <c r="G42" s="49" t="str">
        <f aca="false">REPT("█",B42)</f>
        <v/>
      </c>
      <c r="H42" s="50" t="n">
        <f aca="false">H41+1</f>
        <v>15</v>
      </c>
      <c r="I42" s="12"/>
      <c r="J42" s="12"/>
      <c r="K42" s="12"/>
      <c r="L42" s="12"/>
      <c r="M42" s="12"/>
      <c r="N42" s="12"/>
      <c r="O42" s="12"/>
      <c r="P42" s="12"/>
      <c r="Q42" s="12"/>
      <c r="R42" s="12"/>
      <c r="S42" s="12"/>
      <c r="T42" s="12"/>
      <c r="U42" s="12"/>
      <c r="V42" s="12"/>
      <c r="W42" s="12"/>
      <c r="X42" s="12"/>
      <c r="Y42" s="12"/>
      <c r="Z42" s="12"/>
    </row>
    <row r="43" customFormat="false" ht="15.75" hidden="false" customHeight="true" outlineLevel="0" collapsed="false">
      <c r="A43" s="48" t="n">
        <f aca="false">A42+1</f>
        <v>41</v>
      </c>
      <c r="B43" s="49" t="n">
        <f aca="false">'Pentametric Cycle'!H43</f>
        <v>2</v>
      </c>
      <c r="C43" s="49" t="str">
        <f aca="false">IF(B43=0,"—",IF(B43=1,"unison (1:1)",IF(B43=2,"octave (2:1)",IF(B43=3,"fifth (3:2)",IF(B43=4,"fourth (4:3)","?")))))</f>
        <v>octave (2:1)</v>
      </c>
      <c r="D43" s="49" t="str">
        <f aca="false">IF(B43=0,"—",IF(B43=1,"ὁμώνυμον",IF(B43=2,"διὰ πασῶν",IF(B43=3,"διὰ πέντε",IF(B43=4,"διὰ τεσσάρων","?")))))</f>
        <v>διὰ πασῶν</v>
      </c>
      <c r="E43" s="49" t="str">
        <f aca="false">IF(B43=0,"—",IF(B43=1,"homonymous",IF(B43=2,"through all",IF(B43=3,"through five",IF(B43=4,"through four","?")))))</f>
        <v>through all</v>
      </c>
      <c r="F43" s="49" t="str">
        <f aca="false">IF(A43=0,"START",IF(A43=25,"MIRROR AXIS",IF(A43=50,"END",IF(A43=51,"NEXT CYCLE","—"))))</f>
        <v>—</v>
      </c>
      <c r="G43" s="49" t="str">
        <f aca="false">REPT("█",B43)</f>
        <v>██</v>
      </c>
      <c r="H43" s="50" t="n">
        <f aca="false">H42+1</f>
        <v>16</v>
      </c>
      <c r="I43" s="12"/>
      <c r="J43" s="12"/>
      <c r="K43" s="12"/>
      <c r="L43" s="12"/>
      <c r="M43" s="12"/>
      <c r="N43" s="12"/>
      <c r="O43" s="12"/>
      <c r="P43" s="12"/>
      <c r="Q43" s="12"/>
      <c r="R43" s="12"/>
      <c r="S43" s="12"/>
      <c r="T43" s="12"/>
      <c r="U43" s="12"/>
      <c r="V43" s="12"/>
      <c r="W43" s="12"/>
      <c r="X43" s="12"/>
      <c r="Y43" s="12"/>
      <c r="Z43" s="12"/>
    </row>
    <row r="44" customFormat="false" ht="15.75" hidden="false" customHeight="true" outlineLevel="0" collapsed="false">
      <c r="A44" s="48" t="n">
        <f aca="false">A43+1</f>
        <v>42</v>
      </c>
      <c r="B44" s="49" t="n">
        <f aca="false">'Pentametric Cycle'!H44</f>
        <v>2</v>
      </c>
      <c r="C44" s="49" t="str">
        <f aca="false">IF(B44=0,"—",IF(B44=1,"unison (1:1)",IF(B44=2,"octave (2:1)",IF(B44=3,"fifth (3:2)",IF(B44=4,"fourth (4:3)","?")))))</f>
        <v>octave (2:1)</v>
      </c>
      <c r="D44" s="49" t="str">
        <f aca="false">IF(B44=0,"—",IF(B44=1,"ὁμώνυμον",IF(B44=2,"διὰ πασῶν",IF(B44=3,"διὰ πέντε",IF(B44=4,"διὰ τεσσάρων","?")))))</f>
        <v>διὰ πασῶν</v>
      </c>
      <c r="E44" s="49" t="str">
        <f aca="false">IF(B44=0,"—",IF(B44=1,"homonymous",IF(B44=2,"through all",IF(B44=3,"through five",IF(B44=4,"through four","?")))))</f>
        <v>through all</v>
      </c>
      <c r="F44" s="49" t="str">
        <f aca="false">IF(A44=0,"START",IF(A44=25,"MIRROR AXIS",IF(A44=50,"END",IF(A44=51,"NEXT CYCLE","—"))))</f>
        <v>—</v>
      </c>
      <c r="G44" s="49" t="str">
        <f aca="false">REPT("█",B44)</f>
        <v>██</v>
      </c>
      <c r="H44" s="50" t="n">
        <f aca="false">H43+1</f>
        <v>17</v>
      </c>
      <c r="I44" s="12"/>
      <c r="J44" s="12"/>
      <c r="K44" s="12"/>
      <c r="L44" s="12"/>
      <c r="M44" s="12"/>
      <c r="N44" s="12"/>
      <c r="O44" s="12"/>
      <c r="P44" s="12"/>
      <c r="Q44" s="12"/>
      <c r="R44" s="12"/>
      <c r="S44" s="12"/>
      <c r="T44" s="12"/>
      <c r="U44" s="12"/>
      <c r="V44" s="12"/>
      <c r="W44" s="12"/>
      <c r="X44" s="12"/>
      <c r="Y44" s="12"/>
      <c r="Z44" s="12"/>
    </row>
    <row r="45" customFormat="false" ht="15.75" hidden="false" customHeight="true" outlineLevel="0" collapsed="false">
      <c r="A45" s="48" t="n">
        <f aca="false">A44+1</f>
        <v>43</v>
      </c>
      <c r="B45" s="49" t="n">
        <f aca="false">'Pentametric Cycle'!H45</f>
        <v>4</v>
      </c>
      <c r="C45" s="49" t="str">
        <f aca="false">IF(B45=0,"—",IF(B45=1,"unison (1:1)",IF(B45=2,"octave (2:1)",IF(B45=3,"fifth (3:2)",IF(B45=4,"fourth (4:3)","?")))))</f>
        <v>fourth (4:3)</v>
      </c>
      <c r="D45" s="49" t="str">
        <f aca="false">IF(B45=0,"—",IF(B45=1,"ὁμώνυμον",IF(B45=2,"διὰ πασῶν",IF(B45=3,"διὰ πέντε",IF(B45=4,"διὰ τεσσάρων","?")))))</f>
        <v>διὰ τεσσάρων</v>
      </c>
      <c r="E45" s="49" t="str">
        <f aca="false">IF(B45=0,"—",IF(B45=1,"homonymous",IF(B45=2,"through all",IF(B45=3,"through five",IF(B45=4,"through four","?")))))</f>
        <v>through four</v>
      </c>
      <c r="F45" s="49" t="str">
        <f aca="false">IF(A45=0,"START",IF(A45=25,"MIRROR AXIS",IF(A45=50,"END",IF(A45=51,"NEXT CYCLE","—"))))</f>
        <v>—</v>
      </c>
      <c r="G45" s="49" t="str">
        <f aca="false">REPT("█",B45)</f>
        <v>████</v>
      </c>
      <c r="H45" s="50" t="n">
        <f aca="false">H44+1</f>
        <v>18</v>
      </c>
      <c r="I45" s="12"/>
      <c r="J45" s="12"/>
      <c r="K45" s="12"/>
      <c r="L45" s="12"/>
      <c r="M45" s="12"/>
      <c r="N45" s="12"/>
      <c r="O45" s="12"/>
      <c r="P45" s="12"/>
      <c r="Q45" s="12"/>
      <c r="R45" s="12"/>
      <c r="S45" s="12"/>
      <c r="T45" s="12"/>
      <c r="U45" s="12"/>
      <c r="V45" s="12"/>
      <c r="W45" s="12"/>
      <c r="X45" s="12"/>
      <c r="Y45" s="12"/>
      <c r="Z45" s="12"/>
    </row>
    <row r="46" customFormat="false" ht="15.75" hidden="false" customHeight="true" outlineLevel="0" collapsed="false">
      <c r="A46" s="48" t="n">
        <f aca="false">A45+1</f>
        <v>44</v>
      </c>
      <c r="B46" s="49" t="n">
        <f aca="false">'Pentametric Cycle'!H46</f>
        <v>3</v>
      </c>
      <c r="C46" s="49" t="str">
        <f aca="false">IF(B46=0,"—",IF(B46=1,"unison (1:1)",IF(B46=2,"octave (2:1)",IF(B46=3,"fifth (3:2)",IF(B46=4,"fourth (4:3)","?")))))</f>
        <v>fifth (3:2)</v>
      </c>
      <c r="D46" s="49" t="str">
        <f aca="false">IF(B46=0,"—",IF(B46=1,"ὁμώνυμον",IF(B46=2,"διὰ πασῶν",IF(B46=3,"διὰ πέντε",IF(B46=4,"διὰ τεσσάρων","?")))))</f>
        <v>διὰ πέντε</v>
      </c>
      <c r="E46" s="49" t="str">
        <f aca="false">IF(B46=0,"—",IF(B46=1,"homonymous",IF(B46=2,"through all",IF(B46=3,"through five",IF(B46=4,"through four","?")))))</f>
        <v>through five</v>
      </c>
      <c r="F46" s="49" t="str">
        <f aca="false">IF(A46=0,"START",IF(A46=25,"MIRROR AXIS",IF(A46=50,"END",IF(A46=51,"NEXT CYCLE","—"))))</f>
        <v>—</v>
      </c>
      <c r="G46" s="49" t="str">
        <f aca="false">REPT("█",B46)</f>
        <v>███</v>
      </c>
      <c r="H46" s="50" t="n">
        <f aca="false">H45+1</f>
        <v>19</v>
      </c>
      <c r="I46" s="12"/>
      <c r="J46" s="12"/>
      <c r="K46" s="12"/>
      <c r="L46" s="12"/>
      <c r="M46" s="12"/>
      <c r="N46" s="12"/>
      <c r="O46" s="12"/>
      <c r="P46" s="12"/>
      <c r="Q46" s="12"/>
      <c r="R46" s="12"/>
      <c r="S46" s="12"/>
      <c r="T46" s="12"/>
      <c r="U46" s="12"/>
      <c r="V46" s="12"/>
      <c r="W46" s="12"/>
      <c r="X46" s="12"/>
      <c r="Y46" s="12"/>
      <c r="Z46" s="12"/>
    </row>
    <row r="47" customFormat="false" ht="15.75" hidden="false" customHeight="true" outlineLevel="0" collapsed="false">
      <c r="A47" s="48" t="n">
        <f aca="false">A46+1</f>
        <v>45</v>
      </c>
      <c r="B47" s="49" t="n">
        <f aca="false">'Pentametric Cycle'!H47</f>
        <v>0</v>
      </c>
      <c r="C47" s="49" t="str">
        <f aca="false">IF(B47=0,"—",IF(B47=1,"unison (1:1)",IF(B47=2,"octave (2:1)",IF(B47=3,"fifth (3:2)",IF(B47=4,"fourth (4:3)","?")))))</f>
        <v>—</v>
      </c>
      <c r="D47" s="49" t="str">
        <f aca="false">IF(B47=0,"—",IF(B47=1,"ὁμώνυμον",IF(B47=2,"διὰ πασῶν",IF(B47=3,"διὰ πέντε",IF(B47=4,"διὰ τεσσάρων","?")))))</f>
        <v>—</v>
      </c>
      <c r="E47" s="49" t="str">
        <f aca="false">IF(B47=0,"—",IF(B47=1,"homonymous",IF(B47=2,"through all",IF(B47=3,"through five",IF(B47=4,"through four","?")))))</f>
        <v>—</v>
      </c>
      <c r="F47" s="49" t="str">
        <f aca="false">IF(A47=0,"START",IF(A47=25,"MIRROR AXIS",IF(A47=50,"END",IF(A47=51,"NEXT CYCLE","—"))))</f>
        <v>—</v>
      </c>
      <c r="G47" s="49" t="str">
        <f aca="false">REPT("█",B47)</f>
        <v/>
      </c>
      <c r="H47" s="50" t="n">
        <f aca="false">H46+1</f>
        <v>20</v>
      </c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</row>
    <row r="48" customFormat="false" ht="15.75" hidden="false" customHeight="true" outlineLevel="0" collapsed="false">
      <c r="A48" s="48" t="n">
        <f aca="false">A47+1</f>
        <v>46</v>
      </c>
      <c r="B48" s="49" t="n">
        <f aca="false">'Pentametric Cycle'!H48</f>
        <v>4</v>
      </c>
      <c r="C48" s="49" t="str">
        <f aca="false">IF(B48=0,"—",IF(B48=1,"unison (1:1)",IF(B48=2,"octave (2:1)",IF(B48=3,"fifth (3:2)",IF(B48=4,"fourth (4:3)","?")))))</f>
        <v>fourth (4:3)</v>
      </c>
      <c r="D48" s="49" t="str">
        <f aca="false">IF(B48=0,"—",IF(B48=1,"ὁμώνυμον",IF(B48=2,"διὰ πασῶν",IF(B48=3,"διὰ πέντε",IF(B48=4,"διὰ τεσσάρων","?")))))</f>
        <v>διὰ τεσσάρων</v>
      </c>
      <c r="E48" s="49" t="str">
        <f aca="false">IF(B48=0,"—",IF(B48=1,"homonymous",IF(B48=2,"through all",IF(B48=3,"through five",IF(B48=4,"through four","?")))))</f>
        <v>through four</v>
      </c>
      <c r="F48" s="49" t="str">
        <f aca="false">IF(A48=0,"START",IF(A48=25,"MIRROR AXIS",IF(A48=50,"END",IF(A48=51,"NEXT CYCLE","—"))))</f>
        <v>—</v>
      </c>
      <c r="G48" s="49" t="str">
        <f aca="false">REPT("█",B48)</f>
        <v>████</v>
      </c>
      <c r="H48" s="50" t="n">
        <f aca="false">H47+1</f>
        <v>21</v>
      </c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</row>
    <row r="49" customFormat="false" ht="15.75" hidden="false" customHeight="true" outlineLevel="0" collapsed="false">
      <c r="A49" s="48" t="n">
        <f aca="false">A48+1</f>
        <v>47</v>
      </c>
      <c r="B49" s="49" t="n">
        <f aca="false">'Pentametric Cycle'!H49</f>
        <v>1</v>
      </c>
      <c r="C49" s="49" t="str">
        <f aca="false">IF(B49=0,"—",IF(B49=1,"unison (1:1)",IF(B49=2,"octave (2:1)",IF(B49=3,"fifth (3:2)",IF(B49=4,"fourth (4:3)","?")))))</f>
        <v>unison (1:1)</v>
      </c>
      <c r="D49" s="49" t="str">
        <f aca="false">IF(B49=0,"—",IF(B49=1,"ὁμώνυμον",IF(B49=2,"διὰ πασῶν",IF(B49=3,"διὰ πέντε",IF(B49=4,"διὰ τεσσάρων","?")))))</f>
        <v>ὁμώνυμον</v>
      </c>
      <c r="E49" s="49" t="str">
        <f aca="false">IF(B49=0,"—",IF(B49=1,"homonymous",IF(B49=2,"through all",IF(B49=3,"through five",IF(B49=4,"through four","?")))))</f>
        <v>homonymous</v>
      </c>
      <c r="F49" s="49" t="str">
        <f aca="false">IF(A49=0,"START",IF(A49=25,"MIRROR AXIS",IF(A49=50,"END",IF(A49=51,"NEXT CYCLE","—"))))</f>
        <v>—</v>
      </c>
      <c r="G49" s="49" t="str">
        <f aca="false">REPT("█",B49)</f>
        <v>█</v>
      </c>
      <c r="H49" s="50" t="n">
        <f aca="false">H48+1</f>
        <v>22</v>
      </c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</row>
    <row r="50" customFormat="false" ht="15.75" hidden="false" customHeight="true" outlineLevel="0" collapsed="false">
      <c r="A50" s="48" t="n">
        <f aca="false">A49+1</f>
        <v>48</v>
      </c>
      <c r="B50" s="49" t="n">
        <f aca="false">'Pentametric Cycle'!H50</f>
        <v>0</v>
      </c>
      <c r="C50" s="49" t="str">
        <f aca="false">IF(B50=0,"—",IF(B50=1,"unison (1:1)",IF(B50=2,"octave (2:1)",IF(B50=3,"fifth (3:2)",IF(B50=4,"fourth (4:3)","?")))))</f>
        <v>—</v>
      </c>
      <c r="D50" s="49" t="str">
        <f aca="false">IF(B50=0,"—",IF(B50=1,"ὁμώνυμον",IF(B50=2,"διὰ πασῶν",IF(B50=3,"διὰ πέντε",IF(B50=4,"διὰ τεσσάρων","?")))))</f>
        <v>—</v>
      </c>
      <c r="E50" s="49" t="str">
        <f aca="false">IF(B50=0,"—",IF(B50=1,"homonymous",IF(B50=2,"through all",IF(B50=3,"through five",IF(B50=4,"through four","?")))))</f>
        <v>—</v>
      </c>
      <c r="F50" s="49" t="str">
        <f aca="false">IF(A50=0,"START",IF(A50=25,"MIRROR AXIS",IF(A50=50,"END",IF(A50=51,"NEXT CYCLE","—"))))</f>
        <v>—</v>
      </c>
      <c r="G50" s="49" t="str">
        <f aca="false">REPT("█",B50)</f>
        <v/>
      </c>
      <c r="H50" s="50" t="n">
        <f aca="false">H49+1</f>
        <v>23</v>
      </c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</row>
    <row r="51" customFormat="false" ht="15.75" hidden="false" customHeight="true" outlineLevel="0" collapsed="false">
      <c r="A51" s="48" t="n">
        <f aca="false">A50+1</f>
        <v>49</v>
      </c>
      <c r="B51" s="49" t="n">
        <f aca="false">'Pentametric Cycle'!H51</f>
        <v>1</v>
      </c>
      <c r="C51" s="49" t="str">
        <f aca="false">IF(B51=0,"—",IF(B51=1,"unison (1:1)",IF(B51=2,"octave (2:1)",IF(B51=3,"fifth (3:2)",IF(B51=4,"fourth (4:3)","?")))))</f>
        <v>unison (1:1)</v>
      </c>
      <c r="D51" s="49" t="str">
        <f aca="false">IF(B51=0,"—",IF(B51=1,"ὁμώνυμον",IF(B51=2,"διὰ πασῶν",IF(B51=3,"διὰ πέντε",IF(B51=4,"διὰ τεσσάρων","?")))))</f>
        <v>ὁμώνυμον</v>
      </c>
      <c r="E51" s="49" t="str">
        <f aca="false">IF(B51=0,"—",IF(B51=1,"homonymous",IF(B51=2,"through all",IF(B51=3,"through five",IF(B51=4,"through four","?")))))</f>
        <v>homonymous</v>
      </c>
      <c r="F51" s="49" t="str">
        <f aca="false">IF(A51=0,"START",IF(A51=25,"MIRROR AXIS",IF(A51=50,"END",IF(A51=51,"NEXT CYCLE","—"))))</f>
        <v>—</v>
      </c>
      <c r="G51" s="49" t="str">
        <f aca="false">REPT("█",B51)</f>
        <v>█</v>
      </c>
      <c r="H51" s="50" t="n">
        <f aca="false">H50+1</f>
        <v>24</v>
      </c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</row>
    <row r="52" customFormat="false" ht="15.75" hidden="false" customHeight="true" outlineLevel="0" collapsed="false">
      <c r="A52" s="45" t="n">
        <f aca="false">A51+1</f>
        <v>50</v>
      </c>
      <c r="B52" s="46" t="n">
        <f aca="false">'Pentametric Cycle'!H52</f>
        <v>0</v>
      </c>
      <c r="C52" s="46" t="str">
        <f aca="false">IF(B52=0,"—",IF(B52=1,"unison (1:1)",IF(B52=2,"octave (2:1)",IF(B52=3,"fifth (3:2)",IF(B52=4,"fourth (4:3)","?")))))</f>
        <v>—</v>
      </c>
      <c r="D52" s="46" t="str">
        <f aca="false">IF(B52=0,"—",IF(B52=1,"ὁμώνυμον",IF(B52=2,"διὰ πασῶν",IF(B52=3,"διὰ πέντε",IF(B52=4,"διὰ τεσσάρων","?")))))</f>
        <v>—</v>
      </c>
      <c r="E52" s="46" t="str">
        <f aca="false">IF(B52=0,"—",IF(B52=1,"homonymous",IF(B52=2,"through all",IF(B52=3,"through five",IF(B52=4,"through four","?")))))</f>
        <v>—</v>
      </c>
      <c r="F52" s="46" t="str">
        <f aca="false">IF(A52=0,"START",IF(A52=25,"MIRROR AXIS",IF(A52=50,"END",IF(A52=51,"NEXT CYCLE","—"))))</f>
        <v>END</v>
      </c>
      <c r="G52" s="46" t="str">
        <f aca="false">REPT("█",B52)</f>
        <v/>
      </c>
      <c r="H52" s="47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</row>
    <row r="53" customFormat="false" ht="15.75" hidden="false" customHeight="true" outlineLevel="0" collapsed="false">
      <c r="A53" s="54" t="n">
        <f aca="false">A52+1</f>
        <v>51</v>
      </c>
      <c r="B53" s="55" t="n">
        <f aca="false">'Pentametric Cycle'!H53</f>
        <v>1</v>
      </c>
      <c r="C53" s="55" t="str">
        <f aca="false">IF(B53=0,"—",IF(B53=1,"unison (1:1)",IF(B53=2,"octave (2:1)",IF(B53=3,"fifth (3:2)",IF(B53=4,"fourth (4:3)","?")))))</f>
        <v>unison (1:1)</v>
      </c>
      <c r="D53" s="55" t="str">
        <f aca="false">IF(B53=0,"—",IF(B53=1,"ὁμώνυμον",IF(B53=2,"διὰ πασῶν",IF(B53=3,"διὰ πέντε",IF(B53=4,"διὰ τεσσάρων","?")))))</f>
        <v>ὁμώνυμον</v>
      </c>
      <c r="E53" s="55" t="str">
        <f aca="false">IF(B53=0,"—",IF(B53=1,"homonymous",IF(B53=2,"through all",IF(B53=3,"through five",IF(B53=4,"through four","?")))))</f>
        <v>homonymous</v>
      </c>
      <c r="F53" s="55" t="str">
        <f aca="false">IF(A53=0,"START",IF(A53=25,"MIRROR AXIS",IF(A53=50,"END",IF(A53=51,"NEXT CYCLE","—"))))</f>
        <v>NEXT CYCLE</v>
      </c>
      <c r="G53" s="55" t="str">
        <f aca="false">REPT("█",B53)</f>
        <v>█</v>
      </c>
      <c r="H53" s="56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</row>
    <row r="54" customFormat="false" ht="15.75" hidden="false" customHeight="true" outlineLevel="0" collapsed="false">
      <c r="A54" s="57" t="n">
        <f aca="false">A53+1</f>
        <v>52</v>
      </c>
      <c r="B54" s="58" t="n">
        <f aca="false">'Pentametric Cycle'!H54</f>
        <v>0</v>
      </c>
      <c r="C54" s="58" t="str">
        <f aca="false">IF(B54=0,"—",IF(B54=1,"unison (1:1)",IF(B54=2,"octave (2:1)",IF(B54=3,"fifth (3:2)",IF(B54=4,"fourth (4:3)","?")))))</f>
        <v>—</v>
      </c>
      <c r="D54" s="58" t="str">
        <f aca="false">IF(B54=0,"—",IF(B54=1,"ὁμώνυμον",IF(B54=2,"διὰ πασῶν",IF(B54=3,"διὰ πέντε",IF(B54=4,"διὰ τεσσάρων","?")))))</f>
        <v>—</v>
      </c>
      <c r="E54" s="58" t="str">
        <f aca="false">IF(B54=0,"—",IF(B54=1,"homonymous",IF(B54=2,"through all",IF(B54=3,"through five",IF(B54=4,"through four","?")))))</f>
        <v>—</v>
      </c>
      <c r="F54" s="58" t="str">
        <f aca="false">IF(A54=0,"START",IF(A54=25,"MIRROR AXIS",IF(A54=50,"END",IF(A54=51,"NEXT CYCLE","—"))))</f>
        <v>—</v>
      </c>
      <c r="G54" s="58" t="str">
        <f aca="false">REPT("█",B54)</f>
        <v/>
      </c>
      <c r="H54" s="59"/>
      <c r="I54" s="12"/>
      <c r="J54" s="12"/>
      <c r="K54" s="12"/>
      <c r="L54" s="12"/>
      <c r="M54" s="12"/>
      <c r="N54" s="12"/>
      <c r="O54" s="12"/>
      <c r="P54" s="12"/>
      <c r="Q54" s="12"/>
      <c r="R54" s="12"/>
      <c r="S54" s="12"/>
      <c r="T54" s="12"/>
      <c r="U54" s="12"/>
      <c r="V54" s="12"/>
      <c r="W54" s="12"/>
      <c r="X54" s="12"/>
      <c r="Y54" s="12"/>
      <c r="Z54" s="12"/>
    </row>
    <row r="55" customFormat="false" ht="15.75" hidden="false" customHeight="true" outlineLevel="0" collapsed="false">
      <c r="A55" s="12"/>
      <c r="B55" s="12"/>
      <c r="C55" s="12"/>
      <c r="D55" s="12"/>
      <c r="E55" s="12"/>
      <c r="F55" s="12"/>
      <c r="G55" s="12"/>
      <c r="H55" s="12"/>
      <c r="I55" s="12"/>
      <c r="J55" s="12"/>
      <c r="K55" s="12"/>
      <c r="L55" s="12"/>
      <c r="M55" s="12"/>
      <c r="N55" s="12"/>
      <c r="O55" s="12"/>
      <c r="P55" s="12"/>
      <c r="Q55" s="12"/>
      <c r="R55" s="12"/>
      <c r="S55" s="12"/>
      <c r="T55" s="12"/>
      <c r="U55" s="12"/>
      <c r="V55" s="12"/>
      <c r="W55" s="12"/>
      <c r="X55" s="12"/>
      <c r="Y55" s="12"/>
      <c r="Z55" s="12"/>
    </row>
    <row r="56" customFormat="false" ht="15.75" hidden="false" customHeight="true" outlineLevel="0" collapsed="false">
      <c r="A56" s="12"/>
      <c r="B56" s="12"/>
      <c r="C56" s="12"/>
      <c r="D56" s="12"/>
      <c r="E56" s="12"/>
      <c r="F56" s="12"/>
      <c r="G56" s="12"/>
      <c r="H56" s="12"/>
      <c r="I56" s="12"/>
      <c r="J56" s="12"/>
      <c r="K56" s="12"/>
      <c r="L56" s="12"/>
      <c r="M56" s="12"/>
      <c r="N56" s="12"/>
      <c r="O56" s="12"/>
      <c r="P56" s="12"/>
      <c r="Q56" s="12"/>
      <c r="R56" s="12"/>
      <c r="S56" s="12"/>
      <c r="T56" s="12"/>
      <c r="U56" s="12"/>
      <c r="V56" s="12"/>
      <c r="W56" s="12"/>
      <c r="X56" s="12"/>
      <c r="Y56" s="12"/>
      <c r="Z56" s="12"/>
    </row>
    <row r="57" customFormat="false" ht="15.75" hidden="false" customHeight="true" outlineLevel="0" collapsed="false">
      <c r="A57" s="12"/>
      <c r="B57" s="12"/>
      <c r="C57" s="12"/>
      <c r="D57" s="12"/>
      <c r="E57" s="12"/>
      <c r="F57" s="12"/>
      <c r="G57" s="12"/>
      <c r="H57" s="12"/>
      <c r="I57" s="12"/>
      <c r="J57" s="12"/>
      <c r="K57" s="12"/>
      <c r="L57" s="12"/>
      <c r="M57" s="12"/>
      <c r="N57" s="12"/>
      <c r="O57" s="12"/>
      <c r="P57" s="12"/>
      <c r="Q57" s="12"/>
      <c r="R57" s="12"/>
      <c r="S57" s="12"/>
      <c r="T57" s="12"/>
      <c r="U57" s="12"/>
      <c r="V57" s="12"/>
      <c r="W57" s="12"/>
      <c r="X57" s="12"/>
      <c r="Y57" s="12"/>
      <c r="Z57" s="12"/>
    </row>
    <row r="58" customFormat="false" ht="15.75" hidden="false" customHeight="true" outlineLevel="0" collapsed="false">
      <c r="A58" s="12"/>
      <c r="B58" s="12"/>
      <c r="C58" s="12"/>
      <c r="D58" s="12"/>
      <c r="E58" s="12"/>
      <c r="F58" s="12"/>
      <c r="G58" s="12"/>
      <c r="H58" s="12"/>
      <c r="I58" s="12"/>
      <c r="J58" s="12"/>
      <c r="K58" s="12"/>
      <c r="L58" s="12"/>
      <c r="M58" s="12"/>
      <c r="N58" s="12"/>
      <c r="O58" s="12"/>
      <c r="P58" s="12"/>
      <c r="Q58" s="12"/>
      <c r="R58" s="12"/>
      <c r="S58" s="12"/>
      <c r="T58" s="12"/>
      <c r="U58" s="12"/>
      <c r="V58" s="12"/>
      <c r="W58" s="12"/>
      <c r="X58" s="12"/>
      <c r="Y58" s="12"/>
      <c r="Z58" s="12"/>
    </row>
    <row r="59" customFormat="false" ht="15.75" hidden="false" customHeight="true" outlineLevel="0" collapsed="false">
      <c r="A59" s="12"/>
      <c r="B59" s="12"/>
      <c r="C59" s="12"/>
      <c r="D59" s="12"/>
      <c r="E59" s="12"/>
      <c r="F59" s="12"/>
      <c r="G59" s="12"/>
      <c r="H59" s="12"/>
      <c r="I59" s="12"/>
      <c r="J59" s="12"/>
      <c r="K59" s="12"/>
      <c r="L59" s="12"/>
      <c r="M59" s="12"/>
      <c r="N59" s="12"/>
      <c r="O59" s="12"/>
      <c r="P59" s="12"/>
      <c r="Q59" s="12"/>
      <c r="R59" s="12"/>
      <c r="S59" s="12"/>
      <c r="T59" s="12"/>
      <c r="U59" s="12"/>
      <c r="V59" s="12"/>
      <c r="W59" s="12"/>
      <c r="X59" s="12"/>
      <c r="Y59" s="12"/>
      <c r="Z59" s="12"/>
    </row>
    <row r="60" customFormat="false" ht="15.75" hidden="false" customHeight="true" outlineLevel="0" collapsed="false">
      <c r="A60" s="12"/>
      <c r="B60" s="12"/>
      <c r="C60" s="12"/>
      <c r="D60" s="12"/>
      <c r="E60" s="12"/>
      <c r="F60" s="12"/>
      <c r="G60" s="12"/>
      <c r="H60" s="12"/>
      <c r="I60" s="12"/>
      <c r="J60" s="12"/>
      <c r="K60" s="12"/>
      <c r="L60" s="12"/>
      <c r="M60" s="12"/>
      <c r="N60" s="12"/>
      <c r="O60" s="12"/>
      <c r="P60" s="12"/>
      <c r="Q60" s="12"/>
      <c r="R60" s="12"/>
      <c r="S60" s="12"/>
      <c r="T60" s="12"/>
      <c r="U60" s="12"/>
      <c r="V60" s="12"/>
      <c r="W60" s="12"/>
      <c r="X60" s="12"/>
      <c r="Y60" s="12"/>
      <c r="Z60" s="12"/>
    </row>
    <row r="61" customFormat="false" ht="15.75" hidden="false" customHeight="true" outlineLevel="0" collapsed="false">
      <c r="A61" s="12"/>
      <c r="B61" s="12"/>
      <c r="C61" s="12"/>
      <c r="D61" s="12"/>
      <c r="E61" s="12"/>
      <c r="F61" s="12"/>
      <c r="G61" s="12"/>
      <c r="H61" s="12"/>
      <c r="I61" s="12"/>
      <c r="J61" s="12"/>
      <c r="K61" s="12"/>
      <c r="L61" s="12"/>
      <c r="M61" s="12"/>
      <c r="N61" s="12"/>
      <c r="O61" s="12"/>
      <c r="P61" s="12"/>
      <c r="Q61" s="12"/>
      <c r="R61" s="12"/>
      <c r="S61" s="12"/>
      <c r="T61" s="12"/>
      <c r="U61" s="12"/>
      <c r="V61" s="12"/>
      <c r="W61" s="12"/>
      <c r="X61" s="12"/>
      <c r="Y61" s="12"/>
      <c r="Z61" s="12"/>
    </row>
    <row r="62" customFormat="false" ht="15.75" hidden="false" customHeight="true" outlineLevel="0" collapsed="false">
      <c r="A62" s="12"/>
      <c r="B62" s="12"/>
      <c r="C62" s="12"/>
      <c r="D62" s="12"/>
      <c r="E62" s="12"/>
      <c r="F62" s="12"/>
      <c r="G62" s="12"/>
      <c r="H62" s="12"/>
      <c r="I62" s="12"/>
      <c r="J62" s="12"/>
      <c r="K62" s="12"/>
      <c r="L62" s="12"/>
      <c r="M62" s="12"/>
      <c r="N62" s="12"/>
      <c r="O62" s="12"/>
      <c r="P62" s="12"/>
      <c r="Q62" s="12"/>
      <c r="R62" s="12"/>
      <c r="S62" s="12"/>
      <c r="T62" s="12"/>
      <c r="U62" s="12"/>
      <c r="V62" s="12"/>
      <c r="W62" s="12"/>
      <c r="X62" s="12"/>
      <c r="Y62" s="12"/>
      <c r="Z62" s="12"/>
    </row>
    <row r="63" customFormat="false" ht="15.75" hidden="false" customHeight="true" outlineLevel="0" collapsed="false">
      <c r="A63" s="12"/>
      <c r="B63" s="12"/>
      <c r="C63" s="12"/>
      <c r="D63" s="12"/>
      <c r="E63" s="12"/>
      <c r="F63" s="12"/>
      <c r="G63" s="12"/>
      <c r="H63" s="12"/>
      <c r="I63" s="12"/>
      <c r="J63" s="12"/>
      <c r="K63" s="12"/>
      <c r="L63" s="12"/>
      <c r="M63" s="12"/>
      <c r="N63" s="12"/>
      <c r="O63" s="12"/>
      <c r="P63" s="12"/>
      <c r="Q63" s="12"/>
      <c r="R63" s="12"/>
      <c r="S63" s="12"/>
      <c r="T63" s="12"/>
      <c r="U63" s="12"/>
      <c r="V63" s="12"/>
      <c r="W63" s="12"/>
      <c r="X63" s="12"/>
      <c r="Y63" s="12"/>
      <c r="Z63" s="12"/>
    </row>
    <row r="64" customFormat="false" ht="15.75" hidden="false" customHeight="true" outlineLevel="0" collapsed="false">
      <c r="A64" s="12"/>
      <c r="B64" s="12"/>
      <c r="C64" s="12"/>
      <c r="D64" s="12"/>
      <c r="E64" s="12"/>
      <c r="F64" s="12"/>
      <c r="G64" s="12"/>
      <c r="H64" s="12"/>
      <c r="I64" s="12"/>
      <c r="J64" s="12"/>
      <c r="K64" s="12"/>
      <c r="L64" s="12"/>
      <c r="M64" s="12"/>
      <c r="N64" s="12"/>
      <c r="O64" s="12"/>
      <c r="P64" s="12"/>
      <c r="Q64" s="12"/>
      <c r="R64" s="12"/>
      <c r="S64" s="12"/>
      <c r="T64" s="12"/>
      <c r="U64" s="12"/>
      <c r="V64" s="12"/>
      <c r="W64" s="12"/>
      <c r="X64" s="12"/>
      <c r="Y64" s="12"/>
      <c r="Z64" s="12"/>
    </row>
    <row r="65" customFormat="false" ht="15.75" hidden="false" customHeight="true" outlineLevel="0" collapsed="false">
      <c r="A65" s="12"/>
      <c r="B65" s="12"/>
      <c r="C65" s="12"/>
      <c r="D65" s="12"/>
      <c r="E65" s="12"/>
      <c r="F65" s="12"/>
      <c r="G65" s="12"/>
      <c r="H65" s="12"/>
      <c r="I65" s="12"/>
      <c r="J65" s="12"/>
      <c r="K65" s="12"/>
      <c r="L65" s="12"/>
      <c r="M65" s="12"/>
      <c r="N65" s="12"/>
      <c r="O65" s="12"/>
      <c r="P65" s="12"/>
      <c r="Q65" s="12"/>
      <c r="R65" s="12"/>
      <c r="S65" s="12"/>
      <c r="T65" s="12"/>
      <c r="U65" s="12"/>
      <c r="V65" s="12"/>
      <c r="W65" s="12"/>
      <c r="X65" s="12"/>
      <c r="Y65" s="12"/>
      <c r="Z65" s="12"/>
    </row>
    <row r="66" customFormat="false" ht="15.75" hidden="false" customHeight="true" outlineLevel="0" collapsed="false">
      <c r="A66" s="12"/>
      <c r="B66" s="12"/>
      <c r="C66" s="12"/>
      <c r="D66" s="12"/>
      <c r="E66" s="12"/>
      <c r="F66" s="12"/>
      <c r="G66" s="12"/>
      <c r="H66" s="12"/>
      <c r="I66" s="12"/>
      <c r="J66" s="12"/>
      <c r="K66" s="12"/>
      <c r="L66" s="12"/>
      <c r="M66" s="12"/>
      <c r="N66" s="12"/>
      <c r="O66" s="12"/>
      <c r="P66" s="12"/>
      <c r="Q66" s="12"/>
      <c r="R66" s="12"/>
      <c r="S66" s="12"/>
      <c r="T66" s="12"/>
      <c r="U66" s="12"/>
      <c r="V66" s="12"/>
      <c r="W66" s="12"/>
      <c r="X66" s="12"/>
      <c r="Y66" s="12"/>
      <c r="Z66" s="12"/>
    </row>
    <row r="67" customFormat="false" ht="15.75" hidden="false" customHeight="true" outlineLevel="0" collapsed="false">
      <c r="A67" s="12"/>
      <c r="B67" s="12"/>
      <c r="C67" s="12"/>
      <c r="D67" s="12"/>
      <c r="E67" s="12"/>
      <c r="F67" s="12"/>
      <c r="G67" s="12"/>
      <c r="H67" s="12"/>
      <c r="I67" s="12"/>
      <c r="J67" s="12"/>
      <c r="K67" s="12"/>
      <c r="L67" s="12"/>
      <c r="M67" s="12"/>
      <c r="N67" s="12"/>
      <c r="O67" s="12"/>
      <c r="P67" s="12"/>
      <c r="Q67" s="12"/>
      <c r="R67" s="12"/>
      <c r="S67" s="12"/>
      <c r="T67" s="12"/>
      <c r="U67" s="12"/>
      <c r="V67" s="12"/>
      <c r="W67" s="12"/>
      <c r="X67" s="12"/>
      <c r="Y67" s="12"/>
      <c r="Z67" s="12"/>
    </row>
    <row r="68" customFormat="false" ht="15.75" hidden="false" customHeight="true" outlineLevel="0" collapsed="false">
      <c r="A68" s="12"/>
      <c r="B68" s="12"/>
      <c r="C68" s="12"/>
      <c r="D68" s="12"/>
      <c r="E68" s="12"/>
      <c r="F68" s="12"/>
      <c r="G68" s="12"/>
      <c r="H68" s="12"/>
      <c r="I68" s="12"/>
      <c r="J68" s="12"/>
      <c r="K68" s="12"/>
      <c r="L68" s="12"/>
      <c r="M68" s="12"/>
      <c r="N68" s="12"/>
      <c r="O68" s="12"/>
      <c r="P68" s="12"/>
      <c r="Q68" s="12"/>
      <c r="R68" s="12"/>
      <c r="S68" s="12"/>
      <c r="T68" s="12"/>
      <c r="U68" s="12"/>
      <c r="V68" s="12"/>
      <c r="W68" s="12"/>
      <c r="X68" s="12"/>
      <c r="Y68" s="12"/>
      <c r="Z68" s="12"/>
    </row>
    <row r="69" customFormat="false" ht="15.75" hidden="false" customHeight="true" outlineLevel="0" collapsed="false">
      <c r="A69" s="12"/>
      <c r="B69" s="12"/>
      <c r="C69" s="12"/>
      <c r="D69" s="12"/>
      <c r="E69" s="12"/>
      <c r="F69" s="12"/>
      <c r="G69" s="12"/>
      <c r="H69" s="12"/>
      <c r="I69" s="12"/>
      <c r="J69" s="12"/>
      <c r="K69" s="12"/>
      <c r="L69" s="12"/>
      <c r="M69" s="12"/>
      <c r="N69" s="12"/>
      <c r="O69" s="12"/>
      <c r="P69" s="12"/>
      <c r="Q69" s="12"/>
      <c r="R69" s="12"/>
      <c r="S69" s="12"/>
      <c r="T69" s="12"/>
      <c r="U69" s="12"/>
      <c r="V69" s="12"/>
      <c r="W69" s="12"/>
      <c r="X69" s="12"/>
      <c r="Y69" s="12"/>
      <c r="Z69" s="12"/>
    </row>
    <row r="70" customFormat="false" ht="15.75" hidden="false" customHeight="true" outlineLevel="0" collapsed="false">
      <c r="A70" s="12"/>
      <c r="B70" s="12"/>
      <c r="C70" s="12"/>
      <c r="D70" s="12"/>
      <c r="E70" s="12"/>
      <c r="F70" s="12"/>
      <c r="G70" s="12"/>
      <c r="H70" s="12"/>
      <c r="I70" s="12"/>
      <c r="J70" s="12"/>
      <c r="K70" s="12"/>
      <c r="L70" s="12"/>
      <c r="M70" s="12"/>
      <c r="N70" s="12"/>
      <c r="O70" s="12"/>
      <c r="P70" s="12"/>
      <c r="Q70" s="12"/>
      <c r="R70" s="12"/>
      <c r="S70" s="12"/>
      <c r="T70" s="12"/>
      <c r="U70" s="12"/>
      <c r="V70" s="12"/>
      <c r="W70" s="12"/>
      <c r="X70" s="12"/>
      <c r="Y70" s="12"/>
      <c r="Z70" s="12"/>
    </row>
    <row r="71" customFormat="false" ht="15.75" hidden="false" customHeight="true" outlineLevel="0" collapsed="false">
      <c r="A71" s="12"/>
      <c r="B71" s="12"/>
      <c r="C71" s="12"/>
      <c r="D71" s="12"/>
      <c r="E71" s="12"/>
      <c r="F71" s="12"/>
      <c r="G71" s="12"/>
      <c r="H71" s="12"/>
      <c r="I71" s="12"/>
      <c r="J71" s="12"/>
      <c r="K71" s="12"/>
      <c r="L71" s="12"/>
      <c r="M71" s="12"/>
      <c r="N71" s="12"/>
      <c r="O71" s="12"/>
      <c r="P71" s="12"/>
      <c r="Q71" s="12"/>
      <c r="R71" s="12"/>
      <c r="S71" s="12"/>
      <c r="T71" s="12"/>
      <c r="U71" s="12"/>
      <c r="V71" s="12"/>
      <c r="W71" s="12"/>
      <c r="X71" s="12"/>
      <c r="Y71" s="12"/>
      <c r="Z71" s="12"/>
    </row>
    <row r="72" customFormat="false" ht="15.75" hidden="false" customHeight="true" outlineLevel="0" collapsed="false">
      <c r="A72" s="12"/>
      <c r="B72" s="12"/>
      <c r="C72" s="12"/>
      <c r="D72" s="12"/>
      <c r="E72" s="12"/>
      <c r="F72" s="12"/>
      <c r="G72" s="12"/>
      <c r="H72" s="12"/>
      <c r="I72" s="12"/>
      <c r="J72" s="12"/>
      <c r="K72" s="12"/>
      <c r="L72" s="12"/>
      <c r="M72" s="12"/>
      <c r="N72" s="12"/>
      <c r="O72" s="12"/>
      <c r="P72" s="12"/>
      <c r="Q72" s="12"/>
      <c r="R72" s="12"/>
      <c r="S72" s="12"/>
      <c r="T72" s="12"/>
      <c r="U72" s="12"/>
      <c r="V72" s="12"/>
      <c r="W72" s="12"/>
      <c r="X72" s="12"/>
      <c r="Y72" s="12"/>
      <c r="Z72" s="12"/>
    </row>
    <row r="73" customFormat="false" ht="15.75" hidden="false" customHeight="true" outlineLevel="0" collapsed="false">
      <c r="A73" s="12"/>
      <c r="B73" s="12"/>
      <c r="C73" s="12"/>
      <c r="D73" s="12"/>
      <c r="E73" s="12"/>
      <c r="F73" s="12"/>
      <c r="G73" s="12"/>
      <c r="H73" s="12"/>
      <c r="I73" s="12"/>
      <c r="J73" s="12"/>
      <c r="K73" s="12"/>
      <c r="L73" s="12"/>
      <c r="M73" s="12"/>
      <c r="N73" s="12"/>
      <c r="O73" s="12"/>
      <c r="P73" s="12"/>
      <c r="Q73" s="12"/>
      <c r="R73" s="12"/>
      <c r="S73" s="12"/>
      <c r="T73" s="12"/>
      <c r="U73" s="12"/>
      <c r="V73" s="12"/>
      <c r="W73" s="12"/>
      <c r="X73" s="12"/>
      <c r="Y73" s="12"/>
      <c r="Z73" s="12"/>
    </row>
    <row r="74" customFormat="false" ht="15.75" hidden="false" customHeight="true" outlineLevel="0" collapsed="false">
      <c r="A74" s="12"/>
      <c r="B74" s="12"/>
      <c r="C74" s="12"/>
      <c r="D74" s="12"/>
      <c r="E74" s="12"/>
      <c r="F74" s="12"/>
      <c r="G74" s="12"/>
      <c r="H74" s="12"/>
      <c r="I74" s="12"/>
      <c r="J74" s="12"/>
      <c r="K74" s="12"/>
      <c r="L74" s="12"/>
      <c r="M74" s="12"/>
      <c r="N74" s="12"/>
      <c r="O74" s="12"/>
      <c r="P74" s="12"/>
      <c r="Q74" s="12"/>
      <c r="R74" s="12"/>
      <c r="S74" s="12"/>
      <c r="T74" s="12"/>
      <c r="U74" s="12"/>
      <c r="V74" s="12"/>
      <c r="W74" s="12"/>
      <c r="X74" s="12"/>
      <c r="Y74" s="12"/>
      <c r="Z74" s="12"/>
    </row>
    <row r="75" customFormat="false" ht="15.75" hidden="false" customHeight="true" outlineLevel="0" collapsed="false">
      <c r="A75" s="12"/>
      <c r="B75" s="12"/>
      <c r="C75" s="12"/>
      <c r="D75" s="12"/>
      <c r="E75" s="12"/>
      <c r="F75" s="12"/>
      <c r="G75" s="12"/>
      <c r="H75" s="12"/>
      <c r="I75" s="12"/>
      <c r="J75" s="12"/>
      <c r="K75" s="12"/>
      <c r="L75" s="12"/>
      <c r="M75" s="12"/>
      <c r="N75" s="12"/>
      <c r="O75" s="12"/>
      <c r="P75" s="12"/>
      <c r="Q75" s="12"/>
      <c r="R75" s="12"/>
      <c r="S75" s="12"/>
      <c r="T75" s="12"/>
      <c r="U75" s="12"/>
      <c r="V75" s="12"/>
      <c r="W75" s="12"/>
      <c r="X75" s="12"/>
      <c r="Y75" s="12"/>
      <c r="Z75" s="12"/>
    </row>
    <row r="76" customFormat="false" ht="15.75" hidden="false" customHeight="true" outlineLevel="0" collapsed="false">
      <c r="A76" s="12"/>
      <c r="B76" s="12"/>
      <c r="C76" s="12"/>
      <c r="D76" s="12"/>
      <c r="E76" s="12"/>
      <c r="F76" s="12"/>
      <c r="G76" s="12"/>
      <c r="H76" s="12"/>
      <c r="I76" s="12"/>
      <c r="J76" s="12"/>
      <c r="K76" s="12"/>
      <c r="L76" s="12"/>
      <c r="M76" s="12"/>
      <c r="N76" s="12"/>
      <c r="O76" s="12"/>
      <c r="P76" s="12"/>
      <c r="Q76" s="12"/>
      <c r="R76" s="12"/>
      <c r="S76" s="12"/>
      <c r="T76" s="12"/>
      <c r="U76" s="12"/>
      <c r="V76" s="12"/>
      <c r="W76" s="12"/>
      <c r="X76" s="12"/>
      <c r="Y76" s="12"/>
      <c r="Z76" s="12"/>
    </row>
    <row r="77" customFormat="false" ht="15.75" hidden="false" customHeight="true" outlineLevel="0" collapsed="false">
      <c r="A77" s="12"/>
      <c r="B77" s="12"/>
      <c r="C77" s="12"/>
      <c r="D77" s="12"/>
      <c r="E77" s="12"/>
      <c r="F77" s="12"/>
      <c r="G77" s="12"/>
      <c r="H77" s="12"/>
      <c r="I77" s="12"/>
      <c r="J77" s="12"/>
      <c r="K77" s="12"/>
      <c r="L77" s="12"/>
      <c r="M77" s="12"/>
      <c r="N77" s="12"/>
      <c r="O77" s="12"/>
      <c r="P77" s="12"/>
      <c r="Q77" s="12"/>
      <c r="R77" s="12"/>
      <c r="S77" s="12"/>
      <c r="T77" s="12"/>
      <c r="U77" s="12"/>
      <c r="V77" s="12"/>
      <c r="W77" s="12"/>
      <c r="X77" s="12"/>
      <c r="Y77" s="12"/>
      <c r="Z77" s="12"/>
    </row>
    <row r="78" customFormat="false" ht="15.75" hidden="false" customHeight="true" outlineLevel="0" collapsed="false">
      <c r="A78" s="12"/>
      <c r="B78" s="12"/>
      <c r="C78" s="12"/>
      <c r="D78" s="12"/>
      <c r="E78" s="12"/>
      <c r="F78" s="12"/>
      <c r="G78" s="12"/>
      <c r="H78" s="12"/>
      <c r="I78" s="12"/>
      <c r="J78" s="12"/>
      <c r="K78" s="12"/>
      <c r="L78" s="12"/>
      <c r="M78" s="12"/>
      <c r="N78" s="12"/>
      <c r="O78" s="12"/>
      <c r="P78" s="12"/>
      <c r="Q78" s="12"/>
      <c r="R78" s="12"/>
      <c r="S78" s="12"/>
      <c r="T78" s="12"/>
      <c r="U78" s="12"/>
      <c r="V78" s="12"/>
      <c r="W78" s="12"/>
      <c r="X78" s="12"/>
      <c r="Y78" s="12"/>
      <c r="Z78" s="12"/>
    </row>
    <row r="79" customFormat="false" ht="15.75" hidden="false" customHeight="true" outlineLevel="0" collapsed="false">
      <c r="A79" s="12"/>
      <c r="B79" s="12"/>
      <c r="C79" s="12"/>
      <c r="D79" s="12"/>
      <c r="E79" s="12"/>
      <c r="F79" s="12"/>
      <c r="G79" s="12"/>
      <c r="H79" s="12"/>
      <c r="I79" s="12"/>
      <c r="J79" s="12"/>
      <c r="K79" s="12"/>
      <c r="L79" s="12"/>
      <c r="M79" s="12"/>
      <c r="N79" s="12"/>
      <c r="O79" s="12"/>
      <c r="P79" s="12"/>
      <c r="Q79" s="12"/>
      <c r="R79" s="12"/>
      <c r="S79" s="12"/>
      <c r="T79" s="12"/>
      <c r="U79" s="12"/>
      <c r="V79" s="12"/>
      <c r="W79" s="12"/>
      <c r="X79" s="12"/>
      <c r="Y79" s="12"/>
      <c r="Z79" s="12"/>
    </row>
    <row r="80" customFormat="false" ht="15.75" hidden="false" customHeight="true" outlineLevel="0" collapsed="false">
      <c r="A80" s="12"/>
      <c r="B80" s="12"/>
      <c r="C80" s="12"/>
      <c r="D80" s="12"/>
      <c r="E80" s="12"/>
      <c r="F80" s="12"/>
      <c r="G80" s="12"/>
      <c r="H80" s="12"/>
      <c r="I80" s="12"/>
      <c r="J80" s="12"/>
      <c r="K80" s="12"/>
      <c r="L80" s="12"/>
      <c r="M80" s="12"/>
      <c r="N80" s="12"/>
      <c r="O80" s="12"/>
      <c r="P80" s="12"/>
      <c r="Q80" s="12"/>
      <c r="R80" s="12"/>
      <c r="S80" s="12"/>
      <c r="T80" s="12"/>
      <c r="U80" s="12"/>
      <c r="V80" s="12"/>
      <c r="W80" s="12"/>
      <c r="X80" s="12"/>
      <c r="Y80" s="12"/>
      <c r="Z80" s="12"/>
    </row>
    <row r="81" customFormat="false" ht="15.75" hidden="false" customHeight="true" outlineLevel="0" collapsed="false">
      <c r="A81" s="12"/>
      <c r="B81" s="12"/>
      <c r="C81" s="12"/>
      <c r="D81" s="12"/>
      <c r="E81" s="12"/>
      <c r="F81" s="12"/>
      <c r="G81" s="12"/>
      <c r="H81" s="12"/>
      <c r="I81" s="12"/>
      <c r="J81" s="12"/>
      <c r="K81" s="12"/>
      <c r="L81" s="12"/>
      <c r="M81" s="12"/>
      <c r="N81" s="12"/>
      <c r="O81" s="12"/>
      <c r="P81" s="12"/>
      <c r="Q81" s="12"/>
      <c r="R81" s="12"/>
      <c r="S81" s="12"/>
      <c r="T81" s="12"/>
      <c r="U81" s="12"/>
      <c r="V81" s="12"/>
      <c r="W81" s="12"/>
      <c r="X81" s="12"/>
      <c r="Y81" s="12"/>
      <c r="Z81" s="12"/>
    </row>
    <row r="82" customFormat="false" ht="15.75" hidden="false" customHeight="true" outlineLevel="0" collapsed="false">
      <c r="A82" s="12"/>
      <c r="B82" s="12"/>
      <c r="C82" s="12"/>
      <c r="D82" s="12"/>
      <c r="E82" s="12"/>
      <c r="F82" s="12"/>
      <c r="G82" s="12"/>
      <c r="H82" s="12"/>
      <c r="I82" s="12"/>
      <c r="J82" s="12"/>
      <c r="K82" s="12"/>
      <c r="L82" s="12"/>
      <c r="M82" s="12"/>
      <c r="N82" s="12"/>
      <c r="O82" s="12"/>
      <c r="P82" s="12"/>
      <c r="Q82" s="12"/>
      <c r="R82" s="12"/>
      <c r="S82" s="12"/>
      <c r="T82" s="12"/>
      <c r="U82" s="12"/>
      <c r="V82" s="12"/>
      <c r="W82" s="12"/>
      <c r="X82" s="12"/>
      <c r="Y82" s="12"/>
      <c r="Z82" s="12"/>
    </row>
    <row r="83" customFormat="false" ht="15.75" hidden="false" customHeight="true" outlineLevel="0" collapsed="false">
      <c r="A83" s="12"/>
      <c r="B83" s="12"/>
      <c r="C83" s="12"/>
      <c r="D83" s="12"/>
      <c r="E83" s="12"/>
      <c r="F83" s="12"/>
      <c r="G83" s="12"/>
      <c r="H83" s="12"/>
      <c r="I83" s="12"/>
      <c r="J83" s="12"/>
      <c r="K83" s="12"/>
      <c r="L83" s="12"/>
      <c r="M83" s="12"/>
      <c r="N83" s="12"/>
      <c r="O83" s="12"/>
      <c r="P83" s="12"/>
      <c r="Q83" s="12"/>
      <c r="R83" s="12"/>
      <c r="S83" s="12"/>
      <c r="T83" s="12"/>
      <c r="U83" s="12"/>
      <c r="V83" s="12"/>
      <c r="W83" s="12"/>
      <c r="X83" s="12"/>
      <c r="Y83" s="12"/>
      <c r="Z83" s="12"/>
    </row>
    <row r="84" customFormat="false" ht="15.75" hidden="false" customHeight="true" outlineLevel="0" collapsed="false">
      <c r="A84" s="12"/>
      <c r="B84" s="12"/>
      <c r="C84" s="12"/>
      <c r="D84" s="12"/>
      <c r="E84" s="12"/>
      <c r="F84" s="12"/>
      <c r="G84" s="12"/>
      <c r="H84" s="12"/>
      <c r="I84" s="12"/>
      <c r="J84" s="12"/>
      <c r="K84" s="12"/>
      <c r="L84" s="12"/>
      <c r="M84" s="12"/>
      <c r="N84" s="12"/>
      <c r="O84" s="12"/>
      <c r="P84" s="12"/>
      <c r="Q84" s="12"/>
      <c r="R84" s="12"/>
      <c r="S84" s="12"/>
      <c r="T84" s="12"/>
      <c r="U84" s="12"/>
      <c r="V84" s="12"/>
      <c r="W84" s="12"/>
      <c r="X84" s="12"/>
      <c r="Y84" s="12"/>
      <c r="Z84" s="12"/>
    </row>
    <row r="85" customFormat="false" ht="15.75" hidden="false" customHeight="true" outlineLevel="0" collapsed="false">
      <c r="A85" s="12"/>
      <c r="B85" s="12"/>
      <c r="C85" s="12"/>
      <c r="D85" s="12"/>
      <c r="E85" s="12"/>
      <c r="F85" s="12"/>
      <c r="G85" s="12"/>
      <c r="H85" s="12"/>
      <c r="I85" s="12"/>
      <c r="J85" s="12"/>
      <c r="K85" s="12"/>
      <c r="L85" s="12"/>
      <c r="M85" s="12"/>
      <c r="N85" s="12"/>
      <c r="O85" s="12"/>
      <c r="P85" s="12"/>
      <c r="Q85" s="12"/>
      <c r="R85" s="12"/>
      <c r="S85" s="12"/>
      <c r="T85" s="12"/>
      <c r="U85" s="12"/>
      <c r="V85" s="12"/>
      <c r="W85" s="12"/>
      <c r="X85" s="12"/>
      <c r="Y85" s="12"/>
      <c r="Z85" s="12"/>
    </row>
    <row r="86" customFormat="false" ht="15.75" hidden="false" customHeight="true" outlineLevel="0" collapsed="false">
      <c r="A86" s="12"/>
      <c r="B86" s="12"/>
      <c r="C86" s="12"/>
      <c r="D86" s="12"/>
      <c r="E86" s="12"/>
      <c r="F86" s="12"/>
      <c r="G86" s="12"/>
      <c r="H86" s="12"/>
      <c r="I86" s="12"/>
      <c r="J86" s="12"/>
      <c r="K86" s="12"/>
      <c r="L86" s="12"/>
      <c r="M86" s="12"/>
      <c r="N86" s="12"/>
      <c r="O86" s="12"/>
      <c r="P86" s="12"/>
      <c r="Q86" s="12"/>
      <c r="R86" s="12"/>
      <c r="S86" s="12"/>
      <c r="T86" s="12"/>
      <c r="U86" s="12"/>
      <c r="V86" s="12"/>
      <c r="W86" s="12"/>
      <c r="X86" s="12"/>
      <c r="Y86" s="12"/>
      <c r="Z86" s="12"/>
    </row>
    <row r="87" customFormat="false" ht="15.75" hidden="false" customHeight="true" outlineLevel="0" collapsed="false">
      <c r="A87" s="12"/>
      <c r="B87" s="12"/>
      <c r="C87" s="12"/>
      <c r="D87" s="12"/>
      <c r="E87" s="12"/>
      <c r="F87" s="12"/>
      <c r="G87" s="12"/>
      <c r="H87" s="12"/>
      <c r="I87" s="12"/>
      <c r="J87" s="12"/>
      <c r="K87" s="12"/>
      <c r="L87" s="12"/>
      <c r="M87" s="12"/>
      <c r="N87" s="12"/>
      <c r="O87" s="12"/>
      <c r="P87" s="12"/>
      <c r="Q87" s="12"/>
      <c r="R87" s="12"/>
      <c r="S87" s="12"/>
      <c r="T87" s="12"/>
      <c r="U87" s="12"/>
      <c r="V87" s="12"/>
      <c r="W87" s="12"/>
      <c r="X87" s="12"/>
      <c r="Y87" s="12"/>
      <c r="Z87" s="12"/>
    </row>
    <row r="88" customFormat="false" ht="15.75" hidden="false" customHeight="true" outlineLevel="0" collapsed="false">
      <c r="A88" s="12"/>
      <c r="B88" s="12"/>
      <c r="C88" s="12"/>
      <c r="D88" s="12"/>
      <c r="E88" s="12"/>
      <c r="F88" s="12"/>
      <c r="G88" s="12"/>
      <c r="H88" s="12"/>
      <c r="I88" s="12"/>
      <c r="J88" s="12"/>
      <c r="K88" s="12"/>
      <c r="L88" s="12"/>
      <c r="M88" s="12"/>
      <c r="N88" s="12"/>
      <c r="O88" s="12"/>
      <c r="P88" s="12"/>
      <c r="Q88" s="12"/>
      <c r="R88" s="12"/>
      <c r="S88" s="12"/>
      <c r="T88" s="12"/>
      <c r="U88" s="12"/>
      <c r="V88" s="12"/>
      <c r="W88" s="12"/>
      <c r="X88" s="12"/>
      <c r="Y88" s="12"/>
      <c r="Z88" s="12"/>
    </row>
    <row r="89" customFormat="false" ht="15.75" hidden="false" customHeight="true" outlineLevel="0" collapsed="false">
      <c r="A89" s="12"/>
      <c r="B89" s="12"/>
      <c r="C89" s="12"/>
      <c r="D89" s="12"/>
      <c r="E89" s="12"/>
      <c r="F89" s="12"/>
      <c r="G89" s="12"/>
      <c r="H89" s="12"/>
      <c r="I89" s="12"/>
      <c r="J89" s="12"/>
      <c r="K89" s="12"/>
      <c r="L89" s="12"/>
      <c r="M89" s="12"/>
      <c r="N89" s="12"/>
      <c r="O89" s="12"/>
      <c r="P89" s="12"/>
      <c r="Q89" s="12"/>
      <c r="R89" s="12"/>
      <c r="S89" s="12"/>
      <c r="T89" s="12"/>
      <c r="U89" s="12"/>
      <c r="V89" s="12"/>
      <c r="W89" s="12"/>
      <c r="X89" s="12"/>
      <c r="Y89" s="12"/>
      <c r="Z89" s="12"/>
    </row>
    <row r="90" customFormat="false" ht="15.75" hidden="false" customHeight="true" outlineLevel="0" collapsed="false">
      <c r="A90" s="12"/>
      <c r="B90" s="12"/>
      <c r="C90" s="12"/>
      <c r="D90" s="12"/>
      <c r="E90" s="12"/>
      <c r="F90" s="12"/>
      <c r="G90" s="12"/>
      <c r="H90" s="12"/>
      <c r="I90" s="12"/>
      <c r="J90" s="12"/>
      <c r="K90" s="12"/>
      <c r="L90" s="12"/>
      <c r="M90" s="12"/>
      <c r="N90" s="12"/>
      <c r="O90" s="12"/>
      <c r="P90" s="12"/>
      <c r="Q90" s="12"/>
      <c r="R90" s="12"/>
      <c r="S90" s="12"/>
      <c r="T90" s="12"/>
      <c r="U90" s="12"/>
      <c r="V90" s="12"/>
      <c r="W90" s="12"/>
      <c r="X90" s="12"/>
      <c r="Y90" s="12"/>
      <c r="Z90" s="12"/>
    </row>
    <row r="91" customFormat="false" ht="15.75" hidden="false" customHeight="true" outlineLevel="0" collapsed="false">
      <c r="A91" s="12"/>
      <c r="B91" s="12"/>
      <c r="C91" s="12"/>
      <c r="D91" s="12"/>
      <c r="E91" s="12"/>
      <c r="F91" s="12"/>
      <c r="G91" s="12"/>
      <c r="H91" s="12"/>
      <c r="I91" s="12"/>
      <c r="J91" s="12"/>
      <c r="K91" s="12"/>
      <c r="L91" s="12"/>
      <c r="M91" s="12"/>
      <c r="N91" s="12"/>
      <c r="O91" s="12"/>
      <c r="P91" s="12"/>
      <c r="Q91" s="12"/>
      <c r="R91" s="12"/>
      <c r="S91" s="12"/>
      <c r="T91" s="12"/>
      <c r="U91" s="12"/>
      <c r="V91" s="12"/>
      <c r="W91" s="12"/>
      <c r="X91" s="12"/>
      <c r="Y91" s="12"/>
      <c r="Z91" s="12"/>
    </row>
    <row r="92" customFormat="false" ht="15.75" hidden="false" customHeight="true" outlineLevel="0" collapsed="false">
      <c r="A92" s="12"/>
      <c r="B92" s="12"/>
      <c r="C92" s="12"/>
      <c r="D92" s="12"/>
      <c r="E92" s="12"/>
      <c r="F92" s="12"/>
      <c r="G92" s="12"/>
      <c r="H92" s="12"/>
      <c r="I92" s="12"/>
      <c r="J92" s="12"/>
      <c r="K92" s="12"/>
      <c r="L92" s="12"/>
      <c r="M92" s="12"/>
      <c r="N92" s="12"/>
      <c r="O92" s="12"/>
      <c r="P92" s="12"/>
      <c r="Q92" s="12"/>
      <c r="R92" s="12"/>
      <c r="S92" s="12"/>
      <c r="T92" s="12"/>
      <c r="U92" s="12"/>
      <c r="V92" s="12"/>
      <c r="W92" s="12"/>
      <c r="X92" s="12"/>
      <c r="Y92" s="12"/>
      <c r="Z92" s="12"/>
    </row>
    <row r="93" customFormat="false" ht="15.75" hidden="false" customHeight="true" outlineLevel="0" collapsed="false">
      <c r="A93" s="12"/>
      <c r="B93" s="12"/>
      <c r="C93" s="12"/>
      <c r="D93" s="12"/>
      <c r="E93" s="12"/>
      <c r="F93" s="12"/>
      <c r="G93" s="12"/>
      <c r="H93" s="12"/>
      <c r="I93" s="12"/>
      <c r="J93" s="12"/>
      <c r="K93" s="12"/>
      <c r="L93" s="12"/>
      <c r="M93" s="12"/>
      <c r="N93" s="12"/>
      <c r="O93" s="12"/>
      <c r="P93" s="12"/>
      <c r="Q93" s="12"/>
      <c r="R93" s="12"/>
      <c r="S93" s="12"/>
      <c r="T93" s="12"/>
      <c r="U93" s="12"/>
      <c r="V93" s="12"/>
      <c r="W93" s="12"/>
      <c r="X93" s="12"/>
      <c r="Y93" s="12"/>
      <c r="Z93" s="12"/>
    </row>
    <row r="94" customFormat="false" ht="15.75" hidden="false" customHeight="true" outlineLevel="0" collapsed="false">
      <c r="A94" s="12"/>
      <c r="B94" s="12"/>
      <c r="C94" s="12"/>
      <c r="D94" s="12"/>
      <c r="E94" s="12"/>
      <c r="F94" s="12"/>
      <c r="G94" s="12"/>
      <c r="H94" s="12"/>
      <c r="I94" s="12"/>
      <c r="J94" s="12"/>
      <c r="K94" s="12"/>
      <c r="L94" s="12"/>
      <c r="M94" s="12"/>
      <c r="N94" s="12"/>
      <c r="O94" s="12"/>
      <c r="P94" s="12"/>
      <c r="Q94" s="12"/>
      <c r="R94" s="12"/>
      <c r="S94" s="12"/>
      <c r="T94" s="12"/>
      <c r="U94" s="12"/>
      <c r="V94" s="12"/>
      <c r="W94" s="12"/>
      <c r="X94" s="12"/>
      <c r="Y94" s="12"/>
      <c r="Z94" s="12"/>
    </row>
    <row r="95" customFormat="false" ht="15.75" hidden="false" customHeight="true" outlineLevel="0" collapsed="false">
      <c r="A95" s="12"/>
      <c r="B95" s="12"/>
      <c r="C95" s="12"/>
      <c r="D95" s="12"/>
      <c r="E95" s="12"/>
      <c r="F95" s="12"/>
      <c r="G95" s="12"/>
      <c r="H95" s="12"/>
      <c r="I95" s="12"/>
      <c r="J95" s="12"/>
      <c r="K95" s="12"/>
      <c r="L95" s="12"/>
      <c r="M95" s="12"/>
      <c r="N95" s="12"/>
      <c r="O95" s="12"/>
      <c r="P95" s="12"/>
      <c r="Q95" s="12"/>
      <c r="R95" s="12"/>
      <c r="S95" s="12"/>
      <c r="T95" s="12"/>
      <c r="U95" s="12"/>
      <c r="V95" s="12"/>
      <c r="W95" s="12"/>
      <c r="X95" s="12"/>
      <c r="Y95" s="12"/>
      <c r="Z95" s="12"/>
    </row>
    <row r="96" customFormat="false" ht="15.75" hidden="false" customHeight="true" outlineLevel="0" collapsed="false">
      <c r="A96" s="12"/>
      <c r="B96" s="12"/>
      <c r="C96" s="12"/>
      <c r="D96" s="12"/>
      <c r="E96" s="12"/>
      <c r="F96" s="12"/>
      <c r="G96" s="12"/>
      <c r="H96" s="12"/>
      <c r="I96" s="12"/>
      <c r="J96" s="12"/>
      <c r="K96" s="12"/>
      <c r="L96" s="12"/>
      <c r="M96" s="12"/>
      <c r="N96" s="12"/>
      <c r="O96" s="12"/>
      <c r="P96" s="12"/>
      <c r="Q96" s="12"/>
      <c r="R96" s="12"/>
      <c r="S96" s="12"/>
      <c r="T96" s="12"/>
      <c r="U96" s="12"/>
      <c r="V96" s="12"/>
      <c r="W96" s="12"/>
      <c r="X96" s="12"/>
      <c r="Y96" s="12"/>
      <c r="Z96" s="12"/>
    </row>
    <row r="97" customFormat="false" ht="15.75" hidden="false" customHeight="true" outlineLevel="0" collapsed="false">
      <c r="A97" s="12"/>
      <c r="B97" s="12"/>
      <c r="C97" s="12"/>
      <c r="D97" s="12"/>
      <c r="E97" s="12"/>
      <c r="F97" s="12"/>
      <c r="G97" s="12"/>
      <c r="H97" s="12"/>
      <c r="I97" s="12"/>
      <c r="J97" s="12"/>
      <c r="K97" s="12"/>
      <c r="L97" s="12"/>
      <c r="M97" s="12"/>
      <c r="N97" s="12"/>
      <c r="O97" s="12"/>
      <c r="P97" s="12"/>
      <c r="Q97" s="12"/>
      <c r="R97" s="12"/>
      <c r="S97" s="12"/>
      <c r="T97" s="12"/>
      <c r="U97" s="12"/>
      <c r="V97" s="12"/>
      <c r="W97" s="12"/>
      <c r="X97" s="12"/>
      <c r="Y97" s="12"/>
      <c r="Z97" s="12"/>
    </row>
    <row r="98" customFormat="false" ht="15.75" hidden="false" customHeight="true" outlineLevel="0" collapsed="false">
      <c r="A98" s="12"/>
      <c r="B98" s="12"/>
      <c r="C98" s="12"/>
      <c r="D98" s="12"/>
      <c r="E98" s="12"/>
      <c r="F98" s="12"/>
      <c r="G98" s="12"/>
      <c r="H98" s="12"/>
      <c r="I98" s="12"/>
      <c r="J98" s="12"/>
      <c r="K98" s="12"/>
      <c r="L98" s="12"/>
      <c r="M98" s="12"/>
      <c r="N98" s="12"/>
      <c r="O98" s="12"/>
      <c r="P98" s="12"/>
      <c r="Q98" s="12"/>
      <c r="R98" s="12"/>
      <c r="S98" s="12"/>
      <c r="T98" s="12"/>
      <c r="U98" s="12"/>
      <c r="V98" s="12"/>
      <c r="W98" s="12"/>
      <c r="X98" s="12"/>
      <c r="Y98" s="12"/>
      <c r="Z98" s="12"/>
    </row>
    <row r="99" customFormat="false" ht="15.75" hidden="false" customHeight="true" outlineLevel="0" collapsed="false">
      <c r="A99" s="12"/>
      <c r="B99" s="12"/>
      <c r="C99" s="12"/>
      <c r="D99" s="12"/>
      <c r="E99" s="12"/>
      <c r="F99" s="12"/>
      <c r="G99" s="12"/>
      <c r="H99" s="12"/>
      <c r="I99" s="12"/>
      <c r="J99" s="12"/>
      <c r="K99" s="12"/>
      <c r="L99" s="12"/>
      <c r="M99" s="12"/>
      <c r="N99" s="12"/>
      <c r="O99" s="12"/>
      <c r="P99" s="12"/>
      <c r="Q99" s="12"/>
      <c r="R99" s="12"/>
      <c r="S99" s="12"/>
      <c r="T99" s="12"/>
      <c r="U99" s="12"/>
      <c r="V99" s="12"/>
      <c r="W99" s="12"/>
      <c r="X99" s="12"/>
      <c r="Y99" s="12"/>
      <c r="Z99" s="12"/>
    </row>
    <row r="100" customFormat="false" ht="15.75" hidden="false" customHeight="true" outlineLevel="0" collapsed="false">
      <c r="A100" s="12"/>
      <c r="B100" s="12"/>
      <c r="C100" s="12"/>
      <c r="D100" s="12"/>
      <c r="E100" s="12"/>
      <c r="F100" s="12"/>
      <c r="G100" s="12"/>
      <c r="H100" s="12"/>
      <c r="I100" s="12"/>
      <c r="J100" s="12"/>
      <c r="K100" s="12"/>
      <c r="L100" s="12"/>
      <c r="M100" s="12"/>
      <c r="N100" s="12"/>
      <c r="O100" s="12"/>
      <c r="P100" s="12"/>
      <c r="Q100" s="12"/>
      <c r="R100" s="12"/>
      <c r="S100" s="12"/>
      <c r="T100" s="12"/>
      <c r="U100" s="12"/>
      <c r="V100" s="12"/>
      <c r="W100" s="12"/>
      <c r="X100" s="12"/>
      <c r="Y100" s="12"/>
      <c r="Z100" s="12"/>
    </row>
    <row r="101" customFormat="false" ht="15.75" hidden="false" customHeight="true" outlineLevel="0" collapsed="false">
      <c r="A101" s="12"/>
      <c r="B101" s="12"/>
      <c r="C101" s="12"/>
      <c r="D101" s="12"/>
      <c r="E101" s="12"/>
      <c r="F101" s="12"/>
      <c r="G101" s="12"/>
      <c r="H101" s="12"/>
      <c r="I101" s="12"/>
      <c r="J101" s="12"/>
      <c r="K101" s="12"/>
      <c r="L101" s="12"/>
      <c r="M101" s="12"/>
      <c r="N101" s="12"/>
      <c r="O101" s="12"/>
      <c r="P101" s="12"/>
      <c r="Q101" s="12"/>
      <c r="R101" s="12"/>
      <c r="S101" s="12"/>
      <c r="T101" s="12"/>
      <c r="U101" s="12"/>
      <c r="V101" s="12"/>
      <c r="W101" s="12"/>
      <c r="X101" s="12"/>
      <c r="Y101" s="12"/>
      <c r="Z101" s="12"/>
    </row>
    <row r="102" customFormat="false" ht="15.75" hidden="false" customHeight="true" outlineLevel="0" collapsed="false">
      <c r="A102" s="12"/>
      <c r="B102" s="12"/>
      <c r="C102" s="12"/>
      <c r="D102" s="12"/>
      <c r="E102" s="12"/>
      <c r="F102" s="12"/>
      <c r="G102" s="12"/>
      <c r="H102" s="12"/>
      <c r="I102" s="12"/>
      <c r="J102" s="12"/>
      <c r="K102" s="12"/>
      <c r="L102" s="12"/>
      <c r="M102" s="12"/>
      <c r="N102" s="12"/>
      <c r="O102" s="12"/>
      <c r="P102" s="12"/>
      <c r="Q102" s="12"/>
      <c r="R102" s="12"/>
      <c r="S102" s="12"/>
      <c r="T102" s="12"/>
      <c r="U102" s="12"/>
      <c r="V102" s="12"/>
      <c r="W102" s="12"/>
      <c r="X102" s="12"/>
      <c r="Y102" s="12"/>
      <c r="Z102" s="12"/>
    </row>
    <row r="103" customFormat="false" ht="15.75" hidden="false" customHeight="true" outlineLevel="0" collapsed="false">
      <c r="A103" s="12"/>
      <c r="B103" s="12"/>
      <c r="C103" s="12"/>
      <c r="D103" s="12"/>
      <c r="E103" s="12"/>
      <c r="F103" s="12"/>
      <c r="G103" s="12"/>
      <c r="H103" s="12"/>
      <c r="I103" s="12"/>
      <c r="J103" s="12"/>
      <c r="K103" s="12"/>
      <c r="L103" s="12"/>
      <c r="M103" s="12"/>
      <c r="N103" s="12"/>
      <c r="O103" s="12"/>
      <c r="P103" s="12"/>
      <c r="Q103" s="12"/>
      <c r="R103" s="12"/>
      <c r="S103" s="12"/>
      <c r="T103" s="12"/>
      <c r="U103" s="12"/>
      <c r="V103" s="12"/>
      <c r="W103" s="12"/>
      <c r="X103" s="12"/>
      <c r="Y103" s="12"/>
      <c r="Z103" s="12"/>
    </row>
    <row r="104" customFormat="false" ht="15.75" hidden="false" customHeight="true" outlineLevel="0" collapsed="false">
      <c r="A104" s="12"/>
      <c r="B104" s="12"/>
      <c r="C104" s="12"/>
      <c r="D104" s="12"/>
      <c r="E104" s="12"/>
      <c r="F104" s="12"/>
      <c r="G104" s="12"/>
      <c r="H104" s="12"/>
      <c r="I104" s="12"/>
      <c r="J104" s="12"/>
      <c r="K104" s="12"/>
      <c r="L104" s="12"/>
      <c r="M104" s="12"/>
      <c r="N104" s="12"/>
      <c r="O104" s="12"/>
      <c r="P104" s="12"/>
      <c r="Q104" s="12"/>
      <c r="R104" s="12"/>
      <c r="S104" s="12"/>
      <c r="T104" s="12"/>
      <c r="U104" s="12"/>
      <c r="V104" s="12"/>
      <c r="W104" s="12"/>
      <c r="X104" s="12"/>
      <c r="Y104" s="12"/>
      <c r="Z104" s="12"/>
    </row>
    <row r="105" customFormat="false" ht="15.75" hidden="false" customHeight="true" outlineLevel="0" collapsed="false">
      <c r="A105" s="12"/>
      <c r="B105" s="12"/>
      <c r="C105" s="12"/>
      <c r="D105" s="12"/>
      <c r="E105" s="12"/>
      <c r="F105" s="12"/>
      <c r="G105" s="12"/>
      <c r="H105" s="12"/>
      <c r="I105" s="12"/>
      <c r="J105" s="12"/>
      <c r="K105" s="12"/>
      <c r="L105" s="12"/>
      <c r="M105" s="12"/>
      <c r="N105" s="12"/>
      <c r="O105" s="12"/>
      <c r="P105" s="12"/>
      <c r="Q105" s="12"/>
      <c r="R105" s="12"/>
      <c r="S105" s="12"/>
      <c r="T105" s="12"/>
      <c r="U105" s="12"/>
      <c r="V105" s="12"/>
      <c r="W105" s="12"/>
      <c r="X105" s="12"/>
      <c r="Y105" s="12"/>
      <c r="Z105" s="12"/>
    </row>
    <row r="106" customFormat="false" ht="15.75" hidden="false" customHeight="true" outlineLevel="0" collapsed="false">
      <c r="A106" s="12"/>
      <c r="B106" s="12"/>
      <c r="C106" s="12"/>
      <c r="D106" s="12"/>
      <c r="E106" s="12"/>
      <c r="F106" s="12"/>
      <c r="G106" s="12"/>
      <c r="H106" s="12"/>
      <c r="I106" s="12"/>
      <c r="J106" s="12"/>
      <c r="K106" s="12"/>
      <c r="L106" s="12"/>
      <c r="M106" s="12"/>
      <c r="N106" s="12"/>
      <c r="O106" s="12"/>
      <c r="P106" s="12"/>
      <c r="Q106" s="12"/>
      <c r="R106" s="12"/>
      <c r="S106" s="12"/>
      <c r="T106" s="12"/>
      <c r="U106" s="12"/>
      <c r="V106" s="12"/>
      <c r="W106" s="12"/>
      <c r="X106" s="12"/>
      <c r="Y106" s="12"/>
      <c r="Z106" s="12"/>
    </row>
    <row r="107" customFormat="false" ht="15.75" hidden="false" customHeight="true" outlineLevel="0" collapsed="false">
      <c r="A107" s="12"/>
      <c r="B107" s="12"/>
      <c r="C107" s="12"/>
      <c r="D107" s="12"/>
      <c r="E107" s="12"/>
      <c r="F107" s="12"/>
      <c r="G107" s="12"/>
      <c r="H107" s="12"/>
      <c r="I107" s="12"/>
      <c r="J107" s="12"/>
      <c r="K107" s="12"/>
      <c r="L107" s="12"/>
      <c r="M107" s="12"/>
      <c r="N107" s="12"/>
      <c r="O107" s="12"/>
      <c r="P107" s="12"/>
      <c r="Q107" s="12"/>
      <c r="R107" s="12"/>
      <c r="S107" s="12"/>
      <c r="T107" s="12"/>
      <c r="U107" s="12"/>
      <c r="V107" s="12"/>
      <c r="W107" s="12"/>
      <c r="X107" s="12"/>
      <c r="Y107" s="12"/>
      <c r="Z107" s="12"/>
    </row>
    <row r="108" customFormat="false" ht="15.75" hidden="false" customHeight="true" outlineLevel="0" collapsed="false">
      <c r="A108" s="12"/>
      <c r="B108" s="12"/>
      <c r="C108" s="12"/>
      <c r="D108" s="12"/>
      <c r="E108" s="12"/>
      <c r="F108" s="12"/>
      <c r="G108" s="12"/>
      <c r="H108" s="12"/>
      <c r="I108" s="12"/>
      <c r="J108" s="12"/>
      <c r="K108" s="12"/>
      <c r="L108" s="12"/>
      <c r="M108" s="12"/>
      <c r="N108" s="12"/>
      <c r="O108" s="12"/>
      <c r="P108" s="12"/>
      <c r="Q108" s="12"/>
      <c r="R108" s="12"/>
      <c r="S108" s="12"/>
      <c r="T108" s="12"/>
      <c r="U108" s="12"/>
      <c r="V108" s="12"/>
      <c r="W108" s="12"/>
      <c r="X108" s="12"/>
      <c r="Y108" s="12"/>
      <c r="Z108" s="12"/>
    </row>
    <row r="109" customFormat="false" ht="15.75" hidden="false" customHeight="true" outlineLevel="0" collapsed="false">
      <c r="A109" s="12"/>
      <c r="B109" s="12"/>
      <c r="C109" s="12"/>
      <c r="D109" s="12"/>
      <c r="E109" s="12"/>
      <c r="F109" s="12"/>
      <c r="G109" s="12"/>
      <c r="H109" s="12"/>
      <c r="I109" s="12"/>
      <c r="J109" s="12"/>
      <c r="K109" s="12"/>
      <c r="L109" s="12"/>
      <c r="M109" s="12"/>
      <c r="N109" s="12"/>
      <c r="O109" s="12"/>
      <c r="P109" s="12"/>
      <c r="Q109" s="12"/>
      <c r="R109" s="12"/>
      <c r="S109" s="12"/>
      <c r="T109" s="12"/>
      <c r="U109" s="12"/>
      <c r="V109" s="12"/>
      <c r="W109" s="12"/>
      <c r="X109" s="12"/>
      <c r="Y109" s="12"/>
      <c r="Z109" s="12"/>
    </row>
    <row r="110" customFormat="false" ht="15.75" hidden="false" customHeight="true" outlineLevel="0" collapsed="false">
      <c r="A110" s="12"/>
      <c r="B110" s="12"/>
      <c r="C110" s="12"/>
      <c r="D110" s="12"/>
      <c r="E110" s="12"/>
      <c r="F110" s="12"/>
      <c r="G110" s="12"/>
      <c r="H110" s="12"/>
      <c r="I110" s="12"/>
      <c r="J110" s="12"/>
      <c r="K110" s="12"/>
      <c r="L110" s="12"/>
      <c r="M110" s="12"/>
      <c r="N110" s="12"/>
      <c r="O110" s="12"/>
      <c r="P110" s="12"/>
      <c r="Q110" s="12"/>
      <c r="R110" s="12"/>
      <c r="S110" s="12"/>
      <c r="T110" s="12"/>
      <c r="U110" s="12"/>
      <c r="V110" s="12"/>
      <c r="W110" s="12"/>
      <c r="X110" s="12"/>
      <c r="Y110" s="12"/>
      <c r="Z110" s="12"/>
    </row>
    <row r="111" customFormat="false" ht="15.75" hidden="false" customHeight="true" outlineLevel="0" collapsed="false">
      <c r="A111" s="12"/>
      <c r="B111" s="12"/>
      <c r="C111" s="12"/>
      <c r="D111" s="12"/>
      <c r="E111" s="12"/>
      <c r="F111" s="12"/>
      <c r="G111" s="12"/>
      <c r="H111" s="12"/>
      <c r="I111" s="12"/>
      <c r="J111" s="12"/>
      <c r="K111" s="12"/>
      <c r="L111" s="12"/>
      <c r="M111" s="12"/>
      <c r="N111" s="12"/>
      <c r="O111" s="12"/>
      <c r="P111" s="12"/>
      <c r="Q111" s="12"/>
      <c r="R111" s="12"/>
      <c r="S111" s="12"/>
      <c r="T111" s="12"/>
      <c r="U111" s="12"/>
      <c r="V111" s="12"/>
      <c r="W111" s="12"/>
      <c r="X111" s="12"/>
      <c r="Y111" s="12"/>
      <c r="Z111" s="12"/>
    </row>
    <row r="112" customFormat="false" ht="15.75" hidden="false" customHeight="true" outlineLevel="0" collapsed="false">
      <c r="A112" s="12"/>
      <c r="B112" s="12"/>
      <c r="C112" s="12"/>
      <c r="D112" s="12"/>
      <c r="E112" s="12"/>
      <c r="F112" s="12"/>
      <c r="G112" s="12"/>
      <c r="H112" s="12"/>
      <c r="I112" s="12"/>
      <c r="J112" s="12"/>
      <c r="K112" s="12"/>
      <c r="L112" s="12"/>
      <c r="M112" s="12"/>
      <c r="N112" s="12"/>
      <c r="O112" s="12"/>
      <c r="P112" s="12"/>
      <c r="Q112" s="12"/>
      <c r="R112" s="12"/>
      <c r="S112" s="12"/>
      <c r="T112" s="12"/>
      <c r="U112" s="12"/>
      <c r="V112" s="12"/>
      <c r="W112" s="12"/>
      <c r="X112" s="12"/>
      <c r="Y112" s="12"/>
      <c r="Z112" s="12"/>
    </row>
    <row r="113" customFormat="false" ht="15.75" hidden="false" customHeight="true" outlineLevel="0" collapsed="false">
      <c r="A113" s="12"/>
      <c r="B113" s="12"/>
      <c r="C113" s="12"/>
      <c r="D113" s="12"/>
      <c r="E113" s="12"/>
      <c r="F113" s="12"/>
      <c r="G113" s="12"/>
      <c r="H113" s="12"/>
      <c r="I113" s="12"/>
      <c r="J113" s="12"/>
      <c r="K113" s="12"/>
      <c r="L113" s="12"/>
      <c r="M113" s="12"/>
      <c r="N113" s="12"/>
      <c r="O113" s="12"/>
      <c r="P113" s="12"/>
      <c r="Q113" s="12"/>
      <c r="R113" s="12"/>
      <c r="S113" s="12"/>
      <c r="T113" s="12"/>
      <c r="U113" s="12"/>
      <c r="V113" s="12"/>
      <c r="W113" s="12"/>
      <c r="X113" s="12"/>
      <c r="Y113" s="12"/>
      <c r="Z113" s="12"/>
    </row>
    <row r="114" customFormat="false" ht="15.75" hidden="false" customHeight="true" outlineLevel="0" collapsed="false">
      <c r="A114" s="12"/>
      <c r="B114" s="12"/>
      <c r="C114" s="12"/>
      <c r="D114" s="12"/>
      <c r="E114" s="12"/>
      <c r="F114" s="12"/>
      <c r="G114" s="12"/>
      <c r="H114" s="12"/>
      <c r="I114" s="12"/>
      <c r="J114" s="12"/>
      <c r="K114" s="12"/>
      <c r="L114" s="12"/>
      <c r="M114" s="12"/>
      <c r="N114" s="12"/>
      <c r="O114" s="12"/>
      <c r="P114" s="12"/>
      <c r="Q114" s="12"/>
      <c r="R114" s="12"/>
      <c r="S114" s="12"/>
      <c r="T114" s="12"/>
      <c r="U114" s="12"/>
      <c r="V114" s="12"/>
      <c r="W114" s="12"/>
      <c r="X114" s="12"/>
      <c r="Y114" s="12"/>
      <c r="Z114" s="12"/>
    </row>
    <row r="115" customFormat="false" ht="15.75" hidden="false" customHeight="true" outlineLevel="0" collapsed="false">
      <c r="A115" s="12"/>
      <c r="B115" s="12"/>
      <c r="C115" s="12"/>
      <c r="D115" s="12"/>
      <c r="E115" s="12"/>
      <c r="F115" s="12"/>
      <c r="G115" s="12"/>
      <c r="H115" s="12"/>
      <c r="I115" s="12"/>
      <c r="J115" s="12"/>
      <c r="K115" s="12"/>
      <c r="L115" s="12"/>
      <c r="M115" s="12"/>
      <c r="N115" s="12"/>
      <c r="O115" s="12"/>
      <c r="P115" s="12"/>
      <c r="Q115" s="12"/>
      <c r="R115" s="12"/>
      <c r="S115" s="12"/>
      <c r="T115" s="12"/>
      <c r="U115" s="12"/>
      <c r="V115" s="12"/>
      <c r="W115" s="12"/>
      <c r="X115" s="12"/>
      <c r="Y115" s="12"/>
      <c r="Z115" s="12"/>
    </row>
    <row r="116" customFormat="false" ht="15.75" hidden="false" customHeight="true" outlineLevel="0" collapsed="false">
      <c r="A116" s="12"/>
      <c r="B116" s="12"/>
      <c r="C116" s="12"/>
      <c r="D116" s="12"/>
      <c r="E116" s="12"/>
      <c r="F116" s="12"/>
      <c r="G116" s="12"/>
      <c r="H116" s="12"/>
      <c r="I116" s="12"/>
      <c r="J116" s="12"/>
      <c r="K116" s="12"/>
      <c r="L116" s="12"/>
      <c r="M116" s="12"/>
      <c r="N116" s="12"/>
      <c r="O116" s="12"/>
      <c r="P116" s="12"/>
      <c r="Q116" s="12"/>
      <c r="R116" s="12"/>
      <c r="S116" s="12"/>
      <c r="T116" s="12"/>
      <c r="U116" s="12"/>
      <c r="V116" s="12"/>
      <c r="W116" s="12"/>
      <c r="X116" s="12"/>
      <c r="Y116" s="12"/>
      <c r="Z116" s="12"/>
    </row>
    <row r="117" customFormat="false" ht="15.75" hidden="false" customHeight="true" outlineLevel="0" collapsed="false">
      <c r="A117" s="12"/>
      <c r="B117" s="12"/>
      <c r="C117" s="12"/>
      <c r="D117" s="12"/>
      <c r="E117" s="12"/>
      <c r="F117" s="12"/>
      <c r="G117" s="12"/>
      <c r="H117" s="12"/>
      <c r="I117" s="12"/>
      <c r="J117" s="12"/>
      <c r="K117" s="12"/>
      <c r="L117" s="12"/>
      <c r="M117" s="12"/>
      <c r="N117" s="12"/>
      <c r="O117" s="12"/>
      <c r="P117" s="12"/>
      <c r="Q117" s="12"/>
      <c r="R117" s="12"/>
      <c r="S117" s="12"/>
      <c r="T117" s="12"/>
      <c r="U117" s="12"/>
      <c r="V117" s="12"/>
      <c r="W117" s="12"/>
      <c r="X117" s="12"/>
      <c r="Y117" s="12"/>
      <c r="Z117" s="12"/>
    </row>
    <row r="118" customFormat="false" ht="15.75" hidden="false" customHeight="true" outlineLevel="0" collapsed="false">
      <c r="A118" s="12"/>
      <c r="B118" s="12"/>
      <c r="C118" s="12"/>
      <c r="D118" s="12"/>
      <c r="E118" s="12"/>
      <c r="F118" s="12"/>
      <c r="G118" s="12"/>
      <c r="H118" s="12"/>
      <c r="I118" s="12"/>
      <c r="J118" s="12"/>
      <c r="K118" s="12"/>
      <c r="L118" s="12"/>
      <c r="M118" s="12"/>
      <c r="N118" s="12"/>
      <c r="O118" s="12"/>
      <c r="P118" s="12"/>
      <c r="Q118" s="12"/>
      <c r="R118" s="12"/>
      <c r="S118" s="12"/>
      <c r="T118" s="12"/>
      <c r="U118" s="12"/>
      <c r="V118" s="12"/>
      <c r="W118" s="12"/>
      <c r="X118" s="12"/>
      <c r="Y118" s="12"/>
      <c r="Z118" s="12"/>
    </row>
    <row r="119" customFormat="false" ht="15.75" hidden="false" customHeight="true" outlineLevel="0" collapsed="false">
      <c r="A119" s="12"/>
      <c r="B119" s="12"/>
      <c r="C119" s="12"/>
      <c r="D119" s="12"/>
      <c r="E119" s="12"/>
      <c r="F119" s="12"/>
      <c r="G119" s="12"/>
      <c r="H119" s="12"/>
      <c r="I119" s="12"/>
      <c r="J119" s="12"/>
      <c r="K119" s="12"/>
      <c r="L119" s="12"/>
      <c r="M119" s="12"/>
      <c r="N119" s="12"/>
      <c r="O119" s="12"/>
      <c r="P119" s="12"/>
      <c r="Q119" s="12"/>
      <c r="R119" s="12"/>
      <c r="S119" s="12"/>
      <c r="T119" s="12"/>
      <c r="U119" s="12"/>
      <c r="V119" s="12"/>
      <c r="W119" s="12"/>
      <c r="X119" s="12"/>
      <c r="Y119" s="12"/>
      <c r="Z119" s="12"/>
    </row>
    <row r="120" customFormat="false" ht="15.75" hidden="false" customHeight="true" outlineLevel="0" collapsed="false">
      <c r="A120" s="12"/>
      <c r="B120" s="12"/>
      <c r="C120" s="12"/>
      <c r="D120" s="12"/>
      <c r="E120" s="12"/>
      <c r="F120" s="12"/>
      <c r="G120" s="12"/>
      <c r="H120" s="12"/>
      <c r="I120" s="12"/>
      <c r="J120" s="12"/>
      <c r="K120" s="12"/>
      <c r="L120" s="12"/>
      <c r="M120" s="12"/>
      <c r="N120" s="12"/>
      <c r="O120" s="12"/>
      <c r="P120" s="12"/>
      <c r="Q120" s="12"/>
      <c r="R120" s="12"/>
      <c r="S120" s="12"/>
      <c r="T120" s="12"/>
      <c r="U120" s="12"/>
      <c r="V120" s="12"/>
      <c r="W120" s="12"/>
      <c r="X120" s="12"/>
      <c r="Y120" s="12"/>
      <c r="Z120" s="12"/>
    </row>
    <row r="121" customFormat="false" ht="15.75" hidden="false" customHeight="true" outlineLevel="0" collapsed="false">
      <c r="A121" s="12"/>
      <c r="B121" s="12"/>
      <c r="C121" s="12"/>
      <c r="D121" s="12"/>
      <c r="E121" s="12"/>
      <c r="F121" s="12"/>
      <c r="G121" s="12"/>
      <c r="H121" s="12"/>
      <c r="I121" s="12"/>
      <c r="J121" s="12"/>
      <c r="K121" s="12"/>
      <c r="L121" s="12"/>
      <c r="M121" s="12"/>
      <c r="N121" s="12"/>
      <c r="O121" s="12"/>
      <c r="P121" s="12"/>
      <c r="Q121" s="12"/>
      <c r="R121" s="12"/>
      <c r="S121" s="12"/>
      <c r="T121" s="12"/>
      <c r="U121" s="12"/>
      <c r="V121" s="12"/>
      <c r="W121" s="12"/>
      <c r="X121" s="12"/>
      <c r="Y121" s="12"/>
      <c r="Z121" s="12"/>
    </row>
    <row r="122" customFormat="false" ht="15.75" hidden="false" customHeight="true" outlineLevel="0" collapsed="false">
      <c r="A122" s="12"/>
      <c r="B122" s="12"/>
      <c r="C122" s="12"/>
      <c r="D122" s="12"/>
      <c r="E122" s="12"/>
      <c r="F122" s="12"/>
      <c r="G122" s="12"/>
      <c r="H122" s="12"/>
      <c r="I122" s="12"/>
      <c r="J122" s="12"/>
      <c r="K122" s="12"/>
      <c r="L122" s="12"/>
      <c r="M122" s="12"/>
      <c r="N122" s="12"/>
      <c r="O122" s="12"/>
      <c r="P122" s="12"/>
      <c r="Q122" s="12"/>
      <c r="R122" s="12"/>
      <c r="S122" s="12"/>
      <c r="T122" s="12"/>
      <c r="U122" s="12"/>
      <c r="V122" s="12"/>
      <c r="W122" s="12"/>
      <c r="X122" s="12"/>
      <c r="Y122" s="12"/>
      <c r="Z122" s="12"/>
    </row>
    <row r="123" customFormat="false" ht="15.75" hidden="false" customHeight="true" outlineLevel="0" collapsed="false">
      <c r="A123" s="12"/>
      <c r="B123" s="12"/>
      <c r="C123" s="12"/>
      <c r="D123" s="12"/>
      <c r="E123" s="12"/>
      <c r="F123" s="12"/>
      <c r="G123" s="12"/>
      <c r="H123" s="12"/>
      <c r="I123" s="12"/>
      <c r="J123" s="12"/>
      <c r="K123" s="12"/>
      <c r="L123" s="12"/>
      <c r="M123" s="12"/>
      <c r="N123" s="12"/>
      <c r="O123" s="12"/>
      <c r="P123" s="12"/>
      <c r="Q123" s="12"/>
      <c r="R123" s="12"/>
      <c r="S123" s="12"/>
      <c r="T123" s="12"/>
      <c r="U123" s="12"/>
      <c r="V123" s="12"/>
      <c r="W123" s="12"/>
      <c r="X123" s="12"/>
      <c r="Y123" s="12"/>
      <c r="Z123" s="12"/>
    </row>
    <row r="124" customFormat="false" ht="15.75" hidden="false" customHeight="true" outlineLevel="0" collapsed="false">
      <c r="A124" s="12"/>
      <c r="B124" s="12"/>
      <c r="C124" s="12"/>
      <c r="D124" s="12"/>
      <c r="E124" s="12"/>
      <c r="F124" s="12"/>
      <c r="G124" s="12"/>
      <c r="H124" s="12"/>
      <c r="I124" s="12"/>
      <c r="J124" s="12"/>
      <c r="K124" s="12"/>
      <c r="L124" s="12"/>
      <c r="M124" s="12"/>
      <c r="N124" s="12"/>
      <c r="O124" s="12"/>
      <c r="P124" s="12"/>
      <c r="Q124" s="12"/>
      <c r="R124" s="12"/>
      <c r="S124" s="12"/>
      <c r="T124" s="12"/>
      <c r="U124" s="12"/>
      <c r="V124" s="12"/>
      <c r="W124" s="12"/>
      <c r="X124" s="12"/>
      <c r="Y124" s="12"/>
      <c r="Z124" s="12"/>
    </row>
    <row r="125" customFormat="false" ht="15.75" hidden="false" customHeight="true" outlineLevel="0" collapsed="false">
      <c r="A125" s="12"/>
      <c r="B125" s="12"/>
      <c r="C125" s="12"/>
      <c r="D125" s="12"/>
      <c r="E125" s="12"/>
      <c r="F125" s="12"/>
      <c r="G125" s="12"/>
      <c r="H125" s="12"/>
      <c r="I125" s="12"/>
      <c r="J125" s="12"/>
      <c r="K125" s="12"/>
      <c r="L125" s="12"/>
      <c r="M125" s="12"/>
      <c r="N125" s="12"/>
      <c r="O125" s="12"/>
      <c r="P125" s="12"/>
      <c r="Q125" s="12"/>
      <c r="R125" s="12"/>
      <c r="S125" s="12"/>
      <c r="T125" s="12"/>
      <c r="U125" s="12"/>
      <c r="V125" s="12"/>
      <c r="W125" s="12"/>
      <c r="X125" s="12"/>
      <c r="Y125" s="12"/>
      <c r="Z125" s="12"/>
    </row>
    <row r="126" customFormat="false" ht="15.75" hidden="false" customHeight="true" outlineLevel="0" collapsed="false">
      <c r="A126" s="12"/>
      <c r="B126" s="12"/>
      <c r="C126" s="12"/>
      <c r="D126" s="12"/>
      <c r="E126" s="12"/>
      <c r="F126" s="12"/>
      <c r="G126" s="12"/>
      <c r="H126" s="12"/>
      <c r="I126" s="12"/>
      <c r="J126" s="12"/>
      <c r="K126" s="12"/>
      <c r="L126" s="12"/>
      <c r="M126" s="12"/>
      <c r="N126" s="12"/>
      <c r="O126" s="12"/>
      <c r="P126" s="12"/>
      <c r="Q126" s="12"/>
      <c r="R126" s="12"/>
      <c r="S126" s="12"/>
      <c r="T126" s="12"/>
      <c r="U126" s="12"/>
      <c r="V126" s="12"/>
      <c r="W126" s="12"/>
      <c r="X126" s="12"/>
      <c r="Y126" s="12"/>
      <c r="Z126" s="12"/>
    </row>
    <row r="127" customFormat="false" ht="15.75" hidden="false" customHeight="true" outlineLevel="0" collapsed="false">
      <c r="A127" s="12"/>
      <c r="B127" s="12"/>
      <c r="C127" s="12"/>
      <c r="D127" s="12"/>
      <c r="E127" s="12"/>
      <c r="F127" s="12"/>
      <c r="G127" s="12"/>
      <c r="H127" s="12"/>
      <c r="I127" s="12"/>
      <c r="J127" s="12"/>
      <c r="K127" s="12"/>
      <c r="L127" s="12"/>
      <c r="M127" s="12"/>
      <c r="N127" s="12"/>
      <c r="O127" s="12"/>
      <c r="P127" s="12"/>
      <c r="Q127" s="12"/>
      <c r="R127" s="12"/>
      <c r="S127" s="12"/>
      <c r="T127" s="12"/>
      <c r="U127" s="12"/>
      <c r="V127" s="12"/>
      <c r="W127" s="12"/>
      <c r="X127" s="12"/>
      <c r="Y127" s="12"/>
      <c r="Z127" s="12"/>
    </row>
    <row r="128" customFormat="false" ht="15.75" hidden="false" customHeight="true" outlineLevel="0" collapsed="false">
      <c r="A128" s="12"/>
      <c r="B128" s="12"/>
      <c r="C128" s="12"/>
      <c r="D128" s="12"/>
      <c r="E128" s="12"/>
      <c r="F128" s="12"/>
      <c r="G128" s="12"/>
      <c r="H128" s="12"/>
      <c r="I128" s="12"/>
      <c r="J128" s="12"/>
      <c r="K128" s="12"/>
      <c r="L128" s="12"/>
      <c r="M128" s="12"/>
      <c r="N128" s="12"/>
      <c r="O128" s="12"/>
      <c r="P128" s="12"/>
      <c r="Q128" s="12"/>
      <c r="R128" s="12"/>
      <c r="S128" s="12"/>
      <c r="T128" s="12"/>
      <c r="U128" s="12"/>
      <c r="V128" s="12"/>
      <c r="W128" s="12"/>
      <c r="X128" s="12"/>
      <c r="Y128" s="12"/>
      <c r="Z128" s="12"/>
    </row>
    <row r="129" customFormat="false" ht="15.75" hidden="false" customHeight="true" outlineLevel="0" collapsed="false">
      <c r="A129" s="12"/>
      <c r="B129" s="12"/>
      <c r="C129" s="12"/>
      <c r="D129" s="12"/>
      <c r="E129" s="12"/>
      <c r="F129" s="12"/>
      <c r="G129" s="12"/>
      <c r="H129" s="12"/>
      <c r="I129" s="12"/>
      <c r="J129" s="12"/>
      <c r="K129" s="12"/>
      <c r="L129" s="12"/>
      <c r="M129" s="12"/>
      <c r="N129" s="12"/>
      <c r="O129" s="12"/>
      <c r="P129" s="12"/>
      <c r="Q129" s="12"/>
      <c r="R129" s="12"/>
      <c r="S129" s="12"/>
      <c r="T129" s="12"/>
      <c r="U129" s="12"/>
      <c r="V129" s="12"/>
      <c r="W129" s="12"/>
      <c r="X129" s="12"/>
      <c r="Y129" s="12"/>
      <c r="Z129" s="12"/>
    </row>
    <row r="130" customFormat="false" ht="15.75" hidden="false" customHeight="true" outlineLevel="0" collapsed="false">
      <c r="A130" s="12"/>
      <c r="B130" s="12"/>
      <c r="C130" s="12"/>
      <c r="D130" s="12"/>
      <c r="E130" s="12"/>
      <c r="F130" s="12"/>
      <c r="G130" s="12"/>
      <c r="H130" s="12"/>
      <c r="I130" s="12"/>
      <c r="J130" s="12"/>
      <c r="K130" s="12"/>
      <c r="L130" s="12"/>
      <c r="M130" s="12"/>
      <c r="N130" s="12"/>
      <c r="O130" s="12"/>
      <c r="P130" s="12"/>
      <c r="Q130" s="12"/>
      <c r="R130" s="12"/>
      <c r="S130" s="12"/>
      <c r="T130" s="12"/>
      <c r="U130" s="12"/>
      <c r="V130" s="12"/>
      <c r="W130" s="12"/>
      <c r="X130" s="12"/>
      <c r="Y130" s="12"/>
      <c r="Z130" s="12"/>
    </row>
    <row r="131" customFormat="false" ht="15.75" hidden="false" customHeight="true" outlineLevel="0" collapsed="false">
      <c r="A131" s="12"/>
      <c r="B131" s="12"/>
      <c r="C131" s="12"/>
      <c r="D131" s="12"/>
      <c r="E131" s="12"/>
      <c r="F131" s="12"/>
      <c r="G131" s="12"/>
      <c r="H131" s="12"/>
      <c r="I131" s="12"/>
      <c r="J131" s="12"/>
      <c r="K131" s="12"/>
      <c r="L131" s="12"/>
      <c r="M131" s="12"/>
      <c r="N131" s="12"/>
      <c r="O131" s="12"/>
      <c r="P131" s="12"/>
      <c r="Q131" s="12"/>
      <c r="R131" s="12"/>
      <c r="S131" s="12"/>
      <c r="T131" s="12"/>
      <c r="U131" s="12"/>
      <c r="V131" s="12"/>
      <c r="W131" s="12"/>
      <c r="X131" s="12"/>
      <c r="Y131" s="12"/>
      <c r="Z131" s="12"/>
    </row>
    <row r="132" customFormat="false" ht="15.75" hidden="false" customHeight="true" outlineLevel="0" collapsed="false">
      <c r="A132" s="12"/>
      <c r="B132" s="12"/>
      <c r="C132" s="12"/>
      <c r="D132" s="12"/>
      <c r="E132" s="12"/>
      <c r="F132" s="12"/>
      <c r="G132" s="12"/>
      <c r="H132" s="12"/>
      <c r="I132" s="12"/>
      <c r="J132" s="12"/>
      <c r="K132" s="12"/>
      <c r="L132" s="12"/>
      <c r="M132" s="12"/>
      <c r="N132" s="12"/>
      <c r="O132" s="12"/>
      <c r="P132" s="12"/>
      <c r="Q132" s="12"/>
      <c r="R132" s="12"/>
      <c r="S132" s="12"/>
      <c r="T132" s="12"/>
      <c r="U132" s="12"/>
      <c r="V132" s="12"/>
      <c r="W132" s="12"/>
      <c r="X132" s="12"/>
      <c r="Y132" s="12"/>
      <c r="Z132" s="12"/>
    </row>
    <row r="133" customFormat="false" ht="15.75" hidden="false" customHeight="true" outlineLevel="0" collapsed="false">
      <c r="A133" s="12"/>
      <c r="B133" s="12"/>
      <c r="C133" s="12"/>
      <c r="D133" s="12"/>
      <c r="E133" s="12"/>
      <c r="F133" s="12"/>
      <c r="G133" s="12"/>
      <c r="H133" s="12"/>
      <c r="I133" s="12"/>
      <c r="J133" s="12"/>
      <c r="K133" s="12"/>
      <c r="L133" s="12"/>
      <c r="M133" s="12"/>
      <c r="N133" s="12"/>
      <c r="O133" s="12"/>
      <c r="P133" s="12"/>
      <c r="Q133" s="12"/>
      <c r="R133" s="12"/>
      <c r="S133" s="12"/>
      <c r="T133" s="12"/>
      <c r="U133" s="12"/>
      <c r="V133" s="12"/>
      <c r="W133" s="12"/>
      <c r="X133" s="12"/>
      <c r="Y133" s="12"/>
      <c r="Z133" s="12"/>
    </row>
    <row r="134" customFormat="false" ht="15.75" hidden="false" customHeight="true" outlineLevel="0" collapsed="false">
      <c r="A134" s="12"/>
      <c r="B134" s="12"/>
      <c r="C134" s="12"/>
      <c r="D134" s="12"/>
      <c r="E134" s="12"/>
      <c r="F134" s="12"/>
      <c r="G134" s="12"/>
      <c r="H134" s="12"/>
      <c r="I134" s="12"/>
      <c r="J134" s="12"/>
      <c r="K134" s="12"/>
      <c r="L134" s="12"/>
      <c r="M134" s="12"/>
      <c r="N134" s="12"/>
      <c r="O134" s="12"/>
      <c r="P134" s="12"/>
      <c r="Q134" s="12"/>
      <c r="R134" s="12"/>
      <c r="S134" s="12"/>
      <c r="T134" s="12"/>
      <c r="U134" s="12"/>
      <c r="V134" s="12"/>
      <c r="W134" s="12"/>
      <c r="X134" s="12"/>
      <c r="Y134" s="12"/>
      <c r="Z134" s="12"/>
    </row>
    <row r="135" customFormat="false" ht="15.75" hidden="false" customHeight="true" outlineLevel="0" collapsed="false">
      <c r="A135" s="12"/>
      <c r="B135" s="12"/>
      <c r="C135" s="12"/>
      <c r="D135" s="12"/>
      <c r="E135" s="12"/>
      <c r="F135" s="12"/>
      <c r="G135" s="12"/>
      <c r="H135" s="12"/>
      <c r="I135" s="12"/>
      <c r="J135" s="12"/>
      <c r="K135" s="12"/>
      <c r="L135" s="12"/>
      <c r="M135" s="12"/>
      <c r="N135" s="12"/>
      <c r="O135" s="12"/>
      <c r="P135" s="12"/>
      <c r="Q135" s="12"/>
      <c r="R135" s="12"/>
      <c r="S135" s="12"/>
      <c r="T135" s="12"/>
      <c r="U135" s="12"/>
      <c r="V135" s="12"/>
      <c r="W135" s="12"/>
      <c r="X135" s="12"/>
      <c r="Y135" s="12"/>
      <c r="Z135" s="12"/>
    </row>
    <row r="136" customFormat="false" ht="15.75" hidden="false" customHeight="true" outlineLevel="0" collapsed="false">
      <c r="A136" s="12"/>
      <c r="B136" s="12"/>
      <c r="C136" s="12"/>
      <c r="D136" s="12"/>
      <c r="E136" s="12"/>
      <c r="F136" s="12"/>
      <c r="G136" s="12"/>
      <c r="H136" s="12"/>
      <c r="I136" s="12"/>
      <c r="J136" s="12"/>
      <c r="K136" s="12"/>
      <c r="L136" s="12"/>
      <c r="M136" s="12"/>
      <c r="N136" s="12"/>
      <c r="O136" s="12"/>
      <c r="P136" s="12"/>
      <c r="Q136" s="12"/>
      <c r="R136" s="12"/>
      <c r="S136" s="12"/>
      <c r="T136" s="12"/>
      <c r="U136" s="12"/>
      <c r="V136" s="12"/>
      <c r="W136" s="12"/>
      <c r="X136" s="12"/>
      <c r="Y136" s="12"/>
      <c r="Z136" s="12"/>
    </row>
    <row r="137" customFormat="false" ht="15.75" hidden="false" customHeight="true" outlineLevel="0" collapsed="false">
      <c r="A137" s="12"/>
      <c r="B137" s="12"/>
      <c r="C137" s="12"/>
      <c r="D137" s="12"/>
      <c r="E137" s="12"/>
      <c r="F137" s="12"/>
      <c r="G137" s="12"/>
      <c r="H137" s="12"/>
      <c r="I137" s="12"/>
      <c r="J137" s="12"/>
      <c r="K137" s="12"/>
      <c r="L137" s="12"/>
      <c r="M137" s="12"/>
      <c r="N137" s="12"/>
      <c r="O137" s="12"/>
      <c r="P137" s="12"/>
      <c r="Q137" s="12"/>
      <c r="R137" s="12"/>
      <c r="S137" s="12"/>
      <c r="T137" s="12"/>
      <c r="U137" s="12"/>
      <c r="V137" s="12"/>
      <c r="W137" s="12"/>
      <c r="X137" s="12"/>
      <c r="Y137" s="12"/>
      <c r="Z137" s="12"/>
    </row>
    <row r="138" customFormat="false" ht="15.75" hidden="false" customHeight="true" outlineLevel="0" collapsed="false">
      <c r="A138" s="12"/>
      <c r="B138" s="12"/>
      <c r="C138" s="12"/>
      <c r="D138" s="12"/>
      <c r="E138" s="12"/>
      <c r="F138" s="12"/>
      <c r="G138" s="12"/>
      <c r="H138" s="12"/>
      <c r="I138" s="12"/>
      <c r="J138" s="12"/>
      <c r="K138" s="12"/>
      <c r="L138" s="12"/>
      <c r="M138" s="12"/>
      <c r="N138" s="12"/>
      <c r="O138" s="12"/>
      <c r="P138" s="12"/>
      <c r="Q138" s="12"/>
      <c r="R138" s="12"/>
      <c r="S138" s="12"/>
      <c r="T138" s="12"/>
      <c r="U138" s="12"/>
      <c r="V138" s="12"/>
      <c r="W138" s="12"/>
      <c r="X138" s="12"/>
      <c r="Y138" s="12"/>
      <c r="Z138" s="12"/>
    </row>
    <row r="139" customFormat="false" ht="15.75" hidden="false" customHeight="true" outlineLevel="0" collapsed="false">
      <c r="A139" s="12"/>
      <c r="B139" s="12"/>
      <c r="C139" s="12"/>
      <c r="D139" s="12"/>
      <c r="E139" s="12"/>
      <c r="F139" s="12"/>
      <c r="G139" s="12"/>
      <c r="H139" s="12"/>
      <c r="I139" s="12"/>
      <c r="J139" s="12"/>
      <c r="K139" s="12"/>
      <c r="L139" s="12"/>
      <c r="M139" s="12"/>
      <c r="N139" s="12"/>
      <c r="O139" s="12"/>
      <c r="P139" s="12"/>
      <c r="Q139" s="12"/>
      <c r="R139" s="12"/>
      <c r="S139" s="12"/>
      <c r="T139" s="12"/>
      <c r="U139" s="12"/>
      <c r="V139" s="12"/>
      <c r="W139" s="12"/>
      <c r="X139" s="12"/>
      <c r="Y139" s="12"/>
      <c r="Z139" s="12"/>
    </row>
    <row r="140" customFormat="false" ht="15.75" hidden="false" customHeight="true" outlineLevel="0" collapsed="false">
      <c r="A140" s="12"/>
      <c r="B140" s="12"/>
      <c r="C140" s="12"/>
      <c r="D140" s="12"/>
      <c r="E140" s="12"/>
      <c r="F140" s="12"/>
      <c r="G140" s="12"/>
      <c r="H140" s="12"/>
      <c r="I140" s="12"/>
      <c r="J140" s="12"/>
      <c r="K140" s="12"/>
      <c r="L140" s="12"/>
      <c r="M140" s="12"/>
      <c r="N140" s="12"/>
      <c r="O140" s="12"/>
      <c r="P140" s="12"/>
      <c r="Q140" s="12"/>
      <c r="R140" s="12"/>
      <c r="S140" s="12"/>
      <c r="T140" s="12"/>
      <c r="U140" s="12"/>
      <c r="V140" s="12"/>
      <c r="W140" s="12"/>
      <c r="X140" s="12"/>
      <c r="Y140" s="12"/>
      <c r="Z140" s="12"/>
    </row>
    <row r="141" customFormat="false" ht="15.75" hidden="false" customHeight="true" outlineLevel="0" collapsed="false">
      <c r="A141" s="12"/>
      <c r="B141" s="12"/>
      <c r="C141" s="12"/>
      <c r="D141" s="12"/>
      <c r="E141" s="12"/>
      <c r="F141" s="12"/>
      <c r="G141" s="12"/>
      <c r="H141" s="12"/>
      <c r="I141" s="12"/>
      <c r="J141" s="12"/>
      <c r="K141" s="12"/>
      <c r="L141" s="12"/>
      <c r="M141" s="12"/>
      <c r="N141" s="12"/>
      <c r="O141" s="12"/>
      <c r="P141" s="12"/>
      <c r="Q141" s="12"/>
      <c r="R141" s="12"/>
      <c r="S141" s="12"/>
      <c r="T141" s="12"/>
      <c r="U141" s="12"/>
      <c r="V141" s="12"/>
      <c r="W141" s="12"/>
      <c r="X141" s="12"/>
      <c r="Y141" s="12"/>
      <c r="Z141" s="12"/>
    </row>
    <row r="142" customFormat="false" ht="15.75" hidden="false" customHeight="true" outlineLevel="0" collapsed="false">
      <c r="A142" s="12"/>
      <c r="B142" s="12"/>
      <c r="C142" s="12"/>
      <c r="D142" s="12"/>
      <c r="E142" s="12"/>
      <c r="F142" s="12"/>
      <c r="G142" s="12"/>
      <c r="H142" s="12"/>
      <c r="I142" s="12"/>
      <c r="J142" s="12"/>
      <c r="K142" s="12"/>
      <c r="L142" s="12"/>
      <c r="M142" s="12"/>
      <c r="N142" s="12"/>
      <c r="O142" s="12"/>
      <c r="P142" s="12"/>
      <c r="Q142" s="12"/>
      <c r="R142" s="12"/>
      <c r="S142" s="12"/>
      <c r="T142" s="12"/>
      <c r="U142" s="12"/>
      <c r="V142" s="12"/>
      <c r="W142" s="12"/>
      <c r="X142" s="12"/>
      <c r="Y142" s="12"/>
      <c r="Z142" s="12"/>
    </row>
    <row r="143" customFormat="false" ht="15.75" hidden="false" customHeight="true" outlineLevel="0" collapsed="false">
      <c r="A143" s="12"/>
      <c r="B143" s="12"/>
      <c r="C143" s="12"/>
      <c r="D143" s="12"/>
      <c r="E143" s="12"/>
      <c r="F143" s="12"/>
      <c r="G143" s="12"/>
      <c r="H143" s="12"/>
      <c r="I143" s="12"/>
      <c r="J143" s="12"/>
      <c r="K143" s="12"/>
      <c r="L143" s="12"/>
      <c r="M143" s="12"/>
      <c r="N143" s="12"/>
      <c r="O143" s="12"/>
      <c r="P143" s="12"/>
      <c r="Q143" s="12"/>
      <c r="R143" s="12"/>
      <c r="S143" s="12"/>
      <c r="T143" s="12"/>
      <c r="U143" s="12"/>
      <c r="V143" s="12"/>
      <c r="W143" s="12"/>
      <c r="X143" s="12"/>
      <c r="Y143" s="12"/>
      <c r="Z143" s="12"/>
    </row>
    <row r="144" customFormat="false" ht="15.75" hidden="false" customHeight="true" outlineLevel="0" collapsed="false">
      <c r="A144" s="12"/>
      <c r="B144" s="12"/>
      <c r="C144" s="12"/>
      <c r="D144" s="12"/>
      <c r="E144" s="12"/>
      <c r="F144" s="12"/>
      <c r="G144" s="12"/>
      <c r="H144" s="12"/>
      <c r="I144" s="12"/>
      <c r="J144" s="12"/>
      <c r="K144" s="12"/>
      <c r="L144" s="12"/>
      <c r="M144" s="12"/>
      <c r="N144" s="12"/>
      <c r="O144" s="12"/>
      <c r="P144" s="12"/>
      <c r="Q144" s="12"/>
      <c r="R144" s="12"/>
      <c r="S144" s="12"/>
      <c r="T144" s="12"/>
      <c r="U144" s="12"/>
      <c r="V144" s="12"/>
      <c r="W144" s="12"/>
      <c r="X144" s="12"/>
      <c r="Y144" s="12"/>
      <c r="Z144" s="12"/>
    </row>
    <row r="145" customFormat="false" ht="15.75" hidden="false" customHeight="true" outlineLevel="0" collapsed="false">
      <c r="A145" s="12"/>
      <c r="B145" s="12"/>
      <c r="C145" s="12"/>
      <c r="D145" s="12"/>
      <c r="E145" s="12"/>
      <c r="F145" s="12"/>
      <c r="G145" s="12"/>
      <c r="H145" s="12"/>
      <c r="I145" s="12"/>
      <c r="J145" s="12"/>
      <c r="K145" s="12"/>
      <c r="L145" s="12"/>
      <c r="M145" s="12"/>
      <c r="N145" s="12"/>
      <c r="O145" s="12"/>
      <c r="P145" s="12"/>
      <c r="Q145" s="12"/>
      <c r="R145" s="12"/>
      <c r="S145" s="12"/>
      <c r="T145" s="12"/>
      <c r="U145" s="12"/>
      <c r="V145" s="12"/>
      <c r="W145" s="12"/>
      <c r="X145" s="12"/>
      <c r="Y145" s="12"/>
      <c r="Z145" s="12"/>
    </row>
    <row r="146" customFormat="false" ht="15.75" hidden="false" customHeight="true" outlineLevel="0" collapsed="false">
      <c r="A146" s="12"/>
      <c r="B146" s="12"/>
      <c r="C146" s="12"/>
      <c r="D146" s="12"/>
      <c r="E146" s="12"/>
      <c r="F146" s="12"/>
      <c r="G146" s="12"/>
      <c r="H146" s="12"/>
      <c r="I146" s="12"/>
      <c r="J146" s="12"/>
      <c r="K146" s="12"/>
      <c r="L146" s="12"/>
      <c r="M146" s="12"/>
      <c r="N146" s="12"/>
      <c r="O146" s="12"/>
      <c r="P146" s="12"/>
      <c r="Q146" s="12"/>
      <c r="R146" s="12"/>
      <c r="S146" s="12"/>
      <c r="T146" s="12"/>
      <c r="U146" s="12"/>
      <c r="V146" s="12"/>
      <c r="W146" s="12"/>
      <c r="X146" s="12"/>
      <c r="Y146" s="12"/>
      <c r="Z146" s="12"/>
    </row>
    <row r="147" customFormat="false" ht="15.75" hidden="false" customHeight="true" outlineLevel="0" collapsed="false">
      <c r="A147" s="12"/>
      <c r="B147" s="12"/>
      <c r="C147" s="12"/>
      <c r="D147" s="12"/>
      <c r="E147" s="12"/>
      <c r="F147" s="12"/>
      <c r="G147" s="12"/>
      <c r="H147" s="12"/>
      <c r="I147" s="12"/>
      <c r="J147" s="12"/>
      <c r="K147" s="12"/>
      <c r="L147" s="12"/>
      <c r="M147" s="12"/>
      <c r="N147" s="12"/>
      <c r="O147" s="12"/>
      <c r="P147" s="12"/>
      <c r="Q147" s="12"/>
      <c r="R147" s="12"/>
      <c r="S147" s="12"/>
      <c r="T147" s="12"/>
      <c r="U147" s="12"/>
      <c r="V147" s="12"/>
      <c r="W147" s="12"/>
      <c r="X147" s="12"/>
      <c r="Y147" s="12"/>
      <c r="Z147" s="12"/>
    </row>
    <row r="148" customFormat="false" ht="15.75" hidden="false" customHeight="true" outlineLevel="0" collapsed="false">
      <c r="A148" s="12"/>
      <c r="B148" s="12"/>
      <c r="C148" s="12"/>
      <c r="D148" s="12"/>
      <c r="E148" s="12"/>
      <c r="F148" s="12"/>
      <c r="G148" s="12"/>
      <c r="H148" s="12"/>
      <c r="I148" s="12"/>
      <c r="J148" s="12"/>
      <c r="K148" s="12"/>
      <c r="L148" s="12"/>
      <c r="M148" s="12"/>
      <c r="N148" s="12"/>
      <c r="O148" s="12"/>
      <c r="P148" s="12"/>
      <c r="Q148" s="12"/>
      <c r="R148" s="12"/>
      <c r="S148" s="12"/>
      <c r="T148" s="12"/>
      <c r="U148" s="12"/>
      <c r="V148" s="12"/>
      <c r="W148" s="12"/>
      <c r="X148" s="12"/>
      <c r="Y148" s="12"/>
      <c r="Z148" s="12"/>
    </row>
    <row r="149" customFormat="false" ht="15.75" hidden="false" customHeight="true" outlineLevel="0" collapsed="false">
      <c r="A149" s="12"/>
      <c r="B149" s="12"/>
      <c r="C149" s="12"/>
      <c r="D149" s="12"/>
      <c r="E149" s="12"/>
      <c r="F149" s="12"/>
      <c r="G149" s="12"/>
      <c r="H149" s="12"/>
      <c r="I149" s="12"/>
      <c r="J149" s="12"/>
      <c r="K149" s="12"/>
      <c r="L149" s="12"/>
      <c r="M149" s="12"/>
      <c r="N149" s="12"/>
      <c r="O149" s="12"/>
      <c r="P149" s="12"/>
      <c r="Q149" s="12"/>
      <c r="R149" s="12"/>
      <c r="S149" s="12"/>
      <c r="T149" s="12"/>
      <c r="U149" s="12"/>
      <c r="V149" s="12"/>
      <c r="W149" s="12"/>
      <c r="X149" s="12"/>
      <c r="Y149" s="12"/>
      <c r="Z149" s="12"/>
    </row>
    <row r="150" customFormat="false" ht="15.75" hidden="false" customHeight="true" outlineLevel="0" collapsed="false">
      <c r="A150" s="12"/>
      <c r="B150" s="12"/>
      <c r="C150" s="12"/>
      <c r="D150" s="12"/>
      <c r="E150" s="12"/>
      <c r="F150" s="12"/>
      <c r="G150" s="12"/>
      <c r="H150" s="12"/>
      <c r="I150" s="12"/>
      <c r="J150" s="12"/>
      <c r="K150" s="12"/>
      <c r="L150" s="12"/>
      <c r="M150" s="12"/>
      <c r="N150" s="12"/>
      <c r="O150" s="12"/>
      <c r="P150" s="12"/>
      <c r="Q150" s="12"/>
      <c r="R150" s="12"/>
      <c r="S150" s="12"/>
      <c r="T150" s="12"/>
      <c r="U150" s="12"/>
      <c r="V150" s="12"/>
      <c r="W150" s="12"/>
      <c r="X150" s="12"/>
      <c r="Y150" s="12"/>
      <c r="Z150" s="12"/>
    </row>
    <row r="151" customFormat="false" ht="15.75" hidden="false" customHeight="true" outlineLevel="0" collapsed="false">
      <c r="A151" s="12"/>
      <c r="B151" s="12"/>
      <c r="C151" s="12"/>
      <c r="D151" s="12"/>
      <c r="E151" s="12"/>
      <c r="F151" s="12"/>
      <c r="G151" s="12"/>
      <c r="H151" s="12"/>
      <c r="I151" s="12"/>
      <c r="J151" s="12"/>
      <c r="K151" s="12"/>
      <c r="L151" s="12"/>
      <c r="M151" s="12"/>
      <c r="N151" s="12"/>
      <c r="O151" s="12"/>
      <c r="P151" s="12"/>
      <c r="Q151" s="12"/>
      <c r="R151" s="12"/>
      <c r="S151" s="12"/>
      <c r="T151" s="12"/>
      <c r="U151" s="12"/>
      <c r="V151" s="12"/>
      <c r="W151" s="12"/>
      <c r="X151" s="12"/>
      <c r="Y151" s="12"/>
      <c r="Z151" s="12"/>
    </row>
    <row r="152" customFormat="false" ht="15.75" hidden="false" customHeight="true" outlineLevel="0" collapsed="false">
      <c r="A152" s="12"/>
      <c r="B152" s="12"/>
      <c r="C152" s="12"/>
      <c r="D152" s="12"/>
      <c r="E152" s="12"/>
      <c r="F152" s="12"/>
      <c r="G152" s="12"/>
      <c r="H152" s="12"/>
      <c r="I152" s="12"/>
      <c r="J152" s="12"/>
      <c r="K152" s="12"/>
      <c r="L152" s="12"/>
      <c r="M152" s="12"/>
      <c r="N152" s="12"/>
      <c r="O152" s="12"/>
      <c r="P152" s="12"/>
      <c r="Q152" s="12"/>
      <c r="R152" s="12"/>
      <c r="S152" s="12"/>
      <c r="T152" s="12"/>
      <c r="U152" s="12"/>
      <c r="V152" s="12"/>
      <c r="W152" s="12"/>
      <c r="X152" s="12"/>
      <c r="Y152" s="12"/>
      <c r="Z152" s="12"/>
    </row>
    <row r="153" customFormat="false" ht="15.75" hidden="false" customHeight="true" outlineLevel="0" collapsed="false">
      <c r="A153" s="12"/>
      <c r="B153" s="12"/>
      <c r="C153" s="12"/>
      <c r="D153" s="12"/>
      <c r="E153" s="12"/>
      <c r="F153" s="12"/>
      <c r="G153" s="12"/>
      <c r="H153" s="12"/>
      <c r="I153" s="12"/>
      <c r="J153" s="12"/>
      <c r="K153" s="12"/>
      <c r="L153" s="12"/>
      <c r="M153" s="12"/>
      <c r="N153" s="12"/>
      <c r="O153" s="12"/>
      <c r="P153" s="12"/>
      <c r="Q153" s="12"/>
      <c r="R153" s="12"/>
      <c r="S153" s="12"/>
      <c r="T153" s="12"/>
      <c r="U153" s="12"/>
      <c r="V153" s="12"/>
      <c r="W153" s="12"/>
      <c r="X153" s="12"/>
      <c r="Y153" s="12"/>
      <c r="Z153" s="12"/>
    </row>
    <row r="154" customFormat="false" ht="15.75" hidden="false" customHeight="true" outlineLevel="0" collapsed="false">
      <c r="A154" s="12"/>
      <c r="B154" s="12"/>
      <c r="C154" s="12"/>
      <c r="D154" s="12"/>
      <c r="E154" s="12"/>
      <c r="F154" s="12"/>
      <c r="G154" s="12"/>
      <c r="H154" s="12"/>
      <c r="I154" s="12"/>
      <c r="J154" s="12"/>
      <c r="K154" s="12"/>
      <c r="L154" s="12"/>
      <c r="M154" s="12"/>
      <c r="N154" s="12"/>
      <c r="O154" s="12"/>
      <c r="P154" s="12"/>
      <c r="Q154" s="12"/>
      <c r="R154" s="12"/>
      <c r="S154" s="12"/>
      <c r="T154" s="12"/>
      <c r="U154" s="12"/>
      <c r="V154" s="12"/>
      <c r="W154" s="12"/>
      <c r="X154" s="12"/>
      <c r="Y154" s="12"/>
      <c r="Z154" s="12"/>
    </row>
    <row r="155" customFormat="false" ht="15.75" hidden="false" customHeight="true" outlineLevel="0" collapsed="false">
      <c r="A155" s="12"/>
      <c r="B155" s="12"/>
      <c r="C155" s="12"/>
      <c r="D155" s="12"/>
      <c r="E155" s="12"/>
      <c r="F155" s="12"/>
      <c r="G155" s="12"/>
      <c r="H155" s="12"/>
      <c r="I155" s="12"/>
      <c r="J155" s="12"/>
      <c r="K155" s="12"/>
      <c r="L155" s="12"/>
      <c r="M155" s="12"/>
      <c r="N155" s="12"/>
      <c r="O155" s="12"/>
      <c r="P155" s="12"/>
      <c r="Q155" s="12"/>
      <c r="R155" s="12"/>
      <c r="S155" s="12"/>
      <c r="T155" s="12"/>
      <c r="U155" s="12"/>
      <c r="V155" s="12"/>
      <c r="W155" s="12"/>
      <c r="X155" s="12"/>
      <c r="Y155" s="12"/>
      <c r="Z155" s="12"/>
    </row>
    <row r="156" customFormat="false" ht="15.75" hidden="false" customHeight="true" outlineLevel="0" collapsed="false">
      <c r="A156" s="12"/>
      <c r="B156" s="12"/>
      <c r="C156" s="12"/>
      <c r="D156" s="12"/>
      <c r="E156" s="12"/>
      <c r="F156" s="12"/>
      <c r="G156" s="12"/>
      <c r="H156" s="12"/>
      <c r="I156" s="12"/>
      <c r="J156" s="12"/>
      <c r="K156" s="12"/>
      <c r="L156" s="12"/>
      <c r="M156" s="12"/>
      <c r="N156" s="12"/>
      <c r="O156" s="12"/>
      <c r="P156" s="12"/>
      <c r="Q156" s="12"/>
      <c r="R156" s="12"/>
      <c r="S156" s="12"/>
      <c r="T156" s="12"/>
      <c r="U156" s="12"/>
      <c r="V156" s="12"/>
      <c r="W156" s="12"/>
      <c r="X156" s="12"/>
      <c r="Y156" s="12"/>
      <c r="Z156" s="12"/>
    </row>
    <row r="157" customFormat="false" ht="15.75" hidden="false" customHeight="true" outlineLevel="0" collapsed="false">
      <c r="A157" s="12"/>
      <c r="B157" s="12"/>
      <c r="C157" s="12"/>
      <c r="D157" s="12"/>
      <c r="E157" s="12"/>
      <c r="F157" s="12"/>
      <c r="G157" s="12"/>
      <c r="H157" s="12"/>
      <c r="I157" s="12"/>
      <c r="J157" s="12"/>
      <c r="K157" s="12"/>
      <c r="L157" s="12"/>
      <c r="M157" s="12"/>
      <c r="N157" s="12"/>
      <c r="O157" s="12"/>
      <c r="P157" s="12"/>
      <c r="Q157" s="12"/>
      <c r="R157" s="12"/>
      <c r="S157" s="12"/>
      <c r="T157" s="12"/>
      <c r="U157" s="12"/>
      <c r="V157" s="12"/>
      <c r="W157" s="12"/>
      <c r="X157" s="12"/>
      <c r="Y157" s="12"/>
      <c r="Z157" s="12"/>
    </row>
    <row r="158" customFormat="false" ht="15.75" hidden="false" customHeight="true" outlineLevel="0" collapsed="false">
      <c r="A158" s="12"/>
      <c r="B158" s="12"/>
      <c r="C158" s="12"/>
      <c r="D158" s="12"/>
      <c r="E158" s="12"/>
      <c r="F158" s="12"/>
      <c r="G158" s="12"/>
      <c r="H158" s="12"/>
      <c r="I158" s="12"/>
      <c r="J158" s="12"/>
      <c r="K158" s="12"/>
      <c r="L158" s="12"/>
      <c r="M158" s="12"/>
      <c r="N158" s="12"/>
      <c r="O158" s="12"/>
      <c r="P158" s="12"/>
      <c r="Q158" s="12"/>
      <c r="R158" s="12"/>
      <c r="S158" s="12"/>
      <c r="T158" s="12"/>
      <c r="U158" s="12"/>
      <c r="V158" s="12"/>
      <c r="W158" s="12"/>
      <c r="X158" s="12"/>
      <c r="Y158" s="12"/>
      <c r="Z158" s="12"/>
    </row>
    <row r="159" customFormat="false" ht="15.75" hidden="false" customHeight="true" outlineLevel="0" collapsed="false">
      <c r="A159" s="12"/>
      <c r="B159" s="12"/>
      <c r="C159" s="12"/>
      <c r="D159" s="12"/>
      <c r="E159" s="12"/>
      <c r="F159" s="12"/>
      <c r="G159" s="12"/>
      <c r="H159" s="12"/>
      <c r="I159" s="12"/>
      <c r="J159" s="12"/>
      <c r="K159" s="12"/>
      <c r="L159" s="12"/>
      <c r="M159" s="12"/>
      <c r="N159" s="12"/>
      <c r="O159" s="12"/>
      <c r="P159" s="12"/>
      <c r="Q159" s="12"/>
      <c r="R159" s="12"/>
      <c r="S159" s="12"/>
      <c r="T159" s="12"/>
      <c r="U159" s="12"/>
      <c r="V159" s="12"/>
      <c r="W159" s="12"/>
      <c r="X159" s="12"/>
      <c r="Y159" s="12"/>
      <c r="Z159" s="12"/>
    </row>
    <row r="160" customFormat="false" ht="15.75" hidden="false" customHeight="true" outlineLevel="0" collapsed="false">
      <c r="A160" s="12"/>
      <c r="B160" s="12"/>
      <c r="C160" s="12"/>
      <c r="D160" s="12"/>
      <c r="E160" s="12"/>
      <c r="F160" s="12"/>
      <c r="G160" s="12"/>
      <c r="H160" s="12"/>
      <c r="I160" s="12"/>
      <c r="J160" s="12"/>
      <c r="K160" s="12"/>
      <c r="L160" s="12"/>
      <c r="M160" s="12"/>
      <c r="N160" s="12"/>
      <c r="O160" s="12"/>
      <c r="P160" s="12"/>
      <c r="Q160" s="12"/>
      <c r="R160" s="12"/>
      <c r="S160" s="12"/>
      <c r="T160" s="12"/>
      <c r="U160" s="12"/>
      <c r="V160" s="12"/>
      <c r="W160" s="12"/>
      <c r="X160" s="12"/>
      <c r="Y160" s="12"/>
      <c r="Z160" s="12"/>
    </row>
    <row r="161" customFormat="false" ht="15.75" hidden="false" customHeight="true" outlineLevel="0" collapsed="false">
      <c r="A161" s="12"/>
      <c r="B161" s="12"/>
      <c r="C161" s="12"/>
      <c r="D161" s="12"/>
      <c r="E161" s="12"/>
      <c r="F161" s="12"/>
      <c r="G161" s="12"/>
      <c r="H161" s="12"/>
      <c r="I161" s="12"/>
      <c r="J161" s="12"/>
      <c r="K161" s="12"/>
      <c r="L161" s="12"/>
      <c r="M161" s="12"/>
      <c r="N161" s="12"/>
      <c r="O161" s="12"/>
      <c r="P161" s="12"/>
      <c r="Q161" s="12"/>
      <c r="R161" s="12"/>
      <c r="S161" s="12"/>
      <c r="T161" s="12"/>
      <c r="U161" s="12"/>
      <c r="V161" s="12"/>
      <c r="W161" s="12"/>
      <c r="X161" s="12"/>
      <c r="Y161" s="12"/>
      <c r="Z161" s="12"/>
    </row>
    <row r="162" customFormat="false" ht="15.75" hidden="false" customHeight="true" outlineLevel="0" collapsed="false">
      <c r="A162" s="12"/>
      <c r="B162" s="12"/>
      <c r="C162" s="12"/>
      <c r="D162" s="12"/>
      <c r="E162" s="12"/>
      <c r="F162" s="12"/>
      <c r="G162" s="12"/>
      <c r="H162" s="12"/>
      <c r="I162" s="12"/>
      <c r="J162" s="12"/>
      <c r="K162" s="12"/>
      <c r="L162" s="12"/>
      <c r="M162" s="12"/>
      <c r="N162" s="12"/>
      <c r="O162" s="12"/>
      <c r="P162" s="12"/>
      <c r="Q162" s="12"/>
      <c r="R162" s="12"/>
      <c r="S162" s="12"/>
      <c r="T162" s="12"/>
      <c r="U162" s="12"/>
      <c r="V162" s="12"/>
      <c r="W162" s="12"/>
      <c r="X162" s="12"/>
      <c r="Y162" s="12"/>
      <c r="Z162" s="12"/>
    </row>
    <row r="163" customFormat="false" ht="15.75" hidden="false" customHeight="true" outlineLevel="0" collapsed="false">
      <c r="A163" s="12"/>
      <c r="B163" s="12"/>
      <c r="C163" s="12"/>
      <c r="D163" s="12"/>
      <c r="E163" s="12"/>
      <c r="F163" s="12"/>
      <c r="G163" s="12"/>
      <c r="H163" s="12"/>
      <c r="I163" s="12"/>
      <c r="J163" s="12"/>
      <c r="K163" s="12"/>
      <c r="L163" s="12"/>
      <c r="M163" s="12"/>
      <c r="N163" s="12"/>
      <c r="O163" s="12"/>
      <c r="P163" s="12"/>
      <c r="Q163" s="12"/>
      <c r="R163" s="12"/>
      <c r="S163" s="12"/>
      <c r="T163" s="12"/>
      <c r="U163" s="12"/>
      <c r="V163" s="12"/>
      <c r="W163" s="12"/>
      <c r="X163" s="12"/>
      <c r="Y163" s="12"/>
      <c r="Z163" s="12"/>
    </row>
    <row r="164" customFormat="false" ht="15.75" hidden="false" customHeight="true" outlineLevel="0" collapsed="false">
      <c r="A164" s="12"/>
      <c r="B164" s="12"/>
      <c r="C164" s="12"/>
      <c r="D164" s="12"/>
      <c r="E164" s="12"/>
      <c r="F164" s="12"/>
      <c r="G164" s="12"/>
      <c r="H164" s="12"/>
      <c r="I164" s="12"/>
      <c r="J164" s="12"/>
      <c r="K164" s="12"/>
      <c r="L164" s="12"/>
      <c r="M164" s="12"/>
      <c r="N164" s="12"/>
      <c r="O164" s="12"/>
      <c r="P164" s="12"/>
      <c r="Q164" s="12"/>
      <c r="R164" s="12"/>
      <c r="S164" s="12"/>
      <c r="T164" s="12"/>
      <c r="U164" s="12"/>
      <c r="V164" s="12"/>
      <c r="W164" s="12"/>
      <c r="X164" s="12"/>
      <c r="Y164" s="12"/>
      <c r="Z164" s="12"/>
    </row>
    <row r="165" customFormat="false" ht="15.75" hidden="false" customHeight="true" outlineLevel="0" collapsed="false">
      <c r="A165" s="12"/>
      <c r="B165" s="12"/>
      <c r="C165" s="12"/>
      <c r="D165" s="12"/>
      <c r="E165" s="12"/>
      <c r="F165" s="12"/>
      <c r="G165" s="12"/>
      <c r="H165" s="12"/>
      <c r="I165" s="12"/>
      <c r="J165" s="12"/>
      <c r="K165" s="12"/>
      <c r="L165" s="12"/>
      <c r="M165" s="12"/>
      <c r="N165" s="12"/>
      <c r="O165" s="12"/>
      <c r="P165" s="12"/>
      <c r="Q165" s="12"/>
      <c r="R165" s="12"/>
      <c r="S165" s="12"/>
      <c r="T165" s="12"/>
      <c r="U165" s="12"/>
      <c r="V165" s="12"/>
      <c r="W165" s="12"/>
      <c r="X165" s="12"/>
      <c r="Y165" s="12"/>
      <c r="Z165" s="12"/>
    </row>
    <row r="166" customFormat="false" ht="15.75" hidden="false" customHeight="true" outlineLevel="0" collapsed="false">
      <c r="A166" s="12"/>
      <c r="B166" s="12"/>
      <c r="C166" s="12"/>
      <c r="D166" s="12"/>
      <c r="E166" s="12"/>
      <c r="F166" s="12"/>
      <c r="G166" s="12"/>
      <c r="H166" s="12"/>
      <c r="I166" s="12"/>
      <c r="J166" s="12"/>
      <c r="K166" s="12"/>
      <c r="L166" s="12"/>
      <c r="M166" s="12"/>
      <c r="N166" s="12"/>
      <c r="O166" s="12"/>
      <c r="P166" s="12"/>
      <c r="Q166" s="12"/>
      <c r="R166" s="12"/>
      <c r="S166" s="12"/>
      <c r="T166" s="12"/>
      <c r="U166" s="12"/>
      <c r="V166" s="12"/>
      <c r="W166" s="12"/>
      <c r="X166" s="12"/>
      <c r="Y166" s="12"/>
      <c r="Z166" s="12"/>
    </row>
    <row r="167" customFormat="false" ht="15.75" hidden="false" customHeight="true" outlineLevel="0" collapsed="false">
      <c r="A167" s="12"/>
      <c r="B167" s="12"/>
      <c r="C167" s="12"/>
      <c r="D167" s="12"/>
      <c r="E167" s="12"/>
      <c r="F167" s="12"/>
      <c r="G167" s="12"/>
      <c r="H167" s="12"/>
      <c r="I167" s="12"/>
      <c r="J167" s="12"/>
      <c r="K167" s="12"/>
      <c r="L167" s="12"/>
      <c r="M167" s="12"/>
      <c r="N167" s="12"/>
      <c r="O167" s="12"/>
      <c r="P167" s="12"/>
      <c r="Q167" s="12"/>
      <c r="R167" s="12"/>
      <c r="S167" s="12"/>
      <c r="T167" s="12"/>
      <c r="U167" s="12"/>
      <c r="V167" s="12"/>
      <c r="W167" s="12"/>
      <c r="X167" s="12"/>
      <c r="Y167" s="12"/>
      <c r="Z167" s="12"/>
    </row>
    <row r="168" customFormat="false" ht="15.75" hidden="false" customHeight="true" outlineLevel="0" collapsed="false">
      <c r="A168" s="12"/>
      <c r="B168" s="12"/>
      <c r="C168" s="12"/>
      <c r="D168" s="12"/>
      <c r="E168" s="12"/>
      <c r="F168" s="12"/>
      <c r="G168" s="12"/>
      <c r="H168" s="12"/>
      <c r="I168" s="12"/>
      <c r="J168" s="12"/>
      <c r="K168" s="12"/>
      <c r="L168" s="12"/>
      <c r="M168" s="12"/>
      <c r="N168" s="12"/>
      <c r="O168" s="12"/>
      <c r="P168" s="12"/>
      <c r="Q168" s="12"/>
      <c r="R168" s="12"/>
      <c r="S168" s="12"/>
      <c r="T168" s="12"/>
      <c r="U168" s="12"/>
      <c r="V168" s="12"/>
      <c r="W168" s="12"/>
      <c r="X168" s="12"/>
      <c r="Y168" s="12"/>
      <c r="Z168" s="12"/>
    </row>
    <row r="169" customFormat="false" ht="15.75" hidden="false" customHeight="true" outlineLevel="0" collapsed="false">
      <c r="A169" s="12"/>
      <c r="B169" s="12"/>
      <c r="C169" s="12"/>
      <c r="D169" s="12"/>
      <c r="E169" s="12"/>
      <c r="F169" s="12"/>
      <c r="G169" s="12"/>
      <c r="H169" s="12"/>
      <c r="I169" s="12"/>
      <c r="J169" s="12"/>
      <c r="K169" s="12"/>
      <c r="L169" s="12"/>
      <c r="M169" s="12"/>
      <c r="N169" s="12"/>
      <c r="O169" s="12"/>
      <c r="P169" s="12"/>
      <c r="Q169" s="12"/>
      <c r="R169" s="12"/>
      <c r="S169" s="12"/>
      <c r="T169" s="12"/>
      <c r="U169" s="12"/>
      <c r="V169" s="12"/>
      <c r="W169" s="12"/>
      <c r="X169" s="12"/>
      <c r="Y169" s="12"/>
      <c r="Z169" s="12"/>
    </row>
    <row r="170" customFormat="false" ht="15.75" hidden="false" customHeight="true" outlineLevel="0" collapsed="false">
      <c r="A170" s="12"/>
      <c r="B170" s="12"/>
      <c r="C170" s="12"/>
      <c r="D170" s="12"/>
      <c r="E170" s="12"/>
      <c r="F170" s="12"/>
      <c r="G170" s="12"/>
      <c r="H170" s="12"/>
      <c r="I170" s="12"/>
      <c r="J170" s="12"/>
      <c r="K170" s="12"/>
      <c r="L170" s="12"/>
      <c r="M170" s="12"/>
      <c r="N170" s="12"/>
      <c r="O170" s="12"/>
      <c r="P170" s="12"/>
      <c r="Q170" s="12"/>
      <c r="R170" s="12"/>
      <c r="S170" s="12"/>
      <c r="T170" s="12"/>
      <c r="U170" s="12"/>
      <c r="V170" s="12"/>
      <c r="W170" s="12"/>
      <c r="X170" s="12"/>
      <c r="Y170" s="12"/>
      <c r="Z170" s="12"/>
    </row>
    <row r="171" customFormat="false" ht="15.75" hidden="false" customHeight="true" outlineLevel="0" collapsed="false">
      <c r="A171" s="12"/>
      <c r="B171" s="12"/>
      <c r="C171" s="12"/>
      <c r="D171" s="12"/>
      <c r="E171" s="12"/>
      <c r="F171" s="12"/>
      <c r="G171" s="12"/>
      <c r="H171" s="12"/>
      <c r="I171" s="12"/>
      <c r="J171" s="12"/>
      <c r="K171" s="12"/>
      <c r="L171" s="12"/>
      <c r="M171" s="12"/>
      <c r="N171" s="12"/>
      <c r="O171" s="12"/>
      <c r="P171" s="12"/>
      <c r="Q171" s="12"/>
      <c r="R171" s="12"/>
      <c r="S171" s="12"/>
      <c r="T171" s="12"/>
      <c r="U171" s="12"/>
      <c r="V171" s="12"/>
      <c r="W171" s="12"/>
      <c r="X171" s="12"/>
      <c r="Y171" s="12"/>
      <c r="Z171" s="12"/>
    </row>
    <row r="172" customFormat="false" ht="15.75" hidden="false" customHeight="true" outlineLevel="0" collapsed="false">
      <c r="A172" s="12"/>
      <c r="B172" s="12"/>
      <c r="C172" s="12"/>
      <c r="D172" s="12"/>
      <c r="E172" s="12"/>
      <c r="F172" s="12"/>
      <c r="G172" s="12"/>
      <c r="H172" s="12"/>
      <c r="I172" s="12"/>
      <c r="J172" s="12"/>
      <c r="K172" s="12"/>
      <c r="L172" s="12"/>
      <c r="M172" s="12"/>
      <c r="N172" s="12"/>
      <c r="O172" s="12"/>
      <c r="P172" s="12"/>
      <c r="Q172" s="12"/>
      <c r="R172" s="12"/>
      <c r="S172" s="12"/>
      <c r="T172" s="12"/>
      <c r="U172" s="12"/>
      <c r="V172" s="12"/>
      <c r="W172" s="12"/>
      <c r="X172" s="12"/>
      <c r="Y172" s="12"/>
      <c r="Z172" s="12"/>
    </row>
    <row r="173" customFormat="false" ht="15.75" hidden="false" customHeight="true" outlineLevel="0" collapsed="false">
      <c r="A173" s="12"/>
      <c r="B173" s="12"/>
      <c r="C173" s="12"/>
      <c r="D173" s="12"/>
      <c r="E173" s="12"/>
      <c r="F173" s="12"/>
      <c r="G173" s="12"/>
      <c r="H173" s="12"/>
      <c r="I173" s="12"/>
      <c r="J173" s="12"/>
      <c r="K173" s="12"/>
      <c r="L173" s="12"/>
      <c r="M173" s="12"/>
      <c r="N173" s="12"/>
      <c r="O173" s="12"/>
      <c r="P173" s="12"/>
      <c r="Q173" s="12"/>
      <c r="R173" s="12"/>
      <c r="S173" s="12"/>
      <c r="T173" s="12"/>
      <c r="U173" s="12"/>
      <c r="V173" s="12"/>
      <c r="W173" s="12"/>
      <c r="X173" s="12"/>
      <c r="Y173" s="12"/>
      <c r="Z173" s="12"/>
    </row>
    <row r="174" customFormat="false" ht="15.75" hidden="false" customHeight="true" outlineLevel="0" collapsed="false">
      <c r="A174" s="12"/>
      <c r="B174" s="12"/>
      <c r="C174" s="12"/>
      <c r="D174" s="12"/>
      <c r="E174" s="12"/>
      <c r="F174" s="12"/>
      <c r="G174" s="12"/>
      <c r="H174" s="12"/>
      <c r="I174" s="12"/>
      <c r="J174" s="12"/>
      <c r="K174" s="12"/>
      <c r="L174" s="12"/>
      <c r="M174" s="12"/>
      <c r="N174" s="12"/>
      <c r="O174" s="12"/>
      <c r="P174" s="12"/>
      <c r="Q174" s="12"/>
      <c r="R174" s="12"/>
      <c r="S174" s="12"/>
      <c r="T174" s="12"/>
      <c r="U174" s="12"/>
      <c r="V174" s="12"/>
      <c r="W174" s="12"/>
      <c r="X174" s="12"/>
      <c r="Y174" s="12"/>
      <c r="Z174" s="12"/>
    </row>
    <row r="175" customFormat="false" ht="15.75" hidden="false" customHeight="true" outlineLevel="0" collapsed="false">
      <c r="A175" s="12"/>
      <c r="B175" s="12"/>
      <c r="C175" s="12"/>
      <c r="D175" s="12"/>
      <c r="E175" s="12"/>
      <c r="F175" s="12"/>
      <c r="G175" s="12"/>
      <c r="H175" s="12"/>
      <c r="I175" s="12"/>
      <c r="J175" s="12"/>
      <c r="K175" s="12"/>
      <c r="L175" s="12"/>
      <c r="M175" s="12"/>
      <c r="N175" s="12"/>
      <c r="O175" s="12"/>
      <c r="P175" s="12"/>
      <c r="Q175" s="12"/>
      <c r="R175" s="12"/>
      <c r="S175" s="12"/>
      <c r="T175" s="12"/>
      <c r="U175" s="12"/>
      <c r="V175" s="12"/>
      <c r="W175" s="12"/>
      <c r="X175" s="12"/>
      <c r="Y175" s="12"/>
      <c r="Z175" s="12"/>
    </row>
    <row r="176" customFormat="false" ht="15.75" hidden="false" customHeight="true" outlineLevel="0" collapsed="false">
      <c r="A176" s="12"/>
      <c r="B176" s="12"/>
      <c r="C176" s="12"/>
      <c r="D176" s="12"/>
      <c r="E176" s="12"/>
      <c r="F176" s="12"/>
      <c r="G176" s="12"/>
      <c r="H176" s="12"/>
      <c r="I176" s="12"/>
      <c r="J176" s="12"/>
      <c r="K176" s="12"/>
      <c r="L176" s="12"/>
      <c r="M176" s="12"/>
      <c r="N176" s="12"/>
      <c r="O176" s="12"/>
      <c r="P176" s="12"/>
      <c r="Q176" s="12"/>
      <c r="R176" s="12"/>
      <c r="S176" s="12"/>
      <c r="T176" s="12"/>
      <c r="U176" s="12"/>
      <c r="V176" s="12"/>
      <c r="W176" s="12"/>
      <c r="X176" s="12"/>
      <c r="Y176" s="12"/>
      <c r="Z176" s="12"/>
    </row>
    <row r="177" customFormat="false" ht="15.75" hidden="false" customHeight="true" outlineLevel="0" collapsed="false">
      <c r="A177" s="12"/>
      <c r="B177" s="12"/>
      <c r="C177" s="12"/>
      <c r="D177" s="12"/>
      <c r="E177" s="12"/>
      <c r="F177" s="12"/>
      <c r="G177" s="12"/>
      <c r="H177" s="12"/>
      <c r="I177" s="12"/>
      <c r="J177" s="12"/>
      <c r="K177" s="12"/>
      <c r="L177" s="12"/>
      <c r="M177" s="12"/>
      <c r="N177" s="12"/>
      <c r="O177" s="12"/>
      <c r="P177" s="12"/>
      <c r="Q177" s="12"/>
      <c r="R177" s="12"/>
      <c r="S177" s="12"/>
      <c r="T177" s="12"/>
      <c r="U177" s="12"/>
      <c r="V177" s="12"/>
      <c r="W177" s="12"/>
      <c r="X177" s="12"/>
      <c r="Y177" s="12"/>
      <c r="Z177" s="12"/>
    </row>
    <row r="178" customFormat="false" ht="15.75" hidden="false" customHeight="true" outlineLevel="0" collapsed="false">
      <c r="A178" s="12"/>
      <c r="B178" s="12"/>
      <c r="C178" s="12"/>
      <c r="D178" s="12"/>
      <c r="E178" s="12"/>
      <c r="F178" s="12"/>
      <c r="G178" s="12"/>
      <c r="H178" s="12"/>
      <c r="I178" s="12"/>
      <c r="J178" s="12"/>
      <c r="K178" s="12"/>
      <c r="L178" s="12"/>
      <c r="M178" s="12"/>
      <c r="N178" s="12"/>
      <c r="O178" s="12"/>
      <c r="P178" s="12"/>
      <c r="Q178" s="12"/>
      <c r="R178" s="12"/>
      <c r="S178" s="12"/>
      <c r="T178" s="12"/>
      <c r="U178" s="12"/>
      <c r="V178" s="12"/>
      <c r="W178" s="12"/>
      <c r="X178" s="12"/>
      <c r="Y178" s="12"/>
      <c r="Z178" s="12"/>
    </row>
    <row r="179" customFormat="false" ht="15.75" hidden="false" customHeight="true" outlineLevel="0" collapsed="false">
      <c r="A179" s="12"/>
      <c r="B179" s="12"/>
      <c r="C179" s="12"/>
      <c r="D179" s="12"/>
      <c r="E179" s="12"/>
      <c r="F179" s="12"/>
      <c r="G179" s="12"/>
      <c r="H179" s="12"/>
      <c r="I179" s="12"/>
      <c r="J179" s="12"/>
      <c r="K179" s="12"/>
      <c r="L179" s="12"/>
      <c r="M179" s="12"/>
      <c r="N179" s="12"/>
      <c r="O179" s="12"/>
      <c r="P179" s="12"/>
      <c r="Q179" s="12"/>
      <c r="R179" s="12"/>
      <c r="S179" s="12"/>
      <c r="T179" s="12"/>
      <c r="U179" s="12"/>
      <c r="V179" s="12"/>
      <c r="W179" s="12"/>
      <c r="X179" s="12"/>
      <c r="Y179" s="12"/>
      <c r="Z179" s="12"/>
    </row>
    <row r="180" customFormat="false" ht="15.75" hidden="false" customHeight="true" outlineLevel="0" collapsed="false">
      <c r="A180" s="12"/>
      <c r="B180" s="12"/>
      <c r="C180" s="12"/>
      <c r="D180" s="12"/>
      <c r="E180" s="12"/>
      <c r="F180" s="12"/>
      <c r="G180" s="12"/>
      <c r="H180" s="12"/>
      <c r="I180" s="12"/>
      <c r="J180" s="12"/>
      <c r="K180" s="12"/>
      <c r="L180" s="12"/>
      <c r="M180" s="12"/>
      <c r="N180" s="12"/>
      <c r="O180" s="12"/>
      <c r="P180" s="12"/>
      <c r="Q180" s="12"/>
      <c r="R180" s="12"/>
      <c r="S180" s="12"/>
      <c r="T180" s="12"/>
      <c r="U180" s="12"/>
      <c r="V180" s="12"/>
      <c r="W180" s="12"/>
      <c r="X180" s="12"/>
      <c r="Y180" s="12"/>
      <c r="Z180" s="12"/>
    </row>
    <row r="181" customFormat="false" ht="15.75" hidden="false" customHeight="true" outlineLevel="0" collapsed="false">
      <c r="A181" s="12"/>
      <c r="B181" s="12"/>
      <c r="C181" s="12"/>
      <c r="D181" s="12"/>
      <c r="E181" s="12"/>
      <c r="F181" s="12"/>
      <c r="G181" s="12"/>
      <c r="H181" s="12"/>
      <c r="I181" s="12"/>
      <c r="J181" s="12"/>
      <c r="K181" s="12"/>
      <c r="L181" s="12"/>
      <c r="M181" s="12"/>
      <c r="N181" s="12"/>
      <c r="O181" s="12"/>
      <c r="P181" s="12"/>
      <c r="Q181" s="12"/>
      <c r="R181" s="12"/>
      <c r="S181" s="12"/>
      <c r="T181" s="12"/>
      <c r="U181" s="12"/>
      <c r="V181" s="12"/>
      <c r="W181" s="12"/>
      <c r="X181" s="12"/>
      <c r="Y181" s="12"/>
      <c r="Z181" s="12"/>
    </row>
    <row r="182" customFormat="false" ht="15.75" hidden="false" customHeight="true" outlineLevel="0" collapsed="false">
      <c r="A182" s="12"/>
      <c r="B182" s="12"/>
      <c r="C182" s="12"/>
      <c r="D182" s="12"/>
      <c r="E182" s="12"/>
      <c r="F182" s="12"/>
      <c r="G182" s="12"/>
      <c r="H182" s="12"/>
      <c r="I182" s="12"/>
      <c r="J182" s="12"/>
      <c r="K182" s="12"/>
      <c r="L182" s="12"/>
      <c r="M182" s="12"/>
      <c r="N182" s="12"/>
      <c r="O182" s="12"/>
      <c r="P182" s="12"/>
      <c r="Q182" s="12"/>
      <c r="R182" s="12"/>
      <c r="S182" s="12"/>
      <c r="T182" s="12"/>
      <c r="U182" s="12"/>
      <c r="V182" s="12"/>
      <c r="W182" s="12"/>
      <c r="X182" s="12"/>
      <c r="Y182" s="12"/>
      <c r="Z182" s="12"/>
    </row>
    <row r="183" customFormat="false" ht="15.75" hidden="false" customHeight="true" outlineLevel="0" collapsed="false">
      <c r="A183" s="12"/>
      <c r="B183" s="12"/>
      <c r="C183" s="12"/>
      <c r="D183" s="12"/>
      <c r="E183" s="12"/>
      <c r="F183" s="12"/>
      <c r="G183" s="12"/>
      <c r="H183" s="12"/>
      <c r="I183" s="12"/>
      <c r="J183" s="12"/>
      <c r="K183" s="12"/>
      <c r="L183" s="12"/>
      <c r="M183" s="12"/>
      <c r="N183" s="12"/>
      <c r="O183" s="12"/>
      <c r="P183" s="12"/>
      <c r="Q183" s="12"/>
      <c r="R183" s="12"/>
      <c r="S183" s="12"/>
      <c r="T183" s="12"/>
      <c r="U183" s="12"/>
      <c r="V183" s="12"/>
      <c r="W183" s="12"/>
      <c r="X183" s="12"/>
      <c r="Y183" s="12"/>
      <c r="Z183" s="12"/>
    </row>
    <row r="184" customFormat="false" ht="15.75" hidden="false" customHeight="true" outlineLevel="0" collapsed="false">
      <c r="A184" s="12"/>
      <c r="B184" s="12"/>
      <c r="C184" s="12"/>
      <c r="D184" s="12"/>
      <c r="E184" s="12"/>
      <c r="F184" s="12"/>
      <c r="G184" s="12"/>
      <c r="H184" s="12"/>
      <c r="I184" s="12"/>
      <c r="J184" s="12"/>
      <c r="K184" s="12"/>
      <c r="L184" s="12"/>
      <c r="M184" s="12"/>
      <c r="N184" s="12"/>
      <c r="O184" s="12"/>
      <c r="P184" s="12"/>
      <c r="Q184" s="12"/>
      <c r="R184" s="12"/>
      <c r="S184" s="12"/>
      <c r="T184" s="12"/>
      <c r="U184" s="12"/>
      <c r="V184" s="12"/>
      <c r="W184" s="12"/>
      <c r="X184" s="12"/>
      <c r="Y184" s="12"/>
      <c r="Z184" s="12"/>
    </row>
    <row r="185" customFormat="false" ht="15.75" hidden="false" customHeight="true" outlineLevel="0" collapsed="false">
      <c r="A185" s="12"/>
      <c r="B185" s="12"/>
      <c r="C185" s="12"/>
      <c r="D185" s="12"/>
      <c r="E185" s="12"/>
      <c r="F185" s="12"/>
      <c r="G185" s="12"/>
      <c r="H185" s="12"/>
      <c r="I185" s="12"/>
      <c r="J185" s="12"/>
      <c r="K185" s="12"/>
      <c r="L185" s="12"/>
      <c r="M185" s="12"/>
      <c r="N185" s="12"/>
      <c r="O185" s="12"/>
      <c r="P185" s="12"/>
      <c r="Q185" s="12"/>
      <c r="R185" s="12"/>
      <c r="S185" s="12"/>
      <c r="T185" s="12"/>
      <c r="U185" s="12"/>
      <c r="V185" s="12"/>
      <c r="W185" s="12"/>
      <c r="X185" s="12"/>
      <c r="Y185" s="12"/>
      <c r="Z185" s="12"/>
    </row>
    <row r="186" customFormat="false" ht="15.75" hidden="false" customHeight="true" outlineLevel="0" collapsed="false">
      <c r="A186" s="12"/>
      <c r="B186" s="12"/>
      <c r="C186" s="12"/>
      <c r="D186" s="12"/>
      <c r="E186" s="12"/>
      <c r="F186" s="12"/>
      <c r="G186" s="12"/>
      <c r="H186" s="12"/>
      <c r="I186" s="12"/>
      <c r="J186" s="12"/>
      <c r="K186" s="12"/>
      <c r="L186" s="12"/>
      <c r="M186" s="12"/>
      <c r="N186" s="12"/>
      <c r="O186" s="12"/>
      <c r="P186" s="12"/>
      <c r="Q186" s="12"/>
      <c r="R186" s="12"/>
      <c r="S186" s="12"/>
      <c r="T186" s="12"/>
      <c r="U186" s="12"/>
      <c r="V186" s="12"/>
      <c r="W186" s="12"/>
      <c r="X186" s="12"/>
      <c r="Y186" s="12"/>
      <c r="Z186" s="12"/>
    </row>
    <row r="187" customFormat="false" ht="15.75" hidden="false" customHeight="true" outlineLevel="0" collapsed="false">
      <c r="A187" s="12"/>
      <c r="B187" s="12"/>
      <c r="C187" s="12"/>
      <c r="D187" s="12"/>
      <c r="E187" s="12"/>
      <c r="F187" s="12"/>
      <c r="G187" s="12"/>
      <c r="H187" s="12"/>
      <c r="I187" s="12"/>
      <c r="J187" s="12"/>
      <c r="K187" s="12"/>
      <c r="L187" s="12"/>
      <c r="M187" s="12"/>
      <c r="N187" s="12"/>
      <c r="O187" s="12"/>
      <c r="P187" s="12"/>
      <c r="Q187" s="12"/>
      <c r="R187" s="12"/>
      <c r="S187" s="12"/>
      <c r="T187" s="12"/>
      <c r="U187" s="12"/>
      <c r="V187" s="12"/>
      <c r="W187" s="12"/>
      <c r="X187" s="12"/>
      <c r="Y187" s="12"/>
      <c r="Z187" s="12"/>
    </row>
    <row r="188" customFormat="false" ht="15.75" hidden="false" customHeight="true" outlineLevel="0" collapsed="false">
      <c r="A188" s="12"/>
      <c r="B188" s="12"/>
      <c r="C188" s="12"/>
      <c r="D188" s="12"/>
      <c r="E188" s="12"/>
      <c r="F188" s="12"/>
      <c r="G188" s="12"/>
      <c r="H188" s="12"/>
      <c r="I188" s="12"/>
      <c r="J188" s="12"/>
      <c r="K188" s="12"/>
      <c r="L188" s="12"/>
      <c r="M188" s="12"/>
      <c r="N188" s="12"/>
      <c r="O188" s="12"/>
      <c r="P188" s="12"/>
      <c r="Q188" s="12"/>
      <c r="R188" s="12"/>
      <c r="S188" s="12"/>
      <c r="T188" s="12"/>
      <c r="U188" s="12"/>
      <c r="V188" s="12"/>
      <c r="W188" s="12"/>
      <c r="X188" s="12"/>
      <c r="Y188" s="12"/>
      <c r="Z188" s="12"/>
    </row>
    <row r="189" customFormat="false" ht="15.75" hidden="false" customHeight="true" outlineLevel="0" collapsed="false">
      <c r="A189" s="12"/>
      <c r="B189" s="12"/>
      <c r="C189" s="12"/>
      <c r="D189" s="12"/>
      <c r="E189" s="12"/>
      <c r="F189" s="12"/>
      <c r="G189" s="12"/>
      <c r="H189" s="12"/>
      <c r="I189" s="12"/>
      <c r="J189" s="12"/>
      <c r="K189" s="12"/>
      <c r="L189" s="12"/>
      <c r="M189" s="12"/>
      <c r="N189" s="12"/>
      <c r="O189" s="12"/>
      <c r="P189" s="12"/>
      <c r="Q189" s="12"/>
      <c r="R189" s="12"/>
      <c r="S189" s="12"/>
      <c r="T189" s="12"/>
      <c r="U189" s="12"/>
      <c r="V189" s="12"/>
      <c r="W189" s="12"/>
      <c r="X189" s="12"/>
      <c r="Y189" s="12"/>
      <c r="Z189" s="12"/>
    </row>
    <row r="190" customFormat="false" ht="15.75" hidden="false" customHeight="true" outlineLevel="0" collapsed="false">
      <c r="A190" s="12"/>
      <c r="B190" s="12"/>
      <c r="C190" s="12"/>
      <c r="D190" s="12"/>
      <c r="E190" s="12"/>
      <c r="F190" s="12"/>
      <c r="G190" s="12"/>
      <c r="H190" s="12"/>
      <c r="I190" s="12"/>
      <c r="J190" s="12"/>
      <c r="K190" s="12"/>
      <c r="L190" s="12"/>
      <c r="M190" s="12"/>
      <c r="N190" s="12"/>
      <c r="O190" s="12"/>
      <c r="P190" s="12"/>
      <c r="Q190" s="12"/>
      <c r="R190" s="12"/>
      <c r="S190" s="12"/>
      <c r="T190" s="12"/>
      <c r="U190" s="12"/>
      <c r="V190" s="12"/>
      <c r="W190" s="12"/>
      <c r="X190" s="12"/>
      <c r="Y190" s="12"/>
      <c r="Z190" s="12"/>
    </row>
    <row r="191" customFormat="false" ht="15.75" hidden="false" customHeight="true" outlineLevel="0" collapsed="false">
      <c r="A191" s="12"/>
      <c r="B191" s="12"/>
      <c r="C191" s="12"/>
      <c r="D191" s="12"/>
      <c r="E191" s="12"/>
      <c r="F191" s="12"/>
      <c r="G191" s="12"/>
      <c r="H191" s="12"/>
      <c r="I191" s="12"/>
      <c r="J191" s="12"/>
      <c r="K191" s="12"/>
      <c r="L191" s="12"/>
      <c r="M191" s="12"/>
      <c r="N191" s="12"/>
      <c r="O191" s="12"/>
      <c r="P191" s="12"/>
      <c r="Q191" s="12"/>
      <c r="R191" s="12"/>
      <c r="S191" s="12"/>
      <c r="T191" s="12"/>
      <c r="U191" s="12"/>
      <c r="V191" s="12"/>
      <c r="W191" s="12"/>
      <c r="X191" s="12"/>
      <c r="Y191" s="12"/>
      <c r="Z191" s="12"/>
    </row>
    <row r="192" customFormat="false" ht="15.75" hidden="false" customHeight="true" outlineLevel="0" collapsed="false">
      <c r="A192" s="12"/>
      <c r="B192" s="12"/>
      <c r="C192" s="12"/>
      <c r="D192" s="12"/>
      <c r="E192" s="12"/>
      <c r="F192" s="12"/>
      <c r="G192" s="12"/>
      <c r="H192" s="12"/>
      <c r="I192" s="12"/>
      <c r="J192" s="12"/>
      <c r="K192" s="12"/>
      <c r="L192" s="12"/>
      <c r="M192" s="12"/>
      <c r="N192" s="12"/>
      <c r="O192" s="12"/>
      <c r="P192" s="12"/>
      <c r="Q192" s="12"/>
      <c r="R192" s="12"/>
      <c r="S192" s="12"/>
      <c r="T192" s="12"/>
      <c r="U192" s="12"/>
      <c r="V192" s="12"/>
      <c r="W192" s="12"/>
      <c r="X192" s="12"/>
      <c r="Y192" s="12"/>
      <c r="Z192" s="12"/>
    </row>
    <row r="193" customFormat="false" ht="15.75" hidden="false" customHeight="true" outlineLevel="0" collapsed="false">
      <c r="A193" s="12"/>
      <c r="B193" s="12"/>
      <c r="C193" s="12"/>
      <c r="D193" s="12"/>
      <c r="E193" s="12"/>
      <c r="F193" s="12"/>
      <c r="G193" s="12"/>
      <c r="H193" s="12"/>
      <c r="I193" s="12"/>
      <c r="J193" s="12"/>
      <c r="K193" s="12"/>
      <c r="L193" s="12"/>
      <c r="M193" s="12"/>
      <c r="N193" s="12"/>
      <c r="O193" s="12"/>
      <c r="P193" s="12"/>
      <c r="Q193" s="12"/>
      <c r="R193" s="12"/>
      <c r="S193" s="12"/>
      <c r="T193" s="12"/>
      <c r="U193" s="12"/>
      <c r="V193" s="12"/>
      <c r="W193" s="12"/>
      <c r="X193" s="12"/>
      <c r="Y193" s="12"/>
      <c r="Z193" s="12"/>
    </row>
    <row r="194" customFormat="false" ht="15.75" hidden="false" customHeight="true" outlineLevel="0" collapsed="false">
      <c r="A194" s="12"/>
      <c r="B194" s="12"/>
      <c r="C194" s="12"/>
      <c r="D194" s="12"/>
      <c r="E194" s="12"/>
      <c r="F194" s="12"/>
      <c r="G194" s="12"/>
      <c r="H194" s="12"/>
      <c r="I194" s="12"/>
      <c r="J194" s="12"/>
      <c r="K194" s="12"/>
      <c r="L194" s="12"/>
      <c r="M194" s="12"/>
      <c r="N194" s="12"/>
      <c r="O194" s="12"/>
      <c r="P194" s="12"/>
      <c r="Q194" s="12"/>
      <c r="R194" s="12"/>
      <c r="S194" s="12"/>
      <c r="T194" s="12"/>
      <c r="U194" s="12"/>
      <c r="V194" s="12"/>
      <c r="W194" s="12"/>
      <c r="X194" s="12"/>
      <c r="Y194" s="12"/>
      <c r="Z194" s="12"/>
    </row>
    <row r="195" customFormat="false" ht="15.75" hidden="false" customHeight="true" outlineLevel="0" collapsed="false">
      <c r="A195" s="12"/>
      <c r="B195" s="12"/>
      <c r="C195" s="12"/>
      <c r="D195" s="12"/>
      <c r="E195" s="12"/>
      <c r="F195" s="12"/>
      <c r="G195" s="12"/>
      <c r="H195" s="12"/>
      <c r="I195" s="12"/>
      <c r="J195" s="12"/>
      <c r="K195" s="12"/>
      <c r="L195" s="12"/>
      <c r="M195" s="12"/>
      <c r="N195" s="12"/>
      <c r="O195" s="12"/>
      <c r="P195" s="12"/>
      <c r="Q195" s="12"/>
      <c r="R195" s="12"/>
      <c r="S195" s="12"/>
      <c r="T195" s="12"/>
      <c r="U195" s="12"/>
      <c r="V195" s="12"/>
      <c r="W195" s="12"/>
      <c r="X195" s="12"/>
      <c r="Y195" s="12"/>
      <c r="Z195" s="12"/>
    </row>
    <row r="196" customFormat="false" ht="15.75" hidden="false" customHeight="true" outlineLevel="0" collapsed="false">
      <c r="A196" s="12"/>
      <c r="B196" s="12"/>
      <c r="C196" s="12"/>
      <c r="D196" s="12"/>
      <c r="E196" s="12"/>
      <c r="F196" s="12"/>
      <c r="G196" s="12"/>
      <c r="H196" s="12"/>
      <c r="I196" s="12"/>
      <c r="J196" s="12"/>
      <c r="K196" s="12"/>
      <c r="L196" s="12"/>
      <c r="M196" s="12"/>
      <c r="N196" s="12"/>
      <c r="O196" s="12"/>
      <c r="P196" s="12"/>
      <c r="Q196" s="12"/>
      <c r="R196" s="12"/>
      <c r="S196" s="12"/>
      <c r="T196" s="12"/>
      <c r="U196" s="12"/>
      <c r="V196" s="12"/>
      <c r="W196" s="12"/>
      <c r="X196" s="12"/>
      <c r="Y196" s="12"/>
      <c r="Z196" s="12"/>
    </row>
    <row r="197" customFormat="false" ht="15.75" hidden="false" customHeight="true" outlineLevel="0" collapsed="false">
      <c r="A197" s="12"/>
      <c r="B197" s="12"/>
      <c r="C197" s="12"/>
      <c r="D197" s="12"/>
      <c r="E197" s="12"/>
      <c r="F197" s="12"/>
      <c r="G197" s="12"/>
      <c r="H197" s="12"/>
      <c r="I197" s="12"/>
      <c r="J197" s="12"/>
      <c r="K197" s="12"/>
      <c r="L197" s="12"/>
      <c r="M197" s="12"/>
      <c r="N197" s="12"/>
      <c r="O197" s="12"/>
      <c r="P197" s="12"/>
      <c r="Q197" s="12"/>
      <c r="R197" s="12"/>
      <c r="S197" s="12"/>
      <c r="T197" s="12"/>
      <c r="U197" s="12"/>
      <c r="V197" s="12"/>
      <c r="W197" s="12"/>
      <c r="X197" s="12"/>
      <c r="Y197" s="12"/>
      <c r="Z197" s="12"/>
    </row>
    <row r="198" customFormat="false" ht="15.75" hidden="false" customHeight="true" outlineLevel="0" collapsed="false">
      <c r="A198" s="12"/>
      <c r="B198" s="12"/>
      <c r="C198" s="12"/>
      <c r="D198" s="12"/>
      <c r="E198" s="12"/>
      <c r="F198" s="12"/>
      <c r="G198" s="12"/>
      <c r="H198" s="12"/>
      <c r="I198" s="12"/>
      <c r="J198" s="12"/>
      <c r="K198" s="12"/>
      <c r="L198" s="12"/>
      <c r="M198" s="12"/>
      <c r="N198" s="12"/>
      <c r="O198" s="12"/>
      <c r="P198" s="12"/>
      <c r="Q198" s="12"/>
      <c r="R198" s="12"/>
      <c r="S198" s="12"/>
      <c r="T198" s="12"/>
      <c r="U198" s="12"/>
      <c r="V198" s="12"/>
      <c r="W198" s="12"/>
      <c r="X198" s="12"/>
      <c r="Y198" s="12"/>
      <c r="Z198" s="12"/>
    </row>
    <row r="199" customFormat="false" ht="15.75" hidden="false" customHeight="true" outlineLevel="0" collapsed="false">
      <c r="A199" s="12"/>
      <c r="B199" s="12"/>
      <c r="C199" s="12"/>
      <c r="D199" s="12"/>
      <c r="E199" s="12"/>
      <c r="F199" s="12"/>
      <c r="G199" s="12"/>
      <c r="H199" s="12"/>
      <c r="I199" s="12"/>
      <c r="J199" s="12"/>
      <c r="K199" s="12"/>
      <c r="L199" s="12"/>
      <c r="M199" s="12"/>
      <c r="N199" s="12"/>
      <c r="O199" s="12"/>
      <c r="P199" s="12"/>
      <c r="Q199" s="12"/>
      <c r="R199" s="12"/>
      <c r="S199" s="12"/>
      <c r="T199" s="12"/>
      <c r="U199" s="12"/>
      <c r="V199" s="12"/>
      <c r="W199" s="12"/>
      <c r="X199" s="12"/>
      <c r="Y199" s="12"/>
      <c r="Z199" s="12"/>
    </row>
    <row r="200" customFormat="false" ht="15.75" hidden="false" customHeight="true" outlineLevel="0" collapsed="false">
      <c r="A200" s="12"/>
      <c r="B200" s="12"/>
      <c r="C200" s="12"/>
      <c r="D200" s="12"/>
      <c r="E200" s="12"/>
      <c r="F200" s="12"/>
      <c r="G200" s="12"/>
      <c r="H200" s="12"/>
      <c r="I200" s="12"/>
      <c r="J200" s="12"/>
      <c r="K200" s="12"/>
      <c r="L200" s="12"/>
      <c r="M200" s="12"/>
      <c r="N200" s="12"/>
      <c r="O200" s="12"/>
      <c r="P200" s="12"/>
      <c r="Q200" s="12"/>
      <c r="R200" s="12"/>
      <c r="S200" s="12"/>
      <c r="T200" s="12"/>
      <c r="U200" s="12"/>
      <c r="V200" s="12"/>
      <c r="W200" s="12"/>
      <c r="X200" s="12"/>
      <c r="Y200" s="12"/>
      <c r="Z200" s="12"/>
    </row>
    <row r="201" customFormat="false" ht="15.75" hidden="false" customHeight="true" outlineLevel="0" collapsed="false">
      <c r="A201" s="12"/>
      <c r="B201" s="12"/>
      <c r="C201" s="12"/>
      <c r="D201" s="12"/>
      <c r="E201" s="12"/>
      <c r="F201" s="12"/>
      <c r="G201" s="12"/>
      <c r="H201" s="12"/>
      <c r="I201" s="12"/>
      <c r="J201" s="12"/>
      <c r="K201" s="12"/>
      <c r="L201" s="12"/>
      <c r="M201" s="12"/>
      <c r="N201" s="12"/>
      <c r="O201" s="12"/>
      <c r="P201" s="12"/>
      <c r="Q201" s="12"/>
      <c r="R201" s="12"/>
      <c r="S201" s="12"/>
      <c r="T201" s="12"/>
      <c r="U201" s="12"/>
      <c r="V201" s="12"/>
      <c r="W201" s="12"/>
      <c r="X201" s="12"/>
      <c r="Y201" s="12"/>
      <c r="Z201" s="12"/>
    </row>
    <row r="202" customFormat="false" ht="15.75" hidden="false" customHeight="true" outlineLevel="0" collapsed="false">
      <c r="A202" s="12"/>
      <c r="B202" s="12"/>
      <c r="C202" s="12"/>
      <c r="D202" s="12"/>
      <c r="E202" s="12"/>
      <c r="F202" s="12"/>
      <c r="G202" s="12"/>
      <c r="H202" s="12"/>
      <c r="I202" s="12"/>
      <c r="J202" s="12"/>
      <c r="K202" s="12"/>
      <c r="L202" s="12"/>
      <c r="M202" s="12"/>
      <c r="N202" s="12"/>
      <c r="O202" s="12"/>
      <c r="P202" s="12"/>
      <c r="Q202" s="12"/>
      <c r="R202" s="12"/>
      <c r="S202" s="12"/>
      <c r="T202" s="12"/>
      <c r="U202" s="12"/>
      <c r="V202" s="12"/>
      <c r="W202" s="12"/>
      <c r="X202" s="12"/>
      <c r="Y202" s="12"/>
      <c r="Z202" s="12"/>
    </row>
    <row r="203" customFormat="false" ht="15.75" hidden="false" customHeight="true" outlineLevel="0" collapsed="false">
      <c r="A203" s="12"/>
      <c r="B203" s="12"/>
      <c r="C203" s="12"/>
      <c r="D203" s="12"/>
      <c r="E203" s="12"/>
      <c r="F203" s="12"/>
      <c r="G203" s="12"/>
      <c r="H203" s="12"/>
      <c r="I203" s="12"/>
      <c r="J203" s="12"/>
      <c r="K203" s="12"/>
      <c r="L203" s="12"/>
      <c r="M203" s="12"/>
      <c r="N203" s="12"/>
      <c r="O203" s="12"/>
      <c r="P203" s="12"/>
      <c r="Q203" s="12"/>
      <c r="R203" s="12"/>
      <c r="S203" s="12"/>
      <c r="T203" s="12"/>
      <c r="U203" s="12"/>
      <c r="V203" s="12"/>
      <c r="W203" s="12"/>
      <c r="X203" s="12"/>
      <c r="Y203" s="12"/>
      <c r="Z203" s="12"/>
    </row>
    <row r="204" customFormat="false" ht="15.75" hidden="false" customHeight="true" outlineLevel="0" collapsed="false">
      <c r="A204" s="12"/>
      <c r="B204" s="12"/>
      <c r="C204" s="12"/>
      <c r="D204" s="12"/>
      <c r="E204" s="12"/>
      <c r="F204" s="12"/>
      <c r="G204" s="12"/>
      <c r="H204" s="12"/>
      <c r="I204" s="12"/>
      <c r="J204" s="12"/>
      <c r="K204" s="12"/>
      <c r="L204" s="12"/>
      <c r="M204" s="12"/>
      <c r="N204" s="12"/>
      <c r="O204" s="12"/>
      <c r="P204" s="12"/>
      <c r="Q204" s="12"/>
      <c r="R204" s="12"/>
      <c r="S204" s="12"/>
      <c r="T204" s="12"/>
      <c r="U204" s="12"/>
      <c r="V204" s="12"/>
      <c r="W204" s="12"/>
      <c r="X204" s="12"/>
      <c r="Y204" s="12"/>
      <c r="Z204" s="12"/>
    </row>
    <row r="205" customFormat="false" ht="15.75" hidden="false" customHeight="true" outlineLevel="0" collapsed="false">
      <c r="A205" s="12"/>
      <c r="B205" s="12"/>
      <c r="C205" s="12"/>
      <c r="D205" s="12"/>
      <c r="E205" s="12"/>
      <c r="F205" s="12"/>
      <c r="G205" s="12"/>
      <c r="H205" s="12"/>
      <c r="I205" s="12"/>
      <c r="J205" s="12"/>
      <c r="K205" s="12"/>
      <c r="L205" s="12"/>
      <c r="M205" s="12"/>
      <c r="N205" s="12"/>
      <c r="O205" s="12"/>
      <c r="P205" s="12"/>
      <c r="Q205" s="12"/>
      <c r="R205" s="12"/>
      <c r="S205" s="12"/>
      <c r="T205" s="12"/>
      <c r="U205" s="12"/>
      <c r="V205" s="12"/>
      <c r="W205" s="12"/>
      <c r="X205" s="12"/>
      <c r="Y205" s="12"/>
      <c r="Z205" s="12"/>
    </row>
    <row r="206" customFormat="false" ht="15.75" hidden="false" customHeight="true" outlineLevel="0" collapsed="false">
      <c r="A206" s="12"/>
      <c r="B206" s="12"/>
      <c r="C206" s="12"/>
      <c r="D206" s="12"/>
      <c r="E206" s="12"/>
      <c r="F206" s="12"/>
      <c r="G206" s="12"/>
      <c r="H206" s="12"/>
      <c r="I206" s="12"/>
      <c r="J206" s="12"/>
      <c r="K206" s="12"/>
      <c r="L206" s="12"/>
      <c r="M206" s="12"/>
      <c r="N206" s="12"/>
      <c r="O206" s="12"/>
      <c r="P206" s="12"/>
      <c r="Q206" s="12"/>
      <c r="R206" s="12"/>
      <c r="S206" s="12"/>
      <c r="T206" s="12"/>
      <c r="U206" s="12"/>
      <c r="V206" s="12"/>
      <c r="W206" s="12"/>
      <c r="X206" s="12"/>
      <c r="Y206" s="12"/>
      <c r="Z206" s="12"/>
    </row>
    <row r="207" customFormat="false" ht="15.75" hidden="false" customHeight="true" outlineLevel="0" collapsed="false">
      <c r="A207" s="12"/>
      <c r="B207" s="12"/>
      <c r="C207" s="12"/>
      <c r="D207" s="12"/>
      <c r="E207" s="12"/>
      <c r="F207" s="12"/>
      <c r="G207" s="12"/>
      <c r="H207" s="12"/>
      <c r="I207" s="12"/>
      <c r="J207" s="12"/>
      <c r="K207" s="12"/>
      <c r="L207" s="12"/>
      <c r="M207" s="12"/>
      <c r="N207" s="12"/>
      <c r="O207" s="12"/>
      <c r="P207" s="12"/>
      <c r="Q207" s="12"/>
      <c r="R207" s="12"/>
      <c r="S207" s="12"/>
      <c r="T207" s="12"/>
      <c r="U207" s="12"/>
      <c r="V207" s="12"/>
      <c r="W207" s="12"/>
      <c r="X207" s="12"/>
      <c r="Y207" s="12"/>
      <c r="Z207" s="12"/>
    </row>
    <row r="208" customFormat="false" ht="15.75" hidden="false" customHeight="true" outlineLevel="0" collapsed="false">
      <c r="A208" s="12"/>
      <c r="B208" s="12"/>
      <c r="C208" s="12"/>
      <c r="D208" s="12"/>
      <c r="E208" s="12"/>
      <c r="F208" s="12"/>
      <c r="G208" s="12"/>
      <c r="H208" s="12"/>
      <c r="I208" s="12"/>
      <c r="J208" s="12"/>
      <c r="K208" s="12"/>
      <c r="L208" s="12"/>
      <c r="M208" s="12"/>
      <c r="N208" s="12"/>
      <c r="O208" s="12"/>
      <c r="P208" s="12"/>
      <c r="Q208" s="12"/>
      <c r="R208" s="12"/>
      <c r="S208" s="12"/>
      <c r="T208" s="12"/>
      <c r="U208" s="12"/>
      <c r="V208" s="12"/>
      <c r="W208" s="12"/>
      <c r="X208" s="12"/>
      <c r="Y208" s="12"/>
      <c r="Z208" s="12"/>
    </row>
    <row r="209" customFormat="false" ht="15.75" hidden="false" customHeight="true" outlineLevel="0" collapsed="false">
      <c r="A209" s="12"/>
      <c r="B209" s="12"/>
      <c r="C209" s="12"/>
      <c r="D209" s="12"/>
      <c r="E209" s="12"/>
      <c r="F209" s="12"/>
      <c r="G209" s="12"/>
      <c r="H209" s="12"/>
      <c r="I209" s="12"/>
      <c r="J209" s="12"/>
      <c r="K209" s="12"/>
      <c r="L209" s="12"/>
      <c r="M209" s="12"/>
      <c r="N209" s="12"/>
      <c r="O209" s="12"/>
      <c r="P209" s="12"/>
      <c r="Q209" s="12"/>
      <c r="R209" s="12"/>
      <c r="S209" s="12"/>
      <c r="T209" s="12"/>
      <c r="U209" s="12"/>
      <c r="V209" s="12"/>
      <c r="W209" s="12"/>
      <c r="X209" s="12"/>
      <c r="Y209" s="12"/>
      <c r="Z209" s="12"/>
    </row>
    <row r="210" customFormat="false" ht="15.75" hidden="false" customHeight="true" outlineLevel="0" collapsed="false">
      <c r="A210" s="12"/>
      <c r="B210" s="12"/>
      <c r="C210" s="12"/>
      <c r="D210" s="12"/>
      <c r="E210" s="12"/>
      <c r="F210" s="12"/>
      <c r="G210" s="12"/>
      <c r="H210" s="12"/>
      <c r="I210" s="12"/>
      <c r="J210" s="12"/>
      <c r="K210" s="12"/>
      <c r="L210" s="12"/>
      <c r="M210" s="12"/>
      <c r="N210" s="12"/>
      <c r="O210" s="12"/>
      <c r="P210" s="12"/>
      <c r="Q210" s="12"/>
      <c r="R210" s="12"/>
      <c r="S210" s="12"/>
      <c r="T210" s="12"/>
      <c r="U210" s="12"/>
      <c r="V210" s="12"/>
      <c r="W210" s="12"/>
      <c r="X210" s="12"/>
      <c r="Y210" s="12"/>
      <c r="Z210" s="12"/>
    </row>
    <row r="211" customFormat="false" ht="15.75" hidden="false" customHeight="true" outlineLevel="0" collapsed="false">
      <c r="A211" s="12"/>
      <c r="B211" s="12"/>
      <c r="C211" s="12"/>
      <c r="D211" s="12"/>
      <c r="E211" s="12"/>
      <c r="F211" s="12"/>
      <c r="G211" s="12"/>
      <c r="H211" s="12"/>
      <c r="I211" s="12"/>
      <c r="J211" s="12"/>
      <c r="K211" s="12"/>
      <c r="L211" s="12"/>
      <c r="M211" s="12"/>
      <c r="N211" s="12"/>
      <c r="O211" s="12"/>
      <c r="P211" s="12"/>
      <c r="Q211" s="12"/>
      <c r="R211" s="12"/>
      <c r="S211" s="12"/>
      <c r="T211" s="12"/>
      <c r="U211" s="12"/>
      <c r="V211" s="12"/>
      <c r="W211" s="12"/>
      <c r="X211" s="12"/>
      <c r="Y211" s="12"/>
      <c r="Z211" s="12"/>
    </row>
    <row r="212" customFormat="false" ht="15.75" hidden="false" customHeight="true" outlineLevel="0" collapsed="false">
      <c r="A212" s="12"/>
      <c r="B212" s="12"/>
      <c r="C212" s="12"/>
      <c r="D212" s="12"/>
      <c r="E212" s="12"/>
      <c r="F212" s="12"/>
      <c r="G212" s="12"/>
      <c r="H212" s="12"/>
      <c r="I212" s="12"/>
      <c r="J212" s="12"/>
      <c r="K212" s="12"/>
      <c r="L212" s="12"/>
      <c r="M212" s="12"/>
      <c r="N212" s="12"/>
      <c r="O212" s="12"/>
      <c r="P212" s="12"/>
      <c r="Q212" s="12"/>
      <c r="R212" s="12"/>
      <c r="S212" s="12"/>
      <c r="T212" s="12"/>
      <c r="U212" s="12"/>
      <c r="V212" s="12"/>
      <c r="W212" s="12"/>
      <c r="X212" s="12"/>
      <c r="Y212" s="12"/>
      <c r="Z212" s="12"/>
    </row>
    <row r="213" customFormat="false" ht="15.75" hidden="false" customHeight="true" outlineLevel="0" collapsed="false">
      <c r="A213" s="12"/>
      <c r="B213" s="12"/>
      <c r="C213" s="12"/>
      <c r="D213" s="12"/>
      <c r="E213" s="12"/>
      <c r="F213" s="12"/>
      <c r="G213" s="12"/>
      <c r="H213" s="12"/>
      <c r="I213" s="12"/>
      <c r="J213" s="12"/>
      <c r="K213" s="12"/>
      <c r="L213" s="12"/>
      <c r="M213" s="12"/>
      <c r="N213" s="12"/>
      <c r="O213" s="12"/>
      <c r="P213" s="12"/>
      <c r="Q213" s="12"/>
      <c r="R213" s="12"/>
      <c r="S213" s="12"/>
      <c r="T213" s="12"/>
      <c r="U213" s="12"/>
      <c r="V213" s="12"/>
      <c r="W213" s="12"/>
      <c r="X213" s="12"/>
      <c r="Y213" s="12"/>
      <c r="Z213" s="12"/>
    </row>
    <row r="214" customFormat="false" ht="15.75" hidden="false" customHeight="true" outlineLevel="0" collapsed="false">
      <c r="A214" s="12"/>
      <c r="B214" s="12"/>
      <c r="C214" s="12"/>
      <c r="D214" s="12"/>
      <c r="E214" s="12"/>
      <c r="F214" s="12"/>
      <c r="G214" s="12"/>
      <c r="H214" s="12"/>
      <c r="I214" s="12"/>
      <c r="J214" s="12"/>
      <c r="K214" s="12"/>
      <c r="L214" s="12"/>
      <c r="M214" s="12"/>
      <c r="N214" s="12"/>
      <c r="O214" s="12"/>
      <c r="P214" s="12"/>
      <c r="Q214" s="12"/>
      <c r="R214" s="12"/>
      <c r="S214" s="12"/>
      <c r="T214" s="12"/>
      <c r="U214" s="12"/>
      <c r="V214" s="12"/>
      <c r="W214" s="12"/>
      <c r="X214" s="12"/>
      <c r="Y214" s="12"/>
      <c r="Z214" s="12"/>
    </row>
    <row r="215" customFormat="false" ht="15.75" hidden="false" customHeight="true" outlineLevel="0" collapsed="false">
      <c r="A215" s="12"/>
      <c r="B215" s="12"/>
      <c r="C215" s="12"/>
      <c r="D215" s="12"/>
      <c r="E215" s="12"/>
      <c r="F215" s="12"/>
      <c r="G215" s="12"/>
      <c r="H215" s="12"/>
      <c r="I215" s="12"/>
      <c r="J215" s="12"/>
      <c r="K215" s="12"/>
      <c r="L215" s="12"/>
      <c r="M215" s="12"/>
      <c r="N215" s="12"/>
      <c r="O215" s="12"/>
      <c r="P215" s="12"/>
      <c r="Q215" s="12"/>
      <c r="R215" s="12"/>
      <c r="S215" s="12"/>
      <c r="T215" s="12"/>
      <c r="U215" s="12"/>
      <c r="V215" s="12"/>
      <c r="W215" s="12"/>
      <c r="X215" s="12"/>
      <c r="Y215" s="12"/>
      <c r="Z215" s="12"/>
    </row>
    <row r="216" customFormat="false" ht="15.75" hidden="false" customHeight="true" outlineLevel="0" collapsed="false">
      <c r="A216" s="12"/>
      <c r="B216" s="12"/>
      <c r="C216" s="12"/>
      <c r="D216" s="12"/>
      <c r="E216" s="12"/>
      <c r="F216" s="12"/>
      <c r="G216" s="12"/>
      <c r="H216" s="12"/>
      <c r="I216" s="12"/>
      <c r="J216" s="12"/>
      <c r="K216" s="12"/>
      <c r="L216" s="12"/>
      <c r="M216" s="12"/>
      <c r="N216" s="12"/>
      <c r="O216" s="12"/>
      <c r="P216" s="12"/>
      <c r="Q216" s="12"/>
      <c r="R216" s="12"/>
      <c r="S216" s="12"/>
      <c r="T216" s="12"/>
      <c r="U216" s="12"/>
      <c r="V216" s="12"/>
      <c r="W216" s="12"/>
      <c r="X216" s="12"/>
      <c r="Y216" s="12"/>
      <c r="Z216" s="12"/>
    </row>
    <row r="217" customFormat="false" ht="15.75" hidden="false" customHeight="true" outlineLevel="0" collapsed="false">
      <c r="A217" s="12"/>
      <c r="B217" s="12"/>
      <c r="C217" s="12"/>
      <c r="D217" s="12"/>
      <c r="E217" s="12"/>
      <c r="F217" s="12"/>
      <c r="G217" s="12"/>
      <c r="H217" s="12"/>
      <c r="I217" s="12"/>
      <c r="J217" s="12"/>
      <c r="K217" s="12"/>
      <c r="L217" s="12"/>
      <c r="M217" s="12"/>
      <c r="N217" s="12"/>
      <c r="O217" s="12"/>
      <c r="P217" s="12"/>
      <c r="Q217" s="12"/>
      <c r="R217" s="12"/>
      <c r="S217" s="12"/>
      <c r="T217" s="12"/>
      <c r="U217" s="12"/>
      <c r="V217" s="12"/>
      <c r="W217" s="12"/>
      <c r="X217" s="12"/>
      <c r="Y217" s="12"/>
      <c r="Z217" s="12"/>
    </row>
    <row r="218" customFormat="false" ht="15.75" hidden="false" customHeight="true" outlineLevel="0" collapsed="false">
      <c r="A218" s="12"/>
      <c r="B218" s="12"/>
      <c r="C218" s="12"/>
      <c r="D218" s="12"/>
      <c r="E218" s="12"/>
      <c r="F218" s="12"/>
      <c r="G218" s="12"/>
      <c r="H218" s="12"/>
      <c r="I218" s="12"/>
      <c r="J218" s="12"/>
      <c r="K218" s="12"/>
      <c r="L218" s="12"/>
      <c r="M218" s="12"/>
      <c r="N218" s="12"/>
      <c r="O218" s="12"/>
      <c r="P218" s="12"/>
      <c r="Q218" s="12"/>
      <c r="R218" s="12"/>
      <c r="S218" s="12"/>
      <c r="T218" s="12"/>
      <c r="U218" s="12"/>
      <c r="V218" s="12"/>
      <c r="W218" s="12"/>
      <c r="X218" s="12"/>
      <c r="Y218" s="12"/>
      <c r="Z218" s="12"/>
    </row>
    <row r="219" customFormat="false" ht="15.75" hidden="false" customHeight="true" outlineLevel="0" collapsed="false">
      <c r="A219" s="12"/>
      <c r="B219" s="12"/>
      <c r="C219" s="12"/>
      <c r="D219" s="12"/>
      <c r="E219" s="12"/>
      <c r="F219" s="12"/>
      <c r="G219" s="12"/>
      <c r="H219" s="12"/>
      <c r="I219" s="12"/>
      <c r="J219" s="12"/>
      <c r="K219" s="12"/>
      <c r="L219" s="12"/>
      <c r="M219" s="12"/>
      <c r="N219" s="12"/>
      <c r="O219" s="12"/>
      <c r="P219" s="12"/>
      <c r="Q219" s="12"/>
      <c r="R219" s="12"/>
      <c r="S219" s="12"/>
      <c r="T219" s="12"/>
      <c r="U219" s="12"/>
      <c r="V219" s="12"/>
      <c r="W219" s="12"/>
      <c r="X219" s="12"/>
      <c r="Y219" s="12"/>
      <c r="Z219" s="12"/>
    </row>
    <row r="220" customFormat="false" ht="15.75" hidden="false" customHeight="true" outlineLevel="0" collapsed="false">
      <c r="A220" s="12"/>
      <c r="B220" s="12"/>
      <c r="C220" s="12"/>
      <c r="D220" s="12"/>
      <c r="E220" s="12"/>
      <c r="F220" s="12"/>
      <c r="G220" s="12"/>
      <c r="H220" s="12"/>
      <c r="I220" s="12"/>
      <c r="J220" s="12"/>
      <c r="K220" s="12"/>
      <c r="L220" s="12"/>
      <c r="M220" s="12"/>
      <c r="N220" s="12"/>
      <c r="O220" s="12"/>
      <c r="P220" s="12"/>
      <c r="Q220" s="12"/>
      <c r="R220" s="12"/>
      <c r="S220" s="12"/>
      <c r="T220" s="12"/>
      <c r="U220" s="12"/>
      <c r="V220" s="12"/>
      <c r="W220" s="12"/>
      <c r="X220" s="12"/>
      <c r="Y220" s="12"/>
      <c r="Z220" s="12"/>
    </row>
    <row r="221" customFormat="false" ht="15.75" hidden="false" customHeight="true" outlineLevel="0" collapsed="false">
      <c r="A221" s="12"/>
      <c r="B221" s="12"/>
      <c r="C221" s="12"/>
      <c r="D221" s="12"/>
      <c r="E221" s="12"/>
      <c r="F221" s="12"/>
      <c r="G221" s="12"/>
      <c r="H221" s="12"/>
      <c r="I221" s="12"/>
      <c r="J221" s="12"/>
      <c r="K221" s="12"/>
      <c r="L221" s="12"/>
      <c r="M221" s="12"/>
      <c r="N221" s="12"/>
      <c r="O221" s="12"/>
      <c r="P221" s="12"/>
      <c r="Q221" s="12"/>
      <c r="R221" s="12"/>
      <c r="S221" s="12"/>
      <c r="T221" s="12"/>
      <c r="U221" s="12"/>
      <c r="V221" s="12"/>
      <c r="W221" s="12"/>
      <c r="X221" s="12"/>
      <c r="Y221" s="12"/>
      <c r="Z221" s="12"/>
    </row>
    <row r="222" customFormat="false" ht="15.75" hidden="false" customHeight="true" outlineLevel="0" collapsed="false">
      <c r="A222" s="12"/>
      <c r="B222" s="12"/>
      <c r="C222" s="12"/>
      <c r="D222" s="12"/>
      <c r="E222" s="12"/>
      <c r="F222" s="12"/>
      <c r="G222" s="12"/>
      <c r="H222" s="12"/>
      <c r="I222" s="12"/>
      <c r="J222" s="12"/>
      <c r="K222" s="12"/>
      <c r="L222" s="12"/>
      <c r="M222" s="12"/>
      <c r="N222" s="12"/>
      <c r="O222" s="12"/>
      <c r="P222" s="12"/>
      <c r="Q222" s="12"/>
      <c r="R222" s="12"/>
      <c r="S222" s="12"/>
      <c r="T222" s="12"/>
      <c r="U222" s="12"/>
      <c r="V222" s="12"/>
      <c r="W222" s="12"/>
      <c r="X222" s="12"/>
      <c r="Y222" s="12"/>
      <c r="Z222" s="12"/>
    </row>
    <row r="223" customFormat="false" ht="15.75" hidden="false" customHeight="true" outlineLevel="0" collapsed="false">
      <c r="A223" s="12"/>
      <c r="B223" s="12"/>
      <c r="C223" s="12"/>
      <c r="D223" s="12"/>
      <c r="E223" s="12"/>
      <c r="F223" s="12"/>
      <c r="G223" s="12"/>
      <c r="H223" s="12"/>
      <c r="I223" s="12"/>
      <c r="J223" s="12"/>
      <c r="K223" s="12"/>
      <c r="L223" s="12"/>
      <c r="M223" s="12"/>
      <c r="N223" s="12"/>
      <c r="O223" s="12"/>
      <c r="P223" s="12"/>
      <c r="Q223" s="12"/>
      <c r="R223" s="12"/>
      <c r="S223" s="12"/>
      <c r="T223" s="12"/>
      <c r="U223" s="12"/>
      <c r="V223" s="12"/>
      <c r="W223" s="12"/>
      <c r="X223" s="12"/>
      <c r="Y223" s="12"/>
      <c r="Z223" s="12"/>
    </row>
    <row r="224" customFormat="false" ht="15.75" hidden="false" customHeight="true" outlineLevel="0" collapsed="false">
      <c r="A224" s="12"/>
      <c r="B224" s="12"/>
      <c r="C224" s="12"/>
      <c r="D224" s="12"/>
      <c r="E224" s="12"/>
      <c r="F224" s="12"/>
      <c r="G224" s="12"/>
      <c r="H224" s="12"/>
      <c r="I224" s="12"/>
      <c r="J224" s="12"/>
      <c r="K224" s="12"/>
      <c r="L224" s="12"/>
      <c r="M224" s="12"/>
      <c r="N224" s="12"/>
      <c r="O224" s="12"/>
      <c r="P224" s="12"/>
      <c r="Q224" s="12"/>
      <c r="R224" s="12"/>
      <c r="S224" s="12"/>
      <c r="T224" s="12"/>
      <c r="U224" s="12"/>
      <c r="V224" s="12"/>
      <c r="W224" s="12"/>
      <c r="X224" s="12"/>
      <c r="Y224" s="12"/>
      <c r="Z224" s="12"/>
    </row>
    <row r="225" customFormat="false" ht="15.75" hidden="false" customHeight="true" outlineLevel="0" collapsed="false">
      <c r="A225" s="12"/>
      <c r="B225" s="12"/>
      <c r="C225" s="12"/>
      <c r="D225" s="12"/>
      <c r="E225" s="12"/>
      <c r="F225" s="12"/>
      <c r="G225" s="12"/>
      <c r="H225" s="12"/>
      <c r="I225" s="12"/>
      <c r="J225" s="12"/>
      <c r="K225" s="12"/>
      <c r="L225" s="12"/>
      <c r="M225" s="12"/>
      <c r="N225" s="12"/>
      <c r="O225" s="12"/>
      <c r="P225" s="12"/>
      <c r="Q225" s="12"/>
      <c r="R225" s="12"/>
      <c r="S225" s="12"/>
      <c r="T225" s="12"/>
      <c r="U225" s="12"/>
      <c r="V225" s="12"/>
      <c r="W225" s="12"/>
      <c r="X225" s="12"/>
      <c r="Y225" s="12"/>
      <c r="Z225" s="12"/>
    </row>
    <row r="226" customFormat="false" ht="15.75" hidden="false" customHeight="true" outlineLevel="0" collapsed="false">
      <c r="A226" s="12"/>
      <c r="B226" s="12"/>
      <c r="C226" s="12"/>
      <c r="D226" s="12"/>
      <c r="E226" s="12"/>
      <c r="F226" s="12"/>
      <c r="G226" s="12"/>
      <c r="H226" s="12"/>
      <c r="I226" s="12"/>
      <c r="J226" s="12"/>
      <c r="K226" s="12"/>
      <c r="L226" s="12"/>
      <c r="M226" s="12"/>
      <c r="N226" s="12"/>
      <c r="O226" s="12"/>
      <c r="P226" s="12"/>
      <c r="Q226" s="12"/>
      <c r="R226" s="12"/>
      <c r="S226" s="12"/>
      <c r="T226" s="12"/>
      <c r="U226" s="12"/>
      <c r="V226" s="12"/>
      <c r="W226" s="12"/>
      <c r="X226" s="12"/>
      <c r="Y226" s="12"/>
      <c r="Z226" s="12"/>
    </row>
    <row r="227" customFormat="false" ht="15.75" hidden="false" customHeight="true" outlineLevel="0" collapsed="false">
      <c r="A227" s="12"/>
      <c r="B227" s="12"/>
      <c r="C227" s="12"/>
      <c r="D227" s="12"/>
      <c r="E227" s="12"/>
      <c r="F227" s="12"/>
      <c r="G227" s="12"/>
      <c r="H227" s="12"/>
      <c r="I227" s="12"/>
      <c r="J227" s="12"/>
      <c r="K227" s="12"/>
      <c r="L227" s="12"/>
      <c r="M227" s="12"/>
      <c r="N227" s="12"/>
      <c r="O227" s="12"/>
      <c r="P227" s="12"/>
      <c r="Q227" s="12"/>
      <c r="R227" s="12"/>
      <c r="S227" s="12"/>
      <c r="T227" s="12"/>
      <c r="U227" s="12"/>
      <c r="V227" s="12"/>
      <c r="W227" s="12"/>
      <c r="X227" s="12"/>
      <c r="Y227" s="12"/>
      <c r="Z227" s="12"/>
    </row>
    <row r="228" customFormat="false" ht="15.75" hidden="false" customHeight="true" outlineLevel="0" collapsed="false">
      <c r="A228" s="12"/>
      <c r="B228" s="12"/>
      <c r="C228" s="12"/>
      <c r="D228" s="12"/>
      <c r="E228" s="12"/>
      <c r="F228" s="12"/>
      <c r="G228" s="12"/>
      <c r="H228" s="12"/>
      <c r="I228" s="12"/>
      <c r="J228" s="12"/>
      <c r="K228" s="12"/>
      <c r="L228" s="12"/>
      <c r="M228" s="12"/>
      <c r="N228" s="12"/>
      <c r="O228" s="12"/>
      <c r="P228" s="12"/>
      <c r="Q228" s="12"/>
      <c r="R228" s="12"/>
      <c r="S228" s="12"/>
      <c r="T228" s="12"/>
      <c r="U228" s="12"/>
      <c r="V228" s="12"/>
      <c r="W228" s="12"/>
      <c r="X228" s="12"/>
      <c r="Y228" s="12"/>
      <c r="Z228" s="12"/>
    </row>
    <row r="229" customFormat="false" ht="15.75" hidden="false" customHeight="true" outlineLevel="0" collapsed="false">
      <c r="A229" s="12"/>
      <c r="B229" s="12"/>
      <c r="C229" s="12"/>
      <c r="D229" s="12"/>
      <c r="E229" s="12"/>
      <c r="F229" s="12"/>
      <c r="G229" s="12"/>
      <c r="H229" s="12"/>
      <c r="I229" s="12"/>
      <c r="J229" s="12"/>
      <c r="K229" s="12"/>
      <c r="L229" s="12"/>
      <c r="M229" s="12"/>
      <c r="N229" s="12"/>
      <c r="O229" s="12"/>
      <c r="P229" s="12"/>
      <c r="Q229" s="12"/>
      <c r="R229" s="12"/>
      <c r="S229" s="12"/>
      <c r="T229" s="12"/>
      <c r="U229" s="12"/>
      <c r="V229" s="12"/>
      <c r="W229" s="12"/>
      <c r="X229" s="12"/>
      <c r="Y229" s="12"/>
      <c r="Z229" s="12"/>
    </row>
    <row r="230" customFormat="false" ht="15.75" hidden="false" customHeight="true" outlineLevel="0" collapsed="false">
      <c r="A230" s="12"/>
      <c r="B230" s="12"/>
      <c r="C230" s="12"/>
      <c r="D230" s="12"/>
      <c r="E230" s="12"/>
      <c r="F230" s="12"/>
      <c r="G230" s="12"/>
      <c r="H230" s="12"/>
      <c r="I230" s="12"/>
      <c r="J230" s="12"/>
      <c r="K230" s="12"/>
      <c r="L230" s="12"/>
      <c r="M230" s="12"/>
      <c r="N230" s="12"/>
      <c r="O230" s="12"/>
      <c r="P230" s="12"/>
      <c r="Q230" s="12"/>
      <c r="R230" s="12"/>
      <c r="S230" s="12"/>
      <c r="T230" s="12"/>
      <c r="U230" s="12"/>
      <c r="V230" s="12"/>
      <c r="W230" s="12"/>
      <c r="X230" s="12"/>
      <c r="Y230" s="12"/>
      <c r="Z230" s="12"/>
    </row>
    <row r="231" customFormat="false" ht="15.75" hidden="false" customHeight="true" outlineLevel="0" collapsed="false">
      <c r="A231" s="12"/>
      <c r="B231" s="12"/>
      <c r="C231" s="12"/>
      <c r="D231" s="12"/>
      <c r="E231" s="12"/>
      <c r="F231" s="12"/>
      <c r="G231" s="12"/>
      <c r="H231" s="12"/>
      <c r="I231" s="12"/>
      <c r="J231" s="12"/>
      <c r="K231" s="12"/>
      <c r="L231" s="12"/>
      <c r="M231" s="12"/>
      <c r="N231" s="12"/>
      <c r="O231" s="12"/>
      <c r="P231" s="12"/>
      <c r="Q231" s="12"/>
      <c r="R231" s="12"/>
      <c r="S231" s="12"/>
      <c r="T231" s="12"/>
      <c r="U231" s="12"/>
      <c r="V231" s="12"/>
      <c r="W231" s="12"/>
      <c r="X231" s="12"/>
      <c r="Y231" s="12"/>
      <c r="Z231" s="12"/>
    </row>
    <row r="232" customFormat="false" ht="15.75" hidden="false" customHeight="true" outlineLevel="0" collapsed="false">
      <c r="A232" s="12"/>
      <c r="B232" s="12"/>
      <c r="C232" s="12"/>
      <c r="D232" s="12"/>
      <c r="E232" s="12"/>
      <c r="F232" s="12"/>
      <c r="G232" s="12"/>
      <c r="H232" s="12"/>
      <c r="I232" s="12"/>
      <c r="J232" s="12"/>
      <c r="K232" s="12"/>
      <c r="L232" s="12"/>
      <c r="M232" s="12"/>
      <c r="N232" s="12"/>
      <c r="O232" s="12"/>
      <c r="P232" s="12"/>
      <c r="Q232" s="12"/>
      <c r="R232" s="12"/>
      <c r="S232" s="12"/>
      <c r="T232" s="12"/>
      <c r="U232" s="12"/>
      <c r="V232" s="12"/>
      <c r="W232" s="12"/>
      <c r="X232" s="12"/>
      <c r="Y232" s="12"/>
      <c r="Z232" s="12"/>
    </row>
    <row r="233" customFormat="false" ht="15.75" hidden="false" customHeight="true" outlineLevel="0" collapsed="false">
      <c r="A233" s="12"/>
      <c r="B233" s="12"/>
      <c r="C233" s="12"/>
      <c r="D233" s="12"/>
      <c r="E233" s="12"/>
      <c r="F233" s="12"/>
      <c r="G233" s="12"/>
      <c r="H233" s="12"/>
      <c r="I233" s="12"/>
      <c r="J233" s="12"/>
      <c r="K233" s="12"/>
      <c r="L233" s="12"/>
      <c r="M233" s="12"/>
      <c r="N233" s="12"/>
      <c r="O233" s="12"/>
      <c r="P233" s="12"/>
      <c r="Q233" s="12"/>
      <c r="R233" s="12"/>
      <c r="S233" s="12"/>
      <c r="T233" s="12"/>
      <c r="U233" s="12"/>
      <c r="V233" s="12"/>
      <c r="W233" s="12"/>
      <c r="X233" s="12"/>
      <c r="Y233" s="12"/>
      <c r="Z233" s="12"/>
    </row>
    <row r="234" customFormat="false" ht="15.75" hidden="false" customHeight="true" outlineLevel="0" collapsed="false">
      <c r="A234" s="12"/>
      <c r="B234" s="12"/>
      <c r="C234" s="12"/>
      <c r="D234" s="12"/>
      <c r="E234" s="12"/>
      <c r="F234" s="12"/>
      <c r="G234" s="12"/>
      <c r="H234" s="12"/>
      <c r="I234" s="12"/>
      <c r="J234" s="12"/>
      <c r="K234" s="12"/>
      <c r="L234" s="12"/>
      <c r="M234" s="12"/>
      <c r="N234" s="12"/>
      <c r="O234" s="12"/>
      <c r="P234" s="12"/>
      <c r="Q234" s="12"/>
      <c r="R234" s="12"/>
      <c r="S234" s="12"/>
      <c r="T234" s="12"/>
      <c r="U234" s="12"/>
      <c r="V234" s="12"/>
      <c r="W234" s="12"/>
      <c r="X234" s="12"/>
      <c r="Y234" s="12"/>
      <c r="Z234" s="12"/>
    </row>
    <row r="235" customFormat="false" ht="15.75" hidden="false" customHeight="true" outlineLevel="0" collapsed="false">
      <c r="A235" s="12"/>
      <c r="B235" s="12"/>
      <c r="C235" s="12"/>
      <c r="D235" s="12"/>
      <c r="E235" s="12"/>
      <c r="F235" s="12"/>
      <c r="G235" s="12"/>
      <c r="H235" s="12"/>
      <c r="I235" s="12"/>
      <c r="J235" s="12"/>
      <c r="K235" s="12"/>
      <c r="L235" s="12"/>
      <c r="M235" s="12"/>
      <c r="N235" s="12"/>
      <c r="O235" s="12"/>
      <c r="P235" s="12"/>
      <c r="Q235" s="12"/>
      <c r="R235" s="12"/>
      <c r="S235" s="12"/>
      <c r="T235" s="12"/>
      <c r="U235" s="12"/>
      <c r="V235" s="12"/>
      <c r="W235" s="12"/>
      <c r="X235" s="12"/>
      <c r="Y235" s="12"/>
      <c r="Z235" s="12"/>
    </row>
    <row r="236" customFormat="false" ht="15.75" hidden="false" customHeight="true" outlineLevel="0" collapsed="false">
      <c r="A236" s="12"/>
      <c r="B236" s="12"/>
      <c r="C236" s="12"/>
      <c r="D236" s="12"/>
      <c r="E236" s="12"/>
      <c r="F236" s="12"/>
      <c r="G236" s="12"/>
      <c r="H236" s="12"/>
      <c r="I236" s="12"/>
      <c r="J236" s="12"/>
      <c r="K236" s="12"/>
      <c r="L236" s="12"/>
      <c r="M236" s="12"/>
      <c r="N236" s="12"/>
      <c r="O236" s="12"/>
      <c r="P236" s="12"/>
      <c r="Q236" s="12"/>
      <c r="R236" s="12"/>
      <c r="S236" s="12"/>
      <c r="T236" s="12"/>
      <c r="U236" s="12"/>
      <c r="V236" s="12"/>
      <c r="W236" s="12"/>
      <c r="X236" s="12"/>
      <c r="Y236" s="12"/>
      <c r="Z236" s="12"/>
    </row>
    <row r="237" customFormat="false" ht="15.75" hidden="false" customHeight="true" outlineLevel="0" collapsed="false">
      <c r="A237" s="12"/>
      <c r="B237" s="12"/>
      <c r="C237" s="12"/>
      <c r="D237" s="12"/>
      <c r="E237" s="12"/>
      <c r="F237" s="12"/>
      <c r="G237" s="12"/>
      <c r="H237" s="12"/>
      <c r="I237" s="12"/>
      <c r="J237" s="12"/>
      <c r="K237" s="12"/>
      <c r="L237" s="12"/>
      <c r="M237" s="12"/>
      <c r="N237" s="12"/>
      <c r="O237" s="12"/>
      <c r="P237" s="12"/>
      <c r="Q237" s="12"/>
      <c r="R237" s="12"/>
      <c r="S237" s="12"/>
      <c r="T237" s="12"/>
      <c r="U237" s="12"/>
      <c r="V237" s="12"/>
      <c r="W237" s="12"/>
      <c r="X237" s="12"/>
      <c r="Y237" s="12"/>
      <c r="Z237" s="12"/>
    </row>
    <row r="238" customFormat="false" ht="15.75" hidden="false" customHeight="true" outlineLevel="0" collapsed="false">
      <c r="A238" s="12"/>
      <c r="B238" s="12"/>
      <c r="C238" s="12"/>
      <c r="D238" s="12"/>
      <c r="E238" s="12"/>
      <c r="F238" s="12"/>
      <c r="G238" s="12"/>
      <c r="H238" s="12"/>
      <c r="I238" s="12"/>
      <c r="J238" s="12"/>
      <c r="K238" s="12"/>
      <c r="L238" s="12"/>
      <c r="M238" s="12"/>
      <c r="N238" s="12"/>
      <c r="O238" s="12"/>
      <c r="P238" s="12"/>
      <c r="Q238" s="12"/>
      <c r="R238" s="12"/>
      <c r="S238" s="12"/>
      <c r="T238" s="12"/>
      <c r="U238" s="12"/>
      <c r="V238" s="12"/>
      <c r="W238" s="12"/>
      <c r="X238" s="12"/>
      <c r="Y238" s="12"/>
      <c r="Z238" s="12"/>
    </row>
    <row r="239" customFormat="false" ht="15.75" hidden="false" customHeight="true" outlineLevel="0" collapsed="false">
      <c r="A239" s="12"/>
      <c r="B239" s="12"/>
      <c r="C239" s="12"/>
      <c r="D239" s="12"/>
      <c r="E239" s="12"/>
      <c r="F239" s="12"/>
      <c r="G239" s="12"/>
      <c r="H239" s="12"/>
      <c r="I239" s="12"/>
      <c r="J239" s="12"/>
      <c r="K239" s="12"/>
      <c r="L239" s="12"/>
      <c r="M239" s="12"/>
      <c r="N239" s="12"/>
      <c r="O239" s="12"/>
      <c r="P239" s="12"/>
      <c r="Q239" s="12"/>
      <c r="R239" s="12"/>
      <c r="S239" s="12"/>
      <c r="T239" s="12"/>
      <c r="U239" s="12"/>
      <c r="V239" s="12"/>
      <c r="W239" s="12"/>
      <c r="X239" s="12"/>
      <c r="Y239" s="12"/>
      <c r="Z239" s="12"/>
    </row>
    <row r="240" customFormat="false" ht="15.75" hidden="false" customHeight="true" outlineLevel="0" collapsed="false">
      <c r="A240" s="12"/>
      <c r="B240" s="12"/>
      <c r="C240" s="12"/>
      <c r="D240" s="12"/>
      <c r="E240" s="12"/>
      <c r="F240" s="12"/>
      <c r="G240" s="12"/>
      <c r="H240" s="12"/>
      <c r="I240" s="12"/>
      <c r="J240" s="12"/>
      <c r="K240" s="12"/>
      <c r="L240" s="12"/>
      <c r="M240" s="12"/>
      <c r="N240" s="12"/>
      <c r="O240" s="12"/>
      <c r="P240" s="12"/>
      <c r="Q240" s="12"/>
      <c r="R240" s="12"/>
      <c r="S240" s="12"/>
      <c r="T240" s="12"/>
      <c r="U240" s="12"/>
      <c r="V240" s="12"/>
      <c r="W240" s="12"/>
      <c r="X240" s="12"/>
      <c r="Y240" s="12"/>
      <c r="Z240" s="12"/>
    </row>
    <row r="241" customFormat="false" ht="15.75" hidden="false" customHeight="true" outlineLevel="0" collapsed="false">
      <c r="A241" s="12"/>
      <c r="B241" s="12"/>
      <c r="C241" s="12"/>
      <c r="D241" s="12"/>
      <c r="E241" s="12"/>
      <c r="F241" s="12"/>
      <c r="G241" s="12"/>
      <c r="H241" s="12"/>
      <c r="I241" s="12"/>
      <c r="J241" s="12"/>
      <c r="K241" s="12"/>
      <c r="L241" s="12"/>
      <c r="M241" s="12"/>
      <c r="N241" s="12"/>
      <c r="O241" s="12"/>
      <c r="P241" s="12"/>
      <c r="Q241" s="12"/>
      <c r="R241" s="12"/>
      <c r="S241" s="12"/>
      <c r="T241" s="12"/>
      <c r="U241" s="12"/>
      <c r="V241" s="12"/>
      <c r="W241" s="12"/>
      <c r="X241" s="12"/>
      <c r="Y241" s="12"/>
      <c r="Z241" s="12"/>
    </row>
    <row r="242" customFormat="false" ht="15.75" hidden="false" customHeight="true" outlineLevel="0" collapsed="false">
      <c r="A242" s="12"/>
      <c r="B242" s="12"/>
      <c r="C242" s="12"/>
      <c r="D242" s="12"/>
      <c r="E242" s="12"/>
      <c r="F242" s="12"/>
      <c r="G242" s="12"/>
      <c r="H242" s="12"/>
      <c r="I242" s="12"/>
      <c r="J242" s="12"/>
      <c r="K242" s="12"/>
      <c r="L242" s="12"/>
      <c r="M242" s="12"/>
      <c r="N242" s="12"/>
      <c r="O242" s="12"/>
      <c r="P242" s="12"/>
      <c r="Q242" s="12"/>
      <c r="R242" s="12"/>
      <c r="S242" s="12"/>
      <c r="T242" s="12"/>
      <c r="U242" s="12"/>
      <c r="V242" s="12"/>
      <c r="W242" s="12"/>
      <c r="X242" s="12"/>
      <c r="Y242" s="12"/>
      <c r="Z242" s="12"/>
    </row>
    <row r="243" customFormat="false" ht="15.75" hidden="false" customHeight="true" outlineLevel="0" collapsed="false">
      <c r="A243" s="12"/>
      <c r="B243" s="12"/>
      <c r="C243" s="12"/>
      <c r="D243" s="12"/>
      <c r="E243" s="12"/>
      <c r="F243" s="12"/>
      <c r="G243" s="12"/>
      <c r="H243" s="12"/>
      <c r="I243" s="12"/>
      <c r="J243" s="12"/>
      <c r="K243" s="12"/>
      <c r="L243" s="12"/>
      <c r="M243" s="12"/>
      <c r="N243" s="12"/>
      <c r="O243" s="12"/>
      <c r="P243" s="12"/>
      <c r="Q243" s="12"/>
      <c r="R243" s="12"/>
      <c r="S243" s="12"/>
      <c r="T243" s="12"/>
      <c r="U243" s="12"/>
      <c r="V243" s="12"/>
      <c r="W243" s="12"/>
      <c r="X243" s="12"/>
      <c r="Y243" s="12"/>
      <c r="Z243" s="12"/>
    </row>
    <row r="244" customFormat="false" ht="15.75" hidden="false" customHeight="true" outlineLevel="0" collapsed="false">
      <c r="A244" s="12"/>
      <c r="B244" s="12"/>
      <c r="C244" s="12"/>
      <c r="D244" s="12"/>
      <c r="E244" s="12"/>
      <c r="F244" s="12"/>
      <c r="G244" s="12"/>
      <c r="H244" s="12"/>
      <c r="I244" s="12"/>
      <c r="J244" s="12"/>
      <c r="K244" s="12"/>
      <c r="L244" s="12"/>
      <c r="M244" s="12"/>
      <c r="N244" s="12"/>
      <c r="O244" s="12"/>
      <c r="P244" s="12"/>
      <c r="Q244" s="12"/>
      <c r="R244" s="12"/>
      <c r="S244" s="12"/>
      <c r="T244" s="12"/>
      <c r="U244" s="12"/>
      <c r="V244" s="12"/>
      <c r="W244" s="12"/>
      <c r="X244" s="12"/>
      <c r="Y244" s="12"/>
      <c r="Z244" s="12"/>
    </row>
    <row r="245" customFormat="false" ht="15.75" hidden="false" customHeight="true" outlineLevel="0" collapsed="false">
      <c r="A245" s="12"/>
      <c r="B245" s="12"/>
      <c r="C245" s="12"/>
      <c r="D245" s="12"/>
      <c r="E245" s="12"/>
      <c r="F245" s="12"/>
      <c r="G245" s="12"/>
      <c r="H245" s="12"/>
      <c r="I245" s="12"/>
      <c r="J245" s="12"/>
      <c r="K245" s="12"/>
      <c r="L245" s="12"/>
      <c r="M245" s="12"/>
      <c r="N245" s="12"/>
      <c r="O245" s="12"/>
      <c r="P245" s="12"/>
      <c r="Q245" s="12"/>
      <c r="R245" s="12"/>
      <c r="S245" s="12"/>
      <c r="T245" s="12"/>
      <c r="U245" s="12"/>
      <c r="V245" s="12"/>
      <c r="W245" s="12"/>
      <c r="X245" s="12"/>
      <c r="Y245" s="12"/>
      <c r="Z245" s="12"/>
    </row>
    <row r="246" customFormat="false" ht="15.75" hidden="false" customHeight="true" outlineLevel="0" collapsed="false">
      <c r="A246" s="12"/>
      <c r="B246" s="12"/>
      <c r="C246" s="12"/>
      <c r="D246" s="12"/>
      <c r="E246" s="12"/>
      <c r="F246" s="12"/>
      <c r="G246" s="12"/>
      <c r="H246" s="12"/>
      <c r="I246" s="12"/>
      <c r="J246" s="12"/>
      <c r="K246" s="12"/>
      <c r="L246" s="12"/>
      <c r="M246" s="12"/>
      <c r="N246" s="12"/>
      <c r="O246" s="12"/>
      <c r="P246" s="12"/>
      <c r="Q246" s="12"/>
      <c r="R246" s="12"/>
      <c r="S246" s="12"/>
      <c r="T246" s="12"/>
      <c r="U246" s="12"/>
      <c r="V246" s="12"/>
      <c r="W246" s="12"/>
      <c r="X246" s="12"/>
      <c r="Y246" s="12"/>
      <c r="Z246" s="12"/>
    </row>
    <row r="247" customFormat="false" ht="15.75" hidden="false" customHeight="true" outlineLevel="0" collapsed="false">
      <c r="A247" s="12"/>
      <c r="B247" s="12"/>
      <c r="C247" s="12"/>
      <c r="D247" s="12"/>
      <c r="E247" s="12"/>
      <c r="F247" s="12"/>
      <c r="G247" s="12"/>
      <c r="H247" s="12"/>
      <c r="I247" s="12"/>
      <c r="J247" s="12"/>
      <c r="K247" s="12"/>
      <c r="L247" s="12"/>
      <c r="M247" s="12"/>
      <c r="N247" s="12"/>
      <c r="O247" s="12"/>
      <c r="P247" s="12"/>
      <c r="Q247" s="12"/>
      <c r="R247" s="12"/>
      <c r="S247" s="12"/>
      <c r="T247" s="12"/>
      <c r="U247" s="12"/>
      <c r="V247" s="12"/>
      <c r="W247" s="12"/>
      <c r="X247" s="12"/>
      <c r="Y247" s="12"/>
      <c r="Z247" s="12"/>
    </row>
    <row r="248" customFormat="false" ht="15.75" hidden="false" customHeight="true" outlineLevel="0" collapsed="false">
      <c r="A248" s="12"/>
      <c r="B248" s="12"/>
      <c r="C248" s="12"/>
      <c r="D248" s="12"/>
      <c r="E248" s="12"/>
      <c r="F248" s="12"/>
      <c r="G248" s="12"/>
      <c r="H248" s="12"/>
      <c r="I248" s="12"/>
      <c r="J248" s="12"/>
      <c r="K248" s="12"/>
      <c r="L248" s="12"/>
      <c r="M248" s="12"/>
      <c r="N248" s="12"/>
      <c r="O248" s="12"/>
      <c r="P248" s="12"/>
      <c r="Q248" s="12"/>
      <c r="R248" s="12"/>
      <c r="S248" s="12"/>
      <c r="T248" s="12"/>
      <c r="U248" s="12"/>
      <c r="V248" s="12"/>
      <c r="W248" s="12"/>
      <c r="X248" s="12"/>
      <c r="Y248" s="12"/>
      <c r="Z248" s="12"/>
    </row>
    <row r="249" customFormat="false" ht="15.75" hidden="false" customHeight="true" outlineLevel="0" collapsed="false">
      <c r="A249" s="12"/>
      <c r="B249" s="12"/>
      <c r="C249" s="12"/>
      <c r="D249" s="12"/>
      <c r="E249" s="12"/>
      <c r="F249" s="12"/>
      <c r="G249" s="12"/>
      <c r="H249" s="12"/>
      <c r="I249" s="12"/>
      <c r="J249" s="12"/>
      <c r="K249" s="12"/>
      <c r="L249" s="12"/>
      <c r="M249" s="12"/>
      <c r="N249" s="12"/>
      <c r="O249" s="12"/>
      <c r="P249" s="12"/>
      <c r="Q249" s="12"/>
      <c r="R249" s="12"/>
      <c r="S249" s="12"/>
      <c r="T249" s="12"/>
      <c r="U249" s="12"/>
      <c r="V249" s="12"/>
      <c r="W249" s="12"/>
      <c r="X249" s="12"/>
      <c r="Y249" s="12"/>
      <c r="Z249" s="12"/>
    </row>
    <row r="250" customFormat="false" ht="15.75" hidden="false" customHeight="true" outlineLevel="0" collapsed="false">
      <c r="A250" s="12"/>
      <c r="B250" s="12"/>
      <c r="C250" s="12"/>
      <c r="D250" s="12"/>
      <c r="E250" s="12"/>
      <c r="F250" s="12"/>
      <c r="G250" s="12"/>
      <c r="H250" s="12"/>
      <c r="I250" s="12"/>
      <c r="J250" s="12"/>
      <c r="K250" s="12"/>
      <c r="L250" s="12"/>
      <c r="M250" s="12"/>
      <c r="N250" s="12"/>
      <c r="O250" s="12"/>
      <c r="P250" s="12"/>
      <c r="Q250" s="12"/>
      <c r="R250" s="12"/>
      <c r="S250" s="12"/>
      <c r="T250" s="12"/>
      <c r="U250" s="12"/>
      <c r="V250" s="12"/>
      <c r="W250" s="12"/>
      <c r="X250" s="12"/>
      <c r="Y250" s="12"/>
      <c r="Z250" s="12"/>
    </row>
    <row r="251" customFormat="false" ht="15.75" hidden="false" customHeight="true" outlineLevel="0" collapsed="false">
      <c r="A251" s="12"/>
      <c r="B251" s="12"/>
      <c r="C251" s="12"/>
      <c r="D251" s="12"/>
      <c r="E251" s="12"/>
      <c r="F251" s="12"/>
      <c r="G251" s="12"/>
      <c r="H251" s="12"/>
      <c r="I251" s="12"/>
      <c r="J251" s="12"/>
      <c r="K251" s="12"/>
      <c r="L251" s="12"/>
      <c r="M251" s="12"/>
      <c r="N251" s="12"/>
      <c r="O251" s="12"/>
      <c r="P251" s="12"/>
      <c r="Q251" s="12"/>
      <c r="R251" s="12"/>
      <c r="S251" s="12"/>
      <c r="T251" s="12"/>
      <c r="U251" s="12"/>
      <c r="V251" s="12"/>
      <c r="W251" s="12"/>
      <c r="X251" s="12"/>
      <c r="Y251" s="12"/>
      <c r="Z251" s="12"/>
    </row>
    <row r="252" customFormat="false" ht="15.75" hidden="false" customHeight="true" outlineLevel="0" collapsed="false">
      <c r="A252" s="12"/>
      <c r="B252" s="12"/>
      <c r="C252" s="12"/>
      <c r="D252" s="12"/>
      <c r="E252" s="12"/>
      <c r="F252" s="12"/>
      <c r="G252" s="12"/>
      <c r="H252" s="12"/>
      <c r="I252" s="12"/>
      <c r="J252" s="12"/>
      <c r="K252" s="12"/>
      <c r="L252" s="12"/>
      <c r="M252" s="12"/>
      <c r="N252" s="12"/>
      <c r="O252" s="12"/>
      <c r="P252" s="12"/>
      <c r="Q252" s="12"/>
      <c r="R252" s="12"/>
      <c r="S252" s="12"/>
      <c r="T252" s="12"/>
      <c r="U252" s="12"/>
      <c r="V252" s="12"/>
      <c r="W252" s="12"/>
      <c r="X252" s="12"/>
      <c r="Y252" s="12"/>
      <c r="Z252" s="12"/>
    </row>
    <row r="253" customFormat="false" ht="15.75" hidden="false" customHeight="true" outlineLevel="0" collapsed="false">
      <c r="A253" s="12"/>
      <c r="B253" s="12"/>
      <c r="C253" s="12"/>
      <c r="D253" s="12"/>
      <c r="E253" s="12"/>
      <c r="F253" s="12"/>
      <c r="G253" s="12"/>
      <c r="H253" s="12"/>
      <c r="I253" s="12"/>
      <c r="J253" s="12"/>
      <c r="K253" s="12"/>
      <c r="L253" s="12"/>
      <c r="M253" s="12"/>
      <c r="N253" s="12"/>
      <c r="O253" s="12"/>
      <c r="P253" s="12"/>
      <c r="Q253" s="12"/>
      <c r="R253" s="12"/>
      <c r="S253" s="12"/>
      <c r="T253" s="12"/>
      <c r="U253" s="12"/>
      <c r="V253" s="12"/>
      <c r="W253" s="12"/>
      <c r="X253" s="12"/>
      <c r="Y253" s="12"/>
      <c r="Z253" s="12"/>
    </row>
    <row r="254" customFormat="false" ht="15.75" hidden="false" customHeight="true" outlineLevel="0" collapsed="false">
      <c r="A254" s="12"/>
      <c r="B254" s="12"/>
      <c r="C254" s="12"/>
      <c r="D254" s="12"/>
      <c r="E254" s="12"/>
      <c r="F254" s="12"/>
      <c r="G254" s="12"/>
      <c r="H254" s="12"/>
      <c r="I254" s="12"/>
      <c r="J254" s="12"/>
      <c r="K254" s="12"/>
      <c r="L254" s="12"/>
      <c r="M254" s="12"/>
      <c r="N254" s="12"/>
      <c r="O254" s="12"/>
      <c r="P254" s="12"/>
      <c r="Q254" s="12"/>
      <c r="R254" s="12"/>
      <c r="S254" s="12"/>
      <c r="T254" s="12"/>
      <c r="U254" s="12"/>
      <c r="V254" s="12"/>
      <c r="W254" s="12"/>
      <c r="X254" s="12"/>
      <c r="Y254" s="12"/>
      <c r="Z254" s="12"/>
    </row>
    <row r="255" customFormat="false" ht="15.75" hidden="false" customHeight="true" outlineLevel="0" collapsed="false">
      <c r="A255" s="12"/>
      <c r="B255" s="12"/>
      <c r="C255" s="12"/>
      <c r="D255" s="12"/>
      <c r="E255" s="12"/>
      <c r="F255" s="12"/>
      <c r="G255" s="12"/>
      <c r="H255" s="12"/>
      <c r="I255" s="12"/>
      <c r="J255" s="12"/>
      <c r="K255" s="12"/>
      <c r="L255" s="12"/>
      <c r="M255" s="12"/>
      <c r="N255" s="12"/>
      <c r="O255" s="12"/>
      <c r="P255" s="12"/>
      <c r="Q255" s="12"/>
      <c r="R255" s="12"/>
      <c r="S255" s="12"/>
      <c r="T255" s="12"/>
      <c r="U255" s="12"/>
      <c r="V255" s="12"/>
      <c r="W255" s="12"/>
      <c r="X255" s="12"/>
      <c r="Y255" s="12"/>
      <c r="Z255" s="12"/>
    </row>
    <row r="256" customFormat="false" ht="15.75" hidden="false" customHeight="true" outlineLevel="0" collapsed="false">
      <c r="A256" s="12"/>
      <c r="B256" s="12"/>
      <c r="C256" s="12"/>
      <c r="D256" s="12"/>
      <c r="E256" s="12"/>
      <c r="F256" s="12"/>
      <c r="G256" s="12"/>
      <c r="H256" s="12"/>
      <c r="I256" s="12"/>
      <c r="J256" s="12"/>
      <c r="K256" s="12"/>
      <c r="L256" s="12"/>
      <c r="M256" s="12"/>
      <c r="N256" s="12"/>
      <c r="O256" s="12"/>
      <c r="P256" s="12"/>
      <c r="Q256" s="12"/>
      <c r="R256" s="12"/>
      <c r="S256" s="12"/>
      <c r="T256" s="12"/>
      <c r="U256" s="12"/>
      <c r="V256" s="12"/>
      <c r="W256" s="12"/>
      <c r="X256" s="12"/>
      <c r="Y256" s="12"/>
      <c r="Z256" s="12"/>
    </row>
    <row r="257" customFormat="false" ht="15.75" hidden="false" customHeight="true" outlineLevel="0" collapsed="false">
      <c r="A257" s="12"/>
      <c r="B257" s="12"/>
      <c r="C257" s="12"/>
      <c r="D257" s="12"/>
      <c r="E257" s="12"/>
      <c r="F257" s="12"/>
      <c r="G257" s="12"/>
      <c r="H257" s="12"/>
      <c r="I257" s="12"/>
      <c r="J257" s="12"/>
      <c r="K257" s="12"/>
      <c r="L257" s="12"/>
      <c r="M257" s="12"/>
      <c r="N257" s="12"/>
      <c r="O257" s="12"/>
      <c r="P257" s="12"/>
      <c r="Q257" s="12"/>
      <c r="R257" s="12"/>
      <c r="S257" s="12"/>
      <c r="T257" s="12"/>
      <c r="U257" s="12"/>
      <c r="V257" s="12"/>
      <c r="W257" s="12"/>
      <c r="X257" s="12"/>
      <c r="Y257" s="12"/>
      <c r="Z257" s="12"/>
    </row>
    <row r="258" customFormat="false" ht="15.75" hidden="false" customHeight="true" outlineLevel="0" collapsed="false">
      <c r="A258" s="12"/>
      <c r="B258" s="12"/>
      <c r="C258" s="12"/>
      <c r="D258" s="12"/>
      <c r="E258" s="12"/>
      <c r="F258" s="12"/>
      <c r="G258" s="12"/>
      <c r="H258" s="12"/>
      <c r="I258" s="12"/>
      <c r="J258" s="12"/>
      <c r="K258" s="12"/>
      <c r="L258" s="12"/>
      <c r="M258" s="12"/>
      <c r="N258" s="12"/>
      <c r="O258" s="12"/>
      <c r="P258" s="12"/>
      <c r="Q258" s="12"/>
      <c r="R258" s="12"/>
      <c r="S258" s="12"/>
      <c r="T258" s="12"/>
      <c r="U258" s="12"/>
      <c r="V258" s="12"/>
      <c r="W258" s="12"/>
      <c r="X258" s="12"/>
      <c r="Y258" s="12"/>
      <c r="Z258" s="12"/>
    </row>
    <row r="259" customFormat="false" ht="15.75" hidden="false" customHeight="true" outlineLevel="0" collapsed="false">
      <c r="A259" s="12"/>
      <c r="B259" s="12"/>
      <c r="C259" s="12"/>
      <c r="D259" s="12"/>
      <c r="E259" s="12"/>
      <c r="F259" s="12"/>
      <c r="G259" s="12"/>
      <c r="H259" s="12"/>
      <c r="I259" s="12"/>
      <c r="J259" s="12"/>
      <c r="K259" s="12"/>
      <c r="L259" s="12"/>
      <c r="M259" s="12"/>
      <c r="N259" s="12"/>
      <c r="O259" s="12"/>
      <c r="P259" s="12"/>
      <c r="Q259" s="12"/>
      <c r="R259" s="12"/>
      <c r="S259" s="12"/>
      <c r="T259" s="12"/>
      <c r="U259" s="12"/>
      <c r="V259" s="12"/>
      <c r="W259" s="12"/>
      <c r="X259" s="12"/>
      <c r="Y259" s="12"/>
      <c r="Z259" s="12"/>
    </row>
    <row r="260" customFormat="false" ht="15.75" hidden="false" customHeight="true" outlineLevel="0" collapsed="false">
      <c r="A260" s="12"/>
      <c r="B260" s="12"/>
      <c r="C260" s="12"/>
      <c r="D260" s="12"/>
      <c r="E260" s="12"/>
      <c r="F260" s="12"/>
      <c r="G260" s="12"/>
      <c r="H260" s="12"/>
      <c r="I260" s="12"/>
      <c r="J260" s="12"/>
      <c r="K260" s="12"/>
      <c r="L260" s="12"/>
      <c r="M260" s="12"/>
      <c r="N260" s="12"/>
      <c r="O260" s="12"/>
      <c r="P260" s="12"/>
      <c r="Q260" s="12"/>
      <c r="R260" s="12"/>
      <c r="S260" s="12"/>
      <c r="T260" s="12"/>
      <c r="U260" s="12"/>
      <c r="V260" s="12"/>
      <c r="W260" s="12"/>
      <c r="X260" s="12"/>
      <c r="Y260" s="12"/>
      <c r="Z260" s="12"/>
    </row>
    <row r="261" customFormat="false" ht="15.75" hidden="false" customHeight="true" outlineLevel="0" collapsed="false">
      <c r="A261" s="12"/>
      <c r="B261" s="12"/>
      <c r="C261" s="12"/>
      <c r="D261" s="12"/>
      <c r="E261" s="12"/>
      <c r="F261" s="12"/>
      <c r="G261" s="12"/>
      <c r="H261" s="12"/>
      <c r="I261" s="12"/>
      <c r="J261" s="12"/>
      <c r="K261" s="12"/>
      <c r="L261" s="12"/>
      <c r="M261" s="12"/>
      <c r="N261" s="12"/>
      <c r="O261" s="12"/>
      <c r="P261" s="12"/>
      <c r="Q261" s="12"/>
      <c r="R261" s="12"/>
      <c r="S261" s="12"/>
      <c r="T261" s="12"/>
      <c r="U261" s="12"/>
      <c r="V261" s="12"/>
      <c r="W261" s="12"/>
      <c r="X261" s="12"/>
      <c r="Y261" s="12"/>
      <c r="Z261" s="12"/>
    </row>
    <row r="262" customFormat="false" ht="15.75" hidden="false" customHeight="true" outlineLevel="0" collapsed="false">
      <c r="A262" s="12"/>
      <c r="B262" s="12"/>
      <c r="C262" s="12"/>
      <c r="D262" s="12"/>
      <c r="E262" s="12"/>
      <c r="F262" s="12"/>
      <c r="G262" s="12"/>
      <c r="H262" s="12"/>
      <c r="I262" s="12"/>
      <c r="J262" s="12"/>
      <c r="K262" s="12"/>
      <c r="L262" s="12"/>
      <c r="M262" s="12"/>
      <c r="N262" s="12"/>
      <c r="O262" s="12"/>
      <c r="P262" s="12"/>
      <c r="Q262" s="12"/>
      <c r="R262" s="12"/>
      <c r="S262" s="12"/>
      <c r="T262" s="12"/>
      <c r="U262" s="12"/>
      <c r="V262" s="12"/>
      <c r="W262" s="12"/>
      <c r="X262" s="12"/>
      <c r="Y262" s="12"/>
      <c r="Z262" s="12"/>
    </row>
    <row r="263" customFormat="false" ht="15.75" hidden="false" customHeight="true" outlineLevel="0" collapsed="false">
      <c r="A263" s="12"/>
      <c r="B263" s="12"/>
      <c r="C263" s="12"/>
      <c r="D263" s="12"/>
      <c r="E263" s="12"/>
      <c r="F263" s="12"/>
      <c r="G263" s="12"/>
      <c r="H263" s="12"/>
      <c r="I263" s="12"/>
      <c r="J263" s="12"/>
      <c r="K263" s="12"/>
      <c r="L263" s="12"/>
      <c r="M263" s="12"/>
      <c r="N263" s="12"/>
      <c r="O263" s="12"/>
      <c r="P263" s="12"/>
      <c r="Q263" s="12"/>
      <c r="R263" s="12"/>
      <c r="S263" s="12"/>
      <c r="T263" s="12"/>
      <c r="U263" s="12"/>
      <c r="V263" s="12"/>
      <c r="W263" s="12"/>
      <c r="X263" s="12"/>
      <c r="Y263" s="12"/>
      <c r="Z263" s="12"/>
    </row>
    <row r="264" customFormat="false" ht="15.75" hidden="false" customHeight="true" outlineLevel="0" collapsed="false">
      <c r="A264" s="12"/>
      <c r="B264" s="12"/>
      <c r="C264" s="12"/>
      <c r="D264" s="12"/>
      <c r="E264" s="12"/>
      <c r="F264" s="12"/>
      <c r="G264" s="12"/>
      <c r="H264" s="12"/>
      <c r="I264" s="12"/>
      <c r="J264" s="12"/>
      <c r="K264" s="12"/>
      <c r="L264" s="12"/>
      <c r="M264" s="12"/>
      <c r="N264" s="12"/>
      <c r="O264" s="12"/>
      <c r="P264" s="12"/>
      <c r="Q264" s="12"/>
      <c r="R264" s="12"/>
      <c r="S264" s="12"/>
      <c r="T264" s="12"/>
      <c r="U264" s="12"/>
      <c r="V264" s="12"/>
      <c r="W264" s="12"/>
      <c r="X264" s="12"/>
      <c r="Y264" s="12"/>
      <c r="Z264" s="12"/>
    </row>
    <row r="265" customFormat="false" ht="15.75" hidden="false" customHeight="true" outlineLevel="0" collapsed="false">
      <c r="A265" s="12"/>
      <c r="B265" s="12"/>
      <c r="C265" s="12"/>
      <c r="D265" s="12"/>
      <c r="E265" s="12"/>
      <c r="F265" s="12"/>
      <c r="G265" s="12"/>
      <c r="H265" s="12"/>
      <c r="I265" s="12"/>
      <c r="J265" s="12"/>
      <c r="K265" s="12"/>
      <c r="L265" s="12"/>
      <c r="M265" s="12"/>
      <c r="N265" s="12"/>
      <c r="O265" s="12"/>
      <c r="P265" s="12"/>
      <c r="Q265" s="12"/>
      <c r="R265" s="12"/>
      <c r="S265" s="12"/>
      <c r="T265" s="12"/>
      <c r="U265" s="12"/>
      <c r="V265" s="12"/>
      <c r="W265" s="12"/>
      <c r="X265" s="12"/>
      <c r="Y265" s="12"/>
      <c r="Z265" s="12"/>
    </row>
    <row r="266" customFormat="false" ht="15.75" hidden="false" customHeight="true" outlineLevel="0" collapsed="false">
      <c r="A266" s="12"/>
      <c r="B266" s="12"/>
      <c r="C266" s="12"/>
      <c r="D266" s="12"/>
      <c r="E266" s="12"/>
      <c r="F266" s="12"/>
      <c r="G266" s="12"/>
      <c r="H266" s="12"/>
      <c r="I266" s="12"/>
      <c r="J266" s="12"/>
      <c r="K266" s="12"/>
      <c r="L266" s="12"/>
      <c r="M266" s="12"/>
      <c r="N266" s="12"/>
      <c r="O266" s="12"/>
      <c r="P266" s="12"/>
      <c r="Q266" s="12"/>
      <c r="R266" s="12"/>
      <c r="S266" s="12"/>
      <c r="T266" s="12"/>
      <c r="U266" s="12"/>
      <c r="V266" s="12"/>
      <c r="W266" s="12"/>
      <c r="X266" s="12"/>
      <c r="Y266" s="12"/>
      <c r="Z266" s="12"/>
    </row>
    <row r="267" customFormat="false" ht="15.75" hidden="false" customHeight="true" outlineLevel="0" collapsed="false">
      <c r="A267" s="12"/>
      <c r="B267" s="12"/>
      <c r="C267" s="12"/>
      <c r="D267" s="12"/>
      <c r="E267" s="12"/>
      <c r="F267" s="12"/>
      <c r="G267" s="12"/>
      <c r="H267" s="12"/>
      <c r="I267" s="12"/>
      <c r="J267" s="12"/>
      <c r="K267" s="12"/>
      <c r="L267" s="12"/>
      <c r="M267" s="12"/>
      <c r="N267" s="12"/>
      <c r="O267" s="12"/>
      <c r="P267" s="12"/>
      <c r="Q267" s="12"/>
      <c r="R267" s="12"/>
      <c r="S267" s="12"/>
      <c r="T267" s="12"/>
      <c r="U267" s="12"/>
      <c r="V267" s="12"/>
      <c r="W267" s="12"/>
      <c r="X267" s="12"/>
      <c r="Y267" s="12"/>
      <c r="Z267" s="12"/>
    </row>
    <row r="268" customFormat="false" ht="15.75" hidden="false" customHeight="true" outlineLevel="0" collapsed="false">
      <c r="A268" s="12"/>
      <c r="B268" s="12"/>
      <c r="C268" s="12"/>
      <c r="D268" s="12"/>
      <c r="E268" s="12"/>
      <c r="F268" s="12"/>
      <c r="G268" s="12"/>
      <c r="H268" s="12"/>
      <c r="I268" s="12"/>
      <c r="J268" s="12"/>
      <c r="K268" s="12"/>
      <c r="L268" s="12"/>
      <c r="M268" s="12"/>
      <c r="N268" s="12"/>
      <c r="O268" s="12"/>
      <c r="P268" s="12"/>
      <c r="Q268" s="12"/>
      <c r="R268" s="12"/>
      <c r="S268" s="12"/>
      <c r="T268" s="12"/>
      <c r="U268" s="12"/>
      <c r="V268" s="12"/>
      <c r="W268" s="12"/>
      <c r="X268" s="12"/>
      <c r="Y268" s="12"/>
      <c r="Z268" s="12"/>
    </row>
    <row r="269" customFormat="false" ht="15.75" hidden="false" customHeight="true" outlineLevel="0" collapsed="false">
      <c r="A269" s="12"/>
      <c r="B269" s="12"/>
      <c r="C269" s="12"/>
      <c r="D269" s="12"/>
      <c r="E269" s="12"/>
      <c r="F269" s="12"/>
      <c r="G269" s="12"/>
      <c r="H269" s="12"/>
      <c r="I269" s="12"/>
      <c r="J269" s="12"/>
      <c r="K269" s="12"/>
      <c r="L269" s="12"/>
      <c r="M269" s="12"/>
      <c r="N269" s="12"/>
      <c r="O269" s="12"/>
      <c r="P269" s="12"/>
      <c r="Q269" s="12"/>
      <c r="R269" s="12"/>
      <c r="S269" s="12"/>
      <c r="T269" s="12"/>
      <c r="U269" s="12"/>
      <c r="V269" s="12"/>
      <c r="W269" s="12"/>
      <c r="X269" s="12"/>
      <c r="Y269" s="12"/>
      <c r="Z269" s="12"/>
    </row>
    <row r="270" customFormat="false" ht="15.75" hidden="false" customHeight="true" outlineLevel="0" collapsed="false">
      <c r="A270" s="12"/>
      <c r="B270" s="12"/>
      <c r="C270" s="12"/>
      <c r="D270" s="12"/>
      <c r="E270" s="12"/>
      <c r="F270" s="12"/>
      <c r="G270" s="12"/>
      <c r="H270" s="12"/>
      <c r="I270" s="12"/>
      <c r="J270" s="12"/>
      <c r="K270" s="12"/>
      <c r="L270" s="12"/>
      <c r="M270" s="12"/>
      <c r="N270" s="12"/>
      <c r="O270" s="12"/>
      <c r="P270" s="12"/>
      <c r="Q270" s="12"/>
      <c r="R270" s="12"/>
      <c r="S270" s="12"/>
      <c r="T270" s="12"/>
      <c r="U270" s="12"/>
      <c r="V270" s="12"/>
      <c r="W270" s="12"/>
      <c r="X270" s="12"/>
      <c r="Y270" s="12"/>
      <c r="Z270" s="12"/>
    </row>
    <row r="271" customFormat="false" ht="15.75" hidden="false" customHeight="true" outlineLevel="0" collapsed="false">
      <c r="A271" s="12"/>
      <c r="B271" s="12"/>
      <c r="C271" s="12"/>
      <c r="D271" s="12"/>
      <c r="E271" s="12"/>
      <c r="F271" s="12"/>
      <c r="G271" s="12"/>
      <c r="H271" s="12"/>
      <c r="I271" s="12"/>
      <c r="J271" s="12"/>
      <c r="K271" s="12"/>
      <c r="L271" s="12"/>
      <c r="M271" s="12"/>
      <c r="N271" s="12"/>
      <c r="O271" s="12"/>
      <c r="P271" s="12"/>
      <c r="Q271" s="12"/>
      <c r="R271" s="12"/>
      <c r="S271" s="12"/>
      <c r="T271" s="12"/>
      <c r="U271" s="12"/>
      <c r="V271" s="12"/>
      <c r="W271" s="12"/>
      <c r="X271" s="12"/>
      <c r="Y271" s="12"/>
      <c r="Z271" s="12"/>
    </row>
    <row r="272" customFormat="false" ht="15.75" hidden="false" customHeight="true" outlineLevel="0" collapsed="false">
      <c r="A272" s="12"/>
      <c r="B272" s="12"/>
      <c r="C272" s="12"/>
      <c r="D272" s="12"/>
      <c r="E272" s="12"/>
      <c r="F272" s="12"/>
      <c r="G272" s="12"/>
      <c r="H272" s="12"/>
      <c r="I272" s="12"/>
      <c r="J272" s="12"/>
      <c r="K272" s="12"/>
      <c r="L272" s="12"/>
      <c r="M272" s="12"/>
      <c r="N272" s="12"/>
      <c r="O272" s="12"/>
      <c r="P272" s="12"/>
      <c r="Q272" s="12"/>
      <c r="R272" s="12"/>
      <c r="S272" s="12"/>
      <c r="T272" s="12"/>
      <c r="U272" s="12"/>
      <c r="V272" s="12"/>
      <c r="W272" s="12"/>
      <c r="X272" s="12"/>
      <c r="Y272" s="12"/>
      <c r="Z272" s="12"/>
    </row>
    <row r="273" customFormat="false" ht="15.75" hidden="false" customHeight="true" outlineLevel="0" collapsed="false">
      <c r="A273" s="12"/>
      <c r="B273" s="12"/>
      <c r="C273" s="12"/>
      <c r="D273" s="12"/>
      <c r="E273" s="12"/>
      <c r="F273" s="12"/>
      <c r="G273" s="12"/>
      <c r="H273" s="12"/>
      <c r="I273" s="12"/>
      <c r="J273" s="12"/>
      <c r="K273" s="12"/>
      <c r="L273" s="12"/>
      <c r="M273" s="12"/>
      <c r="N273" s="12"/>
      <c r="O273" s="12"/>
      <c r="P273" s="12"/>
      <c r="Q273" s="12"/>
      <c r="R273" s="12"/>
      <c r="S273" s="12"/>
      <c r="T273" s="12"/>
      <c r="U273" s="12"/>
      <c r="V273" s="12"/>
      <c r="W273" s="12"/>
      <c r="X273" s="12"/>
      <c r="Y273" s="12"/>
      <c r="Z273" s="12"/>
    </row>
    <row r="274" customFormat="false" ht="15.75" hidden="false" customHeight="true" outlineLevel="0" collapsed="false">
      <c r="A274" s="12"/>
      <c r="B274" s="12"/>
      <c r="C274" s="12"/>
      <c r="D274" s="12"/>
      <c r="E274" s="12"/>
      <c r="F274" s="12"/>
      <c r="G274" s="12"/>
      <c r="H274" s="12"/>
      <c r="I274" s="12"/>
      <c r="J274" s="12"/>
      <c r="K274" s="12"/>
      <c r="L274" s="12"/>
      <c r="M274" s="12"/>
      <c r="N274" s="12"/>
      <c r="O274" s="12"/>
      <c r="P274" s="12"/>
      <c r="Q274" s="12"/>
      <c r="R274" s="12"/>
      <c r="S274" s="12"/>
      <c r="T274" s="12"/>
      <c r="U274" s="12"/>
      <c r="V274" s="12"/>
      <c r="W274" s="12"/>
      <c r="X274" s="12"/>
      <c r="Y274" s="12"/>
      <c r="Z274" s="12"/>
    </row>
    <row r="275" customFormat="false" ht="15.75" hidden="false" customHeight="true" outlineLevel="0" collapsed="false">
      <c r="A275" s="12"/>
      <c r="B275" s="12"/>
      <c r="C275" s="12"/>
      <c r="D275" s="12"/>
      <c r="E275" s="12"/>
      <c r="F275" s="12"/>
      <c r="G275" s="12"/>
      <c r="H275" s="12"/>
      <c r="I275" s="12"/>
      <c r="J275" s="12"/>
      <c r="K275" s="12"/>
      <c r="L275" s="12"/>
      <c r="M275" s="12"/>
      <c r="N275" s="12"/>
      <c r="O275" s="12"/>
      <c r="P275" s="12"/>
      <c r="Q275" s="12"/>
      <c r="R275" s="12"/>
      <c r="S275" s="12"/>
      <c r="T275" s="12"/>
      <c r="U275" s="12"/>
      <c r="V275" s="12"/>
      <c r="W275" s="12"/>
      <c r="X275" s="12"/>
      <c r="Y275" s="12"/>
      <c r="Z275" s="12"/>
    </row>
    <row r="276" customFormat="false" ht="15.75" hidden="false" customHeight="true" outlineLevel="0" collapsed="false">
      <c r="A276" s="12"/>
      <c r="B276" s="12"/>
      <c r="C276" s="12"/>
      <c r="D276" s="12"/>
      <c r="E276" s="12"/>
      <c r="F276" s="12"/>
      <c r="G276" s="12"/>
      <c r="H276" s="12"/>
      <c r="I276" s="12"/>
      <c r="J276" s="12"/>
      <c r="K276" s="12"/>
      <c r="L276" s="12"/>
      <c r="M276" s="12"/>
      <c r="N276" s="12"/>
      <c r="O276" s="12"/>
      <c r="P276" s="12"/>
      <c r="Q276" s="12"/>
      <c r="R276" s="12"/>
      <c r="S276" s="12"/>
      <c r="T276" s="12"/>
      <c r="U276" s="12"/>
      <c r="V276" s="12"/>
      <c r="W276" s="12"/>
      <c r="X276" s="12"/>
      <c r="Y276" s="12"/>
      <c r="Z276" s="12"/>
    </row>
    <row r="277" customFormat="false" ht="15.75" hidden="false" customHeight="true" outlineLevel="0" collapsed="false">
      <c r="A277" s="12"/>
      <c r="B277" s="12"/>
      <c r="C277" s="12"/>
      <c r="D277" s="12"/>
      <c r="E277" s="12"/>
      <c r="F277" s="12"/>
      <c r="G277" s="12"/>
      <c r="H277" s="12"/>
      <c r="I277" s="12"/>
      <c r="J277" s="12"/>
      <c r="K277" s="12"/>
      <c r="L277" s="12"/>
      <c r="M277" s="12"/>
      <c r="N277" s="12"/>
      <c r="O277" s="12"/>
      <c r="P277" s="12"/>
      <c r="Q277" s="12"/>
      <c r="R277" s="12"/>
      <c r="S277" s="12"/>
      <c r="T277" s="12"/>
      <c r="U277" s="12"/>
      <c r="V277" s="12"/>
      <c r="W277" s="12"/>
      <c r="X277" s="12"/>
      <c r="Y277" s="12"/>
      <c r="Z277" s="12"/>
    </row>
    <row r="278" customFormat="false" ht="15.75" hidden="false" customHeight="true" outlineLevel="0" collapsed="false">
      <c r="A278" s="12"/>
      <c r="B278" s="12"/>
      <c r="C278" s="12"/>
      <c r="D278" s="12"/>
      <c r="E278" s="12"/>
      <c r="F278" s="12"/>
      <c r="G278" s="12"/>
      <c r="H278" s="12"/>
      <c r="I278" s="12"/>
      <c r="J278" s="12"/>
      <c r="K278" s="12"/>
      <c r="L278" s="12"/>
      <c r="M278" s="12"/>
      <c r="N278" s="12"/>
      <c r="O278" s="12"/>
      <c r="P278" s="12"/>
      <c r="Q278" s="12"/>
      <c r="R278" s="12"/>
      <c r="S278" s="12"/>
      <c r="T278" s="12"/>
      <c r="U278" s="12"/>
      <c r="V278" s="12"/>
      <c r="W278" s="12"/>
      <c r="X278" s="12"/>
      <c r="Y278" s="12"/>
      <c r="Z278" s="12"/>
    </row>
    <row r="279" customFormat="false" ht="15.75" hidden="false" customHeight="true" outlineLevel="0" collapsed="false">
      <c r="A279" s="12"/>
      <c r="B279" s="12"/>
      <c r="C279" s="12"/>
      <c r="D279" s="12"/>
      <c r="E279" s="12"/>
      <c r="F279" s="12"/>
      <c r="G279" s="12"/>
      <c r="H279" s="12"/>
      <c r="I279" s="12"/>
      <c r="J279" s="12"/>
      <c r="K279" s="12"/>
      <c r="L279" s="12"/>
      <c r="M279" s="12"/>
      <c r="N279" s="12"/>
      <c r="O279" s="12"/>
      <c r="P279" s="12"/>
      <c r="Q279" s="12"/>
      <c r="R279" s="12"/>
      <c r="S279" s="12"/>
      <c r="T279" s="12"/>
      <c r="U279" s="12"/>
      <c r="V279" s="12"/>
      <c r="W279" s="12"/>
      <c r="X279" s="12"/>
      <c r="Y279" s="12"/>
      <c r="Z279" s="12"/>
    </row>
    <row r="280" customFormat="false" ht="15.75" hidden="false" customHeight="true" outlineLevel="0" collapsed="false">
      <c r="A280" s="12"/>
      <c r="B280" s="12"/>
      <c r="C280" s="12"/>
      <c r="D280" s="12"/>
      <c r="E280" s="12"/>
      <c r="F280" s="12"/>
      <c r="G280" s="12"/>
      <c r="H280" s="12"/>
      <c r="I280" s="12"/>
      <c r="J280" s="12"/>
      <c r="K280" s="12"/>
      <c r="L280" s="12"/>
      <c r="M280" s="12"/>
      <c r="N280" s="12"/>
      <c r="O280" s="12"/>
      <c r="P280" s="12"/>
      <c r="Q280" s="12"/>
      <c r="R280" s="12"/>
      <c r="S280" s="12"/>
      <c r="T280" s="12"/>
      <c r="U280" s="12"/>
      <c r="V280" s="12"/>
      <c r="W280" s="12"/>
      <c r="X280" s="12"/>
      <c r="Y280" s="12"/>
      <c r="Z280" s="12"/>
    </row>
    <row r="281" customFormat="false" ht="15.75" hidden="false" customHeight="true" outlineLevel="0" collapsed="false">
      <c r="A281" s="12"/>
      <c r="B281" s="12"/>
      <c r="C281" s="12"/>
      <c r="D281" s="12"/>
      <c r="E281" s="12"/>
      <c r="F281" s="12"/>
      <c r="G281" s="12"/>
      <c r="H281" s="12"/>
      <c r="I281" s="12"/>
      <c r="J281" s="12"/>
      <c r="K281" s="12"/>
      <c r="L281" s="12"/>
      <c r="M281" s="12"/>
      <c r="N281" s="12"/>
      <c r="O281" s="12"/>
      <c r="P281" s="12"/>
      <c r="Q281" s="12"/>
      <c r="R281" s="12"/>
      <c r="S281" s="12"/>
      <c r="T281" s="12"/>
      <c r="U281" s="12"/>
      <c r="V281" s="12"/>
      <c r="W281" s="12"/>
      <c r="X281" s="12"/>
      <c r="Y281" s="12"/>
      <c r="Z281" s="12"/>
    </row>
    <row r="282" customFormat="false" ht="15.75" hidden="false" customHeight="true" outlineLevel="0" collapsed="false">
      <c r="A282" s="12"/>
      <c r="B282" s="12"/>
      <c r="C282" s="12"/>
      <c r="D282" s="12"/>
      <c r="E282" s="12"/>
      <c r="F282" s="12"/>
      <c r="G282" s="12"/>
      <c r="H282" s="12"/>
      <c r="I282" s="12"/>
      <c r="J282" s="12"/>
      <c r="K282" s="12"/>
      <c r="L282" s="12"/>
      <c r="M282" s="12"/>
      <c r="N282" s="12"/>
      <c r="O282" s="12"/>
      <c r="P282" s="12"/>
      <c r="Q282" s="12"/>
      <c r="R282" s="12"/>
      <c r="S282" s="12"/>
      <c r="T282" s="12"/>
      <c r="U282" s="12"/>
      <c r="V282" s="12"/>
      <c r="W282" s="12"/>
      <c r="X282" s="12"/>
      <c r="Y282" s="12"/>
      <c r="Z282" s="12"/>
    </row>
    <row r="283" customFormat="false" ht="15.75" hidden="false" customHeight="true" outlineLevel="0" collapsed="false">
      <c r="A283" s="12"/>
      <c r="B283" s="12"/>
      <c r="C283" s="12"/>
      <c r="D283" s="12"/>
      <c r="E283" s="12"/>
      <c r="F283" s="12"/>
      <c r="G283" s="12"/>
      <c r="H283" s="12"/>
      <c r="I283" s="12"/>
      <c r="J283" s="12"/>
      <c r="K283" s="12"/>
      <c r="L283" s="12"/>
      <c r="M283" s="12"/>
      <c r="N283" s="12"/>
      <c r="O283" s="12"/>
      <c r="P283" s="12"/>
      <c r="Q283" s="12"/>
      <c r="R283" s="12"/>
      <c r="S283" s="12"/>
      <c r="T283" s="12"/>
      <c r="U283" s="12"/>
      <c r="V283" s="12"/>
      <c r="W283" s="12"/>
      <c r="X283" s="12"/>
      <c r="Y283" s="12"/>
      <c r="Z283" s="12"/>
    </row>
    <row r="284" customFormat="false" ht="15.75" hidden="false" customHeight="true" outlineLevel="0" collapsed="false">
      <c r="A284" s="12"/>
      <c r="B284" s="12"/>
      <c r="C284" s="12"/>
      <c r="D284" s="12"/>
      <c r="E284" s="12"/>
      <c r="F284" s="12"/>
      <c r="G284" s="12"/>
      <c r="H284" s="12"/>
      <c r="I284" s="12"/>
      <c r="J284" s="12"/>
      <c r="K284" s="12"/>
      <c r="L284" s="12"/>
      <c r="M284" s="12"/>
      <c r="N284" s="12"/>
      <c r="O284" s="12"/>
      <c r="P284" s="12"/>
      <c r="Q284" s="12"/>
      <c r="R284" s="12"/>
      <c r="S284" s="12"/>
      <c r="T284" s="12"/>
      <c r="U284" s="12"/>
      <c r="V284" s="12"/>
      <c r="W284" s="12"/>
      <c r="X284" s="12"/>
      <c r="Y284" s="12"/>
      <c r="Z284" s="12"/>
    </row>
    <row r="285" customFormat="false" ht="15.75" hidden="false" customHeight="true" outlineLevel="0" collapsed="false">
      <c r="A285" s="12"/>
      <c r="B285" s="12"/>
      <c r="C285" s="12"/>
      <c r="D285" s="12"/>
      <c r="E285" s="12"/>
      <c r="F285" s="12"/>
      <c r="G285" s="12"/>
      <c r="H285" s="12"/>
      <c r="I285" s="12"/>
      <c r="J285" s="12"/>
      <c r="K285" s="12"/>
      <c r="L285" s="12"/>
      <c r="M285" s="12"/>
      <c r="N285" s="12"/>
      <c r="O285" s="12"/>
      <c r="P285" s="12"/>
      <c r="Q285" s="12"/>
      <c r="R285" s="12"/>
      <c r="S285" s="12"/>
      <c r="T285" s="12"/>
      <c r="U285" s="12"/>
      <c r="V285" s="12"/>
      <c r="W285" s="12"/>
      <c r="X285" s="12"/>
      <c r="Y285" s="12"/>
      <c r="Z285" s="12"/>
    </row>
    <row r="286" customFormat="false" ht="15.75" hidden="false" customHeight="true" outlineLevel="0" collapsed="false">
      <c r="A286" s="12"/>
      <c r="B286" s="12"/>
      <c r="C286" s="12"/>
      <c r="D286" s="12"/>
      <c r="E286" s="12"/>
      <c r="F286" s="12"/>
      <c r="G286" s="12"/>
      <c r="H286" s="12"/>
      <c r="I286" s="12"/>
      <c r="J286" s="12"/>
      <c r="K286" s="12"/>
      <c r="L286" s="12"/>
      <c r="M286" s="12"/>
      <c r="N286" s="12"/>
      <c r="O286" s="12"/>
      <c r="P286" s="12"/>
      <c r="Q286" s="12"/>
      <c r="R286" s="12"/>
      <c r="S286" s="12"/>
      <c r="T286" s="12"/>
      <c r="U286" s="12"/>
      <c r="V286" s="12"/>
      <c r="W286" s="12"/>
      <c r="X286" s="12"/>
      <c r="Y286" s="12"/>
      <c r="Z286" s="12"/>
    </row>
    <row r="287" customFormat="false" ht="15.75" hidden="false" customHeight="true" outlineLevel="0" collapsed="false">
      <c r="A287" s="12"/>
      <c r="B287" s="12"/>
      <c r="C287" s="12"/>
      <c r="D287" s="12"/>
      <c r="E287" s="12"/>
      <c r="F287" s="12"/>
      <c r="G287" s="12"/>
      <c r="H287" s="12"/>
      <c r="I287" s="12"/>
      <c r="J287" s="12"/>
      <c r="K287" s="12"/>
      <c r="L287" s="12"/>
      <c r="M287" s="12"/>
      <c r="N287" s="12"/>
      <c r="O287" s="12"/>
      <c r="P287" s="12"/>
      <c r="Q287" s="12"/>
      <c r="R287" s="12"/>
      <c r="S287" s="12"/>
      <c r="T287" s="12"/>
      <c r="U287" s="12"/>
      <c r="V287" s="12"/>
      <c r="W287" s="12"/>
      <c r="X287" s="12"/>
      <c r="Y287" s="12"/>
      <c r="Z287" s="12"/>
    </row>
    <row r="288" customFormat="false" ht="15.75" hidden="false" customHeight="true" outlineLevel="0" collapsed="false">
      <c r="A288" s="12"/>
      <c r="B288" s="12"/>
      <c r="C288" s="12"/>
      <c r="D288" s="12"/>
      <c r="E288" s="12"/>
      <c r="F288" s="12"/>
      <c r="G288" s="12"/>
      <c r="H288" s="12"/>
      <c r="I288" s="12"/>
      <c r="J288" s="12"/>
      <c r="K288" s="12"/>
      <c r="L288" s="12"/>
      <c r="M288" s="12"/>
      <c r="N288" s="12"/>
      <c r="O288" s="12"/>
      <c r="P288" s="12"/>
      <c r="Q288" s="12"/>
      <c r="R288" s="12"/>
      <c r="S288" s="12"/>
      <c r="T288" s="12"/>
      <c r="U288" s="12"/>
      <c r="V288" s="12"/>
      <c r="W288" s="12"/>
      <c r="X288" s="12"/>
      <c r="Y288" s="12"/>
      <c r="Z288" s="12"/>
    </row>
    <row r="289" customFormat="false" ht="15.75" hidden="false" customHeight="true" outlineLevel="0" collapsed="false">
      <c r="A289" s="12"/>
      <c r="B289" s="12"/>
      <c r="C289" s="12"/>
      <c r="D289" s="12"/>
      <c r="E289" s="12"/>
      <c r="F289" s="12"/>
      <c r="G289" s="12"/>
      <c r="H289" s="12"/>
      <c r="I289" s="12"/>
      <c r="J289" s="12"/>
      <c r="K289" s="12"/>
      <c r="L289" s="12"/>
      <c r="M289" s="12"/>
      <c r="N289" s="12"/>
      <c r="O289" s="12"/>
      <c r="P289" s="12"/>
      <c r="Q289" s="12"/>
      <c r="R289" s="12"/>
      <c r="S289" s="12"/>
      <c r="T289" s="12"/>
      <c r="U289" s="12"/>
      <c r="V289" s="12"/>
      <c r="W289" s="12"/>
      <c r="X289" s="12"/>
      <c r="Y289" s="12"/>
      <c r="Z289" s="12"/>
    </row>
    <row r="290" customFormat="false" ht="15.75" hidden="false" customHeight="true" outlineLevel="0" collapsed="false">
      <c r="A290" s="12"/>
      <c r="B290" s="12"/>
      <c r="C290" s="12"/>
      <c r="D290" s="12"/>
      <c r="E290" s="12"/>
      <c r="F290" s="12"/>
      <c r="G290" s="12"/>
      <c r="H290" s="12"/>
      <c r="I290" s="12"/>
      <c r="J290" s="12"/>
      <c r="K290" s="12"/>
      <c r="L290" s="12"/>
      <c r="M290" s="12"/>
      <c r="N290" s="12"/>
      <c r="O290" s="12"/>
      <c r="P290" s="12"/>
      <c r="Q290" s="12"/>
      <c r="R290" s="12"/>
      <c r="S290" s="12"/>
      <c r="T290" s="12"/>
      <c r="U290" s="12"/>
      <c r="V290" s="12"/>
      <c r="W290" s="12"/>
      <c r="X290" s="12"/>
      <c r="Y290" s="12"/>
      <c r="Z290" s="12"/>
    </row>
    <row r="291" customFormat="false" ht="15.75" hidden="false" customHeight="true" outlineLevel="0" collapsed="false">
      <c r="A291" s="12"/>
      <c r="B291" s="12"/>
      <c r="C291" s="12"/>
      <c r="D291" s="12"/>
      <c r="E291" s="12"/>
      <c r="F291" s="12"/>
      <c r="G291" s="12"/>
      <c r="H291" s="12"/>
      <c r="I291" s="12"/>
      <c r="J291" s="12"/>
      <c r="K291" s="12"/>
      <c r="L291" s="12"/>
      <c r="M291" s="12"/>
      <c r="N291" s="12"/>
      <c r="O291" s="12"/>
      <c r="P291" s="12"/>
      <c r="Q291" s="12"/>
      <c r="R291" s="12"/>
      <c r="S291" s="12"/>
      <c r="T291" s="12"/>
      <c r="U291" s="12"/>
      <c r="V291" s="12"/>
      <c r="W291" s="12"/>
      <c r="X291" s="12"/>
      <c r="Y291" s="12"/>
      <c r="Z291" s="12"/>
    </row>
    <row r="292" customFormat="false" ht="15.75" hidden="false" customHeight="true" outlineLevel="0" collapsed="false">
      <c r="A292" s="12"/>
      <c r="B292" s="12"/>
      <c r="C292" s="12"/>
      <c r="D292" s="12"/>
      <c r="E292" s="12"/>
      <c r="F292" s="12"/>
      <c r="G292" s="12"/>
      <c r="H292" s="12"/>
      <c r="I292" s="12"/>
      <c r="J292" s="12"/>
      <c r="K292" s="12"/>
      <c r="L292" s="12"/>
      <c r="M292" s="12"/>
      <c r="N292" s="12"/>
      <c r="O292" s="12"/>
      <c r="P292" s="12"/>
      <c r="Q292" s="12"/>
      <c r="R292" s="12"/>
      <c r="S292" s="12"/>
      <c r="T292" s="12"/>
      <c r="U292" s="12"/>
      <c r="V292" s="12"/>
      <c r="W292" s="12"/>
      <c r="X292" s="12"/>
      <c r="Y292" s="12"/>
      <c r="Z292" s="12"/>
    </row>
    <row r="293" customFormat="false" ht="15.75" hidden="false" customHeight="true" outlineLevel="0" collapsed="false">
      <c r="A293" s="12"/>
      <c r="B293" s="12"/>
      <c r="C293" s="12"/>
      <c r="D293" s="12"/>
      <c r="E293" s="12"/>
      <c r="F293" s="12"/>
      <c r="G293" s="12"/>
      <c r="H293" s="12"/>
      <c r="I293" s="12"/>
      <c r="J293" s="12"/>
      <c r="K293" s="12"/>
      <c r="L293" s="12"/>
      <c r="M293" s="12"/>
      <c r="N293" s="12"/>
      <c r="O293" s="12"/>
      <c r="P293" s="12"/>
      <c r="Q293" s="12"/>
      <c r="R293" s="12"/>
      <c r="S293" s="12"/>
      <c r="T293" s="12"/>
      <c r="U293" s="12"/>
      <c r="V293" s="12"/>
      <c r="W293" s="12"/>
      <c r="X293" s="12"/>
      <c r="Y293" s="12"/>
      <c r="Z293" s="12"/>
    </row>
    <row r="294" customFormat="false" ht="15.75" hidden="false" customHeight="true" outlineLevel="0" collapsed="false">
      <c r="A294" s="12"/>
      <c r="B294" s="12"/>
      <c r="C294" s="12"/>
      <c r="D294" s="12"/>
      <c r="E294" s="12"/>
      <c r="F294" s="12"/>
      <c r="G294" s="12"/>
      <c r="H294" s="12"/>
      <c r="I294" s="12"/>
      <c r="J294" s="12"/>
      <c r="K294" s="12"/>
      <c r="L294" s="12"/>
      <c r="M294" s="12"/>
      <c r="N294" s="12"/>
      <c r="O294" s="12"/>
      <c r="P294" s="12"/>
      <c r="Q294" s="12"/>
      <c r="R294" s="12"/>
      <c r="S294" s="12"/>
      <c r="T294" s="12"/>
      <c r="U294" s="12"/>
      <c r="V294" s="12"/>
      <c r="W294" s="12"/>
      <c r="X294" s="12"/>
      <c r="Y294" s="12"/>
      <c r="Z294" s="12"/>
    </row>
    <row r="295" customFormat="false" ht="15.75" hidden="false" customHeight="true" outlineLevel="0" collapsed="false">
      <c r="A295" s="12"/>
      <c r="B295" s="12"/>
      <c r="C295" s="12"/>
      <c r="D295" s="12"/>
      <c r="E295" s="12"/>
      <c r="F295" s="12"/>
      <c r="G295" s="12"/>
      <c r="H295" s="12"/>
      <c r="I295" s="12"/>
      <c r="J295" s="12"/>
      <c r="K295" s="12"/>
      <c r="L295" s="12"/>
      <c r="M295" s="12"/>
      <c r="N295" s="12"/>
      <c r="O295" s="12"/>
      <c r="P295" s="12"/>
      <c r="Q295" s="12"/>
      <c r="R295" s="12"/>
      <c r="S295" s="12"/>
      <c r="T295" s="12"/>
      <c r="U295" s="12"/>
      <c r="V295" s="12"/>
      <c r="W295" s="12"/>
      <c r="X295" s="12"/>
      <c r="Y295" s="12"/>
      <c r="Z295" s="12"/>
    </row>
    <row r="296" customFormat="false" ht="15.75" hidden="false" customHeight="true" outlineLevel="0" collapsed="false">
      <c r="A296" s="12"/>
      <c r="B296" s="12"/>
      <c r="C296" s="12"/>
      <c r="D296" s="12"/>
      <c r="E296" s="12"/>
      <c r="F296" s="12"/>
      <c r="G296" s="12"/>
      <c r="H296" s="12"/>
      <c r="I296" s="12"/>
      <c r="J296" s="12"/>
      <c r="K296" s="12"/>
      <c r="L296" s="12"/>
      <c r="M296" s="12"/>
      <c r="N296" s="12"/>
      <c r="O296" s="12"/>
      <c r="P296" s="12"/>
      <c r="Q296" s="12"/>
      <c r="R296" s="12"/>
      <c r="S296" s="12"/>
      <c r="T296" s="12"/>
      <c r="U296" s="12"/>
      <c r="V296" s="12"/>
      <c r="W296" s="12"/>
      <c r="X296" s="12"/>
      <c r="Y296" s="12"/>
      <c r="Z296" s="12"/>
    </row>
    <row r="297" customFormat="false" ht="15.75" hidden="false" customHeight="true" outlineLevel="0" collapsed="false">
      <c r="A297" s="12"/>
      <c r="B297" s="12"/>
      <c r="C297" s="12"/>
      <c r="D297" s="12"/>
      <c r="E297" s="12"/>
      <c r="F297" s="12"/>
      <c r="G297" s="12"/>
      <c r="H297" s="12"/>
      <c r="I297" s="12"/>
      <c r="J297" s="12"/>
      <c r="K297" s="12"/>
      <c r="L297" s="12"/>
      <c r="M297" s="12"/>
      <c r="N297" s="12"/>
      <c r="O297" s="12"/>
      <c r="P297" s="12"/>
      <c r="Q297" s="12"/>
      <c r="R297" s="12"/>
      <c r="S297" s="12"/>
      <c r="T297" s="12"/>
      <c r="U297" s="12"/>
      <c r="V297" s="12"/>
      <c r="W297" s="12"/>
      <c r="X297" s="12"/>
      <c r="Y297" s="12"/>
      <c r="Z297" s="12"/>
    </row>
    <row r="298" customFormat="false" ht="15.75" hidden="false" customHeight="true" outlineLevel="0" collapsed="false">
      <c r="A298" s="12"/>
      <c r="B298" s="12"/>
      <c r="C298" s="12"/>
      <c r="D298" s="12"/>
      <c r="E298" s="12"/>
      <c r="F298" s="12"/>
      <c r="G298" s="12"/>
      <c r="H298" s="12"/>
      <c r="I298" s="12"/>
      <c r="J298" s="12"/>
      <c r="K298" s="12"/>
      <c r="L298" s="12"/>
      <c r="M298" s="12"/>
      <c r="N298" s="12"/>
      <c r="O298" s="12"/>
      <c r="P298" s="12"/>
      <c r="Q298" s="12"/>
      <c r="R298" s="12"/>
      <c r="S298" s="12"/>
      <c r="T298" s="12"/>
      <c r="U298" s="12"/>
      <c r="V298" s="12"/>
      <c r="W298" s="12"/>
      <c r="X298" s="12"/>
      <c r="Y298" s="12"/>
      <c r="Z298" s="12"/>
    </row>
    <row r="299" customFormat="false" ht="15.75" hidden="false" customHeight="true" outlineLevel="0" collapsed="false">
      <c r="A299" s="12"/>
      <c r="B299" s="12"/>
      <c r="C299" s="12"/>
      <c r="D299" s="12"/>
      <c r="E299" s="12"/>
      <c r="F299" s="12"/>
      <c r="G299" s="12"/>
      <c r="H299" s="12"/>
      <c r="I299" s="12"/>
      <c r="J299" s="12"/>
      <c r="K299" s="12"/>
      <c r="L299" s="12"/>
      <c r="M299" s="12"/>
      <c r="N299" s="12"/>
      <c r="O299" s="12"/>
      <c r="P299" s="12"/>
      <c r="Q299" s="12"/>
      <c r="R299" s="12"/>
      <c r="S299" s="12"/>
      <c r="T299" s="12"/>
      <c r="U299" s="12"/>
      <c r="V299" s="12"/>
      <c r="W299" s="12"/>
      <c r="X299" s="12"/>
      <c r="Y299" s="12"/>
      <c r="Z299" s="12"/>
    </row>
    <row r="300" customFormat="false" ht="15.75" hidden="false" customHeight="true" outlineLevel="0" collapsed="false">
      <c r="A300" s="12"/>
      <c r="B300" s="12"/>
      <c r="C300" s="12"/>
      <c r="D300" s="12"/>
      <c r="E300" s="12"/>
      <c r="F300" s="12"/>
      <c r="G300" s="12"/>
      <c r="H300" s="12"/>
      <c r="I300" s="12"/>
      <c r="J300" s="12"/>
      <c r="K300" s="12"/>
      <c r="L300" s="12"/>
      <c r="M300" s="12"/>
      <c r="N300" s="12"/>
      <c r="O300" s="12"/>
      <c r="P300" s="12"/>
      <c r="Q300" s="12"/>
      <c r="R300" s="12"/>
      <c r="S300" s="12"/>
      <c r="T300" s="12"/>
      <c r="U300" s="12"/>
      <c r="V300" s="12"/>
      <c r="W300" s="12"/>
      <c r="X300" s="12"/>
      <c r="Y300" s="12"/>
      <c r="Z300" s="12"/>
    </row>
    <row r="301" customFormat="false" ht="15.75" hidden="false" customHeight="true" outlineLevel="0" collapsed="false">
      <c r="A301" s="12"/>
      <c r="B301" s="12"/>
      <c r="C301" s="12"/>
      <c r="D301" s="12"/>
      <c r="E301" s="12"/>
      <c r="F301" s="12"/>
      <c r="G301" s="12"/>
      <c r="H301" s="12"/>
      <c r="I301" s="12"/>
      <c r="J301" s="12"/>
      <c r="K301" s="12"/>
      <c r="L301" s="12"/>
      <c r="M301" s="12"/>
      <c r="N301" s="12"/>
      <c r="O301" s="12"/>
      <c r="P301" s="12"/>
      <c r="Q301" s="12"/>
      <c r="R301" s="12"/>
      <c r="S301" s="12"/>
      <c r="T301" s="12"/>
      <c r="U301" s="12"/>
      <c r="V301" s="12"/>
      <c r="W301" s="12"/>
      <c r="X301" s="12"/>
      <c r="Y301" s="12"/>
      <c r="Z301" s="12"/>
    </row>
    <row r="302" customFormat="false" ht="15.75" hidden="false" customHeight="true" outlineLevel="0" collapsed="false">
      <c r="A302" s="12"/>
      <c r="B302" s="12"/>
      <c r="C302" s="12"/>
      <c r="D302" s="12"/>
      <c r="E302" s="12"/>
      <c r="F302" s="12"/>
      <c r="G302" s="12"/>
      <c r="H302" s="12"/>
      <c r="I302" s="12"/>
      <c r="J302" s="12"/>
      <c r="K302" s="12"/>
      <c r="L302" s="12"/>
      <c r="M302" s="12"/>
      <c r="N302" s="12"/>
      <c r="O302" s="12"/>
      <c r="P302" s="12"/>
      <c r="Q302" s="12"/>
      <c r="R302" s="12"/>
      <c r="S302" s="12"/>
      <c r="T302" s="12"/>
      <c r="U302" s="12"/>
      <c r="V302" s="12"/>
      <c r="W302" s="12"/>
      <c r="X302" s="12"/>
      <c r="Y302" s="12"/>
      <c r="Z302" s="12"/>
    </row>
    <row r="303" customFormat="false" ht="15.75" hidden="false" customHeight="true" outlineLevel="0" collapsed="false">
      <c r="A303" s="12"/>
      <c r="B303" s="12"/>
      <c r="C303" s="12"/>
      <c r="D303" s="12"/>
      <c r="E303" s="12"/>
      <c r="F303" s="12"/>
      <c r="G303" s="12"/>
      <c r="H303" s="12"/>
      <c r="I303" s="12"/>
      <c r="J303" s="12"/>
      <c r="K303" s="12"/>
      <c r="L303" s="12"/>
      <c r="M303" s="12"/>
      <c r="N303" s="12"/>
      <c r="O303" s="12"/>
      <c r="P303" s="12"/>
      <c r="Q303" s="12"/>
      <c r="R303" s="12"/>
      <c r="S303" s="12"/>
      <c r="T303" s="12"/>
      <c r="U303" s="12"/>
      <c r="V303" s="12"/>
      <c r="W303" s="12"/>
      <c r="X303" s="12"/>
      <c r="Y303" s="12"/>
      <c r="Z303" s="12"/>
    </row>
    <row r="304" customFormat="false" ht="15.75" hidden="false" customHeight="true" outlineLevel="0" collapsed="false">
      <c r="A304" s="12"/>
      <c r="B304" s="12"/>
      <c r="C304" s="12"/>
      <c r="D304" s="12"/>
      <c r="E304" s="12"/>
      <c r="F304" s="12"/>
      <c r="G304" s="12"/>
      <c r="H304" s="12"/>
      <c r="I304" s="12"/>
      <c r="J304" s="12"/>
      <c r="K304" s="12"/>
      <c r="L304" s="12"/>
      <c r="M304" s="12"/>
      <c r="N304" s="12"/>
      <c r="O304" s="12"/>
      <c r="P304" s="12"/>
      <c r="Q304" s="12"/>
      <c r="R304" s="12"/>
      <c r="S304" s="12"/>
      <c r="T304" s="12"/>
      <c r="U304" s="12"/>
      <c r="V304" s="12"/>
      <c r="W304" s="12"/>
      <c r="X304" s="12"/>
      <c r="Y304" s="12"/>
      <c r="Z304" s="12"/>
    </row>
    <row r="305" customFormat="false" ht="15.75" hidden="false" customHeight="true" outlineLevel="0" collapsed="false">
      <c r="A305" s="12"/>
      <c r="B305" s="12"/>
      <c r="C305" s="12"/>
      <c r="D305" s="12"/>
      <c r="E305" s="12"/>
      <c r="F305" s="12"/>
      <c r="G305" s="12"/>
      <c r="H305" s="12"/>
      <c r="I305" s="12"/>
      <c r="J305" s="12"/>
      <c r="K305" s="12"/>
      <c r="L305" s="12"/>
      <c r="M305" s="12"/>
      <c r="N305" s="12"/>
      <c r="O305" s="12"/>
      <c r="P305" s="12"/>
      <c r="Q305" s="12"/>
      <c r="R305" s="12"/>
      <c r="S305" s="12"/>
      <c r="T305" s="12"/>
      <c r="U305" s="12"/>
      <c r="V305" s="12"/>
      <c r="W305" s="12"/>
      <c r="X305" s="12"/>
      <c r="Y305" s="12"/>
      <c r="Z305" s="12"/>
    </row>
    <row r="306" customFormat="false" ht="15.75" hidden="false" customHeight="true" outlineLevel="0" collapsed="false">
      <c r="A306" s="12"/>
      <c r="B306" s="12"/>
      <c r="C306" s="12"/>
      <c r="D306" s="12"/>
      <c r="E306" s="12"/>
      <c r="F306" s="12"/>
      <c r="G306" s="12"/>
      <c r="H306" s="12"/>
      <c r="I306" s="12"/>
      <c r="J306" s="12"/>
      <c r="K306" s="12"/>
      <c r="L306" s="12"/>
      <c r="M306" s="12"/>
      <c r="N306" s="12"/>
      <c r="O306" s="12"/>
      <c r="P306" s="12"/>
      <c r="Q306" s="12"/>
      <c r="R306" s="12"/>
      <c r="S306" s="12"/>
      <c r="T306" s="12"/>
      <c r="U306" s="12"/>
      <c r="V306" s="12"/>
      <c r="W306" s="12"/>
      <c r="X306" s="12"/>
      <c r="Y306" s="12"/>
      <c r="Z306" s="12"/>
    </row>
    <row r="307" customFormat="false" ht="15.75" hidden="false" customHeight="true" outlineLevel="0" collapsed="false">
      <c r="A307" s="12"/>
      <c r="B307" s="12"/>
      <c r="C307" s="12"/>
      <c r="D307" s="12"/>
      <c r="E307" s="12"/>
      <c r="F307" s="12"/>
      <c r="G307" s="12"/>
      <c r="H307" s="12"/>
      <c r="I307" s="12"/>
      <c r="J307" s="12"/>
      <c r="K307" s="12"/>
      <c r="L307" s="12"/>
      <c r="M307" s="12"/>
      <c r="N307" s="12"/>
      <c r="O307" s="12"/>
      <c r="P307" s="12"/>
      <c r="Q307" s="12"/>
      <c r="R307" s="12"/>
      <c r="S307" s="12"/>
      <c r="T307" s="12"/>
      <c r="U307" s="12"/>
      <c r="V307" s="12"/>
      <c r="W307" s="12"/>
      <c r="X307" s="12"/>
      <c r="Y307" s="12"/>
      <c r="Z307" s="12"/>
    </row>
    <row r="308" customFormat="false" ht="15.75" hidden="false" customHeight="true" outlineLevel="0" collapsed="false">
      <c r="A308" s="12"/>
      <c r="B308" s="12"/>
      <c r="C308" s="12"/>
      <c r="D308" s="12"/>
      <c r="E308" s="12"/>
      <c r="F308" s="12"/>
      <c r="G308" s="12"/>
      <c r="H308" s="12"/>
      <c r="I308" s="12"/>
      <c r="J308" s="12"/>
      <c r="K308" s="12"/>
      <c r="L308" s="12"/>
      <c r="M308" s="12"/>
      <c r="N308" s="12"/>
      <c r="O308" s="12"/>
      <c r="P308" s="12"/>
      <c r="Q308" s="12"/>
      <c r="R308" s="12"/>
      <c r="S308" s="12"/>
      <c r="T308" s="12"/>
      <c r="U308" s="12"/>
      <c r="V308" s="12"/>
      <c r="W308" s="12"/>
      <c r="X308" s="12"/>
      <c r="Y308" s="12"/>
      <c r="Z308" s="12"/>
    </row>
    <row r="309" customFormat="false" ht="15.75" hidden="false" customHeight="true" outlineLevel="0" collapsed="false">
      <c r="A309" s="12"/>
      <c r="B309" s="12"/>
      <c r="C309" s="12"/>
      <c r="D309" s="12"/>
      <c r="E309" s="12"/>
      <c r="F309" s="12"/>
      <c r="G309" s="12"/>
      <c r="H309" s="12"/>
      <c r="I309" s="12"/>
      <c r="J309" s="12"/>
      <c r="K309" s="12"/>
      <c r="L309" s="12"/>
      <c r="M309" s="12"/>
      <c r="N309" s="12"/>
      <c r="O309" s="12"/>
      <c r="P309" s="12"/>
      <c r="Q309" s="12"/>
      <c r="R309" s="12"/>
      <c r="S309" s="12"/>
      <c r="T309" s="12"/>
      <c r="U309" s="12"/>
      <c r="V309" s="12"/>
      <c r="W309" s="12"/>
      <c r="X309" s="12"/>
      <c r="Y309" s="12"/>
      <c r="Z309" s="12"/>
    </row>
    <row r="310" customFormat="false" ht="15.75" hidden="false" customHeight="true" outlineLevel="0" collapsed="false">
      <c r="A310" s="12"/>
      <c r="B310" s="12"/>
      <c r="C310" s="12"/>
      <c r="D310" s="12"/>
      <c r="E310" s="12"/>
      <c r="F310" s="12"/>
      <c r="G310" s="12"/>
      <c r="H310" s="12"/>
      <c r="I310" s="12"/>
      <c r="J310" s="12"/>
      <c r="K310" s="12"/>
      <c r="L310" s="12"/>
      <c r="M310" s="12"/>
      <c r="N310" s="12"/>
      <c r="O310" s="12"/>
      <c r="P310" s="12"/>
      <c r="Q310" s="12"/>
      <c r="R310" s="12"/>
      <c r="S310" s="12"/>
      <c r="T310" s="12"/>
      <c r="U310" s="12"/>
      <c r="V310" s="12"/>
      <c r="W310" s="12"/>
      <c r="X310" s="12"/>
      <c r="Y310" s="12"/>
      <c r="Z310" s="12"/>
    </row>
    <row r="311" customFormat="false" ht="15.75" hidden="false" customHeight="true" outlineLevel="0" collapsed="false">
      <c r="A311" s="12"/>
      <c r="B311" s="12"/>
      <c r="C311" s="12"/>
      <c r="D311" s="12"/>
      <c r="E311" s="12"/>
      <c r="F311" s="12"/>
      <c r="G311" s="12"/>
      <c r="H311" s="12"/>
      <c r="I311" s="12"/>
      <c r="J311" s="12"/>
      <c r="K311" s="12"/>
      <c r="L311" s="12"/>
      <c r="M311" s="12"/>
      <c r="N311" s="12"/>
      <c r="O311" s="12"/>
      <c r="P311" s="12"/>
      <c r="Q311" s="12"/>
      <c r="R311" s="12"/>
      <c r="S311" s="12"/>
      <c r="T311" s="12"/>
      <c r="U311" s="12"/>
      <c r="V311" s="12"/>
      <c r="W311" s="12"/>
      <c r="X311" s="12"/>
      <c r="Y311" s="12"/>
      <c r="Z311" s="12"/>
    </row>
    <row r="312" customFormat="false" ht="15.75" hidden="false" customHeight="true" outlineLevel="0" collapsed="false">
      <c r="A312" s="12"/>
      <c r="B312" s="12"/>
      <c r="C312" s="12"/>
      <c r="D312" s="12"/>
      <c r="E312" s="12"/>
      <c r="F312" s="12"/>
      <c r="G312" s="12"/>
      <c r="H312" s="12"/>
      <c r="I312" s="12"/>
      <c r="J312" s="12"/>
      <c r="K312" s="12"/>
      <c r="L312" s="12"/>
      <c r="M312" s="12"/>
      <c r="N312" s="12"/>
      <c r="O312" s="12"/>
      <c r="P312" s="12"/>
      <c r="Q312" s="12"/>
      <c r="R312" s="12"/>
      <c r="S312" s="12"/>
      <c r="T312" s="12"/>
      <c r="U312" s="12"/>
      <c r="V312" s="12"/>
      <c r="W312" s="12"/>
      <c r="X312" s="12"/>
      <c r="Y312" s="12"/>
      <c r="Z312" s="12"/>
    </row>
    <row r="313" customFormat="false" ht="15.75" hidden="false" customHeight="true" outlineLevel="0" collapsed="false">
      <c r="A313" s="12"/>
      <c r="B313" s="12"/>
      <c r="C313" s="12"/>
      <c r="D313" s="12"/>
      <c r="E313" s="12"/>
      <c r="F313" s="12"/>
      <c r="G313" s="12"/>
      <c r="H313" s="12"/>
      <c r="I313" s="12"/>
      <c r="J313" s="12"/>
      <c r="K313" s="12"/>
      <c r="L313" s="12"/>
      <c r="M313" s="12"/>
      <c r="N313" s="12"/>
      <c r="O313" s="12"/>
      <c r="P313" s="12"/>
      <c r="Q313" s="12"/>
      <c r="R313" s="12"/>
      <c r="S313" s="12"/>
      <c r="T313" s="12"/>
      <c r="U313" s="12"/>
      <c r="V313" s="12"/>
      <c r="W313" s="12"/>
      <c r="X313" s="12"/>
      <c r="Y313" s="12"/>
      <c r="Z313" s="12"/>
    </row>
    <row r="314" customFormat="false" ht="15.75" hidden="false" customHeight="true" outlineLevel="0" collapsed="false">
      <c r="A314" s="12"/>
      <c r="B314" s="12"/>
      <c r="C314" s="12"/>
      <c r="D314" s="12"/>
      <c r="E314" s="12"/>
      <c r="F314" s="12"/>
      <c r="G314" s="12"/>
      <c r="H314" s="12"/>
      <c r="I314" s="12"/>
      <c r="J314" s="12"/>
      <c r="K314" s="12"/>
      <c r="L314" s="12"/>
      <c r="M314" s="12"/>
      <c r="N314" s="12"/>
      <c r="O314" s="12"/>
      <c r="P314" s="12"/>
      <c r="Q314" s="12"/>
      <c r="R314" s="12"/>
      <c r="S314" s="12"/>
      <c r="T314" s="12"/>
      <c r="U314" s="12"/>
      <c r="V314" s="12"/>
      <c r="W314" s="12"/>
      <c r="X314" s="12"/>
      <c r="Y314" s="12"/>
      <c r="Z314" s="12"/>
    </row>
    <row r="315" customFormat="false" ht="15.75" hidden="false" customHeight="true" outlineLevel="0" collapsed="false">
      <c r="A315" s="12"/>
      <c r="B315" s="12"/>
      <c r="C315" s="12"/>
      <c r="D315" s="12"/>
      <c r="E315" s="12"/>
      <c r="F315" s="12"/>
      <c r="G315" s="12"/>
      <c r="H315" s="12"/>
      <c r="I315" s="12"/>
      <c r="J315" s="12"/>
      <c r="K315" s="12"/>
      <c r="L315" s="12"/>
      <c r="M315" s="12"/>
      <c r="N315" s="12"/>
      <c r="O315" s="12"/>
      <c r="P315" s="12"/>
      <c r="Q315" s="12"/>
      <c r="R315" s="12"/>
      <c r="S315" s="12"/>
      <c r="T315" s="12"/>
      <c r="U315" s="12"/>
      <c r="V315" s="12"/>
      <c r="W315" s="12"/>
      <c r="X315" s="12"/>
      <c r="Y315" s="12"/>
      <c r="Z315" s="12"/>
    </row>
    <row r="316" customFormat="false" ht="15.75" hidden="false" customHeight="true" outlineLevel="0" collapsed="false">
      <c r="A316" s="12"/>
      <c r="B316" s="12"/>
      <c r="C316" s="12"/>
      <c r="D316" s="12"/>
      <c r="E316" s="12"/>
      <c r="F316" s="12"/>
      <c r="G316" s="12"/>
      <c r="H316" s="12"/>
      <c r="I316" s="12"/>
      <c r="J316" s="12"/>
      <c r="K316" s="12"/>
      <c r="L316" s="12"/>
      <c r="M316" s="12"/>
      <c r="N316" s="12"/>
      <c r="O316" s="12"/>
      <c r="P316" s="12"/>
      <c r="Q316" s="12"/>
      <c r="R316" s="12"/>
      <c r="S316" s="12"/>
      <c r="T316" s="12"/>
      <c r="U316" s="12"/>
      <c r="V316" s="12"/>
      <c r="W316" s="12"/>
      <c r="X316" s="12"/>
      <c r="Y316" s="12"/>
      <c r="Z316" s="12"/>
    </row>
    <row r="317" customFormat="false" ht="15.75" hidden="false" customHeight="true" outlineLevel="0" collapsed="false">
      <c r="A317" s="12"/>
      <c r="B317" s="12"/>
      <c r="C317" s="12"/>
      <c r="D317" s="12"/>
      <c r="E317" s="12"/>
      <c r="F317" s="12"/>
      <c r="G317" s="12"/>
      <c r="H317" s="12"/>
      <c r="I317" s="12"/>
      <c r="J317" s="12"/>
      <c r="K317" s="12"/>
      <c r="L317" s="12"/>
      <c r="M317" s="12"/>
      <c r="N317" s="12"/>
      <c r="O317" s="12"/>
      <c r="P317" s="12"/>
      <c r="Q317" s="12"/>
      <c r="R317" s="12"/>
      <c r="S317" s="12"/>
      <c r="T317" s="12"/>
      <c r="U317" s="12"/>
      <c r="V317" s="12"/>
      <c r="W317" s="12"/>
      <c r="X317" s="12"/>
      <c r="Y317" s="12"/>
      <c r="Z317" s="12"/>
    </row>
    <row r="318" customFormat="false" ht="15.75" hidden="false" customHeight="true" outlineLevel="0" collapsed="false">
      <c r="A318" s="12"/>
      <c r="B318" s="12"/>
      <c r="C318" s="12"/>
      <c r="D318" s="12"/>
      <c r="E318" s="12"/>
      <c r="F318" s="12"/>
      <c r="G318" s="12"/>
      <c r="H318" s="12"/>
      <c r="I318" s="12"/>
      <c r="J318" s="12"/>
      <c r="K318" s="12"/>
      <c r="L318" s="12"/>
      <c r="M318" s="12"/>
      <c r="N318" s="12"/>
      <c r="O318" s="12"/>
      <c r="P318" s="12"/>
      <c r="Q318" s="12"/>
      <c r="R318" s="12"/>
      <c r="S318" s="12"/>
      <c r="T318" s="12"/>
      <c r="U318" s="12"/>
      <c r="V318" s="12"/>
      <c r="W318" s="12"/>
      <c r="X318" s="12"/>
      <c r="Y318" s="12"/>
      <c r="Z318" s="12"/>
    </row>
    <row r="319" customFormat="false" ht="15.75" hidden="false" customHeight="true" outlineLevel="0" collapsed="false">
      <c r="A319" s="12"/>
      <c r="B319" s="12"/>
      <c r="C319" s="12"/>
      <c r="D319" s="12"/>
      <c r="E319" s="12"/>
      <c r="F319" s="12"/>
      <c r="G319" s="12"/>
      <c r="H319" s="12"/>
      <c r="I319" s="12"/>
      <c r="J319" s="12"/>
      <c r="K319" s="12"/>
      <c r="L319" s="12"/>
      <c r="M319" s="12"/>
      <c r="N319" s="12"/>
      <c r="O319" s="12"/>
      <c r="P319" s="12"/>
      <c r="Q319" s="12"/>
      <c r="R319" s="12"/>
      <c r="S319" s="12"/>
      <c r="T319" s="12"/>
      <c r="U319" s="12"/>
      <c r="V319" s="12"/>
      <c r="W319" s="12"/>
      <c r="X319" s="12"/>
      <c r="Y319" s="12"/>
      <c r="Z319" s="12"/>
    </row>
    <row r="320" customFormat="false" ht="15.75" hidden="false" customHeight="true" outlineLevel="0" collapsed="false">
      <c r="A320" s="12"/>
      <c r="B320" s="12"/>
      <c r="C320" s="12"/>
      <c r="D320" s="12"/>
      <c r="E320" s="12"/>
      <c r="F320" s="12"/>
      <c r="G320" s="12"/>
      <c r="H320" s="12"/>
      <c r="I320" s="12"/>
      <c r="J320" s="12"/>
      <c r="K320" s="12"/>
      <c r="L320" s="12"/>
      <c r="M320" s="12"/>
      <c r="N320" s="12"/>
      <c r="O320" s="12"/>
      <c r="P320" s="12"/>
      <c r="Q320" s="12"/>
      <c r="R320" s="12"/>
      <c r="S320" s="12"/>
      <c r="T320" s="12"/>
      <c r="U320" s="12"/>
      <c r="V320" s="12"/>
      <c r="W320" s="12"/>
      <c r="X320" s="12"/>
      <c r="Y320" s="12"/>
      <c r="Z320" s="12"/>
    </row>
    <row r="321" customFormat="false" ht="15.75" hidden="false" customHeight="true" outlineLevel="0" collapsed="false">
      <c r="A321" s="12"/>
      <c r="B321" s="12"/>
      <c r="C321" s="12"/>
      <c r="D321" s="12"/>
      <c r="E321" s="12"/>
      <c r="F321" s="12"/>
      <c r="G321" s="12"/>
      <c r="H321" s="12"/>
      <c r="I321" s="12"/>
      <c r="J321" s="12"/>
      <c r="K321" s="12"/>
      <c r="L321" s="12"/>
      <c r="M321" s="12"/>
      <c r="N321" s="12"/>
      <c r="O321" s="12"/>
      <c r="P321" s="12"/>
      <c r="Q321" s="12"/>
      <c r="R321" s="12"/>
      <c r="S321" s="12"/>
      <c r="T321" s="12"/>
      <c r="U321" s="12"/>
      <c r="V321" s="12"/>
      <c r="W321" s="12"/>
      <c r="X321" s="12"/>
      <c r="Y321" s="12"/>
      <c r="Z321" s="12"/>
    </row>
    <row r="322" customFormat="false" ht="15.75" hidden="false" customHeight="true" outlineLevel="0" collapsed="false">
      <c r="A322" s="12"/>
      <c r="B322" s="12"/>
      <c r="C322" s="12"/>
      <c r="D322" s="12"/>
      <c r="E322" s="12"/>
      <c r="F322" s="12"/>
      <c r="G322" s="12"/>
      <c r="H322" s="12"/>
      <c r="I322" s="12"/>
      <c r="J322" s="12"/>
      <c r="K322" s="12"/>
      <c r="L322" s="12"/>
      <c r="M322" s="12"/>
      <c r="N322" s="12"/>
      <c r="O322" s="12"/>
      <c r="P322" s="12"/>
      <c r="Q322" s="12"/>
      <c r="R322" s="12"/>
      <c r="S322" s="12"/>
      <c r="T322" s="12"/>
      <c r="U322" s="12"/>
      <c r="V322" s="12"/>
      <c r="W322" s="12"/>
      <c r="X322" s="12"/>
      <c r="Y322" s="12"/>
      <c r="Z322" s="12"/>
    </row>
    <row r="323" customFormat="false" ht="15.75" hidden="false" customHeight="true" outlineLevel="0" collapsed="false">
      <c r="A323" s="12"/>
      <c r="B323" s="12"/>
      <c r="C323" s="12"/>
      <c r="D323" s="12"/>
      <c r="E323" s="12"/>
      <c r="F323" s="12"/>
      <c r="G323" s="12"/>
      <c r="H323" s="12"/>
      <c r="I323" s="12"/>
      <c r="J323" s="12"/>
      <c r="K323" s="12"/>
      <c r="L323" s="12"/>
      <c r="M323" s="12"/>
      <c r="N323" s="12"/>
      <c r="O323" s="12"/>
      <c r="P323" s="12"/>
      <c r="Q323" s="12"/>
      <c r="R323" s="12"/>
      <c r="S323" s="12"/>
      <c r="T323" s="12"/>
      <c r="U323" s="12"/>
      <c r="V323" s="12"/>
      <c r="W323" s="12"/>
      <c r="X323" s="12"/>
      <c r="Y323" s="12"/>
      <c r="Z323" s="12"/>
    </row>
    <row r="324" customFormat="false" ht="15.75" hidden="false" customHeight="true" outlineLevel="0" collapsed="false">
      <c r="A324" s="12"/>
      <c r="B324" s="12"/>
      <c r="C324" s="12"/>
      <c r="D324" s="12"/>
      <c r="E324" s="12"/>
      <c r="F324" s="12"/>
      <c r="G324" s="12"/>
      <c r="H324" s="12"/>
      <c r="I324" s="12"/>
      <c r="J324" s="12"/>
      <c r="K324" s="12"/>
      <c r="L324" s="12"/>
      <c r="M324" s="12"/>
      <c r="N324" s="12"/>
      <c r="O324" s="12"/>
      <c r="P324" s="12"/>
      <c r="Q324" s="12"/>
      <c r="R324" s="12"/>
      <c r="S324" s="12"/>
      <c r="T324" s="12"/>
      <c r="U324" s="12"/>
      <c r="V324" s="12"/>
      <c r="W324" s="12"/>
      <c r="X324" s="12"/>
      <c r="Y324" s="12"/>
      <c r="Z324" s="12"/>
    </row>
    <row r="325" customFormat="false" ht="15.75" hidden="false" customHeight="true" outlineLevel="0" collapsed="false">
      <c r="A325" s="12"/>
      <c r="B325" s="12"/>
      <c r="C325" s="12"/>
      <c r="D325" s="12"/>
      <c r="E325" s="12"/>
      <c r="F325" s="12"/>
      <c r="G325" s="12"/>
      <c r="H325" s="12"/>
      <c r="I325" s="12"/>
      <c r="J325" s="12"/>
      <c r="K325" s="12"/>
      <c r="L325" s="12"/>
      <c r="M325" s="12"/>
      <c r="N325" s="12"/>
      <c r="O325" s="12"/>
      <c r="P325" s="12"/>
      <c r="Q325" s="12"/>
      <c r="R325" s="12"/>
      <c r="S325" s="12"/>
      <c r="T325" s="12"/>
      <c r="U325" s="12"/>
      <c r="V325" s="12"/>
      <c r="W325" s="12"/>
      <c r="X325" s="12"/>
      <c r="Y325" s="12"/>
      <c r="Z325" s="12"/>
    </row>
    <row r="326" customFormat="false" ht="15.75" hidden="false" customHeight="true" outlineLevel="0" collapsed="false">
      <c r="A326" s="12"/>
      <c r="B326" s="12"/>
      <c r="C326" s="12"/>
      <c r="D326" s="12"/>
      <c r="E326" s="12"/>
      <c r="F326" s="12"/>
      <c r="G326" s="12"/>
      <c r="H326" s="12"/>
      <c r="I326" s="12"/>
      <c r="J326" s="12"/>
      <c r="K326" s="12"/>
      <c r="L326" s="12"/>
      <c r="M326" s="12"/>
      <c r="N326" s="12"/>
      <c r="O326" s="12"/>
      <c r="P326" s="12"/>
      <c r="Q326" s="12"/>
      <c r="R326" s="12"/>
      <c r="S326" s="12"/>
      <c r="T326" s="12"/>
      <c r="U326" s="12"/>
      <c r="V326" s="12"/>
      <c r="W326" s="12"/>
      <c r="X326" s="12"/>
      <c r="Y326" s="12"/>
      <c r="Z326" s="12"/>
    </row>
    <row r="327" customFormat="false" ht="15.75" hidden="false" customHeight="true" outlineLevel="0" collapsed="false">
      <c r="A327" s="12"/>
      <c r="B327" s="12"/>
      <c r="C327" s="12"/>
      <c r="D327" s="12"/>
      <c r="E327" s="12"/>
      <c r="F327" s="12"/>
      <c r="G327" s="12"/>
      <c r="H327" s="12"/>
      <c r="I327" s="12"/>
      <c r="J327" s="12"/>
      <c r="K327" s="12"/>
      <c r="L327" s="12"/>
      <c r="M327" s="12"/>
      <c r="N327" s="12"/>
      <c r="O327" s="12"/>
      <c r="P327" s="12"/>
      <c r="Q327" s="12"/>
      <c r="R327" s="12"/>
      <c r="S327" s="12"/>
      <c r="T327" s="12"/>
      <c r="U327" s="12"/>
      <c r="V327" s="12"/>
      <c r="W327" s="12"/>
      <c r="X327" s="12"/>
      <c r="Y327" s="12"/>
      <c r="Z327" s="12"/>
    </row>
    <row r="328" customFormat="false" ht="15.75" hidden="false" customHeight="true" outlineLevel="0" collapsed="false">
      <c r="A328" s="12"/>
      <c r="B328" s="12"/>
      <c r="C328" s="12"/>
      <c r="D328" s="12"/>
      <c r="E328" s="12"/>
      <c r="F328" s="12"/>
      <c r="G328" s="12"/>
      <c r="H328" s="12"/>
      <c r="I328" s="12"/>
      <c r="J328" s="12"/>
      <c r="K328" s="12"/>
      <c r="L328" s="12"/>
      <c r="M328" s="12"/>
      <c r="N328" s="12"/>
      <c r="O328" s="12"/>
      <c r="P328" s="12"/>
      <c r="Q328" s="12"/>
      <c r="R328" s="12"/>
      <c r="S328" s="12"/>
      <c r="T328" s="12"/>
      <c r="U328" s="12"/>
      <c r="V328" s="12"/>
      <c r="W328" s="12"/>
      <c r="X328" s="12"/>
      <c r="Y328" s="12"/>
      <c r="Z328" s="12"/>
    </row>
    <row r="329" customFormat="false" ht="15.75" hidden="false" customHeight="true" outlineLevel="0" collapsed="false">
      <c r="A329" s="12"/>
      <c r="B329" s="12"/>
      <c r="C329" s="12"/>
      <c r="D329" s="12"/>
      <c r="E329" s="12"/>
      <c r="F329" s="12"/>
      <c r="G329" s="12"/>
      <c r="H329" s="12"/>
      <c r="I329" s="12"/>
      <c r="J329" s="12"/>
      <c r="K329" s="12"/>
      <c r="L329" s="12"/>
      <c r="M329" s="12"/>
      <c r="N329" s="12"/>
      <c r="O329" s="12"/>
      <c r="P329" s="12"/>
      <c r="Q329" s="12"/>
      <c r="R329" s="12"/>
      <c r="S329" s="12"/>
      <c r="T329" s="12"/>
      <c r="U329" s="12"/>
      <c r="V329" s="12"/>
      <c r="W329" s="12"/>
      <c r="X329" s="12"/>
      <c r="Y329" s="12"/>
      <c r="Z329" s="12"/>
    </row>
    <row r="330" customFormat="false" ht="15.75" hidden="false" customHeight="true" outlineLevel="0" collapsed="false">
      <c r="A330" s="12"/>
      <c r="B330" s="12"/>
      <c r="C330" s="12"/>
      <c r="D330" s="12"/>
      <c r="E330" s="12"/>
      <c r="F330" s="12"/>
      <c r="G330" s="12"/>
      <c r="H330" s="12"/>
      <c r="I330" s="12"/>
      <c r="J330" s="12"/>
      <c r="K330" s="12"/>
      <c r="L330" s="12"/>
      <c r="M330" s="12"/>
      <c r="N330" s="12"/>
      <c r="O330" s="12"/>
      <c r="P330" s="12"/>
      <c r="Q330" s="12"/>
      <c r="R330" s="12"/>
      <c r="S330" s="12"/>
      <c r="T330" s="12"/>
      <c r="U330" s="12"/>
      <c r="V330" s="12"/>
      <c r="W330" s="12"/>
      <c r="X330" s="12"/>
      <c r="Y330" s="12"/>
      <c r="Z330" s="12"/>
    </row>
    <row r="331" customFormat="false" ht="15.75" hidden="false" customHeight="true" outlineLevel="0" collapsed="false">
      <c r="A331" s="12"/>
      <c r="B331" s="12"/>
      <c r="C331" s="12"/>
      <c r="D331" s="12"/>
      <c r="E331" s="12"/>
      <c r="F331" s="12"/>
      <c r="G331" s="12"/>
      <c r="H331" s="12"/>
      <c r="I331" s="12"/>
      <c r="J331" s="12"/>
      <c r="K331" s="12"/>
      <c r="L331" s="12"/>
      <c r="M331" s="12"/>
      <c r="N331" s="12"/>
      <c r="O331" s="12"/>
      <c r="P331" s="12"/>
      <c r="Q331" s="12"/>
      <c r="R331" s="12"/>
      <c r="S331" s="12"/>
      <c r="T331" s="12"/>
      <c r="U331" s="12"/>
      <c r="V331" s="12"/>
      <c r="W331" s="12"/>
      <c r="X331" s="12"/>
      <c r="Y331" s="12"/>
      <c r="Z331" s="12"/>
    </row>
    <row r="332" customFormat="false" ht="15.75" hidden="false" customHeight="true" outlineLevel="0" collapsed="false">
      <c r="A332" s="12"/>
      <c r="B332" s="12"/>
      <c r="C332" s="12"/>
      <c r="D332" s="12"/>
      <c r="E332" s="12"/>
      <c r="F332" s="12"/>
      <c r="G332" s="12"/>
      <c r="H332" s="12"/>
      <c r="I332" s="12"/>
      <c r="J332" s="12"/>
      <c r="K332" s="12"/>
      <c r="L332" s="12"/>
      <c r="M332" s="12"/>
      <c r="N332" s="12"/>
      <c r="O332" s="12"/>
      <c r="P332" s="12"/>
      <c r="Q332" s="12"/>
      <c r="R332" s="12"/>
      <c r="S332" s="12"/>
      <c r="T332" s="12"/>
      <c r="U332" s="12"/>
      <c r="V332" s="12"/>
      <c r="W332" s="12"/>
      <c r="X332" s="12"/>
      <c r="Y332" s="12"/>
      <c r="Z332" s="12"/>
    </row>
    <row r="333" customFormat="false" ht="15.75" hidden="false" customHeight="true" outlineLevel="0" collapsed="false">
      <c r="A333" s="12"/>
      <c r="B333" s="12"/>
      <c r="C333" s="12"/>
      <c r="D333" s="12"/>
      <c r="E333" s="12"/>
      <c r="F333" s="12"/>
      <c r="G333" s="12"/>
      <c r="H333" s="12"/>
      <c r="I333" s="12"/>
      <c r="J333" s="12"/>
      <c r="K333" s="12"/>
      <c r="L333" s="12"/>
      <c r="M333" s="12"/>
      <c r="N333" s="12"/>
      <c r="O333" s="12"/>
      <c r="P333" s="12"/>
      <c r="Q333" s="12"/>
      <c r="R333" s="12"/>
      <c r="S333" s="12"/>
      <c r="T333" s="12"/>
      <c r="U333" s="12"/>
      <c r="V333" s="12"/>
      <c r="W333" s="12"/>
      <c r="X333" s="12"/>
      <c r="Y333" s="12"/>
      <c r="Z333" s="12"/>
    </row>
    <row r="334" customFormat="false" ht="15.75" hidden="false" customHeight="true" outlineLevel="0" collapsed="false">
      <c r="A334" s="12"/>
      <c r="B334" s="12"/>
      <c r="C334" s="12"/>
      <c r="D334" s="12"/>
      <c r="E334" s="12"/>
      <c r="F334" s="12"/>
      <c r="G334" s="12"/>
      <c r="H334" s="12"/>
      <c r="I334" s="12"/>
      <c r="J334" s="12"/>
      <c r="K334" s="12"/>
      <c r="L334" s="12"/>
      <c r="M334" s="12"/>
      <c r="N334" s="12"/>
      <c r="O334" s="12"/>
      <c r="P334" s="12"/>
      <c r="Q334" s="12"/>
      <c r="R334" s="12"/>
      <c r="S334" s="12"/>
      <c r="T334" s="12"/>
      <c r="U334" s="12"/>
      <c r="V334" s="12"/>
      <c r="W334" s="12"/>
      <c r="X334" s="12"/>
      <c r="Y334" s="12"/>
      <c r="Z334" s="12"/>
    </row>
    <row r="335" customFormat="false" ht="15.75" hidden="false" customHeight="true" outlineLevel="0" collapsed="false">
      <c r="A335" s="12"/>
      <c r="B335" s="12"/>
      <c r="C335" s="12"/>
      <c r="D335" s="12"/>
      <c r="E335" s="12"/>
      <c r="F335" s="12"/>
      <c r="G335" s="12"/>
      <c r="H335" s="12"/>
      <c r="I335" s="12"/>
      <c r="J335" s="12"/>
      <c r="K335" s="12"/>
      <c r="L335" s="12"/>
      <c r="M335" s="12"/>
      <c r="N335" s="12"/>
      <c r="O335" s="12"/>
      <c r="P335" s="12"/>
      <c r="Q335" s="12"/>
      <c r="R335" s="12"/>
      <c r="S335" s="12"/>
      <c r="T335" s="12"/>
      <c r="U335" s="12"/>
      <c r="V335" s="12"/>
      <c r="W335" s="12"/>
      <c r="X335" s="12"/>
      <c r="Y335" s="12"/>
      <c r="Z335" s="12"/>
    </row>
    <row r="336" customFormat="false" ht="15.75" hidden="false" customHeight="true" outlineLevel="0" collapsed="false">
      <c r="A336" s="12"/>
      <c r="B336" s="12"/>
      <c r="C336" s="12"/>
      <c r="D336" s="12"/>
      <c r="E336" s="12"/>
      <c r="F336" s="12"/>
      <c r="G336" s="12"/>
      <c r="H336" s="12"/>
      <c r="I336" s="12"/>
      <c r="J336" s="12"/>
      <c r="K336" s="12"/>
      <c r="L336" s="12"/>
      <c r="M336" s="12"/>
      <c r="N336" s="12"/>
      <c r="O336" s="12"/>
      <c r="P336" s="12"/>
      <c r="Q336" s="12"/>
      <c r="R336" s="12"/>
      <c r="S336" s="12"/>
      <c r="T336" s="12"/>
      <c r="U336" s="12"/>
      <c r="V336" s="12"/>
      <c r="W336" s="12"/>
      <c r="X336" s="12"/>
      <c r="Y336" s="12"/>
      <c r="Z336" s="12"/>
    </row>
    <row r="337" customFormat="false" ht="15.75" hidden="false" customHeight="true" outlineLevel="0" collapsed="false">
      <c r="A337" s="12"/>
      <c r="B337" s="12"/>
      <c r="C337" s="12"/>
      <c r="D337" s="12"/>
      <c r="E337" s="12"/>
      <c r="F337" s="12"/>
      <c r="G337" s="12"/>
      <c r="H337" s="12"/>
      <c r="I337" s="12"/>
      <c r="J337" s="12"/>
      <c r="K337" s="12"/>
      <c r="L337" s="12"/>
      <c r="M337" s="12"/>
      <c r="N337" s="12"/>
      <c r="O337" s="12"/>
      <c r="P337" s="12"/>
      <c r="Q337" s="12"/>
      <c r="R337" s="12"/>
      <c r="S337" s="12"/>
      <c r="T337" s="12"/>
      <c r="U337" s="12"/>
      <c r="V337" s="12"/>
      <c r="W337" s="12"/>
      <c r="X337" s="12"/>
      <c r="Y337" s="12"/>
      <c r="Z337" s="12"/>
    </row>
    <row r="338" customFormat="false" ht="15.75" hidden="false" customHeight="true" outlineLevel="0" collapsed="false">
      <c r="A338" s="12"/>
      <c r="B338" s="12"/>
      <c r="C338" s="12"/>
      <c r="D338" s="12"/>
      <c r="E338" s="12"/>
      <c r="F338" s="12"/>
      <c r="G338" s="12"/>
      <c r="H338" s="12"/>
      <c r="I338" s="12"/>
      <c r="J338" s="12"/>
      <c r="K338" s="12"/>
      <c r="L338" s="12"/>
      <c r="M338" s="12"/>
      <c r="N338" s="12"/>
      <c r="O338" s="12"/>
      <c r="P338" s="12"/>
      <c r="Q338" s="12"/>
      <c r="R338" s="12"/>
      <c r="S338" s="12"/>
      <c r="T338" s="12"/>
      <c r="U338" s="12"/>
      <c r="V338" s="12"/>
      <c r="W338" s="12"/>
      <c r="X338" s="12"/>
      <c r="Y338" s="12"/>
      <c r="Z338" s="12"/>
    </row>
    <row r="339" customFormat="false" ht="15.75" hidden="false" customHeight="true" outlineLevel="0" collapsed="false">
      <c r="A339" s="12"/>
      <c r="B339" s="12"/>
      <c r="C339" s="12"/>
      <c r="D339" s="12"/>
      <c r="E339" s="12"/>
      <c r="F339" s="12"/>
      <c r="G339" s="12"/>
      <c r="H339" s="12"/>
      <c r="I339" s="12"/>
      <c r="J339" s="12"/>
      <c r="K339" s="12"/>
      <c r="L339" s="12"/>
      <c r="M339" s="12"/>
      <c r="N339" s="12"/>
      <c r="O339" s="12"/>
      <c r="P339" s="12"/>
      <c r="Q339" s="12"/>
      <c r="R339" s="12"/>
      <c r="S339" s="12"/>
      <c r="T339" s="12"/>
      <c r="U339" s="12"/>
      <c r="V339" s="12"/>
      <c r="W339" s="12"/>
      <c r="X339" s="12"/>
      <c r="Y339" s="12"/>
      <c r="Z339" s="12"/>
    </row>
    <row r="340" customFormat="false" ht="15.75" hidden="false" customHeight="true" outlineLevel="0" collapsed="false">
      <c r="A340" s="12"/>
      <c r="B340" s="12"/>
      <c r="C340" s="12"/>
      <c r="D340" s="12"/>
      <c r="E340" s="12"/>
      <c r="F340" s="12"/>
      <c r="G340" s="12"/>
      <c r="H340" s="12"/>
      <c r="I340" s="12"/>
      <c r="J340" s="12"/>
      <c r="K340" s="12"/>
      <c r="L340" s="12"/>
      <c r="M340" s="12"/>
      <c r="N340" s="12"/>
      <c r="O340" s="12"/>
      <c r="P340" s="12"/>
      <c r="Q340" s="12"/>
      <c r="R340" s="12"/>
      <c r="S340" s="12"/>
      <c r="T340" s="12"/>
      <c r="U340" s="12"/>
      <c r="V340" s="12"/>
      <c r="W340" s="12"/>
      <c r="X340" s="12"/>
      <c r="Y340" s="12"/>
      <c r="Z340" s="12"/>
    </row>
    <row r="341" customFormat="false" ht="15.75" hidden="false" customHeight="true" outlineLevel="0" collapsed="false">
      <c r="A341" s="12"/>
      <c r="B341" s="12"/>
      <c r="C341" s="12"/>
      <c r="D341" s="12"/>
      <c r="E341" s="12"/>
      <c r="F341" s="12"/>
      <c r="G341" s="12"/>
      <c r="H341" s="12"/>
      <c r="I341" s="12"/>
      <c r="J341" s="12"/>
      <c r="K341" s="12"/>
      <c r="L341" s="12"/>
      <c r="M341" s="12"/>
      <c r="N341" s="12"/>
      <c r="O341" s="12"/>
      <c r="P341" s="12"/>
      <c r="Q341" s="12"/>
      <c r="R341" s="12"/>
      <c r="S341" s="12"/>
      <c r="T341" s="12"/>
      <c r="U341" s="12"/>
      <c r="V341" s="12"/>
      <c r="W341" s="12"/>
      <c r="X341" s="12"/>
      <c r="Y341" s="12"/>
      <c r="Z341" s="12"/>
    </row>
    <row r="342" customFormat="false" ht="15.75" hidden="false" customHeight="true" outlineLevel="0" collapsed="false">
      <c r="A342" s="12"/>
      <c r="B342" s="12"/>
      <c r="C342" s="12"/>
      <c r="D342" s="12"/>
      <c r="E342" s="12"/>
      <c r="F342" s="12"/>
      <c r="G342" s="12"/>
      <c r="H342" s="12"/>
      <c r="I342" s="12"/>
      <c r="J342" s="12"/>
      <c r="K342" s="12"/>
      <c r="L342" s="12"/>
      <c r="M342" s="12"/>
      <c r="N342" s="12"/>
      <c r="O342" s="12"/>
      <c r="P342" s="12"/>
      <c r="Q342" s="12"/>
      <c r="R342" s="12"/>
      <c r="S342" s="12"/>
      <c r="T342" s="12"/>
      <c r="U342" s="12"/>
      <c r="V342" s="12"/>
      <c r="W342" s="12"/>
      <c r="X342" s="12"/>
      <c r="Y342" s="12"/>
      <c r="Z342" s="12"/>
    </row>
    <row r="343" customFormat="false" ht="15.75" hidden="false" customHeight="true" outlineLevel="0" collapsed="false">
      <c r="A343" s="12"/>
      <c r="B343" s="12"/>
      <c r="C343" s="12"/>
      <c r="D343" s="12"/>
      <c r="E343" s="12"/>
      <c r="F343" s="12"/>
      <c r="G343" s="12"/>
      <c r="H343" s="12"/>
      <c r="I343" s="12"/>
      <c r="J343" s="12"/>
      <c r="K343" s="12"/>
      <c r="L343" s="12"/>
      <c r="M343" s="12"/>
      <c r="N343" s="12"/>
      <c r="O343" s="12"/>
      <c r="P343" s="12"/>
      <c r="Q343" s="12"/>
      <c r="R343" s="12"/>
      <c r="S343" s="12"/>
      <c r="T343" s="12"/>
      <c r="U343" s="12"/>
      <c r="V343" s="12"/>
      <c r="W343" s="12"/>
      <c r="X343" s="12"/>
      <c r="Y343" s="12"/>
      <c r="Z343" s="12"/>
    </row>
    <row r="344" customFormat="false" ht="15.75" hidden="false" customHeight="true" outlineLevel="0" collapsed="false">
      <c r="A344" s="12"/>
      <c r="B344" s="12"/>
      <c r="C344" s="12"/>
      <c r="D344" s="12"/>
      <c r="E344" s="12"/>
      <c r="F344" s="12"/>
      <c r="G344" s="12"/>
      <c r="H344" s="12"/>
      <c r="I344" s="12"/>
      <c r="J344" s="12"/>
      <c r="K344" s="12"/>
      <c r="L344" s="12"/>
      <c r="M344" s="12"/>
      <c r="N344" s="12"/>
      <c r="O344" s="12"/>
      <c r="P344" s="12"/>
      <c r="Q344" s="12"/>
      <c r="R344" s="12"/>
      <c r="S344" s="12"/>
      <c r="T344" s="12"/>
      <c r="U344" s="12"/>
      <c r="V344" s="12"/>
      <c r="W344" s="12"/>
      <c r="X344" s="12"/>
      <c r="Y344" s="12"/>
      <c r="Z344" s="12"/>
    </row>
    <row r="345" customFormat="false" ht="15.75" hidden="false" customHeight="true" outlineLevel="0" collapsed="false">
      <c r="A345" s="12"/>
      <c r="B345" s="12"/>
      <c r="C345" s="12"/>
      <c r="D345" s="12"/>
      <c r="E345" s="12"/>
      <c r="F345" s="12"/>
      <c r="G345" s="12"/>
      <c r="H345" s="12"/>
      <c r="I345" s="12"/>
      <c r="J345" s="12"/>
      <c r="K345" s="12"/>
      <c r="L345" s="12"/>
      <c r="M345" s="12"/>
      <c r="N345" s="12"/>
      <c r="O345" s="12"/>
      <c r="P345" s="12"/>
      <c r="Q345" s="12"/>
      <c r="R345" s="12"/>
      <c r="S345" s="12"/>
      <c r="T345" s="12"/>
      <c r="U345" s="12"/>
      <c r="V345" s="12"/>
      <c r="W345" s="12"/>
      <c r="X345" s="12"/>
      <c r="Y345" s="12"/>
      <c r="Z345" s="12"/>
    </row>
    <row r="346" customFormat="false" ht="15.75" hidden="false" customHeight="true" outlineLevel="0" collapsed="false">
      <c r="A346" s="12"/>
      <c r="B346" s="12"/>
      <c r="C346" s="12"/>
      <c r="D346" s="12"/>
      <c r="E346" s="12"/>
      <c r="F346" s="12"/>
      <c r="G346" s="12"/>
      <c r="H346" s="12"/>
      <c r="I346" s="12"/>
      <c r="J346" s="12"/>
      <c r="K346" s="12"/>
      <c r="L346" s="12"/>
      <c r="M346" s="12"/>
      <c r="N346" s="12"/>
      <c r="O346" s="12"/>
      <c r="P346" s="12"/>
      <c r="Q346" s="12"/>
      <c r="R346" s="12"/>
      <c r="S346" s="12"/>
      <c r="T346" s="12"/>
      <c r="U346" s="12"/>
      <c r="V346" s="12"/>
      <c r="W346" s="12"/>
      <c r="X346" s="12"/>
      <c r="Y346" s="12"/>
      <c r="Z346" s="12"/>
    </row>
    <row r="347" customFormat="false" ht="15.75" hidden="false" customHeight="true" outlineLevel="0" collapsed="false">
      <c r="A347" s="12"/>
      <c r="B347" s="12"/>
      <c r="C347" s="12"/>
      <c r="D347" s="12"/>
      <c r="E347" s="12"/>
      <c r="F347" s="12"/>
      <c r="G347" s="12"/>
      <c r="H347" s="12"/>
      <c r="I347" s="12"/>
      <c r="J347" s="12"/>
      <c r="K347" s="12"/>
      <c r="L347" s="12"/>
      <c r="M347" s="12"/>
      <c r="N347" s="12"/>
      <c r="O347" s="12"/>
      <c r="P347" s="12"/>
      <c r="Q347" s="12"/>
      <c r="R347" s="12"/>
      <c r="S347" s="12"/>
      <c r="T347" s="12"/>
      <c r="U347" s="12"/>
      <c r="V347" s="12"/>
      <c r="W347" s="12"/>
      <c r="X347" s="12"/>
      <c r="Y347" s="12"/>
      <c r="Z347" s="12"/>
    </row>
    <row r="348" customFormat="false" ht="15.75" hidden="false" customHeight="true" outlineLevel="0" collapsed="false">
      <c r="A348" s="12"/>
      <c r="B348" s="12"/>
      <c r="C348" s="12"/>
      <c r="D348" s="12"/>
      <c r="E348" s="12"/>
      <c r="F348" s="12"/>
      <c r="G348" s="12"/>
      <c r="H348" s="12"/>
      <c r="I348" s="12"/>
      <c r="J348" s="12"/>
      <c r="K348" s="12"/>
      <c r="L348" s="12"/>
      <c r="M348" s="12"/>
      <c r="N348" s="12"/>
      <c r="O348" s="12"/>
      <c r="P348" s="12"/>
      <c r="Q348" s="12"/>
      <c r="R348" s="12"/>
      <c r="S348" s="12"/>
      <c r="T348" s="12"/>
      <c r="U348" s="12"/>
      <c r="V348" s="12"/>
      <c r="W348" s="12"/>
      <c r="X348" s="12"/>
      <c r="Y348" s="12"/>
      <c r="Z348" s="12"/>
    </row>
    <row r="349" customFormat="false" ht="15.75" hidden="false" customHeight="true" outlineLevel="0" collapsed="false">
      <c r="A349" s="12"/>
      <c r="B349" s="12"/>
      <c r="C349" s="12"/>
      <c r="D349" s="12"/>
      <c r="E349" s="12"/>
      <c r="F349" s="12"/>
      <c r="G349" s="12"/>
      <c r="H349" s="12"/>
      <c r="I349" s="12"/>
      <c r="J349" s="12"/>
      <c r="K349" s="12"/>
      <c r="L349" s="12"/>
      <c r="M349" s="12"/>
      <c r="N349" s="12"/>
      <c r="O349" s="12"/>
      <c r="P349" s="12"/>
      <c r="Q349" s="12"/>
      <c r="R349" s="12"/>
      <c r="S349" s="12"/>
      <c r="T349" s="12"/>
      <c r="U349" s="12"/>
      <c r="V349" s="12"/>
      <c r="W349" s="12"/>
      <c r="X349" s="12"/>
      <c r="Y349" s="12"/>
      <c r="Z349" s="12"/>
    </row>
    <row r="350" customFormat="false" ht="15.75" hidden="false" customHeight="true" outlineLevel="0" collapsed="false">
      <c r="A350" s="12"/>
      <c r="B350" s="12"/>
      <c r="C350" s="12"/>
      <c r="D350" s="12"/>
      <c r="E350" s="12"/>
      <c r="F350" s="12"/>
      <c r="G350" s="12"/>
      <c r="H350" s="12"/>
      <c r="I350" s="12"/>
      <c r="J350" s="12"/>
      <c r="K350" s="12"/>
      <c r="L350" s="12"/>
      <c r="M350" s="12"/>
      <c r="N350" s="12"/>
      <c r="O350" s="12"/>
      <c r="P350" s="12"/>
      <c r="Q350" s="12"/>
      <c r="R350" s="12"/>
      <c r="S350" s="12"/>
      <c r="T350" s="12"/>
      <c r="U350" s="12"/>
      <c r="V350" s="12"/>
      <c r="W350" s="12"/>
      <c r="X350" s="12"/>
      <c r="Y350" s="12"/>
      <c r="Z350" s="12"/>
    </row>
    <row r="351" customFormat="false" ht="15.75" hidden="false" customHeight="true" outlineLevel="0" collapsed="false">
      <c r="A351" s="12"/>
      <c r="B351" s="12"/>
      <c r="C351" s="12"/>
      <c r="D351" s="12"/>
      <c r="E351" s="12"/>
      <c r="F351" s="12"/>
      <c r="G351" s="12"/>
      <c r="H351" s="12"/>
      <c r="I351" s="12"/>
      <c r="J351" s="12"/>
      <c r="K351" s="12"/>
      <c r="L351" s="12"/>
      <c r="M351" s="12"/>
      <c r="N351" s="12"/>
      <c r="O351" s="12"/>
      <c r="P351" s="12"/>
      <c r="Q351" s="12"/>
      <c r="R351" s="12"/>
      <c r="S351" s="12"/>
      <c r="T351" s="12"/>
      <c r="U351" s="12"/>
      <c r="V351" s="12"/>
      <c r="W351" s="12"/>
      <c r="X351" s="12"/>
      <c r="Y351" s="12"/>
      <c r="Z351" s="12"/>
    </row>
    <row r="352" customFormat="false" ht="15.75" hidden="false" customHeight="true" outlineLevel="0" collapsed="false">
      <c r="A352" s="12"/>
      <c r="B352" s="12"/>
      <c r="C352" s="12"/>
      <c r="D352" s="12"/>
      <c r="E352" s="12"/>
      <c r="F352" s="12"/>
      <c r="G352" s="12"/>
      <c r="H352" s="12"/>
      <c r="I352" s="12"/>
      <c r="J352" s="12"/>
      <c r="K352" s="12"/>
      <c r="L352" s="12"/>
      <c r="M352" s="12"/>
      <c r="N352" s="12"/>
      <c r="O352" s="12"/>
      <c r="P352" s="12"/>
      <c r="Q352" s="12"/>
      <c r="R352" s="12"/>
      <c r="S352" s="12"/>
      <c r="T352" s="12"/>
      <c r="U352" s="12"/>
      <c r="V352" s="12"/>
      <c r="W352" s="12"/>
      <c r="X352" s="12"/>
      <c r="Y352" s="12"/>
      <c r="Z352" s="12"/>
    </row>
    <row r="353" customFormat="false" ht="15.75" hidden="false" customHeight="true" outlineLevel="0" collapsed="false">
      <c r="A353" s="12"/>
      <c r="B353" s="12"/>
      <c r="C353" s="12"/>
      <c r="D353" s="12"/>
      <c r="E353" s="12"/>
      <c r="F353" s="12"/>
      <c r="G353" s="12"/>
      <c r="H353" s="12"/>
      <c r="I353" s="12"/>
      <c r="J353" s="12"/>
      <c r="K353" s="12"/>
      <c r="L353" s="12"/>
      <c r="M353" s="12"/>
      <c r="N353" s="12"/>
      <c r="O353" s="12"/>
      <c r="P353" s="12"/>
      <c r="Q353" s="12"/>
      <c r="R353" s="12"/>
      <c r="S353" s="12"/>
      <c r="T353" s="12"/>
      <c r="U353" s="12"/>
      <c r="V353" s="12"/>
      <c r="W353" s="12"/>
      <c r="X353" s="12"/>
      <c r="Y353" s="12"/>
      <c r="Z353" s="12"/>
    </row>
    <row r="354" customFormat="false" ht="15.75" hidden="false" customHeight="true" outlineLevel="0" collapsed="false">
      <c r="A354" s="12"/>
      <c r="B354" s="12"/>
      <c r="C354" s="12"/>
      <c r="D354" s="12"/>
      <c r="E354" s="12"/>
      <c r="F354" s="12"/>
      <c r="G354" s="12"/>
      <c r="H354" s="12"/>
      <c r="I354" s="12"/>
      <c r="J354" s="12"/>
      <c r="K354" s="12"/>
      <c r="L354" s="12"/>
      <c r="M354" s="12"/>
      <c r="N354" s="12"/>
      <c r="O354" s="12"/>
      <c r="P354" s="12"/>
      <c r="Q354" s="12"/>
      <c r="R354" s="12"/>
      <c r="S354" s="12"/>
      <c r="T354" s="12"/>
      <c r="U354" s="12"/>
      <c r="V354" s="12"/>
      <c r="W354" s="12"/>
      <c r="X354" s="12"/>
      <c r="Y354" s="12"/>
      <c r="Z354" s="12"/>
    </row>
    <row r="355" customFormat="false" ht="15.75" hidden="false" customHeight="true" outlineLevel="0" collapsed="false">
      <c r="A355" s="12"/>
      <c r="B355" s="12"/>
      <c r="C355" s="12"/>
      <c r="D355" s="12"/>
      <c r="E355" s="12"/>
      <c r="F355" s="12"/>
      <c r="G355" s="12"/>
      <c r="H355" s="12"/>
      <c r="I355" s="12"/>
      <c r="J355" s="12"/>
      <c r="K355" s="12"/>
      <c r="L355" s="12"/>
      <c r="M355" s="12"/>
      <c r="N355" s="12"/>
      <c r="O355" s="12"/>
      <c r="P355" s="12"/>
      <c r="Q355" s="12"/>
      <c r="R355" s="12"/>
      <c r="S355" s="12"/>
      <c r="T355" s="12"/>
      <c r="U355" s="12"/>
      <c r="V355" s="12"/>
      <c r="W355" s="12"/>
      <c r="X355" s="12"/>
      <c r="Y355" s="12"/>
      <c r="Z355" s="12"/>
    </row>
    <row r="356" customFormat="false" ht="15.75" hidden="false" customHeight="true" outlineLevel="0" collapsed="false">
      <c r="A356" s="12"/>
      <c r="B356" s="12"/>
      <c r="C356" s="12"/>
      <c r="D356" s="12"/>
      <c r="E356" s="12"/>
      <c r="F356" s="12"/>
      <c r="G356" s="12"/>
      <c r="H356" s="12"/>
      <c r="I356" s="12"/>
      <c r="J356" s="12"/>
      <c r="K356" s="12"/>
      <c r="L356" s="12"/>
      <c r="M356" s="12"/>
      <c r="N356" s="12"/>
      <c r="O356" s="12"/>
      <c r="P356" s="12"/>
      <c r="Q356" s="12"/>
      <c r="R356" s="12"/>
      <c r="S356" s="12"/>
      <c r="T356" s="12"/>
      <c r="U356" s="12"/>
      <c r="V356" s="12"/>
      <c r="W356" s="12"/>
      <c r="X356" s="12"/>
      <c r="Y356" s="12"/>
      <c r="Z356" s="12"/>
    </row>
    <row r="357" customFormat="false" ht="15.75" hidden="false" customHeight="true" outlineLevel="0" collapsed="false">
      <c r="A357" s="12"/>
      <c r="B357" s="12"/>
      <c r="C357" s="12"/>
      <c r="D357" s="12"/>
      <c r="E357" s="12"/>
      <c r="F357" s="12"/>
      <c r="G357" s="12"/>
      <c r="H357" s="12"/>
      <c r="I357" s="12"/>
      <c r="J357" s="12"/>
      <c r="K357" s="12"/>
      <c r="L357" s="12"/>
      <c r="M357" s="12"/>
      <c r="N357" s="12"/>
      <c r="O357" s="12"/>
      <c r="P357" s="12"/>
      <c r="Q357" s="12"/>
      <c r="R357" s="12"/>
      <c r="S357" s="12"/>
      <c r="T357" s="12"/>
      <c r="U357" s="12"/>
      <c r="V357" s="12"/>
      <c r="W357" s="12"/>
      <c r="X357" s="12"/>
      <c r="Y357" s="12"/>
      <c r="Z357" s="12"/>
    </row>
    <row r="358" customFormat="false" ht="15.75" hidden="false" customHeight="true" outlineLevel="0" collapsed="false">
      <c r="A358" s="12"/>
      <c r="B358" s="12"/>
      <c r="C358" s="12"/>
      <c r="D358" s="12"/>
      <c r="E358" s="12"/>
      <c r="F358" s="12"/>
      <c r="G358" s="12"/>
      <c r="H358" s="12"/>
      <c r="I358" s="12"/>
      <c r="J358" s="12"/>
      <c r="K358" s="12"/>
      <c r="L358" s="12"/>
      <c r="M358" s="12"/>
      <c r="N358" s="12"/>
      <c r="O358" s="12"/>
      <c r="P358" s="12"/>
      <c r="Q358" s="12"/>
      <c r="R358" s="12"/>
      <c r="S358" s="12"/>
      <c r="T358" s="12"/>
      <c r="U358" s="12"/>
      <c r="V358" s="12"/>
      <c r="W358" s="12"/>
      <c r="X358" s="12"/>
      <c r="Y358" s="12"/>
      <c r="Z358" s="12"/>
    </row>
    <row r="359" customFormat="false" ht="15.75" hidden="false" customHeight="true" outlineLevel="0" collapsed="false">
      <c r="A359" s="12"/>
      <c r="B359" s="12"/>
      <c r="C359" s="12"/>
      <c r="D359" s="12"/>
      <c r="E359" s="12"/>
      <c r="F359" s="12"/>
      <c r="G359" s="12"/>
      <c r="H359" s="12"/>
      <c r="I359" s="12"/>
      <c r="J359" s="12"/>
      <c r="K359" s="12"/>
      <c r="L359" s="12"/>
      <c r="M359" s="12"/>
      <c r="N359" s="12"/>
      <c r="O359" s="12"/>
      <c r="P359" s="12"/>
      <c r="Q359" s="12"/>
      <c r="R359" s="12"/>
      <c r="S359" s="12"/>
      <c r="T359" s="12"/>
      <c r="U359" s="12"/>
      <c r="V359" s="12"/>
      <c r="W359" s="12"/>
      <c r="X359" s="12"/>
      <c r="Y359" s="12"/>
      <c r="Z359" s="12"/>
    </row>
    <row r="360" customFormat="false" ht="15.75" hidden="false" customHeight="true" outlineLevel="0" collapsed="false">
      <c r="A360" s="12"/>
      <c r="B360" s="12"/>
      <c r="C360" s="12"/>
      <c r="D360" s="12"/>
      <c r="E360" s="12"/>
      <c r="F360" s="12"/>
      <c r="G360" s="12"/>
      <c r="H360" s="12"/>
      <c r="I360" s="12"/>
      <c r="J360" s="12"/>
      <c r="K360" s="12"/>
      <c r="L360" s="12"/>
      <c r="M360" s="12"/>
      <c r="N360" s="12"/>
      <c r="O360" s="12"/>
      <c r="P360" s="12"/>
      <c r="Q360" s="12"/>
      <c r="R360" s="12"/>
      <c r="S360" s="12"/>
      <c r="T360" s="12"/>
      <c r="U360" s="12"/>
      <c r="V360" s="12"/>
      <c r="W360" s="12"/>
      <c r="X360" s="12"/>
      <c r="Y360" s="12"/>
      <c r="Z360" s="12"/>
    </row>
    <row r="361" customFormat="false" ht="15.75" hidden="false" customHeight="true" outlineLevel="0" collapsed="false">
      <c r="A361" s="12"/>
      <c r="B361" s="12"/>
      <c r="C361" s="12"/>
      <c r="D361" s="12"/>
      <c r="E361" s="12"/>
      <c r="F361" s="12"/>
      <c r="G361" s="12"/>
      <c r="H361" s="12"/>
      <c r="I361" s="12"/>
      <c r="J361" s="12"/>
      <c r="K361" s="12"/>
      <c r="L361" s="12"/>
      <c r="M361" s="12"/>
      <c r="N361" s="12"/>
      <c r="O361" s="12"/>
      <c r="P361" s="12"/>
      <c r="Q361" s="12"/>
      <c r="R361" s="12"/>
      <c r="S361" s="12"/>
      <c r="T361" s="12"/>
      <c r="U361" s="12"/>
      <c r="V361" s="12"/>
      <c r="W361" s="12"/>
      <c r="X361" s="12"/>
      <c r="Y361" s="12"/>
      <c r="Z361" s="12"/>
    </row>
    <row r="362" customFormat="false" ht="15.75" hidden="false" customHeight="true" outlineLevel="0" collapsed="false">
      <c r="A362" s="12"/>
      <c r="B362" s="12"/>
      <c r="C362" s="12"/>
      <c r="D362" s="12"/>
      <c r="E362" s="12"/>
      <c r="F362" s="12"/>
      <c r="G362" s="12"/>
      <c r="H362" s="12"/>
      <c r="I362" s="12"/>
      <c r="J362" s="12"/>
      <c r="K362" s="12"/>
      <c r="L362" s="12"/>
      <c r="M362" s="12"/>
      <c r="N362" s="12"/>
      <c r="O362" s="12"/>
      <c r="P362" s="12"/>
      <c r="Q362" s="12"/>
      <c r="R362" s="12"/>
      <c r="S362" s="12"/>
      <c r="T362" s="12"/>
      <c r="U362" s="12"/>
      <c r="V362" s="12"/>
      <c r="W362" s="12"/>
      <c r="X362" s="12"/>
      <c r="Y362" s="12"/>
      <c r="Z362" s="12"/>
    </row>
    <row r="363" customFormat="false" ht="15.75" hidden="false" customHeight="true" outlineLevel="0" collapsed="false">
      <c r="A363" s="12"/>
      <c r="B363" s="12"/>
      <c r="C363" s="12"/>
      <c r="D363" s="12"/>
      <c r="E363" s="12"/>
      <c r="F363" s="12"/>
      <c r="G363" s="12"/>
      <c r="H363" s="12"/>
      <c r="I363" s="12"/>
      <c r="J363" s="12"/>
      <c r="K363" s="12"/>
      <c r="L363" s="12"/>
      <c r="M363" s="12"/>
      <c r="N363" s="12"/>
      <c r="O363" s="12"/>
      <c r="P363" s="12"/>
      <c r="Q363" s="12"/>
      <c r="R363" s="12"/>
      <c r="S363" s="12"/>
      <c r="T363" s="12"/>
      <c r="U363" s="12"/>
      <c r="V363" s="12"/>
      <c r="W363" s="12"/>
      <c r="X363" s="12"/>
      <c r="Y363" s="12"/>
      <c r="Z363" s="12"/>
    </row>
    <row r="364" customFormat="false" ht="15.75" hidden="false" customHeight="true" outlineLevel="0" collapsed="false">
      <c r="A364" s="12"/>
      <c r="B364" s="12"/>
      <c r="C364" s="12"/>
      <c r="D364" s="12"/>
      <c r="E364" s="12"/>
      <c r="F364" s="12"/>
      <c r="G364" s="12"/>
      <c r="H364" s="12"/>
      <c r="I364" s="12"/>
      <c r="J364" s="12"/>
      <c r="K364" s="12"/>
      <c r="L364" s="12"/>
      <c r="M364" s="12"/>
      <c r="N364" s="12"/>
      <c r="O364" s="12"/>
      <c r="P364" s="12"/>
      <c r="Q364" s="12"/>
      <c r="R364" s="12"/>
      <c r="S364" s="12"/>
      <c r="T364" s="12"/>
      <c r="U364" s="12"/>
      <c r="V364" s="12"/>
      <c r="W364" s="12"/>
      <c r="X364" s="12"/>
      <c r="Y364" s="12"/>
      <c r="Z364" s="12"/>
    </row>
    <row r="365" customFormat="false" ht="15.75" hidden="false" customHeight="true" outlineLevel="0" collapsed="false">
      <c r="A365" s="12"/>
      <c r="B365" s="12"/>
      <c r="C365" s="12"/>
      <c r="D365" s="12"/>
      <c r="E365" s="12"/>
      <c r="F365" s="12"/>
      <c r="G365" s="12"/>
      <c r="H365" s="12"/>
      <c r="I365" s="12"/>
      <c r="J365" s="12"/>
      <c r="K365" s="12"/>
      <c r="L365" s="12"/>
      <c r="M365" s="12"/>
      <c r="N365" s="12"/>
      <c r="O365" s="12"/>
      <c r="P365" s="12"/>
      <c r="Q365" s="12"/>
      <c r="R365" s="12"/>
      <c r="S365" s="12"/>
      <c r="T365" s="12"/>
      <c r="U365" s="12"/>
      <c r="V365" s="12"/>
      <c r="W365" s="12"/>
      <c r="X365" s="12"/>
      <c r="Y365" s="12"/>
      <c r="Z365" s="12"/>
    </row>
    <row r="366" customFormat="false" ht="15.75" hidden="false" customHeight="true" outlineLevel="0" collapsed="false">
      <c r="A366" s="12"/>
      <c r="B366" s="12"/>
      <c r="C366" s="12"/>
      <c r="D366" s="12"/>
      <c r="E366" s="12"/>
      <c r="F366" s="12"/>
      <c r="G366" s="12"/>
      <c r="H366" s="12"/>
      <c r="I366" s="12"/>
      <c r="J366" s="12"/>
      <c r="K366" s="12"/>
      <c r="L366" s="12"/>
      <c r="M366" s="12"/>
      <c r="N366" s="12"/>
      <c r="O366" s="12"/>
      <c r="P366" s="12"/>
      <c r="Q366" s="12"/>
      <c r="R366" s="12"/>
      <c r="S366" s="12"/>
      <c r="T366" s="12"/>
      <c r="U366" s="12"/>
      <c r="V366" s="12"/>
      <c r="W366" s="12"/>
      <c r="X366" s="12"/>
      <c r="Y366" s="12"/>
      <c r="Z366" s="12"/>
    </row>
    <row r="367" customFormat="false" ht="15.75" hidden="false" customHeight="true" outlineLevel="0" collapsed="false">
      <c r="A367" s="12"/>
      <c r="B367" s="12"/>
      <c r="C367" s="12"/>
      <c r="D367" s="12"/>
      <c r="E367" s="12"/>
      <c r="F367" s="12"/>
      <c r="G367" s="12"/>
      <c r="H367" s="12"/>
      <c r="I367" s="12"/>
      <c r="J367" s="12"/>
      <c r="K367" s="12"/>
      <c r="L367" s="12"/>
      <c r="M367" s="12"/>
      <c r="N367" s="12"/>
      <c r="O367" s="12"/>
      <c r="P367" s="12"/>
      <c r="Q367" s="12"/>
      <c r="R367" s="12"/>
      <c r="S367" s="12"/>
      <c r="T367" s="12"/>
      <c r="U367" s="12"/>
      <c r="V367" s="12"/>
      <c r="W367" s="12"/>
      <c r="X367" s="12"/>
      <c r="Y367" s="12"/>
      <c r="Z367" s="12"/>
    </row>
    <row r="368" customFormat="false" ht="15.75" hidden="false" customHeight="true" outlineLevel="0" collapsed="false">
      <c r="A368" s="12"/>
      <c r="B368" s="12"/>
      <c r="C368" s="12"/>
      <c r="D368" s="12"/>
      <c r="E368" s="12"/>
      <c r="F368" s="12"/>
      <c r="G368" s="12"/>
      <c r="H368" s="12"/>
      <c r="I368" s="12"/>
      <c r="J368" s="12"/>
      <c r="K368" s="12"/>
      <c r="L368" s="12"/>
      <c r="M368" s="12"/>
      <c r="N368" s="12"/>
      <c r="O368" s="12"/>
      <c r="P368" s="12"/>
      <c r="Q368" s="12"/>
      <c r="R368" s="12"/>
      <c r="S368" s="12"/>
      <c r="T368" s="12"/>
      <c r="U368" s="12"/>
      <c r="V368" s="12"/>
      <c r="W368" s="12"/>
      <c r="X368" s="12"/>
      <c r="Y368" s="12"/>
      <c r="Z368" s="12"/>
    </row>
    <row r="369" customFormat="false" ht="15.75" hidden="false" customHeight="true" outlineLevel="0" collapsed="false">
      <c r="A369" s="12"/>
      <c r="B369" s="12"/>
      <c r="C369" s="12"/>
      <c r="D369" s="12"/>
      <c r="E369" s="12"/>
      <c r="F369" s="12"/>
      <c r="G369" s="12"/>
      <c r="H369" s="12"/>
      <c r="I369" s="12"/>
      <c r="J369" s="12"/>
      <c r="K369" s="12"/>
      <c r="L369" s="12"/>
      <c r="M369" s="12"/>
      <c r="N369" s="12"/>
      <c r="O369" s="12"/>
      <c r="P369" s="12"/>
      <c r="Q369" s="12"/>
      <c r="R369" s="12"/>
      <c r="S369" s="12"/>
      <c r="T369" s="12"/>
      <c r="U369" s="12"/>
      <c r="V369" s="12"/>
      <c r="W369" s="12"/>
      <c r="X369" s="12"/>
      <c r="Y369" s="12"/>
      <c r="Z369" s="12"/>
    </row>
    <row r="370" customFormat="false" ht="15.75" hidden="false" customHeight="true" outlineLevel="0" collapsed="false">
      <c r="A370" s="12"/>
      <c r="B370" s="12"/>
      <c r="C370" s="12"/>
      <c r="D370" s="12"/>
      <c r="E370" s="12"/>
      <c r="F370" s="12"/>
      <c r="G370" s="12"/>
      <c r="H370" s="12"/>
      <c r="I370" s="12"/>
      <c r="J370" s="12"/>
      <c r="K370" s="12"/>
      <c r="L370" s="12"/>
      <c r="M370" s="12"/>
      <c r="N370" s="12"/>
      <c r="O370" s="12"/>
      <c r="P370" s="12"/>
      <c r="Q370" s="12"/>
      <c r="R370" s="12"/>
      <c r="S370" s="12"/>
      <c r="T370" s="12"/>
      <c r="U370" s="12"/>
      <c r="V370" s="12"/>
      <c r="W370" s="12"/>
      <c r="X370" s="12"/>
      <c r="Y370" s="12"/>
      <c r="Z370" s="12"/>
    </row>
    <row r="371" customFormat="false" ht="15.75" hidden="false" customHeight="true" outlineLevel="0" collapsed="false">
      <c r="A371" s="12"/>
      <c r="B371" s="12"/>
      <c r="C371" s="12"/>
      <c r="D371" s="12"/>
      <c r="E371" s="12"/>
      <c r="F371" s="12"/>
      <c r="G371" s="12"/>
      <c r="H371" s="12"/>
      <c r="I371" s="12"/>
      <c r="J371" s="12"/>
      <c r="K371" s="12"/>
      <c r="L371" s="12"/>
      <c r="M371" s="12"/>
      <c r="N371" s="12"/>
      <c r="O371" s="12"/>
      <c r="P371" s="12"/>
      <c r="Q371" s="12"/>
      <c r="R371" s="12"/>
      <c r="S371" s="12"/>
      <c r="T371" s="12"/>
      <c r="U371" s="12"/>
      <c r="V371" s="12"/>
      <c r="W371" s="12"/>
      <c r="X371" s="12"/>
      <c r="Y371" s="12"/>
      <c r="Z371" s="12"/>
    </row>
    <row r="372" customFormat="false" ht="15.75" hidden="false" customHeight="true" outlineLevel="0" collapsed="false">
      <c r="A372" s="12"/>
      <c r="B372" s="12"/>
      <c r="C372" s="12"/>
      <c r="D372" s="12"/>
      <c r="E372" s="12"/>
      <c r="F372" s="12"/>
      <c r="G372" s="12"/>
      <c r="H372" s="12"/>
      <c r="I372" s="12"/>
      <c r="J372" s="12"/>
      <c r="K372" s="12"/>
      <c r="L372" s="12"/>
      <c r="M372" s="12"/>
      <c r="N372" s="12"/>
      <c r="O372" s="12"/>
      <c r="P372" s="12"/>
      <c r="Q372" s="12"/>
      <c r="R372" s="12"/>
      <c r="S372" s="12"/>
      <c r="T372" s="12"/>
      <c r="U372" s="12"/>
      <c r="V372" s="12"/>
      <c r="W372" s="12"/>
      <c r="X372" s="12"/>
      <c r="Y372" s="12"/>
      <c r="Z372" s="12"/>
    </row>
    <row r="373" customFormat="false" ht="15.75" hidden="false" customHeight="true" outlineLevel="0" collapsed="false">
      <c r="A373" s="12"/>
      <c r="B373" s="12"/>
      <c r="C373" s="12"/>
      <c r="D373" s="12"/>
      <c r="E373" s="12"/>
      <c r="F373" s="12"/>
      <c r="G373" s="12"/>
      <c r="H373" s="12"/>
      <c r="I373" s="12"/>
      <c r="J373" s="12"/>
      <c r="K373" s="12"/>
      <c r="L373" s="12"/>
      <c r="M373" s="12"/>
      <c r="N373" s="12"/>
      <c r="O373" s="12"/>
      <c r="P373" s="12"/>
      <c r="Q373" s="12"/>
      <c r="R373" s="12"/>
      <c r="S373" s="12"/>
      <c r="T373" s="12"/>
      <c r="U373" s="12"/>
      <c r="V373" s="12"/>
      <c r="W373" s="12"/>
      <c r="X373" s="12"/>
      <c r="Y373" s="12"/>
      <c r="Z373" s="12"/>
    </row>
    <row r="374" customFormat="false" ht="15.75" hidden="false" customHeight="true" outlineLevel="0" collapsed="false">
      <c r="A374" s="12"/>
      <c r="B374" s="12"/>
      <c r="C374" s="12"/>
      <c r="D374" s="12"/>
      <c r="E374" s="12"/>
      <c r="F374" s="12"/>
      <c r="G374" s="12"/>
      <c r="H374" s="12"/>
      <c r="I374" s="12"/>
      <c r="J374" s="12"/>
      <c r="K374" s="12"/>
      <c r="L374" s="12"/>
      <c r="M374" s="12"/>
      <c r="N374" s="12"/>
      <c r="O374" s="12"/>
      <c r="P374" s="12"/>
      <c r="Q374" s="12"/>
      <c r="R374" s="12"/>
      <c r="S374" s="12"/>
      <c r="T374" s="12"/>
      <c r="U374" s="12"/>
      <c r="V374" s="12"/>
      <c r="W374" s="12"/>
      <c r="X374" s="12"/>
      <c r="Y374" s="12"/>
      <c r="Z374" s="12"/>
    </row>
    <row r="375" customFormat="false" ht="15.75" hidden="false" customHeight="true" outlineLevel="0" collapsed="false">
      <c r="A375" s="12"/>
      <c r="B375" s="12"/>
      <c r="C375" s="12"/>
      <c r="D375" s="12"/>
      <c r="E375" s="12"/>
      <c r="F375" s="12"/>
      <c r="G375" s="12"/>
      <c r="H375" s="12"/>
      <c r="I375" s="12"/>
      <c r="J375" s="12"/>
      <c r="K375" s="12"/>
      <c r="L375" s="12"/>
      <c r="M375" s="12"/>
      <c r="N375" s="12"/>
      <c r="O375" s="12"/>
      <c r="P375" s="12"/>
      <c r="Q375" s="12"/>
      <c r="R375" s="12"/>
      <c r="S375" s="12"/>
      <c r="T375" s="12"/>
      <c r="U375" s="12"/>
      <c r="V375" s="12"/>
      <c r="W375" s="12"/>
      <c r="X375" s="12"/>
      <c r="Y375" s="12"/>
      <c r="Z375" s="12"/>
    </row>
    <row r="376" customFormat="false" ht="15.75" hidden="false" customHeight="true" outlineLevel="0" collapsed="false">
      <c r="A376" s="12"/>
      <c r="B376" s="12"/>
      <c r="C376" s="12"/>
      <c r="D376" s="12"/>
      <c r="E376" s="12"/>
      <c r="F376" s="12"/>
      <c r="G376" s="12"/>
      <c r="H376" s="12"/>
      <c r="I376" s="12"/>
      <c r="J376" s="12"/>
      <c r="K376" s="12"/>
      <c r="L376" s="12"/>
      <c r="M376" s="12"/>
      <c r="N376" s="12"/>
      <c r="O376" s="12"/>
      <c r="P376" s="12"/>
      <c r="Q376" s="12"/>
      <c r="R376" s="12"/>
      <c r="S376" s="12"/>
      <c r="T376" s="12"/>
      <c r="U376" s="12"/>
      <c r="V376" s="12"/>
      <c r="W376" s="12"/>
      <c r="X376" s="12"/>
      <c r="Y376" s="12"/>
      <c r="Z376" s="12"/>
    </row>
    <row r="377" customFormat="false" ht="15.75" hidden="false" customHeight="true" outlineLevel="0" collapsed="false">
      <c r="A377" s="12"/>
      <c r="B377" s="12"/>
      <c r="C377" s="12"/>
      <c r="D377" s="12"/>
      <c r="E377" s="12"/>
      <c r="F377" s="12"/>
      <c r="G377" s="12"/>
      <c r="H377" s="12"/>
      <c r="I377" s="12"/>
      <c r="J377" s="12"/>
      <c r="K377" s="12"/>
      <c r="L377" s="12"/>
      <c r="M377" s="12"/>
      <c r="N377" s="12"/>
      <c r="O377" s="12"/>
      <c r="P377" s="12"/>
      <c r="Q377" s="12"/>
      <c r="R377" s="12"/>
      <c r="S377" s="12"/>
      <c r="T377" s="12"/>
      <c r="U377" s="12"/>
      <c r="V377" s="12"/>
      <c r="W377" s="12"/>
      <c r="X377" s="12"/>
      <c r="Y377" s="12"/>
      <c r="Z377" s="12"/>
    </row>
    <row r="378" customFormat="false" ht="15.75" hidden="false" customHeight="true" outlineLevel="0" collapsed="false">
      <c r="A378" s="12"/>
      <c r="B378" s="12"/>
      <c r="C378" s="12"/>
      <c r="D378" s="12"/>
      <c r="E378" s="12"/>
      <c r="F378" s="12"/>
      <c r="G378" s="12"/>
      <c r="H378" s="12"/>
      <c r="I378" s="12"/>
      <c r="J378" s="12"/>
      <c r="K378" s="12"/>
      <c r="L378" s="12"/>
      <c r="M378" s="12"/>
      <c r="N378" s="12"/>
      <c r="O378" s="12"/>
      <c r="P378" s="12"/>
      <c r="Q378" s="12"/>
      <c r="R378" s="12"/>
      <c r="S378" s="12"/>
      <c r="T378" s="12"/>
      <c r="U378" s="12"/>
      <c r="V378" s="12"/>
      <c r="W378" s="12"/>
      <c r="X378" s="12"/>
      <c r="Y378" s="12"/>
      <c r="Z378" s="12"/>
    </row>
    <row r="379" customFormat="false" ht="15.75" hidden="false" customHeight="true" outlineLevel="0" collapsed="false">
      <c r="A379" s="12"/>
      <c r="B379" s="12"/>
      <c r="C379" s="12"/>
      <c r="D379" s="12"/>
      <c r="E379" s="12"/>
      <c r="F379" s="12"/>
      <c r="G379" s="12"/>
      <c r="H379" s="12"/>
      <c r="I379" s="12"/>
      <c r="J379" s="12"/>
      <c r="K379" s="12"/>
      <c r="L379" s="12"/>
      <c r="M379" s="12"/>
      <c r="N379" s="12"/>
      <c r="O379" s="12"/>
      <c r="P379" s="12"/>
      <c r="Q379" s="12"/>
      <c r="R379" s="12"/>
      <c r="S379" s="12"/>
      <c r="T379" s="12"/>
      <c r="U379" s="12"/>
      <c r="V379" s="12"/>
      <c r="W379" s="12"/>
      <c r="X379" s="12"/>
      <c r="Y379" s="12"/>
      <c r="Z379" s="12"/>
    </row>
    <row r="380" customFormat="false" ht="15.75" hidden="false" customHeight="true" outlineLevel="0" collapsed="false">
      <c r="A380" s="12"/>
      <c r="B380" s="12"/>
      <c r="C380" s="12"/>
      <c r="D380" s="12"/>
      <c r="E380" s="12"/>
      <c r="F380" s="12"/>
      <c r="G380" s="12"/>
      <c r="H380" s="12"/>
      <c r="I380" s="12"/>
      <c r="J380" s="12"/>
      <c r="K380" s="12"/>
      <c r="L380" s="12"/>
      <c r="M380" s="12"/>
      <c r="N380" s="12"/>
      <c r="O380" s="12"/>
      <c r="P380" s="12"/>
      <c r="Q380" s="12"/>
      <c r="R380" s="12"/>
      <c r="S380" s="12"/>
      <c r="T380" s="12"/>
      <c r="U380" s="12"/>
      <c r="V380" s="12"/>
      <c r="W380" s="12"/>
      <c r="X380" s="12"/>
      <c r="Y380" s="12"/>
      <c r="Z380" s="12"/>
    </row>
    <row r="381" customFormat="false" ht="15.75" hidden="false" customHeight="true" outlineLevel="0" collapsed="false">
      <c r="A381" s="12"/>
      <c r="B381" s="12"/>
      <c r="C381" s="12"/>
      <c r="D381" s="12"/>
      <c r="E381" s="12"/>
      <c r="F381" s="12"/>
      <c r="G381" s="12"/>
      <c r="H381" s="12"/>
      <c r="I381" s="12"/>
      <c r="J381" s="12"/>
      <c r="K381" s="12"/>
      <c r="L381" s="12"/>
      <c r="M381" s="12"/>
      <c r="N381" s="12"/>
      <c r="O381" s="12"/>
      <c r="P381" s="12"/>
      <c r="Q381" s="12"/>
      <c r="R381" s="12"/>
      <c r="S381" s="12"/>
      <c r="T381" s="12"/>
      <c r="U381" s="12"/>
      <c r="V381" s="12"/>
      <c r="W381" s="12"/>
      <c r="X381" s="12"/>
      <c r="Y381" s="12"/>
      <c r="Z381" s="12"/>
    </row>
    <row r="382" customFormat="false" ht="15.75" hidden="false" customHeight="true" outlineLevel="0" collapsed="false">
      <c r="A382" s="12"/>
      <c r="B382" s="12"/>
      <c r="C382" s="12"/>
      <c r="D382" s="12"/>
      <c r="E382" s="12"/>
      <c r="F382" s="12"/>
      <c r="G382" s="12"/>
      <c r="H382" s="12"/>
      <c r="I382" s="12"/>
      <c r="J382" s="12"/>
      <c r="K382" s="12"/>
      <c r="L382" s="12"/>
      <c r="M382" s="12"/>
      <c r="N382" s="12"/>
      <c r="O382" s="12"/>
      <c r="P382" s="12"/>
      <c r="Q382" s="12"/>
      <c r="R382" s="12"/>
      <c r="S382" s="12"/>
      <c r="T382" s="12"/>
      <c r="U382" s="12"/>
      <c r="V382" s="12"/>
      <c r="W382" s="12"/>
      <c r="X382" s="12"/>
      <c r="Y382" s="12"/>
      <c r="Z382" s="12"/>
    </row>
    <row r="383" customFormat="false" ht="15.75" hidden="false" customHeight="true" outlineLevel="0" collapsed="false">
      <c r="A383" s="12"/>
      <c r="B383" s="12"/>
      <c r="C383" s="12"/>
      <c r="D383" s="12"/>
      <c r="E383" s="12"/>
      <c r="F383" s="12"/>
      <c r="G383" s="12"/>
      <c r="H383" s="12"/>
      <c r="I383" s="12"/>
      <c r="J383" s="12"/>
      <c r="K383" s="12"/>
      <c r="L383" s="12"/>
      <c r="M383" s="12"/>
      <c r="N383" s="12"/>
      <c r="O383" s="12"/>
      <c r="P383" s="12"/>
      <c r="Q383" s="12"/>
      <c r="R383" s="12"/>
      <c r="S383" s="12"/>
      <c r="T383" s="12"/>
      <c r="U383" s="12"/>
      <c r="V383" s="12"/>
      <c r="W383" s="12"/>
      <c r="X383" s="12"/>
      <c r="Y383" s="12"/>
      <c r="Z383" s="12"/>
    </row>
    <row r="384" customFormat="false" ht="15.75" hidden="false" customHeight="true" outlineLevel="0" collapsed="false">
      <c r="A384" s="12"/>
      <c r="B384" s="12"/>
      <c r="C384" s="12"/>
      <c r="D384" s="12"/>
      <c r="E384" s="12"/>
      <c r="F384" s="12"/>
      <c r="G384" s="12"/>
      <c r="H384" s="12"/>
      <c r="I384" s="12"/>
      <c r="J384" s="12"/>
      <c r="K384" s="12"/>
      <c r="L384" s="12"/>
      <c r="M384" s="12"/>
      <c r="N384" s="12"/>
      <c r="O384" s="12"/>
      <c r="P384" s="12"/>
      <c r="Q384" s="12"/>
      <c r="R384" s="12"/>
      <c r="S384" s="12"/>
      <c r="T384" s="12"/>
      <c r="U384" s="12"/>
      <c r="V384" s="12"/>
      <c r="W384" s="12"/>
      <c r="X384" s="12"/>
      <c r="Y384" s="12"/>
      <c r="Z384" s="12"/>
    </row>
    <row r="385" customFormat="false" ht="15.75" hidden="false" customHeight="true" outlineLevel="0" collapsed="false">
      <c r="A385" s="12"/>
      <c r="B385" s="12"/>
      <c r="C385" s="12"/>
      <c r="D385" s="12"/>
      <c r="E385" s="12"/>
      <c r="F385" s="12"/>
      <c r="G385" s="12"/>
      <c r="H385" s="12"/>
      <c r="I385" s="12"/>
      <c r="J385" s="12"/>
      <c r="K385" s="12"/>
      <c r="L385" s="12"/>
      <c r="M385" s="12"/>
      <c r="N385" s="12"/>
      <c r="O385" s="12"/>
      <c r="P385" s="12"/>
      <c r="Q385" s="12"/>
      <c r="R385" s="12"/>
      <c r="S385" s="12"/>
      <c r="T385" s="12"/>
      <c r="U385" s="12"/>
      <c r="V385" s="12"/>
      <c r="W385" s="12"/>
      <c r="X385" s="12"/>
      <c r="Y385" s="12"/>
      <c r="Z385" s="12"/>
    </row>
    <row r="386" customFormat="false" ht="15.75" hidden="false" customHeight="true" outlineLevel="0" collapsed="false">
      <c r="A386" s="12"/>
      <c r="B386" s="12"/>
      <c r="C386" s="12"/>
      <c r="D386" s="12"/>
      <c r="E386" s="12"/>
      <c r="F386" s="12"/>
      <c r="G386" s="12"/>
      <c r="H386" s="12"/>
      <c r="I386" s="12"/>
      <c r="J386" s="12"/>
      <c r="K386" s="12"/>
      <c r="L386" s="12"/>
      <c r="M386" s="12"/>
      <c r="N386" s="12"/>
      <c r="O386" s="12"/>
      <c r="P386" s="12"/>
      <c r="Q386" s="12"/>
      <c r="R386" s="12"/>
      <c r="S386" s="12"/>
      <c r="T386" s="12"/>
      <c r="U386" s="12"/>
      <c r="V386" s="12"/>
      <c r="W386" s="12"/>
      <c r="X386" s="12"/>
      <c r="Y386" s="12"/>
      <c r="Z386" s="12"/>
    </row>
    <row r="387" customFormat="false" ht="15.75" hidden="false" customHeight="true" outlineLevel="0" collapsed="false">
      <c r="A387" s="12"/>
      <c r="B387" s="12"/>
      <c r="C387" s="12"/>
      <c r="D387" s="12"/>
      <c r="E387" s="12"/>
      <c r="F387" s="12"/>
      <c r="G387" s="12"/>
      <c r="H387" s="12"/>
      <c r="I387" s="12"/>
      <c r="J387" s="12"/>
      <c r="K387" s="12"/>
      <c r="L387" s="12"/>
      <c r="M387" s="12"/>
      <c r="N387" s="12"/>
      <c r="O387" s="12"/>
      <c r="P387" s="12"/>
      <c r="Q387" s="12"/>
      <c r="R387" s="12"/>
      <c r="S387" s="12"/>
      <c r="T387" s="12"/>
      <c r="U387" s="12"/>
      <c r="V387" s="12"/>
      <c r="W387" s="12"/>
      <c r="X387" s="12"/>
      <c r="Y387" s="12"/>
      <c r="Z387" s="12"/>
    </row>
    <row r="388" customFormat="false" ht="15.75" hidden="false" customHeight="true" outlineLevel="0" collapsed="false">
      <c r="A388" s="12"/>
      <c r="B388" s="12"/>
      <c r="C388" s="12"/>
      <c r="D388" s="12"/>
      <c r="E388" s="12"/>
      <c r="F388" s="12"/>
      <c r="G388" s="12"/>
      <c r="H388" s="12"/>
      <c r="I388" s="12"/>
      <c r="J388" s="12"/>
      <c r="K388" s="12"/>
      <c r="L388" s="12"/>
      <c r="M388" s="12"/>
      <c r="N388" s="12"/>
      <c r="O388" s="12"/>
      <c r="P388" s="12"/>
      <c r="Q388" s="12"/>
      <c r="R388" s="12"/>
      <c r="S388" s="12"/>
      <c r="T388" s="12"/>
      <c r="U388" s="12"/>
      <c r="V388" s="12"/>
      <c r="W388" s="12"/>
      <c r="X388" s="12"/>
      <c r="Y388" s="12"/>
      <c r="Z388" s="12"/>
    </row>
    <row r="389" customFormat="false" ht="15.75" hidden="false" customHeight="true" outlineLevel="0" collapsed="false">
      <c r="A389" s="12"/>
      <c r="B389" s="12"/>
      <c r="C389" s="12"/>
      <c r="D389" s="12"/>
      <c r="E389" s="12"/>
      <c r="F389" s="12"/>
      <c r="G389" s="12"/>
      <c r="H389" s="12"/>
      <c r="I389" s="12"/>
      <c r="J389" s="12"/>
      <c r="K389" s="12"/>
      <c r="L389" s="12"/>
      <c r="M389" s="12"/>
      <c r="N389" s="12"/>
      <c r="O389" s="12"/>
      <c r="P389" s="12"/>
      <c r="Q389" s="12"/>
      <c r="R389" s="12"/>
      <c r="S389" s="12"/>
      <c r="T389" s="12"/>
      <c r="U389" s="12"/>
      <c r="V389" s="12"/>
      <c r="W389" s="12"/>
      <c r="X389" s="12"/>
      <c r="Y389" s="12"/>
      <c r="Z389" s="12"/>
    </row>
    <row r="390" customFormat="false" ht="15.75" hidden="false" customHeight="true" outlineLevel="0" collapsed="false">
      <c r="A390" s="12"/>
      <c r="B390" s="12"/>
      <c r="C390" s="12"/>
      <c r="D390" s="12"/>
      <c r="E390" s="12"/>
      <c r="F390" s="12"/>
      <c r="G390" s="12"/>
      <c r="H390" s="12"/>
      <c r="I390" s="12"/>
      <c r="J390" s="12"/>
      <c r="K390" s="12"/>
      <c r="L390" s="12"/>
      <c r="M390" s="12"/>
      <c r="N390" s="12"/>
      <c r="O390" s="12"/>
      <c r="P390" s="12"/>
      <c r="Q390" s="12"/>
      <c r="R390" s="12"/>
      <c r="S390" s="12"/>
      <c r="T390" s="12"/>
      <c r="U390" s="12"/>
      <c r="V390" s="12"/>
      <c r="W390" s="12"/>
      <c r="X390" s="12"/>
      <c r="Y390" s="12"/>
      <c r="Z390" s="12"/>
    </row>
    <row r="391" customFormat="false" ht="15.75" hidden="false" customHeight="true" outlineLevel="0" collapsed="false">
      <c r="A391" s="12"/>
      <c r="B391" s="12"/>
      <c r="C391" s="12"/>
      <c r="D391" s="12"/>
      <c r="E391" s="12"/>
      <c r="F391" s="12"/>
      <c r="G391" s="12"/>
      <c r="H391" s="12"/>
      <c r="I391" s="12"/>
      <c r="J391" s="12"/>
      <c r="K391" s="12"/>
      <c r="L391" s="12"/>
      <c r="M391" s="12"/>
      <c r="N391" s="12"/>
      <c r="O391" s="12"/>
      <c r="P391" s="12"/>
      <c r="Q391" s="12"/>
      <c r="R391" s="12"/>
      <c r="S391" s="12"/>
      <c r="T391" s="12"/>
      <c r="U391" s="12"/>
      <c r="V391" s="12"/>
      <c r="W391" s="12"/>
      <c r="X391" s="12"/>
      <c r="Y391" s="12"/>
      <c r="Z391" s="12"/>
    </row>
    <row r="392" customFormat="false" ht="15.75" hidden="false" customHeight="true" outlineLevel="0" collapsed="false">
      <c r="A392" s="12"/>
      <c r="B392" s="12"/>
      <c r="C392" s="12"/>
      <c r="D392" s="12"/>
      <c r="E392" s="12"/>
      <c r="F392" s="12"/>
      <c r="G392" s="12"/>
      <c r="H392" s="12"/>
      <c r="I392" s="12"/>
      <c r="J392" s="12"/>
      <c r="K392" s="12"/>
      <c r="L392" s="12"/>
      <c r="M392" s="12"/>
      <c r="N392" s="12"/>
      <c r="O392" s="12"/>
      <c r="P392" s="12"/>
      <c r="Q392" s="12"/>
      <c r="R392" s="12"/>
      <c r="S392" s="12"/>
      <c r="T392" s="12"/>
      <c r="U392" s="12"/>
      <c r="V392" s="12"/>
      <c r="W392" s="12"/>
      <c r="X392" s="12"/>
      <c r="Y392" s="12"/>
      <c r="Z392" s="12"/>
    </row>
    <row r="393" customFormat="false" ht="15.75" hidden="false" customHeight="true" outlineLevel="0" collapsed="false">
      <c r="A393" s="12"/>
      <c r="B393" s="12"/>
      <c r="C393" s="12"/>
      <c r="D393" s="12"/>
      <c r="E393" s="12"/>
      <c r="F393" s="12"/>
      <c r="G393" s="12"/>
      <c r="H393" s="12"/>
      <c r="I393" s="12"/>
      <c r="J393" s="12"/>
      <c r="K393" s="12"/>
      <c r="L393" s="12"/>
      <c r="M393" s="12"/>
      <c r="N393" s="12"/>
      <c r="O393" s="12"/>
      <c r="P393" s="12"/>
      <c r="Q393" s="12"/>
      <c r="R393" s="12"/>
      <c r="S393" s="12"/>
      <c r="T393" s="12"/>
      <c r="U393" s="12"/>
      <c r="V393" s="12"/>
      <c r="W393" s="12"/>
      <c r="X393" s="12"/>
      <c r="Y393" s="12"/>
      <c r="Z393" s="12"/>
    </row>
    <row r="394" customFormat="false" ht="15.75" hidden="false" customHeight="true" outlineLevel="0" collapsed="false">
      <c r="A394" s="12"/>
      <c r="B394" s="12"/>
      <c r="C394" s="12"/>
      <c r="D394" s="12"/>
      <c r="E394" s="12"/>
      <c r="F394" s="12"/>
      <c r="G394" s="12"/>
      <c r="H394" s="12"/>
      <c r="I394" s="12"/>
      <c r="J394" s="12"/>
      <c r="K394" s="12"/>
      <c r="L394" s="12"/>
      <c r="M394" s="12"/>
      <c r="N394" s="12"/>
      <c r="O394" s="12"/>
      <c r="P394" s="12"/>
      <c r="Q394" s="12"/>
      <c r="R394" s="12"/>
      <c r="S394" s="12"/>
      <c r="T394" s="12"/>
      <c r="U394" s="12"/>
      <c r="V394" s="12"/>
      <c r="W394" s="12"/>
      <c r="X394" s="12"/>
      <c r="Y394" s="12"/>
      <c r="Z394" s="12"/>
    </row>
    <row r="395" customFormat="false" ht="15.75" hidden="false" customHeight="true" outlineLevel="0" collapsed="false">
      <c r="A395" s="12"/>
      <c r="B395" s="12"/>
      <c r="C395" s="12"/>
      <c r="D395" s="12"/>
      <c r="E395" s="12"/>
      <c r="F395" s="12"/>
      <c r="G395" s="12"/>
      <c r="H395" s="12"/>
      <c r="I395" s="12"/>
      <c r="J395" s="12"/>
      <c r="K395" s="12"/>
      <c r="L395" s="12"/>
      <c r="M395" s="12"/>
      <c r="N395" s="12"/>
      <c r="O395" s="12"/>
      <c r="P395" s="12"/>
      <c r="Q395" s="12"/>
      <c r="R395" s="12"/>
      <c r="S395" s="12"/>
      <c r="T395" s="12"/>
      <c r="U395" s="12"/>
      <c r="V395" s="12"/>
      <c r="W395" s="12"/>
      <c r="X395" s="12"/>
      <c r="Y395" s="12"/>
      <c r="Z395" s="12"/>
    </row>
    <row r="396" customFormat="false" ht="15.75" hidden="false" customHeight="true" outlineLevel="0" collapsed="false">
      <c r="A396" s="12"/>
      <c r="B396" s="12"/>
      <c r="C396" s="12"/>
      <c r="D396" s="12"/>
      <c r="E396" s="12"/>
      <c r="F396" s="12"/>
      <c r="G396" s="12"/>
      <c r="H396" s="12"/>
      <c r="I396" s="12"/>
      <c r="J396" s="12"/>
      <c r="K396" s="12"/>
      <c r="L396" s="12"/>
      <c r="M396" s="12"/>
      <c r="N396" s="12"/>
      <c r="O396" s="12"/>
      <c r="P396" s="12"/>
      <c r="Q396" s="12"/>
      <c r="R396" s="12"/>
      <c r="S396" s="12"/>
      <c r="T396" s="12"/>
      <c r="U396" s="12"/>
      <c r="V396" s="12"/>
      <c r="W396" s="12"/>
      <c r="X396" s="12"/>
      <c r="Y396" s="12"/>
      <c r="Z396" s="12"/>
    </row>
    <row r="397" customFormat="false" ht="15.75" hidden="false" customHeight="true" outlineLevel="0" collapsed="false">
      <c r="A397" s="12"/>
      <c r="B397" s="12"/>
      <c r="C397" s="12"/>
      <c r="D397" s="12"/>
      <c r="E397" s="12"/>
      <c r="F397" s="12"/>
      <c r="G397" s="12"/>
      <c r="H397" s="12"/>
      <c r="I397" s="12"/>
      <c r="J397" s="12"/>
      <c r="K397" s="12"/>
      <c r="L397" s="12"/>
      <c r="M397" s="12"/>
      <c r="N397" s="12"/>
      <c r="O397" s="12"/>
      <c r="P397" s="12"/>
      <c r="Q397" s="12"/>
      <c r="R397" s="12"/>
      <c r="S397" s="12"/>
      <c r="T397" s="12"/>
      <c r="U397" s="12"/>
      <c r="V397" s="12"/>
      <c r="W397" s="12"/>
      <c r="X397" s="12"/>
      <c r="Y397" s="12"/>
      <c r="Z397" s="12"/>
    </row>
    <row r="398" customFormat="false" ht="15.75" hidden="false" customHeight="true" outlineLevel="0" collapsed="false">
      <c r="A398" s="12"/>
      <c r="B398" s="12"/>
      <c r="C398" s="12"/>
      <c r="D398" s="12"/>
      <c r="E398" s="12"/>
      <c r="F398" s="12"/>
      <c r="G398" s="12"/>
      <c r="H398" s="12"/>
      <c r="I398" s="12"/>
      <c r="J398" s="12"/>
      <c r="K398" s="12"/>
      <c r="L398" s="12"/>
      <c r="M398" s="12"/>
      <c r="N398" s="12"/>
      <c r="O398" s="12"/>
      <c r="P398" s="12"/>
      <c r="Q398" s="12"/>
      <c r="R398" s="12"/>
      <c r="S398" s="12"/>
      <c r="T398" s="12"/>
      <c r="U398" s="12"/>
      <c r="V398" s="12"/>
      <c r="W398" s="12"/>
      <c r="X398" s="12"/>
      <c r="Y398" s="12"/>
      <c r="Z398" s="12"/>
    </row>
    <row r="399" customFormat="false" ht="15.75" hidden="false" customHeight="true" outlineLevel="0" collapsed="false">
      <c r="A399" s="12"/>
      <c r="B399" s="12"/>
      <c r="C399" s="12"/>
      <c r="D399" s="12"/>
      <c r="E399" s="12"/>
      <c r="F399" s="12"/>
      <c r="G399" s="12"/>
      <c r="H399" s="12"/>
      <c r="I399" s="12"/>
      <c r="J399" s="12"/>
      <c r="K399" s="12"/>
      <c r="L399" s="12"/>
      <c r="M399" s="12"/>
      <c r="N399" s="12"/>
      <c r="O399" s="12"/>
      <c r="P399" s="12"/>
      <c r="Q399" s="12"/>
      <c r="R399" s="12"/>
      <c r="S399" s="12"/>
      <c r="T399" s="12"/>
      <c r="U399" s="12"/>
      <c r="V399" s="12"/>
      <c r="W399" s="12"/>
      <c r="X399" s="12"/>
      <c r="Y399" s="12"/>
      <c r="Z399" s="12"/>
    </row>
    <row r="400" customFormat="false" ht="15.75" hidden="false" customHeight="true" outlineLevel="0" collapsed="false">
      <c r="A400" s="12"/>
      <c r="B400" s="12"/>
      <c r="C400" s="12"/>
      <c r="D400" s="12"/>
      <c r="E400" s="12"/>
      <c r="F400" s="12"/>
      <c r="G400" s="12"/>
      <c r="H400" s="12"/>
      <c r="I400" s="12"/>
      <c r="J400" s="12"/>
      <c r="K400" s="12"/>
      <c r="L400" s="12"/>
      <c r="M400" s="12"/>
      <c r="N400" s="12"/>
      <c r="O400" s="12"/>
      <c r="P400" s="12"/>
      <c r="Q400" s="12"/>
      <c r="R400" s="12"/>
      <c r="S400" s="12"/>
      <c r="T400" s="12"/>
      <c r="U400" s="12"/>
      <c r="V400" s="12"/>
      <c r="W400" s="12"/>
      <c r="X400" s="12"/>
      <c r="Y400" s="12"/>
      <c r="Z400" s="12"/>
    </row>
    <row r="401" customFormat="false" ht="15.75" hidden="false" customHeight="true" outlineLevel="0" collapsed="false">
      <c r="A401" s="12"/>
      <c r="B401" s="12"/>
      <c r="C401" s="12"/>
      <c r="D401" s="12"/>
      <c r="E401" s="12"/>
      <c r="F401" s="12"/>
      <c r="G401" s="12"/>
      <c r="H401" s="12"/>
      <c r="I401" s="12"/>
      <c r="J401" s="12"/>
      <c r="K401" s="12"/>
      <c r="L401" s="12"/>
      <c r="M401" s="12"/>
      <c r="N401" s="12"/>
      <c r="O401" s="12"/>
      <c r="P401" s="12"/>
      <c r="Q401" s="12"/>
      <c r="R401" s="12"/>
      <c r="S401" s="12"/>
      <c r="T401" s="12"/>
      <c r="U401" s="12"/>
      <c r="V401" s="12"/>
      <c r="W401" s="12"/>
      <c r="X401" s="12"/>
      <c r="Y401" s="12"/>
      <c r="Z401" s="12"/>
    </row>
    <row r="402" customFormat="false" ht="15.75" hidden="false" customHeight="true" outlineLevel="0" collapsed="false">
      <c r="A402" s="12"/>
      <c r="B402" s="12"/>
      <c r="C402" s="12"/>
      <c r="D402" s="12"/>
      <c r="E402" s="12"/>
      <c r="F402" s="12"/>
      <c r="G402" s="12"/>
      <c r="H402" s="12"/>
      <c r="I402" s="12"/>
      <c r="J402" s="12"/>
      <c r="K402" s="12"/>
      <c r="L402" s="12"/>
      <c r="M402" s="12"/>
      <c r="N402" s="12"/>
      <c r="O402" s="12"/>
      <c r="P402" s="12"/>
      <c r="Q402" s="12"/>
      <c r="R402" s="12"/>
      <c r="S402" s="12"/>
      <c r="T402" s="12"/>
      <c r="U402" s="12"/>
      <c r="V402" s="12"/>
      <c r="W402" s="12"/>
      <c r="X402" s="12"/>
      <c r="Y402" s="12"/>
      <c r="Z402" s="12"/>
    </row>
    <row r="403" customFormat="false" ht="15.75" hidden="false" customHeight="true" outlineLevel="0" collapsed="false">
      <c r="A403" s="12"/>
      <c r="B403" s="12"/>
      <c r="C403" s="12"/>
      <c r="D403" s="12"/>
      <c r="E403" s="12"/>
      <c r="F403" s="12"/>
      <c r="G403" s="12"/>
      <c r="H403" s="12"/>
      <c r="I403" s="12"/>
      <c r="J403" s="12"/>
      <c r="K403" s="12"/>
      <c r="L403" s="12"/>
      <c r="M403" s="12"/>
      <c r="N403" s="12"/>
      <c r="O403" s="12"/>
      <c r="P403" s="12"/>
      <c r="Q403" s="12"/>
      <c r="R403" s="12"/>
      <c r="S403" s="12"/>
      <c r="T403" s="12"/>
      <c r="U403" s="12"/>
      <c r="V403" s="12"/>
      <c r="W403" s="12"/>
      <c r="X403" s="12"/>
      <c r="Y403" s="12"/>
      <c r="Z403" s="12"/>
    </row>
    <row r="404" customFormat="false" ht="15.75" hidden="false" customHeight="true" outlineLevel="0" collapsed="false">
      <c r="A404" s="12"/>
      <c r="B404" s="12"/>
      <c r="C404" s="12"/>
      <c r="D404" s="12"/>
      <c r="E404" s="12"/>
      <c r="F404" s="12"/>
      <c r="G404" s="12"/>
      <c r="H404" s="12"/>
      <c r="I404" s="12"/>
      <c r="J404" s="12"/>
      <c r="K404" s="12"/>
      <c r="L404" s="12"/>
      <c r="M404" s="12"/>
      <c r="N404" s="12"/>
      <c r="O404" s="12"/>
      <c r="P404" s="12"/>
      <c r="Q404" s="12"/>
      <c r="R404" s="12"/>
      <c r="S404" s="12"/>
      <c r="T404" s="12"/>
      <c r="U404" s="12"/>
      <c r="V404" s="12"/>
      <c r="W404" s="12"/>
      <c r="X404" s="12"/>
      <c r="Y404" s="12"/>
      <c r="Z404" s="12"/>
    </row>
    <row r="405" customFormat="false" ht="15.75" hidden="false" customHeight="true" outlineLevel="0" collapsed="false">
      <c r="A405" s="12"/>
      <c r="B405" s="12"/>
      <c r="C405" s="12"/>
      <c r="D405" s="12"/>
      <c r="E405" s="12"/>
      <c r="F405" s="12"/>
      <c r="G405" s="12"/>
      <c r="H405" s="12"/>
      <c r="I405" s="12"/>
      <c r="J405" s="12"/>
      <c r="K405" s="12"/>
      <c r="L405" s="12"/>
      <c r="M405" s="12"/>
      <c r="N405" s="12"/>
      <c r="O405" s="12"/>
      <c r="P405" s="12"/>
      <c r="Q405" s="12"/>
      <c r="R405" s="12"/>
      <c r="S405" s="12"/>
      <c r="T405" s="12"/>
      <c r="U405" s="12"/>
      <c r="V405" s="12"/>
      <c r="W405" s="12"/>
      <c r="X405" s="12"/>
      <c r="Y405" s="12"/>
      <c r="Z405" s="12"/>
    </row>
    <row r="406" customFormat="false" ht="15.75" hidden="false" customHeight="true" outlineLevel="0" collapsed="false">
      <c r="A406" s="12"/>
      <c r="B406" s="12"/>
      <c r="C406" s="12"/>
      <c r="D406" s="12"/>
      <c r="E406" s="12"/>
      <c r="F406" s="12"/>
      <c r="G406" s="12"/>
      <c r="H406" s="12"/>
      <c r="I406" s="12"/>
      <c r="J406" s="12"/>
      <c r="K406" s="12"/>
      <c r="L406" s="12"/>
      <c r="M406" s="12"/>
      <c r="N406" s="12"/>
      <c r="O406" s="12"/>
      <c r="P406" s="12"/>
      <c r="Q406" s="12"/>
      <c r="R406" s="12"/>
      <c r="S406" s="12"/>
      <c r="T406" s="12"/>
      <c r="U406" s="12"/>
      <c r="V406" s="12"/>
      <c r="W406" s="12"/>
      <c r="X406" s="12"/>
      <c r="Y406" s="12"/>
      <c r="Z406" s="12"/>
    </row>
    <row r="407" customFormat="false" ht="15.75" hidden="false" customHeight="true" outlineLevel="0" collapsed="false">
      <c r="A407" s="12"/>
      <c r="B407" s="12"/>
      <c r="C407" s="12"/>
      <c r="D407" s="12"/>
      <c r="E407" s="12"/>
      <c r="F407" s="12"/>
      <c r="G407" s="12"/>
      <c r="H407" s="12"/>
      <c r="I407" s="12"/>
      <c r="J407" s="12"/>
      <c r="K407" s="12"/>
      <c r="L407" s="12"/>
      <c r="M407" s="12"/>
      <c r="N407" s="12"/>
      <c r="O407" s="12"/>
      <c r="P407" s="12"/>
      <c r="Q407" s="12"/>
      <c r="R407" s="12"/>
      <c r="S407" s="12"/>
      <c r="T407" s="12"/>
      <c r="U407" s="12"/>
      <c r="V407" s="12"/>
      <c r="W407" s="12"/>
      <c r="X407" s="12"/>
      <c r="Y407" s="12"/>
      <c r="Z407" s="12"/>
    </row>
    <row r="408" customFormat="false" ht="15.75" hidden="false" customHeight="true" outlineLevel="0" collapsed="false">
      <c r="A408" s="12"/>
      <c r="B408" s="12"/>
      <c r="C408" s="12"/>
      <c r="D408" s="12"/>
      <c r="E408" s="12"/>
      <c r="F408" s="12"/>
      <c r="G408" s="12"/>
      <c r="H408" s="12"/>
      <c r="I408" s="12"/>
      <c r="J408" s="12"/>
      <c r="K408" s="12"/>
      <c r="L408" s="12"/>
      <c r="M408" s="12"/>
      <c r="N408" s="12"/>
      <c r="O408" s="12"/>
      <c r="P408" s="12"/>
      <c r="Q408" s="12"/>
      <c r="R408" s="12"/>
      <c r="S408" s="12"/>
      <c r="T408" s="12"/>
      <c r="U408" s="12"/>
      <c r="V408" s="12"/>
      <c r="W408" s="12"/>
      <c r="X408" s="12"/>
      <c r="Y408" s="12"/>
      <c r="Z408" s="12"/>
    </row>
    <row r="409" customFormat="false" ht="15.75" hidden="false" customHeight="true" outlineLevel="0" collapsed="false">
      <c r="A409" s="12"/>
      <c r="B409" s="12"/>
      <c r="C409" s="12"/>
      <c r="D409" s="12"/>
      <c r="E409" s="12"/>
      <c r="F409" s="12"/>
      <c r="G409" s="12"/>
      <c r="H409" s="12"/>
      <c r="I409" s="12"/>
      <c r="J409" s="12"/>
      <c r="K409" s="12"/>
      <c r="L409" s="12"/>
      <c r="M409" s="12"/>
      <c r="N409" s="12"/>
      <c r="O409" s="12"/>
      <c r="P409" s="12"/>
      <c r="Q409" s="12"/>
      <c r="R409" s="12"/>
      <c r="S409" s="12"/>
      <c r="T409" s="12"/>
      <c r="U409" s="12"/>
      <c r="V409" s="12"/>
      <c r="W409" s="12"/>
      <c r="X409" s="12"/>
      <c r="Y409" s="12"/>
      <c r="Z409" s="12"/>
    </row>
    <row r="410" customFormat="false" ht="15.75" hidden="false" customHeight="true" outlineLevel="0" collapsed="false">
      <c r="A410" s="12"/>
      <c r="B410" s="12"/>
      <c r="C410" s="12"/>
      <c r="D410" s="12"/>
      <c r="E410" s="12"/>
      <c r="F410" s="12"/>
      <c r="G410" s="12"/>
      <c r="H410" s="12"/>
      <c r="I410" s="12"/>
      <c r="J410" s="12"/>
      <c r="K410" s="12"/>
      <c r="L410" s="12"/>
      <c r="M410" s="12"/>
      <c r="N410" s="12"/>
      <c r="O410" s="12"/>
      <c r="P410" s="12"/>
      <c r="Q410" s="12"/>
      <c r="R410" s="12"/>
      <c r="S410" s="12"/>
      <c r="T410" s="12"/>
      <c r="U410" s="12"/>
      <c r="V410" s="12"/>
      <c r="W410" s="12"/>
      <c r="X410" s="12"/>
      <c r="Y410" s="12"/>
      <c r="Z410" s="12"/>
    </row>
    <row r="411" customFormat="false" ht="15.75" hidden="false" customHeight="true" outlineLevel="0" collapsed="false">
      <c r="A411" s="12"/>
      <c r="B411" s="12"/>
      <c r="C411" s="12"/>
      <c r="D411" s="12"/>
      <c r="E411" s="12"/>
      <c r="F411" s="12"/>
      <c r="G411" s="12"/>
      <c r="H411" s="12"/>
      <c r="I411" s="12"/>
      <c r="J411" s="12"/>
      <c r="K411" s="12"/>
      <c r="L411" s="12"/>
      <c r="M411" s="12"/>
      <c r="N411" s="12"/>
      <c r="O411" s="12"/>
      <c r="P411" s="12"/>
      <c r="Q411" s="12"/>
      <c r="R411" s="12"/>
      <c r="S411" s="12"/>
      <c r="T411" s="12"/>
      <c r="U411" s="12"/>
      <c r="V411" s="12"/>
      <c r="W411" s="12"/>
      <c r="X411" s="12"/>
      <c r="Y411" s="12"/>
      <c r="Z411" s="12"/>
    </row>
    <row r="412" customFormat="false" ht="15.75" hidden="false" customHeight="true" outlineLevel="0" collapsed="false">
      <c r="A412" s="12"/>
      <c r="B412" s="12"/>
      <c r="C412" s="12"/>
      <c r="D412" s="12"/>
      <c r="E412" s="12"/>
      <c r="F412" s="12"/>
      <c r="G412" s="12"/>
      <c r="H412" s="12"/>
      <c r="I412" s="12"/>
      <c r="J412" s="12"/>
      <c r="K412" s="12"/>
      <c r="L412" s="12"/>
      <c r="M412" s="12"/>
      <c r="N412" s="12"/>
      <c r="O412" s="12"/>
      <c r="P412" s="12"/>
      <c r="Q412" s="12"/>
      <c r="R412" s="12"/>
      <c r="S412" s="12"/>
      <c r="T412" s="12"/>
      <c r="U412" s="12"/>
      <c r="V412" s="12"/>
      <c r="W412" s="12"/>
      <c r="X412" s="12"/>
      <c r="Y412" s="12"/>
      <c r="Z412" s="12"/>
    </row>
    <row r="413" customFormat="false" ht="15.75" hidden="false" customHeight="true" outlineLevel="0" collapsed="false">
      <c r="A413" s="12"/>
      <c r="B413" s="12"/>
      <c r="C413" s="12"/>
      <c r="D413" s="12"/>
      <c r="E413" s="12"/>
      <c r="F413" s="12"/>
      <c r="G413" s="12"/>
      <c r="H413" s="12"/>
      <c r="I413" s="12"/>
      <c r="J413" s="12"/>
      <c r="K413" s="12"/>
      <c r="L413" s="12"/>
      <c r="M413" s="12"/>
      <c r="N413" s="12"/>
      <c r="O413" s="12"/>
      <c r="P413" s="12"/>
      <c r="Q413" s="12"/>
      <c r="R413" s="12"/>
      <c r="S413" s="12"/>
      <c r="T413" s="12"/>
      <c r="U413" s="12"/>
      <c r="V413" s="12"/>
      <c r="W413" s="12"/>
      <c r="X413" s="12"/>
      <c r="Y413" s="12"/>
      <c r="Z413" s="12"/>
    </row>
    <row r="414" customFormat="false" ht="15.75" hidden="false" customHeight="true" outlineLevel="0" collapsed="false">
      <c r="A414" s="12"/>
      <c r="B414" s="12"/>
      <c r="C414" s="12"/>
      <c r="D414" s="12"/>
      <c r="E414" s="12"/>
      <c r="F414" s="12"/>
      <c r="G414" s="12"/>
      <c r="H414" s="12"/>
      <c r="I414" s="12"/>
      <c r="J414" s="12"/>
      <c r="K414" s="12"/>
      <c r="L414" s="12"/>
      <c r="M414" s="12"/>
      <c r="N414" s="12"/>
      <c r="O414" s="12"/>
      <c r="P414" s="12"/>
      <c r="Q414" s="12"/>
      <c r="R414" s="12"/>
      <c r="S414" s="12"/>
      <c r="T414" s="12"/>
      <c r="U414" s="12"/>
      <c r="V414" s="12"/>
      <c r="W414" s="12"/>
      <c r="X414" s="12"/>
      <c r="Y414" s="12"/>
      <c r="Z414" s="12"/>
    </row>
    <row r="415" customFormat="false" ht="15.75" hidden="false" customHeight="true" outlineLevel="0" collapsed="false">
      <c r="A415" s="12"/>
      <c r="B415" s="12"/>
      <c r="C415" s="12"/>
      <c r="D415" s="12"/>
      <c r="E415" s="12"/>
      <c r="F415" s="12"/>
      <c r="G415" s="12"/>
      <c r="H415" s="12"/>
      <c r="I415" s="12"/>
      <c r="J415" s="12"/>
      <c r="K415" s="12"/>
      <c r="L415" s="12"/>
      <c r="M415" s="12"/>
      <c r="N415" s="12"/>
      <c r="O415" s="12"/>
      <c r="P415" s="12"/>
      <c r="Q415" s="12"/>
      <c r="R415" s="12"/>
      <c r="S415" s="12"/>
      <c r="T415" s="12"/>
      <c r="U415" s="12"/>
      <c r="V415" s="12"/>
      <c r="W415" s="12"/>
      <c r="X415" s="12"/>
      <c r="Y415" s="12"/>
      <c r="Z415" s="12"/>
    </row>
    <row r="416" customFormat="false" ht="15.75" hidden="false" customHeight="true" outlineLevel="0" collapsed="false">
      <c r="A416" s="12"/>
      <c r="B416" s="12"/>
      <c r="C416" s="12"/>
      <c r="D416" s="12"/>
      <c r="E416" s="12"/>
      <c r="F416" s="12"/>
      <c r="G416" s="12"/>
      <c r="H416" s="12"/>
      <c r="I416" s="12"/>
      <c r="J416" s="12"/>
      <c r="K416" s="12"/>
      <c r="L416" s="12"/>
      <c r="M416" s="12"/>
      <c r="N416" s="12"/>
      <c r="O416" s="12"/>
      <c r="P416" s="12"/>
      <c r="Q416" s="12"/>
      <c r="R416" s="12"/>
      <c r="S416" s="12"/>
      <c r="T416" s="12"/>
      <c r="U416" s="12"/>
      <c r="V416" s="12"/>
      <c r="W416" s="12"/>
      <c r="X416" s="12"/>
      <c r="Y416" s="12"/>
      <c r="Z416" s="12"/>
    </row>
    <row r="417" customFormat="false" ht="15.75" hidden="false" customHeight="true" outlineLevel="0" collapsed="false">
      <c r="A417" s="12"/>
      <c r="B417" s="12"/>
      <c r="C417" s="12"/>
      <c r="D417" s="12"/>
      <c r="E417" s="12"/>
      <c r="F417" s="12"/>
      <c r="G417" s="12"/>
      <c r="H417" s="12"/>
      <c r="I417" s="12"/>
      <c r="J417" s="12"/>
      <c r="K417" s="12"/>
      <c r="L417" s="12"/>
      <c r="M417" s="12"/>
      <c r="N417" s="12"/>
      <c r="O417" s="12"/>
      <c r="P417" s="12"/>
      <c r="Q417" s="12"/>
      <c r="R417" s="12"/>
      <c r="S417" s="12"/>
      <c r="T417" s="12"/>
      <c r="U417" s="12"/>
      <c r="V417" s="12"/>
      <c r="W417" s="12"/>
      <c r="X417" s="12"/>
      <c r="Y417" s="12"/>
      <c r="Z417" s="12"/>
    </row>
    <row r="418" customFormat="false" ht="15.75" hidden="false" customHeight="true" outlineLevel="0" collapsed="false">
      <c r="A418" s="12"/>
      <c r="B418" s="12"/>
      <c r="C418" s="12"/>
      <c r="D418" s="12"/>
      <c r="E418" s="12"/>
      <c r="F418" s="12"/>
      <c r="G418" s="12"/>
      <c r="H418" s="12"/>
      <c r="I418" s="12"/>
      <c r="J418" s="12"/>
      <c r="K418" s="12"/>
      <c r="L418" s="12"/>
      <c r="M418" s="12"/>
      <c r="N418" s="12"/>
      <c r="O418" s="12"/>
      <c r="P418" s="12"/>
      <c r="Q418" s="12"/>
      <c r="R418" s="12"/>
      <c r="S418" s="12"/>
      <c r="T418" s="12"/>
      <c r="U418" s="12"/>
      <c r="V418" s="12"/>
      <c r="W418" s="12"/>
      <c r="X418" s="12"/>
      <c r="Y418" s="12"/>
      <c r="Z418" s="12"/>
    </row>
    <row r="419" customFormat="false" ht="15.75" hidden="false" customHeight="true" outlineLevel="0" collapsed="false">
      <c r="A419" s="12"/>
      <c r="B419" s="12"/>
      <c r="C419" s="12"/>
      <c r="D419" s="12"/>
      <c r="E419" s="12"/>
      <c r="F419" s="12"/>
      <c r="G419" s="12"/>
      <c r="H419" s="12"/>
      <c r="I419" s="12"/>
      <c r="J419" s="12"/>
      <c r="K419" s="12"/>
      <c r="L419" s="12"/>
      <c r="M419" s="12"/>
      <c r="N419" s="12"/>
      <c r="O419" s="12"/>
      <c r="P419" s="12"/>
      <c r="Q419" s="12"/>
      <c r="R419" s="12"/>
      <c r="S419" s="12"/>
      <c r="T419" s="12"/>
      <c r="U419" s="12"/>
      <c r="V419" s="12"/>
      <c r="W419" s="12"/>
      <c r="X419" s="12"/>
      <c r="Y419" s="12"/>
      <c r="Z419" s="12"/>
    </row>
    <row r="420" customFormat="false" ht="15.75" hidden="false" customHeight="true" outlineLevel="0" collapsed="false">
      <c r="A420" s="12"/>
      <c r="B420" s="12"/>
      <c r="C420" s="12"/>
      <c r="D420" s="12"/>
      <c r="E420" s="12"/>
      <c r="F420" s="12"/>
      <c r="G420" s="12"/>
      <c r="H420" s="12"/>
      <c r="I420" s="12"/>
      <c r="J420" s="12"/>
      <c r="K420" s="12"/>
      <c r="L420" s="12"/>
      <c r="M420" s="12"/>
      <c r="N420" s="12"/>
      <c r="O420" s="12"/>
      <c r="P420" s="12"/>
      <c r="Q420" s="12"/>
      <c r="R420" s="12"/>
      <c r="S420" s="12"/>
      <c r="T420" s="12"/>
      <c r="U420" s="12"/>
      <c r="V420" s="12"/>
      <c r="W420" s="12"/>
      <c r="X420" s="12"/>
      <c r="Y420" s="12"/>
      <c r="Z420" s="12"/>
    </row>
    <row r="421" customFormat="false" ht="15.75" hidden="false" customHeight="true" outlineLevel="0" collapsed="false">
      <c r="A421" s="12"/>
      <c r="B421" s="12"/>
      <c r="C421" s="12"/>
      <c r="D421" s="12"/>
      <c r="E421" s="12"/>
      <c r="F421" s="12"/>
      <c r="G421" s="12"/>
      <c r="H421" s="12"/>
      <c r="I421" s="12"/>
      <c r="J421" s="12"/>
      <c r="K421" s="12"/>
      <c r="L421" s="12"/>
      <c r="M421" s="12"/>
      <c r="N421" s="12"/>
      <c r="O421" s="12"/>
      <c r="P421" s="12"/>
      <c r="Q421" s="12"/>
      <c r="R421" s="12"/>
      <c r="S421" s="12"/>
      <c r="T421" s="12"/>
      <c r="U421" s="12"/>
      <c r="V421" s="12"/>
      <c r="W421" s="12"/>
      <c r="X421" s="12"/>
      <c r="Y421" s="12"/>
      <c r="Z421" s="12"/>
    </row>
    <row r="422" customFormat="false" ht="15.75" hidden="false" customHeight="true" outlineLevel="0" collapsed="false">
      <c r="A422" s="12"/>
      <c r="B422" s="12"/>
      <c r="C422" s="12"/>
      <c r="D422" s="12"/>
      <c r="E422" s="12"/>
      <c r="F422" s="12"/>
      <c r="G422" s="12"/>
      <c r="H422" s="12"/>
      <c r="I422" s="12"/>
      <c r="J422" s="12"/>
      <c r="K422" s="12"/>
      <c r="L422" s="12"/>
      <c r="M422" s="12"/>
      <c r="N422" s="12"/>
      <c r="O422" s="12"/>
      <c r="P422" s="12"/>
      <c r="Q422" s="12"/>
      <c r="R422" s="12"/>
      <c r="S422" s="12"/>
      <c r="T422" s="12"/>
      <c r="U422" s="12"/>
      <c r="V422" s="12"/>
      <c r="W422" s="12"/>
      <c r="X422" s="12"/>
      <c r="Y422" s="12"/>
      <c r="Z422" s="12"/>
    </row>
    <row r="423" customFormat="false" ht="15.75" hidden="false" customHeight="true" outlineLevel="0" collapsed="false">
      <c r="A423" s="12"/>
      <c r="B423" s="12"/>
      <c r="C423" s="12"/>
      <c r="D423" s="12"/>
      <c r="E423" s="12"/>
      <c r="F423" s="12"/>
      <c r="G423" s="12"/>
      <c r="H423" s="12"/>
      <c r="I423" s="12"/>
      <c r="J423" s="12"/>
      <c r="K423" s="12"/>
      <c r="L423" s="12"/>
      <c r="M423" s="12"/>
      <c r="N423" s="12"/>
      <c r="O423" s="12"/>
      <c r="P423" s="12"/>
      <c r="Q423" s="12"/>
      <c r="R423" s="12"/>
      <c r="S423" s="12"/>
      <c r="T423" s="12"/>
      <c r="U423" s="12"/>
      <c r="V423" s="12"/>
      <c r="W423" s="12"/>
      <c r="X423" s="12"/>
      <c r="Y423" s="12"/>
      <c r="Z423" s="12"/>
    </row>
    <row r="424" customFormat="false" ht="15.75" hidden="false" customHeight="true" outlineLevel="0" collapsed="false">
      <c r="A424" s="12"/>
      <c r="B424" s="12"/>
      <c r="C424" s="12"/>
      <c r="D424" s="12"/>
      <c r="E424" s="12"/>
      <c r="F424" s="12"/>
      <c r="G424" s="12"/>
      <c r="H424" s="12"/>
      <c r="I424" s="12"/>
      <c r="J424" s="12"/>
      <c r="K424" s="12"/>
      <c r="L424" s="12"/>
      <c r="M424" s="12"/>
      <c r="N424" s="12"/>
      <c r="O424" s="12"/>
      <c r="P424" s="12"/>
      <c r="Q424" s="12"/>
      <c r="R424" s="12"/>
      <c r="S424" s="12"/>
      <c r="T424" s="12"/>
      <c r="U424" s="12"/>
      <c r="V424" s="12"/>
      <c r="W424" s="12"/>
      <c r="X424" s="12"/>
      <c r="Y424" s="12"/>
      <c r="Z424" s="12"/>
    </row>
    <row r="425" customFormat="false" ht="15.75" hidden="false" customHeight="true" outlineLevel="0" collapsed="false">
      <c r="A425" s="12"/>
      <c r="B425" s="12"/>
      <c r="C425" s="12"/>
      <c r="D425" s="12"/>
      <c r="E425" s="12"/>
      <c r="F425" s="12"/>
      <c r="G425" s="12"/>
      <c r="H425" s="12"/>
      <c r="I425" s="12"/>
      <c r="J425" s="12"/>
      <c r="K425" s="12"/>
      <c r="L425" s="12"/>
      <c r="M425" s="12"/>
      <c r="N425" s="12"/>
      <c r="O425" s="12"/>
      <c r="P425" s="12"/>
      <c r="Q425" s="12"/>
      <c r="R425" s="12"/>
      <c r="S425" s="12"/>
      <c r="T425" s="12"/>
      <c r="U425" s="12"/>
      <c r="V425" s="12"/>
      <c r="W425" s="12"/>
      <c r="X425" s="12"/>
      <c r="Y425" s="12"/>
      <c r="Z425" s="12"/>
    </row>
    <row r="426" customFormat="false" ht="15.75" hidden="false" customHeight="true" outlineLevel="0" collapsed="false">
      <c r="A426" s="12"/>
      <c r="B426" s="12"/>
      <c r="C426" s="12"/>
      <c r="D426" s="12"/>
      <c r="E426" s="12"/>
      <c r="F426" s="12"/>
      <c r="G426" s="12"/>
      <c r="H426" s="12"/>
      <c r="I426" s="12"/>
      <c r="J426" s="12"/>
      <c r="K426" s="12"/>
      <c r="L426" s="12"/>
      <c r="M426" s="12"/>
      <c r="N426" s="12"/>
      <c r="O426" s="12"/>
      <c r="P426" s="12"/>
      <c r="Q426" s="12"/>
      <c r="R426" s="12"/>
      <c r="S426" s="12"/>
      <c r="T426" s="12"/>
      <c r="U426" s="12"/>
      <c r="V426" s="12"/>
      <c r="W426" s="12"/>
      <c r="X426" s="12"/>
      <c r="Y426" s="12"/>
      <c r="Z426" s="12"/>
    </row>
    <row r="427" customFormat="false" ht="15.75" hidden="false" customHeight="true" outlineLevel="0" collapsed="false">
      <c r="A427" s="12"/>
      <c r="B427" s="12"/>
      <c r="C427" s="12"/>
      <c r="D427" s="12"/>
      <c r="E427" s="12"/>
      <c r="F427" s="12"/>
      <c r="G427" s="12"/>
      <c r="H427" s="12"/>
      <c r="I427" s="12"/>
      <c r="J427" s="12"/>
      <c r="K427" s="12"/>
      <c r="L427" s="12"/>
      <c r="M427" s="12"/>
      <c r="N427" s="12"/>
      <c r="O427" s="12"/>
      <c r="P427" s="12"/>
      <c r="Q427" s="12"/>
      <c r="R427" s="12"/>
      <c r="S427" s="12"/>
      <c r="T427" s="12"/>
      <c r="U427" s="12"/>
      <c r="V427" s="12"/>
      <c r="W427" s="12"/>
      <c r="X427" s="12"/>
      <c r="Y427" s="12"/>
      <c r="Z427" s="12"/>
    </row>
    <row r="428" customFormat="false" ht="15.75" hidden="false" customHeight="true" outlineLevel="0" collapsed="false">
      <c r="A428" s="12"/>
      <c r="B428" s="12"/>
      <c r="C428" s="12"/>
      <c r="D428" s="12"/>
      <c r="E428" s="12"/>
      <c r="F428" s="12"/>
      <c r="G428" s="12"/>
      <c r="H428" s="12"/>
      <c r="I428" s="12"/>
      <c r="J428" s="12"/>
      <c r="K428" s="12"/>
      <c r="L428" s="12"/>
      <c r="M428" s="12"/>
      <c r="N428" s="12"/>
      <c r="O428" s="12"/>
      <c r="P428" s="12"/>
      <c r="Q428" s="12"/>
      <c r="R428" s="12"/>
      <c r="S428" s="12"/>
      <c r="T428" s="12"/>
      <c r="U428" s="12"/>
      <c r="V428" s="12"/>
      <c r="W428" s="12"/>
      <c r="X428" s="12"/>
      <c r="Y428" s="12"/>
      <c r="Z428" s="12"/>
    </row>
    <row r="429" customFormat="false" ht="15.75" hidden="false" customHeight="true" outlineLevel="0" collapsed="false">
      <c r="A429" s="12"/>
      <c r="B429" s="12"/>
      <c r="C429" s="12"/>
      <c r="D429" s="12"/>
      <c r="E429" s="12"/>
      <c r="F429" s="12"/>
      <c r="G429" s="12"/>
      <c r="H429" s="12"/>
      <c r="I429" s="12"/>
      <c r="J429" s="12"/>
      <c r="K429" s="12"/>
      <c r="L429" s="12"/>
      <c r="M429" s="12"/>
      <c r="N429" s="12"/>
      <c r="O429" s="12"/>
      <c r="P429" s="12"/>
      <c r="Q429" s="12"/>
      <c r="R429" s="12"/>
      <c r="S429" s="12"/>
      <c r="T429" s="12"/>
      <c r="U429" s="12"/>
      <c r="V429" s="12"/>
      <c r="W429" s="12"/>
      <c r="X429" s="12"/>
      <c r="Y429" s="12"/>
      <c r="Z429" s="12"/>
    </row>
    <row r="430" customFormat="false" ht="15.75" hidden="false" customHeight="true" outlineLevel="0" collapsed="false">
      <c r="A430" s="12"/>
      <c r="B430" s="12"/>
      <c r="C430" s="12"/>
      <c r="D430" s="12"/>
      <c r="E430" s="12"/>
      <c r="F430" s="12"/>
      <c r="G430" s="12"/>
      <c r="H430" s="12"/>
      <c r="I430" s="12"/>
      <c r="J430" s="12"/>
      <c r="K430" s="12"/>
      <c r="L430" s="12"/>
      <c r="M430" s="12"/>
      <c r="N430" s="12"/>
      <c r="O430" s="12"/>
      <c r="P430" s="12"/>
      <c r="Q430" s="12"/>
      <c r="R430" s="12"/>
      <c r="S430" s="12"/>
      <c r="T430" s="12"/>
      <c r="U430" s="12"/>
      <c r="V430" s="12"/>
      <c r="W430" s="12"/>
      <c r="X430" s="12"/>
      <c r="Y430" s="12"/>
      <c r="Z430" s="12"/>
    </row>
    <row r="431" customFormat="false" ht="15.75" hidden="false" customHeight="true" outlineLevel="0" collapsed="false">
      <c r="A431" s="12"/>
      <c r="B431" s="12"/>
      <c r="C431" s="12"/>
      <c r="D431" s="12"/>
      <c r="E431" s="12"/>
      <c r="F431" s="12"/>
      <c r="G431" s="12"/>
      <c r="H431" s="12"/>
      <c r="I431" s="12"/>
      <c r="J431" s="12"/>
      <c r="K431" s="12"/>
      <c r="L431" s="12"/>
      <c r="M431" s="12"/>
      <c r="N431" s="12"/>
      <c r="O431" s="12"/>
      <c r="P431" s="12"/>
      <c r="Q431" s="12"/>
      <c r="R431" s="12"/>
      <c r="S431" s="12"/>
      <c r="T431" s="12"/>
      <c r="U431" s="12"/>
      <c r="V431" s="12"/>
      <c r="W431" s="12"/>
      <c r="X431" s="12"/>
      <c r="Y431" s="12"/>
      <c r="Z431" s="12"/>
    </row>
    <row r="432" customFormat="false" ht="15.75" hidden="false" customHeight="true" outlineLevel="0" collapsed="false">
      <c r="A432" s="12"/>
      <c r="B432" s="12"/>
      <c r="C432" s="12"/>
      <c r="D432" s="12"/>
      <c r="E432" s="12"/>
      <c r="F432" s="12"/>
      <c r="G432" s="12"/>
      <c r="H432" s="12"/>
      <c r="I432" s="12"/>
      <c r="J432" s="12"/>
      <c r="K432" s="12"/>
      <c r="L432" s="12"/>
      <c r="M432" s="12"/>
      <c r="N432" s="12"/>
      <c r="O432" s="12"/>
      <c r="P432" s="12"/>
      <c r="Q432" s="12"/>
      <c r="R432" s="12"/>
      <c r="S432" s="12"/>
      <c r="T432" s="12"/>
      <c r="U432" s="12"/>
      <c r="V432" s="12"/>
      <c r="W432" s="12"/>
      <c r="X432" s="12"/>
      <c r="Y432" s="12"/>
      <c r="Z432" s="12"/>
    </row>
    <row r="433" customFormat="false" ht="15.75" hidden="false" customHeight="true" outlineLevel="0" collapsed="false">
      <c r="A433" s="12"/>
      <c r="B433" s="12"/>
      <c r="C433" s="12"/>
      <c r="D433" s="12"/>
      <c r="E433" s="12"/>
      <c r="F433" s="12"/>
      <c r="G433" s="12"/>
      <c r="H433" s="12"/>
      <c r="I433" s="12"/>
      <c r="J433" s="12"/>
      <c r="K433" s="12"/>
      <c r="L433" s="12"/>
      <c r="M433" s="12"/>
      <c r="N433" s="12"/>
      <c r="O433" s="12"/>
      <c r="P433" s="12"/>
      <c r="Q433" s="12"/>
      <c r="R433" s="12"/>
      <c r="S433" s="12"/>
      <c r="T433" s="12"/>
      <c r="U433" s="12"/>
      <c r="V433" s="12"/>
      <c r="W433" s="12"/>
      <c r="X433" s="12"/>
      <c r="Y433" s="12"/>
      <c r="Z433" s="12"/>
    </row>
    <row r="434" customFormat="false" ht="15.75" hidden="false" customHeight="true" outlineLevel="0" collapsed="false">
      <c r="A434" s="12"/>
      <c r="B434" s="12"/>
      <c r="C434" s="12"/>
      <c r="D434" s="12"/>
      <c r="E434" s="12"/>
      <c r="F434" s="12"/>
      <c r="G434" s="12"/>
      <c r="H434" s="12"/>
      <c r="I434" s="12"/>
      <c r="J434" s="12"/>
      <c r="K434" s="12"/>
      <c r="L434" s="12"/>
      <c r="M434" s="12"/>
      <c r="N434" s="12"/>
      <c r="O434" s="12"/>
      <c r="P434" s="12"/>
      <c r="Q434" s="12"/>
      <c r="R434" s="12"/>
      <c r="S434" s="12"/>
      <c r="T434" s="12"/>
      <c r="U434" s="12"/>
      <c r="V434" s="12"/>
      <c r="W434" s="12"/>
      <c r="X434" s="12"/>
      <c r="Y434" s="12"/>
      <c r="Z434" s="12"/>
    </row>
    <row r="435" customFormat="false" ht="15.75" hidden="false" customHeight="true" outlineLevel="0" collapsed="false">
      <c r="A435" s="12"/>
      <c r="B435" s="12"/>
      <c r="C435" s="12"/>
      <c r="D435" s="12"/>
      <c r="E435" s="12"/>
      <c r="F435" s="12"/>
      <c r="G435" s="12"/>
      <c r="H435" s="12"/>
      <c r="I435" s="12"/>
      <c r="J435" s="12"/>
      <c r="K435" s="12"/>
      <c r="L435" s="12"/>
      <c r="M435" s="12"/>
      <c r="N435" s="12"/>
      <c r="O435" s="12"/>
      <c r="P435" s="12"/>
      <c r="Q435" s="12"/>
      <c r="R435" s="12"/>
      <c r="S435" s="12"/>
      <c r="T435" s="12"/>
      <c r="U435" s="12"/>
      <c r="V435" s="12"/>
      <c r="W435" s="12"/>
      <c r="X435" s="12"/>
      <c r="Y435" s="12"/>
      <c r="Z435" s="12"/>
    </row>
    <row r="436" customFormat="false" ht="15.75" hidden="false" customHeight="true" outlineLevel="0" collapsed="false">
      <c r="A436" s="12"/>
      <c r="B436" s="12"/>
      <c r="C436" s="12"/>
      <c r="D436" s="12"/>
      <c r="E436" s="12"/>
      <c r="F436" s="12"/>
      <c r="G436" s="12"/>
      <c r="H436" s="12"/>
      <c r="I436" s="12"/>
      <c r="J436" s="12"/>
      <c r="K436" s="12"/>
      <c r="L436" s="12"/>
      <c r="M436" s="12"/>
      <c r="N436" s="12"/>
      <c r="O436" s="12"/>
      <c r="P436" s="12"/>
      <c r="Q436" s="12"/>
      <c r="R436" s="12"/>
      <c r="S436" s="12"/>
      <c r="T436" s="12"/>
      <c r="U436" s="12"/>
      <c r="V436" s="12"/>
      <c r="W436" s="12"/>
      <c r="X436" s="12"/>
      <c r="Y436" s="12"/>
      <c r="Z436" s="12"/>
    </row>
    <row r="437" customFormat="false" ht="15.75" hidden="false" customHeight="true" outlineLevel="0" collapsed="false">
      <c r="A437" s="12"/>
      <c r="B437" s="12"/>
      <c r="C437" s="12"/>
      <c r="D437" s="12"/>
      <c r="E437" s="12"/>
      <c r="F437" s="12"/>
      <c r="G437" s="12"/>
      <c r="H437" s="12"/>
      <c r="I437" s="12"/>
      <c r="J437" s="12"/>
      <c r="K437" s="12"/>
      <c r="L437" s="12"/>
      <c r="M437" s="12"/>
      <c r="N437" s="12"/>
      <c r="O437" s="12"/>
      <c r="P437" s="12"/>
      <c r="Q437" s="12"/>
      <c r="R437" s="12"/>
      <c r="S437" s="12"/>
      <c r="T437" s="12"/>
      <c r="U437" s="12"/>
      <c r="V437" s="12"/>
      <c r="W437" s="12"/>
      <c r="X437" s="12"/>
      <c r="Y437" s="12"/>
      <c r="Z437" s="12"/>
    </row>
    <row r="438" customFormat="false" ht="15.75" hidden="false" customHeight="true" outlineLevel="0" collapsed="false">
      <c r="A438" s="12"/>
      <c r="B438" s="12"/>
      <c r="C438" s="12"/>
      <c r="D438" s="12"/>
      <c r="E438" s="12"/>
      <c r="F438" s="12"/>
      <c r="G438" s="12"/>
      <c r="H438" s="12"/>
      <c r="I438" s="12"/>
      <c r="J438" s="12"/>
      <c r="K438" s="12"/>
      <c r="L438" s="12"/>
      <c r="M438" s="12"/>
      <c r="N438" s="12"/>
      <c r="O438" s="12"/>
      <c r="P438" s="12"/>
      <c r="Q438" s="12"/>
      <c r="R438" s="12"/>
      <c r="S438" s="12"/>
      <c r="T438" s="12"/>
      <c r="U438" s="12"/>
      <c r="V438" s="12"/>
      <c r="W438" s="12"/>
      <c r="X438" s="12"/>
      <c r="Y438" s="12"/>
      <c r="Z438" s="12"/>
    </row>
    <row r="439" customFormat="false" ht="15.75" hidden="false" customHeight="true" outlineLevel="0" collapsed="false">
      <c r="A439" s="12"/>
      <c r="B439" s="12"/>
      <c r="C439" s="12"/>
      <c r="D439" s="12"/>
      <c r="E439" s="12"/>
      <c r="F439" s="12"/>
      <c r="G439" s="12"/>
      <c r="H439" s="12"/>
      <c r="I439" s="12"/>
      <c r="J439" s="12"/>
      <c r="K439" s="12"/>
      <c r="L439" s="12"/>
      <c r="M439" s="12"/>
      <c r="N439" s="12"/>
      <c r="O439" s="12"/>
      <c r="P439" s="12"/>
      <c r="Q439" s="12"/>
      <c r="R439" s="12"/>
      <c r="S439" s="12"/>
      <c r="T439" s="12"/>
      <c r="U439" s="12"/>
      <c r="V439" s="12"/>
      <c r="W439" s="12"/>
      <c r="X439" s="12"/>
      <c r="Y439" s="12"/>
      <c r="Z439" s="12"/>
    </row>
    <row r="440" customFormat="false" ht="15.75" hidden="false" customHeight="true" outlineLevel="0" collapsed="false">
      <c r="A440" s="12"/>
      <c r="B440" s="12"/>
      <c r="C440" s="12"/>
      <c r="D440" s="12"/>
      <c r="E440" s="12"/>
      <c r="F440" s="12"/>
      <c r="G440" s="12"/>
      <c r="H440" s="12"/>
      <c r="I440" s="12"/>
      <c r="J440" s="12"/>
      <c r="K440" s="12"/>
      <c r="L440" s="12"/>
      <c r="M440" s="12"/>
      <c r="N440" s="12"/>
      <c r="O440" s="12"/>
      <c r="P440" s="12"/>
      <c r="Q440" s="12"/>
      <c r="R440" s="12"/>
      <c r="S440" s="12"/>
      <c r="T440" s="12"/>
      <c r="U440" s="12"/>
      <c r="V440" s="12"/>
      <c r="W440" s="12"/>
      <c r="X440" s="12"/>
      <c r="Y440" s="12"/>
      <c r="Z440" s="12"/>
    </row>
    <row r="441" customFormat="false" ht="15.75" hidden="false" customHeight="true" outlineLevel="0" collapsed="false">
      <c r="A441" s="12"/>
      <c r="B441" s="12"/>
      <c r="C441" s="12"/>
      <c r="D441" s="12"/>
      <c r="E441" s="12"/>
      <c r="F441" s="12"/>
      <c r="G441" s="12"/>
      <c r="H441" s="12"/>
      <c r="I441" s="12"/>
      <c r="J441" s="12"/>
      <c r="K441" s="12"/>
      <c r="L441" s="12"/>
      <c r="M441" s="12"/>
      <c r="N441" s="12"/>
      <c r="O441" s="12"/>
      <c r="P441" s="12"/>
      <c r="Q441" s="12"/>
      <c r="R441" s="12"/>
      <c r="S441" s="12"/>
      <c r="T441" s="12"/>
      <c r="U441" s="12"/>
      <c r="V441" s="12"/>
      <c r="W441" s="12"/>
      <c r="X441" s="12"/>
      <c r="Y441" s="12"/>
      <c r="Z441" s="12"/>
    </row>
    <row r="442" customFormat="false" ht="15.75" hidden="false" customHeight="true" outlineLevel="0" collapsed="false">
      <c r="A442" s="12"/>
      <c r="B442" s="12"/>
      <c r="C442" s="12"/>
      <c r="D442" s="12"/>
      <c r="E442" s="12"/>
      <c r="F442" s="12"/>
      <c r="G442" s="12"/>
      <c r="H442" s="12"/>
      <c r="I442" s="12"/>
      <c r="J442" s="12"/>
      <c r="K442" s="12"/>
      <c r="L442" s="12"/>
      <c r="M442" s="12"/>
      <c r="N442" s="12"/>
      <c r="O442" s="12"/>
      <c r="P442" s="12"/>
      <c r="Q442" s="12"/>
      <c r="R442" s="12"/>
      <c r="S442" s="12"/>
      <c r="T442" s="12"/>
      <c r="U442" s="12"/>
      <c r="V442" s="12"/>
      <c r="W442" s="12"/>
      <c r="X442" s="12"/>
      <c r="Y442" s="12"/>
      <c r="Z442" s="12"/>
    </row>
    <row r="443" customFormat="false" ht="15.75" hidden="false" customHeight="true" outlineLevel="0" collapsed="false">
      <c r="A443" s="12"/>
      <c r="B443" s="12"/>
      <c r="C443" s="12"/>
      <c r="D443" s="12"/>
      <c r="E443" s="12"/>
      <c r="F443" s="12"/>
      <c r="G443" s="12"/>
      <c r="H443" s="12"/>
      <c r="I443" s="12"/>
      <c r="J443" s="12"/>
      <c r="K443" s="12"/>
      <c r="L443" s="12"/>
      <c r="M443" s="12"/>
      <c r="N443" s="12"/>
      <c r="O443" s="12"/>
      <c r="P443" s="12"/>
      <c r="Q443" s="12"/>
      <c r="R443" s="12"/>
      <c r="S443" s="12"/>
      <c r="T443" s="12"/>
      <c r="U443" s="12"/>
      <c r="V443" s="12"/>
      <c r="W443" s="12"/>
      <c r="X443" s="12"/>
      <c r="Y443" s="12"/>
      <c r="Z443" s="12"/>
    </row>
    <row r="444" customFormat="false" ht="15.75" hidden="false" customHeight="true" outlineLevel="0" collapsed="false">
      <c r="A444" s="12"/>
      <c r="B444" s="12"/>
      <c r="C444" s="12"/>
      <c r="D444" s="12"/>
      <c r="E444" s="12"/>
      <c r="F444" s="12"/>
      <c r="G444" s="12"/>
      <c r="H444" s="12"/>
      <c r="I444" s="12"/>
      <c r="J444" s="12"/>
      <c r="K444" s="12"/>
      <c r="L444" s="12"/>
      <c r="M444" s="12"/>
      <c r="N444" s="12"/>
      <c r="O444" s="12"/>
      <c r="P444" s="12"/>
      <c r="Q444" s="12"/>
      <c r="R444" s="12"/>
      <c r="S444" s="12"/>
      <c r="T444" s="12"/>
      <c r="U444" s="12"/>
      <c r="V444" s="12"/>
      <c r="W444" s="12"/>
      <c r="X444" s="12"/>
      <c r="Y444" s="12"/>
      <c r="Z444" s="12"/>
    </row>
    <row r="445" customFormat="false" ht="15.75" hidden="false" customHeight="true" outlineLevel="0" collapsed="false">
      <c r="A445" s="12"/>
      <c r="B445" s="12"/>
      <c r="C445" s="12"/>
      <c r="D445" s="12"/>
      <c r="E445" s="12"/>
      <c r="F445" s="12"/>
      <c r="G445" s="12"/>
      <c r="H445" s="12"/>
      <c r="I445" s="12"/>
      <c r="J445" s="12"/>
      <c r="K445" s="12"/>
      <c r="L445" s="12"/>
      <c r="M445" s="12"/>
      <c r="N445" s="12"/>
      <c r="O445" s="12"/>
      <c r="P445" s="12"/>
      <c r="Q445" s="12"/>
      <c r="R445" s="12"/>
      <c r="S445" s="12"/>
      <c r="T445" s="12"/>
      <c r="U445" s="12"/>
      <c r="V445" s="12"/>
      <c r="W445" s="12"/>
      <c r="X445" s="12"/>
      <c r="Y445" s="12"/>
      <c r="Z445" s="12"/>
    </row>
    <row r="446" customFormat="false" ht="15.75" hidden="false" customHeight="true" outlineLevel="0" collapsed="false">
      <c r="A446" s="12"/>
      <c r="B446" s="12"/>
      <c r="C446" s="12"/>
      <c r="D446" s="12"/>
      <c r="E446" s="12"/>
      <c r="F446" s="12"/>
      <c r="G446" s="12"/>
      <c r="H446" s="12"/>
      <c r="I446" s="12"/>
      <c r="J446" s="12"/>
      <c r="K446" s="12"/>
      <c r="L446" s="12"/>
      <c r="M446" s="12"/>
      <c r="N446" s="12"/>
      <c r="O446" s="12"/>
      <c r="P446" s="12"/>
      <c r="Q446" s="12"/>
      <c r="R446" s="12"/>
      <c r="S446" s="12"/>
      <c r="T446" s="12"/>
      <c r="U446" s="12"/>
      <c r="V446" s="12"/>
      <c r="W446" s="12"/>
      <c r="X446" s="12"/>
      <c r="Y446" s="12"/>
      <c r="Z446" s="12"/>
    </row>
    <row r="447" customFormat="false" ht="15.75" hidden="false" customHeight="true" outlineLevel="0" collapsed="false">
      <c r="A447" s="12"/>
      <c r="B447" s="12"/>
      <c r="C447" s="12"/>
      <c r="D447" s="12"/>
      <c r="E447" s="12"/>
      <c r="F447" s="12"/>
      <c r="G447" s="12"/>
      <c r="H447" s="12"/>
      <c r="I447" s="12"/>
      <c r="J447" s="12"/>
      <c r="K447" s="12"/>
      <c r="L447" s="12"/>
      <c r="M447" s="12"/>
      <c r="N447" s="12"/>
      <c r="O447" s="12"/>
      <c r="P447" s="12"/>
      <c r="Q447" s="12"/>
      <c r="R447" s="12"/>
      <c r="S447" s="12"/>
      <c r="T447" s="12"/>
      <c r="U447" s="12"/>
      <c r="V447" s="12"/>
      <c r="W447" s="12"/>
      <c r="X447" s="12"/>
      <c r="Y447" s="12"/>
      <c r="Z447" s="12"/>
    </row>
    <row r="448" customFormat="false" ht="15.75" hidden="false" customHeight="true" outlineLevel="0" collapsed="false">
      <c r="A448" s="12"/>
      <c r="B448" s="12"/>
      <c r="C448" s="12"/>
      <c r="D448" s="12"/>
      <c r="E448" s="12"/>
      <c r="F448" s="12"/>
      <c r="G448" s="12"/>
      <c r="H448" s="12"/>
      <c r="I448" s="12"/>
      <c r="J448" s="12"/>
      <c r="K448" s="12"/>
      <c r="L448" s="12"/>
      <c r="M448" s="12"/>
      <c r="N448" s="12"/>
      <c r="O448" s="12"/>
      <c r="P448" s="12"/>
      <c r="Q448" s="12"/>
      <c r="R448" s="12"/>
      <c r="S448" s="12"/>
      <c r="T448" s="12"/>
      <c r="U448" s="12"/>
      <c r="V448" s="12"/>
      <c r="W448" s="12"/>
      <c r="X448" s="12"/>
      <c r="Y448" s="12"/>
      <c r="Z448" s="12"/>
    </row>
    <row r="449" customFormat="false" ht="15.75" hidden="false" customHeight="true" outlineLevel="0" collapsed="false">
      <c r="A449" s="12"/>
      <c r="B449" s="12"/>
      <c r="C449" s="12"/>
      <c r="D449" s="12"/>
      <c r="E449" s="12"/>
      <c r="F449" s="12"/>
      <c r="G449" s="12"/>
      <c r="H449" s="12"/>
      <c r="I449" s="12"/>
      <c r="J449" s="12"/>
      <c r="K449" s="12"/>
      <c r="L449" s="12"/>
      <c r="M449" s="12"/>
      <c r="N449" s="12"/>
      <c r="O449" s="12"/>
      <c r="P449" s="12"/>
      <c r="Q449" s="12"/>
      <c r="R449" s="12"/>
      <c r="S449" s="12"/>
      <c r="T449" s="12"/>
      <c r="U449" s="12"/>
      <c r="V449" s="12"/>
      <c r="W449" s="12"/>
      <c r="X449" s="12"/>
      <c r="Y449" s="12"/>
      <c r="Z449" s="12"/>
    </row>
    <row r="450" customFormat="false" ht="15.75" hidden="false" customHeight="true" outlineLevel="0" collapsed="false">
      <c r="A450" s="12"/>
      <c r="B450" s="12"/>
      <c r="C450" s="12"/>
      <c r="D450" s="12"/>
      <c r="E450" s="12"/>
      <c r="F450" s="12"/>
      <c r="G450" s="12"/>
      <c r="H450" s="12"/>
      <c r="I450" s="12"/>
      <c r="J450" s="12"/>
      <c r="K450" s="12"/>
      <c r="L450" s="12"/>
      <c r="M450" s="12"/>
      <c r="N450" s="12"/>
      <c r="O450" s="12"/>
      <c r="P450" s="12"/>
      <c r="Q450" s="12"/>
      <c r="R450" s="12"/>
      <c r="S450" s="12"/>
      <c r="T450" s="12"/>
      <c r="U450" s="12"/>
      <c r="V450" s="12"/>
      <c r="W450" s="12"/>
      <c r="X450" s="12"/>
      <c r="Y450" s="12"/>
      <c r="Z450" s="12"/>
    </row>
    <row r="451" customFormat="false" ht="15.75" hidden="false" customHeight="true" outlineLevel="0" collapsed="false">
      <c r="A451" s="12"/>
      <c r="B451" s="12"/>
      <c r="C451" s="12"/>
      <c r="D451" s="12"/>
      <c r="E451" s="12"/>
      <c r="F451" s="12"/>
      <c r="G451" s="12"/>
      <c r="H451" s="12"/>
      <c r="I451" s="12"/>
      <c r="J451" s="12"/>
      <c r="K451" s="12"/>
      <c r="L451" s="12"/>
      <c r="M451" s="12"/>
      <c r="N451" s="12"/>
      <c r="O451" s="12"/>
      <c r="P451" s="12"/>
      <c r="Q451" s="12"/>
      <c r="R451" s="12"/>
      <c r="S451" s="12"/>
      <c r="T451" s="12"/>
      <c r="U451" s="12"/>
      <c r="V451" s="12"/>
      <c r="W451" s="12"/>
      <c r="X451" s="12"/>
      <c r="Y451" s="12"/>
      <c r="Z451" s="12"/>
    </row>
    <row r="452" customFormat="false" ht="15.75" hidden="false" customHeight="true" outlineLevel="0" collapsed="false">
      <c r="A452" s="12"/>
      <c r="B452" s="12"/>
      <c r="C452" s="12"/>
      <c r="D452" s="12"/>
      <c r="E452" s="12"/>
      <c r="F452" s="12"/>
      <c r="G452" s="12"/>
      <c r="H452" s="12"/>
      <c r="I452" s="12"/>
      <c r="J452" s="12"/>
      <c r="K452" s="12"/>
      <c r="L452" s="12"/>
      <c r="M452" s="12"/>
      <c r="N452" s="12"/>
      <c r="O452" s="12"/>
      <c r="P452" s="12"/>
      <c r="Q452" s="12"/>
      <c r="R452" s="12"/>
      <c r="S452" s="12"/>
      <c r="T452" s="12"/>
      <c r="U452" s="12"/>
      <c r="V452" s="12"/>
      <c r="W452" s="12"/>
      <c r="X452" s="12"/>
      <c r="Y452" s="12"/>
      <c r="Z452" s="12"/>
    </row>
    <row r="453" customFormat="false" ht="15.75" hidden="false" customHeight="true" outlineLevel="0" collapsed="false">
      <c r="A453" s="12"/>
      <c r="B453" s="12"/>
      <c r="C453" s="12"/>
      <c r="D453" s="12"/>
      <c r="E453" s="12"/>
      <c r="F453" s="12"/>
      <c r="G453" s="12"/>
      <c r="H453" s="12"/>
      <c r="I453" s="12"/>
      <c r="J453" s="12"/>
      <c r="K453" s="12"/>
      <c r="L453" s="12"/>
      <c r="M453" s="12"/>
      <c r="N453" s="12"/>
      <c r="O453" s="12"/>
      <c r="P453" s="12"/>
      <c r="Q453" s="12"/>
      <c r="R453" s="12"/>
      <c r="S453" s="12"/>
      <c r="T453" s="12"/>
      <c r="U453" s="12"/>
      <c r="V453" s="12"/>
      <c r="W453" s="12"/>
      <c r="X453" s="12"/>
      <c r="Y453" s="12"/>
      <c r="Z453" s="12"/>
    </row>
    <row r="454" customFormat="false" ht="15.75" hidden="false" customHeight="true" outlineLevel="0" collapsed="false">
      <c r="A454" s="12"/>
      <c r="B454" s="12"/>
      <c r="C454" s="12"/>
      <c r="D454" s="12"/>
      <c r="E454" s="12"/>
      <c r="F454" s="12"/>
      <c r="G454" s="12"/>
      <c r="H454" s="12"/>
      <c r="I454" s="12"/>
      <c r="J454" s="12"/>
      <c r="K454" s="12"/>
      <c r="L454" s="12"/>
      <c r="M454" s="12"/>
      <c r="N454" s="12"/>
      <c r="O454" s="12"/>
      <c r="P454" s="12"/>
      <c r="Q454" s="12"/>
      <c r="R454" s="12"/>
      <c r="S454" s="12"/>
      <c r="T454" s="12"/>
      <c r="U454" s="12"/>
      <c r="V454" s="12"/>
      <c r="W454" s="12"/>
      <c r="X454" s="12"/>
      <c r="Y454" s="12"/>
      <c r="Z454" s="12"/>
    </row>
    <row r="455" customFormat="false" ht="15.75" hidden="false" customHeight="true" outlineLevel="0" collapsed="false">
      <c r="A455" s="12"/>
      <c r="B455" s="12"/>
      <c r="C455" s="12"/>
      <c r="D455" s="12"/>
      <c r="E455" s="12"/>
      <c r="F455" s="12"/>
      <c r="G455" s="12"/>
      <c r="H455" s="12"/>
      <c r="I455" s="12"/>
      <c r="J455" s="12"/>
      <c r="K455" s="12"/>
      <c r="L455" s="12"/>
      <c r="M455" s="12"/>
      <c r="N455" s="12"/>
      <c r="O455" s="12"/>
      <c r="P455" s="12"/>
      <c r="Q455" s="12"/>
      <c r="R455" s="12"/>
      <c r="S455" s="12"/>
      <c r="T455" s="12"/>
      <c r="U455" s="12"/>
      <c r="V455" s="12"/>
      <c r="W455" s="12"/>
      <c r="X455" s="12"/>
      <c r="Y455" s="12"/>
      <c r="Z455" s="12"/>
    </row>
    <row r="456" customFormat="false" ht="15.75" hidden="false" customHeight="true" outlineLevel="0" collapsed="false">
      <c r="A456" s="12"/>
      <c r="B456" s="12"/>
      <c r="C456" s="12"/>
      <c r="D456" s="12"/>
      <c r="E456" s="12"/>
      <c r="F456" s="12"/>
      <c r="G456" s="12"/>
      <c r="H456" s="12"/>
      <c r="I456" s="12"/>
      <c r="J456" s="12"/>
      <c r="K456" s="12"/>
      <c r="L456" s="12"/>
      <c r="M456" s="12"/>
      <c r="N456" s="12"/>
      <c r="O456" s="12"/>
      <c r="P456" s="12"/>
      <c r="Q456" s="12"/>
      <c r="R456" s="12"/>
      <c r="S456" s="12"/>
      <c r="T456" s="12"/>
      <c r="U456" s="12"/>
      <c r="V456" s="12"/>
      <c r="W456" s="12"/>
      <c r="X456" s="12"/>
      <c r="Y456" s="12"/>
      <c r="Z456" s="12"/>
    </row>
    <row r="457" customFormat="false" ht="15.75" hidden="false" customHeight="true" outlineLevel="0" collapsed="false">
      <c r="A457" s="12"/>
      <c r="B457" s="12"/>
      <c r="C457" s="12"/>
      <c r="D457" s="12"/>
      <c r="E457" s="12"/>
      <c r="F457" s="12"/>
      <c r="G457" s="12"/>
      <c r="H457" s="12"/>
      <c r="I457" s="12"/>
      <c r="J457" s="12"/>
      <c r="K457" s="12"/>
      <c r="L457" s="12"/>
      <c r="M457" s="12"/>
      <c r="N457" s="12"/>
      <c r="O457" s="12"/>
      <c r="P457" s="12"/>
      <c r="Q457" s="12"/>
      <c r="R457" s="12"/>
      <c r="S457" s="12"/>
      <c r="T457" s="12"/>
      <c r="U457" s="12"/>
      <c r="V457" s="12"/>
      <c r="W457" s="12"/>
      <c r="X457" s="12"/>
      <c r="Y457" s="12"/>
      <c r="Z457" s="12"/>
    </row>
    <row r="458" customFormat="false" ht="15.75" hidden="false" customHeight="true" outlineLevel="0" collapsed="false">
      <c r="A458" s="12"/>
      <c r="B458" s="12"/>
      <c r="C458" s="12"/>
      <c r="D458" s="12"/>
      <c r="E458" s="12"/>
      <c r="F458" s="12"/>
      <c r="G458" s="12"/>
      <c r="H458" s="12"/>
      <c r="I458" s="12"/>
      <c r="J458" s="12"/>
      <c r="K458" s="12"/>
      <c r="L458" s="12"/>
      <c r="M458" s="12"/>
      <c r="N458" s="12"/>
      <c r="O458" s="12"/>
      <c r="P458" s="12"/>
      <c r="Q458" s="12"/>
      <c r="R458" s="12"/>
      <c r="S458" s="12"/>
      <c r="T458" s="12"/>
      <c r="U458" s="12"/>
      <c r="V458" s="12"/>
      <c r="W458" s="12"/>
      <c r="X458" s="12"/>
      <c r="Y458" s="12"/>
      <c r="Z458" s="12"/>
    </row>
    <row r="459" customFormat="false" ht="15.75" hidden="false" customHeight="true" outlineLevel="0" collapsed="false">
      <c r="A459" s="12"/>
      <c r="B459" s="12"/>
      <c r="C459" s="12"/>
      <c r="D459" s="12"/>
      <c r="E459" s="12"/>
      <c r="F459" s="12"/>
      <c r="G459" s="12"/>
      <c r="H459" s="12"/>
      <c r="I459" s="12"/>
      <c r="J459" s="12"/>
      <c r="K459" s="12"/>
      <c r="L459" s="12"/>
      <c r="M459" s="12"/>
      <c r="N459" s="12"/>
      <c r="O459" s="12"/>
      <c r="P459" s="12"/>
      <c r="Q459" s="12"/>
      <c r="R459" s="12"/>
      <c r="S459" s="12"/>
      <c r="T459" s="12"/>
      <c r="U459" s="12"/>
      <c r="V459" s="12"/>
      <c r="W459" s="12"/>
      <c r="X459" s="12"/>
      <c r="Y459" s="12"/>
      <c r="Z459" s="12"/>
    </row>
    <row r="460" customFormat="false" ht="15.75" hidden="false" customHeight="true" outlineLevel="0" collapsed="false">
      <c r="A460" s="12"/>
      <c r="B460" s="12"/>
      <c r="C460" s="12"/>
      <c r="D460" s="12"/>
      <c r="E460" s="12"/>
      <c r="F460" s="12"/>
      <c r="G460" s="12"/>
      <c r="H460" s="12"/>
      <c r="I460" s="12"/>
      <c r="J460" s="12"/>
      <c r="K460" s="12"/>
      <c r="L460" s="12"/>
      <c r="M460" s="12"/>
      <c r="N460" s="12"/>
      <c r="O460" s="12"/>
      <c r="P460" s="12"/>
      <c r="Q460" s="12"/>
      <c r="R460" s="12"/>
      <c r="S460" s="12"/>
      <c r="T460" s="12"/>
      <c r="U460" s="12"/>
      <c r="V460" s="12"/>
      <c r="W460" s="12"/>
      <c r="X460" s="12"/>
      <c r="Y460" s="12"/>
      <c r="Z460" s="12"/>
    </row>
    <row r="461" customFormat="false" ht="15.75" hidden="false" customHeight="true" outlineLevel="0" collapsed="false">
      <c r="A461" s="12"/>
      <c r="B461" s="12"/>
      <c r="C461" s="12"/>
      <c r="D461" s="12"/>
      <c r="E461" s="12"/>
      <c r="F461" s="12"/>
      <c r="G461" s="12"/>
      <c r="H461" s="12"/>
      <c r="I461" s="12"/>
      <c r="J461" s="12"/>
      <c r="K461" s="12"/>
      <c r="L461" s="12"/>
      <c r="M461" s="12"/>
      <c r="N461" s="12"/>
      <c r="O461" s="12"/>
      <c r="P461" s="12"/>
      <c r="Q461" s="12"/>
      <c r="R461" s="12"/>
      <c r="S461" s="12"/>
      <c r="T461" s="12"/>
      <c r="U461" s="12"/>
      <c r="V461" s="12"/>
      <c r="W461" s="12"/>
      <c r="X461" s="12"/>
      <c r="Y461" s="12"/>
      <c r="Z461" s="12"/>
    </row>
    <row r="462" customFormat="false" ht="15.75" hidden="false" customHeight="true" outlineLevel="0" collapsed="false">
      <c r="A462" s="12"/>
      <c r="B462" s="12"/>
      <c r="C462" s="12"/>
      <c r="D462" s="12"/>
      <c r="E462" s="12"/>
      <c r="F462" s="12"/>
      <c r="G462" s="12"/>
      <c r="H462" s="12"/>
      <c r="I462" s="12"/>
      <c r="J462" s="12"/>
      <c r="K462" s="12"/>
      <c r="L462" s="12"/>
      <c r="M462" s="12"/>
      <c r="N462" s="12"/>
      <c r="O462" s="12"/>
      <c r="P462" s="12"/>
      <c r="Q462" s="12"/>
      <c r="R462" s="12"/>
      <c r="S462" s="12"/>
      <c r="T462" s="12"/>
      <c r="U462" s="12"/>
      <c r="V462" s="12"/>
      <c r="W462" s="12"/>
      <c r="X462" s="12"/>
      <c r="Y462" s="12"/>
      <c r="Z462" s="12"/>
    </row>
    <row r="463" customFormat="false" ht="15.75" hidden="false" customHeight="true" outlineLevel="0" collapsed="false">
      <c r="A463" s="12"/>
      <c r="B463" s="12"/>
      <c r="C463" s="12"/>
      <c r="D463" s="12"/>
      <c r="E463" s="12"/>
      <c r="F463" s="12"/>
      <c r="G463" s="12"/>
      <c r="H463" s="12"/>
      <c r="I463" s="12"/>
      <c r="J463" s="12"/>
      <c r="K463" s="12"/>
      <c r="L463" s="12"/>
      <c r="M463" s="12"/>
      <c r="N463" s="12"/>
      <c r="O463" s="12"/>
      <c r="P463" s="12"/>
      <c r="Q463" s="12"/>
      <c r="R463" s="12"/>
      <c r="S463" s="12"/>
      <c r="T463" s="12"/>
      <c r="U463" s="12"/>
      <c r="V463" s="12"/>
      <c r="W463" s="12"/>
      <c r="X463" s="12"/>
      <c r="Y463" s="12"/>
      <c r="Z463" s="12"/>
    </row>
    <row r="464" customFormat="false" ht="15.75" hidden="false" customHeight="true" outlineLevel="0" collapsed="false">
      <c r="A464" s="12"/>
      <c r="B464" s="12"/>
      <c r="C464" s="12"/>
      <c r="D464" s="12"/>
      <c r="E464" s="12"/>
      <c r="F464" s="12"/>
      <c r="G464" s="12"/>
      <c r="H464" s="12"/>
      <c r="I464" s="12"/>
      <c r="J464" s="12"/>
      <c r="K464" s="12"/>
      <c r="L464" s="12"/>
      <c r="M464" s="12"/>
      <c r="N464" s="12"/>
      <c r="O464" s="12"/>
      <c r="P464" s="12"/>
      <c r="Q464" s="12"/>
      <c r="R464" s="12"/>
      <c r="S464" s="12"/>
      <c r="T464" s="12"/>
      <c r="U464" s="12"/>
      <c r="V464" s="12"/>
      <c r="W464" s="12"/>
      <c r="X464" s="12"/>
      <c r="Y464" s="12"/>
      <c r="Z464" s="12"/>
    </row>
    <row r="465" customFormat="false" ht="15.75" hidden="false" customHeight="true" outlineLevel="0" collapsed="false">
      <c r="A465" s="12"/>
      <c r="B465" s="12"/>
      <c r="C465" s="12"/>
      <c r="D465" s="12"/>
      <c r="E465" s="12"/>
      <c r="F465" s="12"/>
      <c r="G465" s="12"/>
      <c r="H465" s="12"/>
      <c r="I465" s="12"/>
      <c r="J465" s="12"/>
      <c r="K465" s="12"/>
      <c r="L465" s="12"/>
      <c r="M465" s="12"/>
      <c r="N465" s="12"/>
      <c r="O465" s="12"/>
      <c r="P465" s="12"/>
      <c r="Q465" s="12"/>
      <c r="R465" s="12"/>
      <c r="S465" s="12"/>
      <c r="T465" s="12"/>
      <c r="U465" s="12"/>
      <c r="V465" s="12"/>
      <c r="W465" s="12"/>
      <c r="X465" s="12"/>
      <c r="Y465" s="12"/>
      <c r="Z465" s="12"/>
    </row>
    <row r="466" customFormat="false" ht="15.75" hidden="false" customHeight="true" outlineLevel="0" collapsed="false">
      <c r="A466" s="12"/>
      <c r="B466" s="12"/>
      <c r="C466" s="12"/>
      <c r="D466" s="12"/>
      <c r="E466" s="12"/>
      <c r="F466" s="12"/>
      <c r="G466" s="12"/>
      <c r="H466" s="12"/>
      <c r="I466" s="12"/>
      <c r="J466" s="12"/>
      <c r="K466" s="12"/>
      <c r="L466" s="12"/>
      <c r="M466" s="12"/>
      <c r="N466" s="12"/>
      <c r="O466" s="12"/>
      <c r="P466" s="12"/>
      <c r="Q466" s="12"/>
      <c r="R466" s="12"/>
      <c r="S466" s="12"/>
      <c r="T466" s="12"/>
      <c r="U466" s="12"/>
      <c r="V466" s="12"/>
      <c r="W466" s="12"/>
      <c r="X466" s="12"/>
      <c r="Y466" s="12"/>
      <c r="Z466" s="12"/>
    </row>
    <row r="467" customFormat="false" ht="15.75" hidden="false" customHeight="true" outlineLevel="0" collapsed="false">
      <c r="A467" s="12"/>
      <c r="B467" s="12"/>
      <c r="C467" s="12"/>
      <c r="D467" s="12"/>
      <c r="E467" s="12"/>
      <c r="F467" s="12"/>
      <c r="G467" s="12"/>
      <c r="H467" s="12"/>
      <c r="I467" s="12"/>
      <c r="J467" s="12"/>
      <c r="K467" s="12"/>
      <c r="L467" s="12"/>
      <c r="M467" s="12"/>
      <c r="N467" s="12"/>
      <c r="O467" s="12"/>
      <c r="P467" s="12"/>
      <c r="Q467" s="12"/>
      <c r="R467" s="12"/>
      <c r="S467" s="12"/>
      <c r="T467" s="12"/>
      <c r="U467" s="12"/>
      <c r="V467" s="12"/>
      <c r="W467" s="12"/>
      <c r="X467" s="12"/>
      <c r="Y467" s="12"/>
      <c r="Z467" s="12"/>
    </row>
    <row r="468" customFormat="false" ht="15.75" hidden="false" customHeight="true" outlineLevel="0" collapsed="false">
      <c r="A468" s="12"/>
      <c r="B468" s="12"/>
      <c r="C468" s="12"/>
      <c r="D468" s="12"/>
      <c r="E468" s="12"/>
      <c r="F468" s="12"/>
      <c r="G468" s="12"/>
      <c r="H468" s="12"/>
      <c r="I468" s="12"/>
      <c r="J468" s="12"/>
      <c r="K468" s="12"/>
      <c r="L468" s="12"/>
      <c r="M468" s="12"/>
      <c r="N468" s="12"/>
      <c r="O468" s="12"/>
      <c r="P468" s="12"/>
      <c r="Q468" s="12"/>
      <c r="R468" s="12"/>
      <c r="S468" s="12"/>
      <c r="T468" s="12"/>
      <c r="U468" s="12"/>
      <c r="V468" s="12"/>
      <c r="W468" s="12"/>
      <c r="X468" s="12"/>
      <c r="Y468" s="12"/>
      <c r="Z468" s="12"/>
    </row>
    <row r="469" customFormat="false" ht="15.75" hidden="false" customHeight="true" outlineLevel="0" collapsed="false">
      <c r="A469" s="12"/>
      <c r="B469" s="12"/>
      <c r="C469" s="12"/>
      <c r="D469" s="12"/>
      <c r="E469" s="12"/>
      <c r="F469" s="12"/>
      <c r="G469" s="12"/>
      <c r="H469" s="12"/>
      <c r="I469" s="12"/>
      <c r="J469" s="12"/>
      <c r="K469" s="12"/>
      <c r="L469" s="12"/>
      <c r="M469" s="12"/>
      <c r="N469" s="12"/>
      <c r="O469" s="12"/>
      <c r="P469" s="12"/>
      <c r="Q469" s="12"/>
      <c r="R469" s="12"/>
      <c r="S469" s="12"/>
      <c r="T469" s="12"/>
      <c r="U469" s="12"/>
      <c r="V469" s="12"/>
      <c r="W469" s="12"/>
      <c r="X469" s="12"/>
      <c r="Y469" s="12"/>
      <c r="Z469" s="12"/>
    </row>
    <row r="470" customFormat="false" ht="15.75" hidden="false" customHeight="true" outlineLevel="0" collapsed="false">
      <c r="A470" s="12"/>
      <c r="B470" s="12"/>
      <c r="C470" s="12"/>
      <c r="D470" s="12"/>
      <c r="E470" s="12"/>
      <c r="F470" s="12"/>
      <c r="G470" s="12"/>
      <c r="H470" s="12"/>
      <c r="I470" s="12"/>
      <c r="J470" s="12"/>
      <c r="K470" s="12"/>
      <c r="L470" s="12"/>
      <c r="M470" s="12"/>
      <c r="N470" s="12"/>
      <c r="O470" s="12"/>
      <c r="P470" s="12"/>
      <c r="Q470" s="12"/>
      <c r="R470" s="12"/>
      <c r="S470" s="12"/>
      <c r="T470" s="12"/>
      <c r="U470" s="12"/>
      <c r="V470" s="12"/>
      <c r="W470" s="12"/>
      <c r="X470" s="12"/>
      <c r="Y470" s="12"/>
      <c r="Z470" s="12"/>
    </row>
    <row r="471" customFormat="false" ht="15.75" hidden="false" customHeight="true" outlineLevel="0" collapsed="false">
      <c r="A471" s="12"/>
      <c r="B471" s="12"/>
      <c r="C471" s="12"/>
      <c r="D471" s="12"/>
      <c r="E471" s="12"/>
      <c r="F471" s="12"/>
      <c r="G471" s="12"/>
      <c r="H471" s="12"/>
      <c r="I471" s="12"/>
      <c r="J471" s="12"/>
      <c r="K471" s="12"/>
      <c r="L471" s="12"/>
      <c r="M471" s="12"/>
      <c r="N471" s="12"/>
      <c r="O471" s="12"/>
      <c r="P471" s="12"/>
      <c r="Q471" s="12"/>
      <c r="R471" s="12"/>
      <c r="S471" s="12"/>
      <c r="T471" s="12"/>
      <c r="U471" s="12"/>
      <c r="V471" s="12"/>
      <c r="W471" s="12"/>
      <c r="X471" s="12"/>
      <c r="Y471" s="12"/>
      <c r="Z471" s="12"/>
    </row>
    <row r="472" customFormat="false" ht="15.75" hidden="false" customHeight="true" outlineLevel="0" collapsed="false">
      <c r="A472" s="12"/>
      <c r="B472" s="12"/>
      <c r="C472" s="12"/>
      <c r="D472" s="12"/>
      <c r="E472" s="12"/>
      <c r="F472" s="12"/>
      <c r="G472" s="12"/>
      <c r="H472" s="12"/>
      <c r="I472" s="12"/>
      <c r="J472" s="12"/>
      <c r="K472" s="12"/>
      <c r="L472" s="12"/>
      <c r="M472" s="12"/>
      <c r="N472" s="12"/>
      <c r="O472" s="12"/>
      <c r="P472" s="12"/>
      <c r="Q472" s="12"/>
      <c r="R472" s="12"/>
      <c r="S472" s="12"/>
      <c r="T472" s="12"/>
      <c r="U472" s="12"/>
      <c r="V472" s="12"/>
      <c r="W472" s="12"/>
      <c r="X472" s="12"/>
      <c r="Y472" s="12"/>
      <c r="Z472" s="12"/>
    </row>
    <row r="473" customFormat="false" ht="15.75" hidden="false" customHeight="true" outlineLevel="0" collapsed="false">
      <c r="A473" s="12"/>
      <c r="B473" s="12"/>
      <c r="C473" s="12"/>
      <c r="D473" s="12"/>
      <c r="E473" s="12"/>
      <c r="F473" s="12"/>
      <c r="G473" s="12"/>
      <c r="H473" s="12"/>
      <c r="I473" s="12"/>
      <c r="J473" s="12"/>
      <c r="K473" s="12"/>
      <c r="L473" s="12"/>
      <c r="M473" s="12"/>
      <c r="N473" s="12"/>
      <c r="O473" s="12"/>
      <c r="P473" s="12"/>
      <c r="Q473" s="12"/>
      <c r="R473" s="12"/>
      <c r="S473" s="12"/>
      <c r="T473" s="12"/>
      <c r="U473" s="12"/>
      <c r="V473" s="12"/>
      <c r="W473" s="12"/>
      <c r="X473" s="12"/>
      <c r="Y473" s="12"/>
      <c r="Z473" s="12"/>
    </row>
    <row r="474" customFormat="false" ht="15.75" hidden="false" customHeight="true" outlineLevel="0" collapsed="false">
      <c r="A474" s="12"/>
      <c r="B474" s="12"/>
      <c r="C474" s="12"/>
      <c r="D474" s="12"/>
      <c r="E474" s="12"/>
      <c r="F474" s="12"/>
      <c r="G474" s="12"/>
      <c r="H474" s="12"/>
      <c r="I474" s="12"/>
      <c r="J474" s="12"/>
      <c r="K474" s="12"/>
      <c r="L474" s="12"/>
      <c r="M474" s="12"/>
      <c r="N474" s="12"/>
      <c r="O474" s="12"/>
      <c r="P474" s="12"/>
      <c r="Q474" s="12"/>
      <c r="R474" s="12"/>
      <c r="S474" s="12"/>
      <c r="T474" s="12"/>
      <c r="U474" s="12"/>
      <c r="V474" s="12"/>
      <c r="W474" s="12"/>
      <c r="X474" s="12"/>
      <c r="Y474" s="12"/>
      <c r="Z474" s="12"/>
    </row>
    <row r="475" customFormat="false" ht="15.75" hidden="false" customHeight="true" outlineLevel="0" collapsed="false">
      <c r="A475" s="12"/>
      <c r="B475" s="12"/>
      <c r="C475" s="12"/>
      <c r="D475" s="12"/>
      <c r="E475" s="12"/>
      <c r="F475" s="12"/>
      <c r="G475" s="12"/>
      <c r="H475" s="12"/>
      <c r="I475" s="12"/>
      <c r="J475" s="12"/>
      <c r="K475" s="12"/>
      <c r="L475" s="12"/>
      <c r="M475" s="12"/>
      <c r="N475" s="12"/>
      <c r="O475" s="12"/>
      <c r="P475" s="12"/>
      <c r="Q475" s="12"/>
      <c r="R475" s="12"/>
      <c r="S475" s="12"/>
      <c r="T475" s="12"/>
      <c r="U475" s="12"/>
      <c r="V475" s="12"/>
      <c r="W475" s="12"/>
      <c r="X475" s="12"/>
      <c r="Y475" s="12"/>
      <c r="Z475" s="12"/>
    </row>
    <row r="476" customFormat="false" ht="15.75" hidden="false" customHeight="true" outlineLevel="0" collapsed="false">
      <c r="A476" s="12"/>
      <c r="B476" s="12"/>
      <c r="C476" s="12"/>
      <c r="D476" s="12"/>
      <c r="E476" s="12"/>
      <c r="F476" s="12"/>
      <c r="G476" s="12"/>
      <c r="H476" s="12"/>
      <c r="I476" s="12"/>
      <c r="J476" s="12"/>
      <c r="K476" s="12"/>
      <c r="L476" s="12"/>
      <c r="M476" s="12"/>
      <c r="N476" s="12"/>
      <c r="O476" s="12"/>
      <c r="P476" s="12"/>
      <c r="Q476" s="12"/>
      <c r="R476" s="12"/>
      <c r="S476" s="12"/>
      <c r="T476" s="12"/>
      <c r="U476" s="12"/>
      <c r="V476" s="12"/>
      <c r="W476" s="12"/>
      <c r="X476" s="12"/>
      <c r="Y476" s="12"/>
      <c r="Z476" s="12"/>
    </row>
    <row r="477" customFormat="false" ht="15.75" hidden="false" customHeight="true" outlineLevel="0" collapsed="false">
      <c r="A477" s="12"/>
      <c r="B477" s="12"/>
      <c r="C477" s="12"/>
      <c r="D477" s="12"/>
      <c r="E477" s="12"/>
      <c r="F477" s="12"/>
      <c r="G477" s="12"/>
      <c r="H477" s="12"/>
      <c r="I477" s="12"/>
      <c r="J477" s="12"/>
      <c r="K477" s="12"/>
      <c r="L477" s="12"/>
      <c r="M477" s="12"/>
      <c r="N477" s="12"/>
      <c r="O477" s="12"/>
      <c r="P477" s="12"/>
      <c r="Q477" s="12"/>
      <c r="R477" s="12"/>
      <c r="S477" s="12"/>
      <c r="T477" s="12"/>
      <c r="U477" s="12"/>
      <c r="V477" s="12"/>
      <c r="W477" s="12"/>
      <c r="X477" s="12"/>
      <c r="Y477" s="12"/>
      <c r="Z477" s="12"/>
    </row>
    <row r="478" customFormat="false" ht="15.75" hidden="false" customHeight="true" outlineLevel="0" collapsed="false">
      <c r="A478" s="12"/>
      <c r="B478" s="12"/>
      <c r="C478" s="12"/>
      <c r="D478" s="12"/>
      <c r="E478" s="12"/>
      <c r="F478" s="12"/>
      <c r="G478" s="12"/>
      <c r="H478" s="12"/>
      <c r="I478" s="12"/>
      <c r="J478" s="12"/>
      <c r="K478" s="12"/>
      <c r="L478" s="12"/>
      <c r="M478" s="12"/>
      <c r="N478" s="12"/>
      <c r="O478" s="12"/>
      <c r="P478" s="12"/>
      <c r="Q478" s="12"/>
      <c r="R478" s="12"/>
      <c r="S478" s="12"/>
      <c r="T478" s="12"/>
      <c r="U478" s="12"/>
      <c r="V478" s="12"/>
      <c r="W478" s="12"/>
      <c r="X478" s="12"/>
      <c r="Y478" s="12"/>
      <c r="Z478" s="12"/>
    </row>
    <row r="479" customFormat="false" ht="15.75" hidden="false" customHeight="true" outlineLevel="0" collapsed="false">
      <c r="A479" s="12"/>
      <c r="B479" s="12"/>
      <c r="C479" s="12"/>
      <c r="D479" s="12"/>
      <c r="E479" s="12"/>
      <c r="F479" s="12"/>
      <c r="G479" s="12"/>
      <c r="H479" s="12"/>
      <c r="I479" s="12"/>
      <c r="J479" s="12"/>
      <c r="K479" s="12"/>
      <c r="L479" s="12"/>
      <c r="M479" s="12"/>
      <c r="N479" s="12"/>
      <c r="O479" s="12"/>
      <c r="P479" s="12"/>
      <c r="Q479" s="12"/>
      <c r="R479" s="12"/>
      <c r="S479" s="12"/>
      <c r="T479" s="12"/>
      <c r="U479" s="12"/>
      <c r="V479" s="12"/>
      <c r="W479" s="12"/>
      <c r="X479" s="12"/>
      <c r="Y479" s="12"/>
      <c r="Z479" s="12"/>
    </row>
    <row r="480" customFormat="false" ht="15.75" hidden="false" customHeight="true" outlineLevel="0" collapsed="false">
      <c r="A480" s="12"/>
      <c r="B480" s="12"/>
      <c r="C480" s="12"/>
      <c r="D480" s="12"/>
      <c r="E480" s="12"/>
      <c r="F480" s="12"/>
      <c r="G480" s="12"/>
      <c r="H480" s="12"/>
      <c r="I480" s="12"/>
      <c r="J480" s="12"/>
      <c r="K480" s="12"/>
      <c r="L480" s="12"/>
      <c r="M480" s="12"/>
      <c r="N480" s="12"/>
      <c r="O480" s="12"/>
      <c r="P480" s="12"/>
      <c r="Q480" s="12"/>
      <c r="R480" s="12"/>
      <c r="S480" s="12"/>
      <c r="T480" s="12"/>
      <c r="U480" s="12"/>
      <c r="V480" s="12"/>
      <c r="W480" s="12"/>
      <c r="X480" s="12"/>
      <c r="Y480" s="12"/>
      <c r="Z480" s="12"/>
    </row>
    <row r="481" customFormat="false" ht="15.75" hidden="false" customHeight="true" outlineLevel="0" collapsed="false">
      <c r="A481" s="12"/>
      <c r="B481" s="12"/>
      <c r="C481" s="12"/>
      <c r="D481" s="12"/>
      <c r="E481" s="12"/>
      <c r="F481" s="12"/>
      <c r="G481" s="12"/>
      <c r="H481" s="12"/>
      <c r="I481" s="12"/>
      <c r="J481" s="12"/>
      <c r="K481" s="12"/>
      <c r="L481" s="12"/>
      <c r="M481" s="12"/>
      <c r="N481" s="12"/>
      <c r="O481" s="12"/>
      <c r="P481" s="12"/>
      <c r="Q481" s="12"/>
      <c r="R481" s="12"/>
      <c r="S481" s="12"/>
      <c r="T481" s="12"/>
      <c r="U481" s="12"/>
      <c r="V481" s="12"/>
      <c r="W481" s="12"/>
      <c r="X481" s="12"/>
      <c r="Y481" s="12"/>
      <c r="Z481" s="12"/>
    </row>
    <row r="482" customFormat="false" ht="15.75" hidden="false" customHeight="true" outlineLevel="0" collapsed="false">
      <c r="A482" s="12"/>
      <c r="B482" s="12"/>
      <c r="C482" s="12"/>
      <c r="D482" s="12"/>
      <c r="E482" s="12"/>
      <c r="F482" s="12"/>
      <c r="G482" s="12"/>
      <c r="H482" s="12"/>
      <c r="I482" s="12"/>
      <c r="J482" s="12"/>
      <c r="K482" s="12"/>
      <c r="L482" s="12"/>
      <c r="M482" s="12"/>
      <c r="N482" s="12"/>
      <c r="O482" s="12"/>
      <c r="P482" s="12"/>
      <c r="Q482" s="12"/>
      <c r="R482" s="12"/>
      <c r="S482" s="12"/>
      <c r="T482" s="12"/>
      <c r="U482" s="12"/>
      <c r="V482" s="12"/>
      <c r="W482" s="12"/>
      <c r="X482" s="12"/>
      <c r="Y482" s="12"/>
      <c r="Z482" s="12"/>
    </row>
    <row r="483" customFormat="false" ht="15.75" hidden="false" customHeight="true" outlineLevel="0" collapsed="false">
      <c r="A483" s="12"/>
      <c r="B483" s="12"/>
      <c r="C483" s="12"/>
      <c r="D483" s="12"/>
      <c r="E483" s="12"/>
      <c r="F483" s="12"/>
      <c r="G483" s="12"/>
      <c r="H483" s="12"/>
      <c r="I483" s="12"/>
      <c r="J483" s="12"/>
      <c r="K483" s="12"/>
      <c r="L483" s="12"/>
      <c r="M483" s="12"/>
      <c r="N483" s="12"/>
      <c r="O483" s="12"/>
      <c r="P483" s="12"/>
      <c r="Q483" s="12"/>
      <c r="R483" s="12"/>
      <c r="S483" s="12"/>
      <c r="T483" s="12"/>
      <c r="U483" s="12"/>
      <c r="V483" s="12"/>
      <c r="W483" s="12"/>
      <c r="X483" s="12"/>
      <c r="Y483" s="12"/>
      <c r="Z483" s="12"/>
    </row>
    <row r="484" customFormat="false" ht="15.75" hidden="false" customHeight="true" outlineLevel="0" collapsed="false">
      <c r="A484" s="12"/>
      <c r="B484" s="12"/>
      <c r="C484" s="12"/>
      <c r="D484" s="12"/>
      <c r="E484" s="12"/>
      <c r="F484" s="12"/>
      <c r="G484" s="12"/>
      <c r="H484" s="12"/>
      <c r="I484" s="12"/>
      <c r="J484" s="12"/>
      <c r="K484" s="12"/>
      <c r="L484" s="12"/>
      <c r="M484" s="12"/>
      <c r="N484" s="12"/>
      <c r="O484" s="12"/>
      <c r="P484" s="12"/>
      <c r="Q484" s="12"/>
      <c r="R484" s="12"/>
      <c r="S484" s="12"/>
      <c r="T484" s="12"/>
      <c r="U484" s="12"/>
      <c r="V484" s="12"/>
      <c r="W484" s="12"/>
      <c r="X484" s="12"/>
      <c r="Y484" s="12"/>
      <c r="Z484" s="12"/>
    </row>
    <row r="485" customFormat="false" ht="15.75" hidden="false" customHeight="true" outlineLevel="0" collapsed="false">
      <c r="A485" s="12"/>
      <c r="B485" s="12"/>
      <c r="C485" s="12"/>
      <c r="D485" s="12"/>
      <c r="E485" s="12"/>
      <c r="F485" s="12"/>
      <c r="G485" s="12"/>
      <c r="H485" s="12"/>
      <c r="I485" s="12"/>
      <c r="J485" s="12"/>
      <c r="K485" s="12"/>
      <c r="L485" s="12"/>
      <c r="M485" s="12"/>
      <c r="N485" s="12"/>
      <c r="O485" s="12"/>
      <c r="P485" s="12"/>
      <c r="Q485" s="12"/>
      <c r="R485" s="12"/>
      <c r="S485" s="12"/>
      <c r="T485" s="12"/>
      <c r="U485" s="12"/>
      <c r="V485" s="12"/>
      <c r="W485" s="12"/>
      <c r="X485" s="12"/>
      <c r="Y485" s="12"/>
      <c r="Z485" s="12"/>
    </row>
    <row r="486" customFormat="false" ht="15.75" hidden="false" customHeight="true" outlineLevel="0" collapsed="false">
      <c r="A486" s="12"/>
      <c r="B486" s="12"/>
      <c r="C486" s="12"/>
      <c r="D486" s="12"/>
      <c r="E486" s="12"/>
      <c r="F486" s="12"/>
      <c r="G486" s="12"/>
      <c r="H486" s="12"/>
      <c r="I486" s="12"/>
      <c r="J486" s="12"/>
      <c r="K486" s="12"/>
      <c r="L486" s="12"/>
      <c r="M486" s="12"/>
      <c r="N486" s="12"/>
      <c r="O486" s="12"/>
      <c r="P486" s="12"/>
      <c r="Q486" s="12"/>
      <c r="R486" s="12"/>
      <c r="S486" s="12"/>
      <c r="T486" s="12"/>
      <c r="U486" s="12"/>
      <c r="V486" s="12"/>
      <c r="W486" s="12"/>
      <c r="X486" s="12"/>
      <c r="Y486" s="12"/>
      <c r="Z486" s="12"/>
    </row>
    <row r="487" customFormat="false" ht="15.75" hidden="false" customHeight="true" outlineLevel="0" collapsed="false">
      <c r="A487" s="12"/>
      <c r="B487" s="12"/>
      <c r="C487" s="12"/>
      <c r="D487" s="12"/>
      <c r="E487" s="12"/>
      <c r="F487" s="12"/>
      <c r="G487" s="12"/>
      <c r="H487" s="12"/>
      <c r="I487" s="12"/>
      <c r="J487" s="12"/>
      <c r="K487" s="12"/>
      <c r="L487" s="12"/>
      <c r="M487" s="12"/>
      <c r="N487" s="12"/>
      <c r="O487" s="12"/>
      <c r="P487" s="12"/>
      <c r="Q487" s="12"/>
      <c r="R487" s="12"/>
      <c r="S487" s="12"/>
      <c r="T487" s="12"/>
      <c r="U487" s="12"/>
      <c r="V487" s="12"/>
      <c r="W487" s="12"/>
      <c r="X487" s="12"/>
      <c r="Y487" s="12"/>
      <c r="Z487" s="12"/>
    </row>
    <row r="488" customFormat="false" ht="15.75" hidden="false" customHeight="true" outlineLevel="0" collapsed="false">
      <c r="A488" s="12"/>
      <c r="B488" s="12"/>
      <c r="C488" s="12"/>
      <c r="D488" s="12"/>
      <c r="E488" s="12"/>
      <c r="F488" s="12"/>
      <c r="G488" s="12"/>
      <c r="H488" s="12"/>
      <c r="I488" s="12"/>
      <c r="J488" s="12"/>
      <c r="K488" s="12"/>
      <c r="L488" s="12"/>
      <c r="M488" s="12"/>
      <c r="N488" s="12"/>
      <c r="O488" s="12"/>
      <c r="P488" s="12"/>
      <c r="Q488" s="12"/>
      <c r="R488" s="12"/>
      <c r="S488" s="12"/>
      <c r="T488" s="12"/>
      <c r="U488" s="12"/>
      <c r="V488" s="12"/>
      <c r="W488" s="12"/>
      <c r="X488" s="12"/>
      <c r="Y488" s="12"/>
      <c r="Z488" s="12"/>
    </row>
    <row r="489" customFormat="false" ht="15.75" hidden="false" customHeight="true" outlineLevel="0" collapsed="false">
      <c r="A489" s="12"/>
      <c r="B489" s="12"/>
      <c r="C489" s="12"/>
      <c r="D489" s="12"/>
      <c r="E489" s="12"/>
      <c r="F489" s="12"/>
      <c r="G489" s="12"/>
      <c r="H489" s="12"/>
      <c r="I489" s="12"/>
      <c r="J489" s="12"/>
      <c r="K489" s="12"/>
      <c r="L489" s="12"/>
      <c r="M489" s="12"/>
      <c r="N489" s="12"/>
      <c r="O489" s="12"/>
      <c r="P489" s="12"/>
      <c r="Q489" s="12"/>
      <c r="R489" s="12"/>
      <c r="S489" s="12"/>
      <c r="T489" s="12"/>
      <c r="U489" s="12"/>
      <c r="V489" s="12"/>
      <c r="W489" s="12"/>
      <c r="X489" s="12"/>
      <c r="Y489" s="12"/>
      <c r="Z489" s="12"/>
    </row>
    <row r="490" customFormat="false" ht="15.75" hidden="false" customHeight="true" outlineLevel="0" collapsed="false">
      <c r="A490" s="12"/>
      <c r="B490" s="12"/>
      <c r="C490" s="12"/>
      <c r="D490" s="12"/>
      <c r="E490" s="12"/>
      <c r="F490" s="12"/>
      <c r="G490" s="12"/>
      <c r="H490" s="12"/>
      <c r="I490" s="12"/>
      <c r="J490" s="12"/>
      <c r="K490" s="12"/>
      <c r="L490" s="12"/>
      <c r="M490" s="12"/>
      <c r="N490" s="12"/>
      <c r="O490" s="12"/>
      <c r="P490" s="12"/>
      <c r="Q490" s="12"/>
      <c r="R490" s="12"/>
      <c r="S490" s="12"/>
      <c r="T490" s="12"/>
      <c r="U490" s="12"/>
      <c r="V490" s="12"/>
      <c r="W490" s="12"/>
      <c r="X490" s="12"/>
      <c r="Y490" s="12"/>
      <c r="Z490" s="12"/>
    </row>
    <row r="491" customFormat="false" ht="15.75" hidden="false" customHeight="true" outlineLevel="0" collapsed="false">
      <c r="A491" s="12"/>
      <c r="B491" s="12"/>
      <c r="C491" s="12"/>
      <c r="D491" s="12"/>
      <c r="E491" s="12"/>
      <c r="F491" s="12"/>
      <c r="G491" s="12"/>
      <c r="H491" s="12"/>
      <c r="I491" s="12"/>
      <c r="J491" s="12"/>
      <c r="K491" s="12"/>
      <c r="L491" s="12"/>
      <c r="M491" s="12"/>
      <c r="N491" s="12"/>
      <c r="O491" s="12"/>
      <c r="P491" s="12"/>
      <c r="Q491" s="12"/>
      <c r="R491" s="12"/>
      <c r="S491" s="12"/>
      <c r="T491" s="12"/>
      <c r="U491" s="12"/>
      <c r="V491" s="12"/>
      <c r="W491" s="12"/>
      <c r="X491" s="12"/>
      <c r="Y491" s="12"/>
      <c r="Z491" s="12"/>
    </row>
    <row r="492" customFormat="false" ht="15.75" hidden="false" customHeight="true" outlineLevel="0" collapsed="false">
      <c r="A492" s="12"/>
      <c r="B492" s="12"/>
      <c r="C492" s="12"/>
      <c r="D492" s="12"/>
      <c r="E492" s="12"/>
      <c r="F492" s="12"/>
      <c r="G492" s="12"/>
      <c r="H492" s="12"/>
      <c r="I492" s="12"/>
      <c r="J492" s="12"/>
      <c r="K492" s="12"/>
      <c r="L492" s="12"/>
      <c r="M492" s="12"/>
      <c r="N492" s="12"/>
      <c r="O492" s="12"/>
      <c r="P492" s="12"/>
      <c r="Q492" s="12"/>
      <c r="R492" s="12"/>
      <c r="S492" s="12"/>
      <c r="T492" s="12"/>
      <c r="U492" s="12"/>
      <c r="V492" s="12"/>
      <c r="W492" s="12"/>
      <c r="X492" s="12"/>
      <c r="Y492" s="12"/>
      <c r="Z492" s="12"/>
    </row>
    <row r="493" customFormat="false" ht="15.75" hidden="false" customHeight="true" outlineLevel="0" collapsed="false">
      <c r="A493" s="12"/>
      <c r="B493" s="12"/>
      <c r="C493" s="12"/>
      <c r="D493" s="12"/>
      <c r="E493" s="12"/>
      <c r="F493" s="12"/>
      <c r="G493" s="12"/>
      <c r="H493" s="12"/>
      <c r="I493" s="12"/>
      <c r="J493" s="12"/>
      <c r="K493" s="12"/>
      <c r="L493" s="12"/>
      <c r="M493" s="12"/>
      <c r="N493" s="12"/>
      <c r="O493" s="12"/>
      <c r="P493" s="12"/>
      <c r="Q493" s="12"/>
      <c r="R493" s="12"/>
      <c r="S493" s="12"/>
      <c r="T493" s="12"/>
      <c r="U493" s="12"/>
      <c r="V493" s="12"/>
      <c r="W493" s="12"/>
      <c r="X493" s="12"/>
      <c r="Y493" s="12"/>
      <c r="Z493" s="12"/>
    </row>
    <row r="494" customFormat="false" ht="15.75" hidden="false" customHeight="true" outlineLevel="0" collapsed="false">
      <c r="A494" s="12"/>
      <c r="B494" s="12"/>
      <c r="C494" s="12"/>
      <c r="D494" s="12"/>
      <c r="E494" s="12"/>
      <c r="F494" s="12"/>
      <c r="G494" s="12"/>
      <c r="H494" s="12"/>
      <c r="I494" s="12"/>
      <c r="J494" s="12"/>
      <c r="K494" s="12"/>
      <c r="L494" s="12"/>
      <c r="M494" s="12"/>
      <c r="N494" s="12"/>
      <c r="O494" s="12"/>
      <c r="P494" s="12"/>
      <c r="Q494" s="12"/>
      <c r="R494" s="12"/>
      <c r="S494" s="12"/>
      <c r="T494" s="12"/>
      <c r="U494" s="12"/>
      <c r="V494" s="12"/>
      <c r="W494" s="12"/>
      <c r="X494" s="12"/>
      <c r="Y494" s="12"/>
      <c r="Z494" s="12"/>
    </row>
    <row r="495" customFormat="false" ht="15.75" hidden="false" customHeight="true" outlineLevel="0" collapsed="false">
      <c r="A495" s="12"/>
      <c r="B495" s="12"/>
      <c r="C495" s="12"/>
      <c r="D495" s="12"/>
      <c r="E495" s="12"/>
      <c r="F495" s="12"/>
      <c r="G495" s="12"/>
      <c r="H495" s="12"/>
      <c r="I495" s="12"/>
      <c r="J495" s="12"/>
      <c r="K495" s="12"/>
      <c r="L495" s="12"/>
      <c r="M495" s="12"/>
      <c r="N495" s="12"/>
      <c r="O495" s="12"/>
      <c r="P495" s="12"/>
      <c r="Q495" s="12"/>
      <c r="R495" s="12"/>
      <c r="S495" s="12"/>
      <c r="T495" s="12"/>
      <c r="U495" s="12"/>
      <c r="V495" s="12"/>
      <c r="W495" s="12"/>
      <c r="X495" s="12"/>
      <c r="Y495" s="12"/>
      <c r="Z495" s="12"/>
    </row>
    <row r="496" customFormat="false" ht="15.75" hidden="false" customHeight="true" outlineLevel="0" collapsed="false">
      <c r="A496" s="12"/>
      <c r="B496" s="12"/>
      <c r="C496" s="12"/>
      <c r="D496" s="12"/>
      <c r="E496" s="12"/>
      <c r="F496" s="12"/>
      <c r="G496" s="12"/>
      <c r="H496" s="12"/>
      <c r="I496" s="12"/>
      <c r="J496" s="12"/>
      <c r="K496" s="12"/>
      <c r="L496" s="12"/>
      <c r="M496" s="12"/>
      <c r="N496" s="12"/>
      <c r="O496" s="12"/>
      <c r="P496" s="12"/>
      <c r="Q496" s="12"/>
      <c r="R496" s="12"/>
      <c r="S496" s="12"/>
      <c r="T496" s="12"/>
      <c r="U496" s="12"/>
      <c r="V496" s="12"/>
      <c r="W496" s="12"/>
      <c r="X496" s="12"/>
      <c r="Y496" s="12"/>
      <c r="Z496" s="12"/>
    </row>
    <row r="497" customFormat="false" ht="15.75" hidden="false" customHeight="true" outlineLevel="0" collapsed="false">
      <c r="A497" s="12"/>
      <c r="B497" s="12"/>
      <c r="C497" s="12"/>
      <c r="D497" s="12"/>
      <c r="E497" s="12"/>
      <c r="F497" s="12"/>
      <c r="G497" s="12"/>
      <c r="H497" s="12"/>
      <c r="I497" s="12"/>
      <c r="J497" s="12"/>
      <c r="K497" s="12"/>
      <c r="L497" s="12"/>
      <c r="M497" s="12"/>
      <c r="N497" s="12"/>
      <c r="O497" s="12"/>
      <c r="P497" s="12"/>
      <c r="Q497" s="12"/>
      <c r="R497" s="12"/>
      <c r="S497" s="12"/>
      <c r="T497" s="12"/>
      <c r="U497" s="12"/>
      <c r="V497" s="12"/>
      <c r="W497" s="12"/>
      <c r="X497" s="12"/>
      <c r="Y497" s="12"/>
      <c r="Z497" s="12"/>
    </row>
    <row r="498" customFormat="false" ht="15.75" hidden="false" customHeight="true" outlineLevel="0" collapsed="false">
      <c r="A498" s="12"/>
      <c r="B498" s="12"/>
      <c r="C498" s="12"/>
      <c r="D498" s="12"/>
      <c r="E498" s="12"/>
      <c r="F498" s="12"/>
      <c r="G498" s="12"/>
      <c r="H498" s="12"/>
      <c r="I498" s="12"/>
      <c r="J498" s="12"/>
      <c r="K498" s="12"/>
      <c r="L498" s="12"/>
      <c r="M498" s="12"/>
      <c r="N498" s="12"/>
      <c r="O498" s="12"/>
      <c r="P498" s="12"/>
      <c r="Q498" s="12"/>
      <c r="R498" s="12"/>
      <c r="S498" s="12"/>
      <c r="T498" s="12"/>
      <c r="U498" s="12"/>
      <c r="V498" s="12"/>
      <c r="W498" s="12"/>
      <c r="X498" s="12"/>
      <c r="Y498" s="12"/>
      <c r="Z498" s="12"/>
    </row>
    <row r="499" customFormat="false" ht="15.75" hidden="false" customHeight="true" outlineLevel="0" collapsed="false">
      <c r="A499" s="12"/>
      <c r="B499" s="12"/>
      <c r="C499" s="12"/>
      <c r="D499" s="12"/>
      <c r="E499" s="12"/>
      <c r="F499" s="12"/>
      <c r="G499" s="12"/>
      <c r="H499" s="12"/>
      <c r="I499" s="12"/>
      <c r="J499" s="12"/>
      <c r="K499" s="12"/>
      <c r="L499" s="12"/>
      <c r="M499" s="12"/>
      <c r="N499" s="12"/>
      <c r="O499" s="12"/>
      <c r="P499" s="12"/>
      <c r="Q499" s="12"/>
      <c r="R499" s="12"/>
      <c r="S499" s="12"/>
      <c r="T499" s="12"/>
      <c r="U499" s="12"/>
      <c r="V499" s="12"/>
      <c r="W499" s="12"/>
      <c r="X499" s="12"/>
      <c r="Y499" s="12"/>
      <c r="Z499" s="12"/>
    </row>
    <row r="500" customFormat="false" ht="15.75" hidden="false" customHeight="true" outlineLevel="0" collapsed="false">
      <c r="A500" s="12"/>
      <c r="B500" s="12"/>
      <c r="C500" s="12"/>
      <c r="D500" s="12"/>
      <c r="E500" s="12"/>
      <c r="F500" s="12"/>
      <c r="G500" s="12"/>
      <c r="H500" s="12"/>
      <c r="I500" s="12"/>
      <c r="J500" s="12"/>
      <c r="K500" s="12"/>
      <c r="L500" s="12"/>
      <c r="M500" s="12"/>
      <c r="N500" s="12"/>
      <c r="O500" s="12"/>
      <c r="P500" s="12"/>
      <c r="Q500" s="12"/>
      <c r="R500" s="12"/>
      <c r="S500" s="12"/>
      <c r="T500" s="12"/>
      <c r="U500" s="12"/>
      <c r="V500" s="12"/>
      <c r="W500" s="12"/>
      <c r="X500" s="12"/>
      <c r="Y500" s="12"/>
      <c r="Z500" s="12"/>
    </row>
    <row r="501" customFormat="false" ht="15.75" hidden="false" customHeight="true" outlineLevel="0" collapsed="false">
      <c r="A501" s="12"/>
      <c r="B501" s="12"/>
      <c r="C501" s="12"/>
      <c r="D501" s="12"/>
      <c r="E501" s="12"/>
      <c r="F501" s="12"/>
      <c r="G501" s="12"/>
      <c r="H501" s="12"/>
      <c r="I501" s="12"/>
      <c r="J501" s="12"/>
      <c r="K501" s="12"/>
      <c r="L501" s="12"/>
      <c r="M501" s="12"/>
      <c r="N501" s="12"/>
      <c r="O501" s="12"/>
      <c r="P501" s="12"/>
      <c r="Q501" s="12"/>
      <c r="R501" s="12"/>
      <c r="S501" s="12"/>
      <c r="T501" s="12"/>
      <c r="U501" s="12"/>
      <c r="V501" s="12"/>
      <c r="W501" s="12"/>
      <c r="X501" s="12"/>
      <c r="Y501" s="12"/>
      <c r="Z501" s="12"/>
    </row>
    <row r="502" customFormat="false" ht="15.75" hidden="false" customHeight="true" outlineLevel="0" collapsed="false">
      <c r="A502" s="12"/>
      <c r="B502" s="12"/>
      <c r="C502" s="12"/>
      <c r="D502" s="12"/>
      <c r="E502" s="12"/>
      <c r="F502" s="12"/>
      <c r="G502" s="12"/>
      <c r="H502" s="12"/>
      <c r="I502" s="12"/>
      <c r="J502" s="12"/>
      <c r="K502" s="12"/>
      <c r="L502" s="12"/>
      <c r="M502" s="12"/>
      <c r="N502" s="12"/>
      <c r="O502" s="12"/>
      <c r="P502" s="12"/>
      <c r="Q502" s="12"/>
      <c r="R502" s="12"/>
      <c r="S502" s="12"/>
      <c r="T502" s="12"/>
      <c r="U502" s="12"/>
      <c r="V502" s="12"/>
      <c r="W502" s="12"/>
      <c r="X502" s="12"/>
      <c r="Y502" s="12"/>
      <c r="Z502" s="12"/>
    </row>
    <row r="503" customFormat="false" ht="15.75" hidden="false" customHeight="true" outlineLevel="0" collapsed="false">
      <c r="A503" s="12"/>
      <c r="B503" s="12"/>
      <c r="C503" s="12"/>
      <c r="D503" s="12"/>
      <c r="E503" s="12"/>
      <c r="F503" s="12"/>
      <c r="G503" s="12"/>
      <c r="H503" s="12"/>
      <c r="I503" s="12"/>
      <c r="J503" s="12"/>
      <c r="K503" s="12"/>
      <c r="L503" s="12"/>
      <c r="M503" s="12"/>
      <c r="N503" s="12"/>
      <c r="O503" s="12"/>
      <c r="P503" s="12"/>
      <c r="Q503" s="12"/>
      <c r="R503" s="12"/>
      <c r="S503" s="12"/>
      <c r="T503" s="12"/>
      <c r="U503" s="12"/>
      <c r="V503" s="12"/>
      <c r="W503" s="12"/>
      <c r="X503" s="12"/>
      <c r="Y503" s="12"/>
      <c r="Z503" s="12"/>
    </row>
    <row r="504" customFormat="false" ht="15.75" hidden="false" customHeight="true" outlineLevel="0" collapsed="false">
      <c r="A504" s="12"/>
      <c r="B504" s="12"/>
      <c r="C504" s="12"/>
      <c r="D504" s="12"/>
      <c r="E504" s="12"/>
      <c r="F504" s="12"/>
      <c r="G504" s="12"/>
      <c r="H504" s="12"/>
      <c r="I504" s="12"/>
      <c r="J504" s="12"/>
      <c r="K504" s="12"/>
      <c r="L504" s="12"/>
      <c r="M504" s="12"/>
      <c r="N504" s="12"/>
      <c r="O504" s="12"/>
      <c r="P504" s="12"/>
      <c r="Q504" s="12"/>
      <c r="R504" s="12"/>
      <c r="S504" s="12"/>
      <c r="T504" s="12"/>
      <c r="U504" s="12"/>
      <c r="V504" s="12"/>
      <c r="W504" s="12"/>
      <c r="X504" s="12"/>
      <c r="Y504" s="12"/>
      <c r="Z504" s="12"/>
    </row>
    <row r="505" customFormat="false" ht="15.75" hidden="false" customHeight="true" outlineLevel="0" collapsed="false">
      <c r="A505" s="12"/>
      <c r="B505" s="12"/>
      <c r="C505" s="12"/>
      <c r="D505" s="12"/>
      <c r="E505" s="12"/>
      <c r="F505" s="12"/>
      <c r="G505" s="12"/>
      <c r="H505" s="12"/>
      <c r="I505" s="12"/>
      <c r="J505" s="12"/>
      <c r="K505" s="12"/>
      <c r="L505" s="12"/>
      <c r="M505" s="12"/>
      <c r="N505" s="12"/>
      <c r="O505" s="12"/>
      <c r="P505" s="12"/>
      <c r="Q505" s="12"/>
      <c r="R505" s="12"/>
      <c r="S505" s="12"/>
      <c r="T505" s="12"/>
      <c r="U505" s="12"/>
      <c r="V505" s="12"/>
      <c r="W505" s="12"/>
      <c r="X505" s="12"/>
      <c r="Y505" s="12"/>
      <c r="Z505" s="12"/>
    </row>
    <row r="506" customFormat="false" ht="15.75" hidden="false" customHeight="true" outlineLevel="0" collapsed="false">
      <c r="A506" s="12"/>
      <c r="B506" s="12"/>
      <c r="C506" s="12"/>
      <c r="D506" s="12"/>
      <c r="E506" s="12"/>
      <c r="F506" s="12"/>
      <c r="G506" s="12"/>
      <c r="H506" s="12"/>
      <c r="I506" s="12"/>
      <c r="J506" s="12"/>
      <c r="K506" s="12"/>
      <c r="L506" s="12"/>
      <c r="M506" s="12"/>
      <c r="N506" s="12"/>
      <c r="O506" s="12"/>
      <c r="P506" s="12"/>
      <c r="Q506" s="12"/>
      <c r="R506" s="12"/>
      <c r="S506" s="12"/>
      <c r="T506" s="12"/>
      <c r="U506" s="12"/>
      <c r="V506" s="12"/>
      <c r="W506" s="12"/>
      <c r="X506" s="12"/>
      <c r="Y506" s="12"/>
      <c r="Z506" s="12"/>
    </row>
    <row r="507" customFormat="false" ht="15.75" hidden="false" customHeight="true" outlineLevel="0" collapsed="false">
      <c r="A507" s="12"/>
      <c r="B507" s="12"/>
      <c r="C507" s="12"/>
      <c r="D507" s="12"/>
      <c r="E507" s="12"/>
      <c r="F507" s="12"/>
      <c r="G507" s="12"/>
      <c r="H507" s="12"/>
      <c r="I507" s="12"/>
      <c r="J507" s="12"/>
      <c r="K507" s="12"/>
      <c r="L507" s="12"/>
      <c r="M507" s="12"/>
      <c r="N507" s="12"/>
      <c r="O507" s="12"/>
      <c r="P507" s="12"/>
      <c r="Q507" s="12"/>
      <c r="R507" s="12"/>
      <c r="S507" s="12"/>
      <c r="T507" s="12"/>
      <c r="U507" s="12"/>
      <c r="V507" s="12"/>
      <c r="W507" s="12"/>
      <c r="X507" s="12"/>
      <c r="Y507" s="12"/>
      <c r="Z507" s="12"/>
    </row>
    <row r="508" customFormat="false" ht="15.75" hidden="false" customHeight="true" outlineLevel="0" collapsed="false">
      <c r="A508" s="12"/>
      <c r="B508" s="12"/>
      <c r="C508" s="12"/>
      <c r="D508" s="12"/>
      <c r="E508" s="12"/>
      <c r="F508" s="12"/>
      <c r="G508" s="12"/>
      <c r="H508" s="12"/>
      <c r="I508" s="12"/>
      <c r="J508" s="12"/>
      <c r="K508" s="12"/>
      <c r="L508" s="12"/>
      <c r="M508" s="12"/>
      <c r="N508" s="12"/>
      <c r="O508" s="12"/>
      <c r="P508" s="12"/>
      <c r="Q508" s="12"/>
      <c r="R508" s="12"/>
      <c r="S508" s="12"/>
      <c r="T508" s="12"/>
      <c r="U508" s="12"/>
      <c r="V508" s="12"/>
      <c r="W508" s="12"/>
      <c r="X508" s="12"/>
      <c r="Y508" s="12"/>
      <c r="Z508" s="12"/>
    </row>
    <row r="509" customFormat="false" ht="15.75" hidden="false" customHeight="true" outlineLevel="0" collapsed="false">
      <c r="A509" s="12"/>
      <c r="B509" s="12"/>
      <c r="C509" s="12"/>
      <c r="D509" s="12"/>
      <c r="E509" s="12"/>
      <c r="F509" s="12"/>
      <c r="G509" s="12"/>
      <c r="H509" s="12"/>
      <c r="I509" s="12"/>
      <c r="J509" s="12"/>
      <c r="K509" s="12"/>
      <c r="L509" s="12"/>
      <c r="M509" s="12"/>
      <c r="N509" s="12"/>
      <c r="O509" s="12"/>
      <c r="P509" s="12"/>
      <c r="Q509" s="12"/>
      <c r="R509" s="12"/>
      <c r="S509" s="12"/>
      <c r="T509" s="12"/>
      <c r="U509" s="12"/>
      <c r="V509" s="12"/>
      <c r="W509" s="12"/>
      <c r="X509" s="12"/>
      <c r="Y509" s="12"/>
      <c r="Z509" s="12"/>
    </row>
    <row r="510" customFormat="false" ht="15.75" hidden="false" customHeight="true" outlineLevel="0" collapsed="false">
      <c r="A510" s="12"/>
      <c r="B510" s="12"/>
      <c r="C510" s="12"/>
      <c r="D510" s="12"/>
      <c r="E510" s="12"/>
      <c r="F510" s="12"/>
      <c r="G510" s="12"/>
      <c r="H510" s="12"/>
      <c r="I510" s="12"/>
      <c r="J510" s="12"/>
      <c r="K510" s="12"/>
      <c r="L510" s="12"/>
      <c r="M510" s="12"/>
      <c r="N510" s="12"/>
      <c r="O510" s="12"/>
      <c r="P510" s="12"/>
      <c r="Q510" s="12"/>
      <c r="R510" s="12"/>
      <c r="S510" s="12"/>
      <c r="T510" s="12"/>
      <c r="U510" s="12"/>
      <c r="V510" s="12"/>
      <c r="W510" s="12"/>
      <c r="X510" s="12"/>
      <c r="Y510" s="12"/>
      <c r="Z510" s="12"/>
    </row>
    <row r="511" customFormat="false" ht="15.75" hidden="false" customHeight="true" outlineLevel="0" collapsed="false">
      <c r="A511" s="12"/>
      <c r="B511" s="12"/>
      <c r="C511" s="12"/>
      <c r="D511" s="12"/>
      <c r="E511" s="12"/>
      <c r="F511" s="12"/>
      <c r="G511" s="12"/>
      <c r="H511" s="12"/>
      <c r="I511" s="12"/>
      <c r="J511" s="12"/>
      <c r="K511" s="12"/>
      <c r="L511" s="12"/>
      <c r="M511" s="12"/>
      <c r="N511" s="12"/>
      <c r="O511" s="12"/>
      <c r="P511" s="12"/>
      <c r="Q511" s="12"/>
      <c r="R511" s="12"/>
      <c r="S511" s="12"/>
      <c r="T511" s="12"/>
      <c r="U511" s="12"/>
      <c r="V511" s="12"/>
      <c r="W511" s="12"/>
      <c r="X511" s="12"/>
      <c r="Y511" s="12"/>
      <c r="Z511" s="12"/>
    </row>
    <row r="512" customFormat="false" ht="15.75" hidden="false" customHeight="true" outlineLevel="0" collapsed="false">
      <c r="A512" s="12"/>
      <c r="B512" s="12"/>
      <c r="C512" s="12"/>
      <c r="D512" s="12"/>
      <c r="E512" s="12"/>
      <c r="F512" s="12"/>
      <c r="G512" s="12"/>
      <c r="H512" s="12"/>
      <c r="I512" s="12"/>
      <c r="J512" s="12"/>
      <c r="K512" s="12"/>
      <c r="L512" s="12"/>
      <c r="M512" s="12"/>
      <c r="N512" s="12"/>
      <c r="O512" s="12"/>
      <c r="P512" s="12"/>
      <c r="Q512" s="12"/>
      <c r="R512" s="12"/>
      <c r="S512" s="12"/>
      <c r="T512" s="12"/>
      <c r="U512" s="12"/>
      <c r="V512" s="12"/>
      <c r="W512" s="12"/>
      <c r="X512" s="12"/>
      <c r="Y512" s="12"/>
      <c r="Z512" s="12"/>
    </row>
    <row r="513" customFormat="false" ht="15.75" hidden="false" customHeight="true" outlineLevel="0" collapsed="false">
      <c r="A513" s="12"/>
      <c r="B513" s="12"/>
      <c r="C513" s="12"/>
      <c r="D513" s="12"/>
      <c r="E513" s="12"/>
      <c r="F513" s="12"/>
      <c r="G513" s="12"/>
      <c r="H513" s="12"/>
      <c r="I513" s="12"/>
      <c r="J513" s="12"/>
      <c r="K513" s="12"/>
      <c r="L513" s="12"/>
      <c r="M513" s="12"/>
      <c r="N513" s="12"/>
      <c r="O513" s="12"/>
      <c r="P513" s="12"/>
      <c r="Q513" s="12"/>
      <c r="R513" s="12"/>
      <c r="S513" s="12"/>
      <c r="T513" s="12"/>
      <c r="U513" s="12"/>
      <c r="V513" s="12"/>
      <c r="W513" s="12"/>
      <c r="X513" s="12"/>
      <c r="Y513" s="12"/>
      <c r="Z513" s="12"/>
    </row>
    <row r="514" customFormat="false" ht="15.75" hidden="false" customHeight="true" outlineLevel="0" collapsed="false">
      <c r="A514" s="12"/>
      <c r="B514" s="12"/>
      <c r="C514" s="12"/>
      <c r="D514" s="12"/>
      <c r="E514" s="12"/>
      <c r="F514" s="12"/>
      <c r="G514" s="12"/>
      <c r="H514" s="12"/>
      <c r="I514" s="12"/>
      <c r="J514" s="12"/>
      <c r="K514" s="12"/>
      <c r="L514" s="12"/>
      <c r="M514" s="12"/>
      <c r="N514" s="12"/>
      <c r="O514" s="12"/>
      <c r="P514" s="12"/>
      <c r="Q514" s="12"/>
      <c r="R514" s="12"/>
      <c r="S514" s="12"/>
      <c r="T514" s="12"/>
      <c r="U514" s="12"/>
      <c r="V514" s="12"/>
      <c r="W514" s="12"/>
      <c r="X514" s="12"/>
      <c r="Y514" s="12"/>
      <c r="Z514" s="12"/>
    </row>
    <row r="515" customFormat="false" ht="15.75" hidden="false" customHeight="true" outlineLevel="0" collapsed="false">
      <c r="A515" s="12"/>
      <c r="B515" s="12"/>
      <c r="C515" s="12"/>
      <c r="D515" s="12"/>
      <c r="E515" s="12"/>
      <c r="F515" s="12"/>
      <c r="G515" s="12"/>
      <c r="H515" s="12"/>
      <c r="I515" s="12"/>
      <c r="J515" s="12"/>
      <c r="K515" s="12"/>
      <c r="L515" s="12"/>
      <c r="M515" s="12"/>
      <c r="N515" s="12"/>
      <c r="O515" s="12"/>
      <c r="P515" s="12"/>
      <c r="Q515" s="12"/>
      <c r="R515" s="12"/>
      <c r="S515" s="12"/>
      <c r="T515" s="12"/>
      <c r="U515" s="12"/>
      <c r="V515" s="12"/>
      <c r="W515" s="12"/>
      <c r="X515" s="12"/>
      <c r="Y515" s="12"/>
      <c r="Z515" s="12"/>
    </row>
    <row r="516" customFormat="false" ht="15.75" hidden="false" customHeight="true" outlineLevel="0" collapsed="false">
      <c r="A516" s="12"/>
      <c r="B516" s="12"/>
      <c r="C516" s="12"/>
      <c r="D516" s="12"/>
      <c r="E516" s="12"/>
      <c r="F516" s="12"/>
      <c r="G516" s="12"/>
      <c r="H516" s="12"/>
      <c r="I516" s="12"/>
      <c r="J516" s="12"/>
      <c r="K516" s="12"/>
      <c r="L516" s="12"/>
      <c r="M516" s="12"/>
      <c r="N516" s="12"/>
      <c r="O516" s="12"/>
      <c r="P516" s="12"/>
      <c r="Q516" s="12"/>
      <c r="R516" s="12"/>
      <c r="S516" s="12"/>
      <c r="T516" s="12"/>
      <c r="U516" s="12"/>
      <c r="V516" s="12"/>
      <c r="W516" s="12"/>
      <c r="X516" s="12"/>
      <c r="Y516" s="12"/>
      <c r="Z516" s="12"/>
    </row>
    <row r="517" customFormat="false" ht="15.75" hidden="false" customHeight="true" outlineLevel="0" collapsed="false">
      <c r="A517" s="12"/>
      <c r="B517" s="12"/>
      <c r="C517" s="12"/>
      <c r="D517" s="12"/>
      <c r="E517" s="12"/>
      <c r="F517" s="12"/>
      <c r="G517" s="12"/>
      <c r="H517" s="12"/>
      <c r="I517" s="12"/>
      <c r="J517" s="12"/>
      <c r="K517" s="12"/>
      <c r="L517" s="12"/>
      <c r="M517" s="12"/>
      <c r="N517" s="12"/>
      <c r="O517" s="12"/>
      <c r="P517" s="12"/>
      <c r="Q517" s="12"/>
      <c r="R517" s="12"/>
      <c r="S517" s="12"/>
      <c r="T517" s="12"/>
      <c r="U517" s="12"/>
      <c r="V517" s="12"/>
      <c r="W517" s="12"/>
      <c r="X517" s="12"/>
      <c r="Y517" s="12"/>
      <c r="Z517" s="12"/>
    </row>
    <row r="518" customFormat="false" ht="15.75" hidden="false" customHeight="true" outlineLevel="0" collapsed="false">
      <c r="A518" s="12"/>
      <c r="B518" s="12"/>
      <c r="C518" s="12"/>
      <c r="D518" s="12"/>
      <c r="E518" s="12"/>
      <c r="F518" s="12"/>
      <c r="G518" s="12"/>
      <c r="H518" s="12"/>
      <c r="I518" s="12"/>
      <c r="J518" s="12"/>
      <c r="K518" s="12"/>
      <c r="L518" s="12"/>
      <c r="M518" s="12"/>
      <c r="N518" s="12"/>
      <c r="O518" s="12"/>
      <c r="P518" s="12"/>
      <c r="Q518" s="12"/>
      <c r="R518" s="12"/>
      <c r="S518" s="12"/>
      <c r="T518" s="12"/>
      <c r="U518" s="12"/>
      <c r="V518" s="12"/>
      <c r="W518" s="12"/>
      <c r="X518" s="12"/>
      <c r="Y518" s="12"/>
      <c r="Z518" s="12"/>
    </row>
    <row r="519" customFormat="false" ht="15.75" hidden="false" customHeight="true" outlineLevel="0" collapsed="false">
      <c r="A519" s="12"/>
      <c r="B519" s="12"/>
      <c r="C519" s="12"/>
      <c r="D519" s="12"/>
      <c r="E519" s="12"/>
      <c r="F519" s="12"/>
      <c r="G519" s="12"/>
      <c r="H519" s="12"/>
      <c r="I519" s="12"/>
      <c r="J519" s="12"/>
      <c r="K519" s="12"/>
      <c r="L519" s="12"/>
      <c r="M519" s="12"/>
      <c r="N519" s="12"/>
      <c r="O519" s="12"/>
      <c r="P519" s="12"/>
      <c r="Q519" s="12"/>
      <c r="R519" s="12"/>
      <c r="S519" s="12"/>
      <c r="T519" s="12"/>
      <c r="U519" s="12"/>
      <c r="V519" s="12"/>
      <c r="W519" s="12"/>
      <c r="X519" s="12"/>
      <c r="Y519" s="12"/>
      <c r="Z519" s="12"/>
    </row>
    <row r="520" customFormat="false" ht="15.75" hidden="false" customHeight="true" outlineLevel="0" collapsed="false">
      <c r="A520" s="12"/>
      <c r="B520" s="12"/>
      <c r="C520" s="12"/>
      <c r="D520" s="12"/>
      <c r="E520" s="12"/>
      <c r="F520" s="12"/>
      <c r="G520" s="12"/>
      <c r="H520" s="12"/>
      <c r="I520" s="12"/>
      <c r="J520" s="12"/>
      <c r="K520" s="12"/>
      <c r="L520" s="12"/>
      <c r="M520" s="12"/>
      <c r="N520" s="12"/>
      <c r="O520" s="12"/>
      <c r="P520" s="12"/>
      <c r="Q520" s="12"/>
      <c r="R520" s="12"/>
      <c r="S520" s="12"/>
      <c r="T520" s="12"/>
      <c r="U520" s="12"/>
      <c r="V520" s="12"/>
      <c r="W520" s="12"/>
      <c r="X520" s="12"/>
      <c r="Y520" s="12"/>
      <c r="Z520" s="12"/>
    </row>
    <row r="521" customFormat="false" ht="15.75" hidden="false" customHeight="true" outlineLevel="0" collapsed="false">
      <c r="A521" s="12"/>
      <c r="B521" s="12"/>
      <c r="C521" s="12"/>
      <c r="D521" s="12"/>
      <c r="E521" s="12"/>
      <c r="F521" s="12"/>
      <c r="G521" s="12"/>
      <c r="H521" s="12"/>
      <c r="I521" s="12"/>
      <c r="J521" s="12"/>
      <c r="K521" s="12"/>
      <c r="L521" s="12"/>
      <c r="M521" s="12"/>
      <c r="N521" s="12"/>
      <c r="O521" s="12"/>
      <c r="P521" s="12"/>
      <c r="Q521" s="12"/>
      <c r="R521" s="12"/>
      <c r="S521" s="12"/>
      <c r="T521" s="12"/>
      <c r="U521" s="12"/>
      <c r="V521" s="12"/>
      <c r="W521" s="12"/>
      <c r="X521" s="12"/>
      <c r="Y521" s="12"/>
      <c r="Z521" s="12"/>
    </row>
    <row r="522" customFormat="false" ht="15.75" hidden="false" customHeight="true" outlineLevel="0" collapsed="false">
      <c r="A522" s="12"/>
      <c r="B522" s="12"/>
      <c r="C522" s="12"/>
      <c r="D522" s="12"/>
      <c r="E522" s="12"/>
      <c r="F522" s="12"/>
      <c r="G522" s="12"/>
      <c r="H522" s="12"/>
      <c r="I522" s="12"/>
      <c r="J522" s="12"/>
      <c r="K522" s="12"/>
      <c r="L522" s="12"/>
      <c r="M522" s="12"/>
      <c r="N522" s="12"/>
      <c r="O522" s="12"/>
      <c r="P522" s="12"/>
      <c r="Q522" s="12"/>
      <c r="R522" s="12"/>
      <c r="S522" s="12"/>
      <c r="T522" s="12"/>
      <c r="U522" s="12"/>
      <c r="V522" s="12"/>
      <c r="W522" s="12"/>
      <c r="X522" s="12"/>
      <c r="Y522" s="12"/>
      <c r="Z522" s="12"/>
    </row>
    <row r="523" customFormat="false" ht="15.75" hidden="false" customHeight="true" outlineLevel="0" collapsed="false">
      <c r="A523" s="12"/>
      <c r="B523" s="12"/>
      <c r="C523" s="12"/>
      <c r="D523" s="12"/>
      <c r="E523" s="12"/>
      <c r="F523" s="12"/>
      <c r="G523" s="12"/>
      <c r="H523" s="12"/>
      <c r="I523" s="12"/>
      <c r="J523" s="12"/>
      <c r="K523" s="12"/>
      <c r="L523" s="12"/>
      <c r="M523" s="12"/>
      <c r="N523" s="12"/>
      <c r="O523" s="12"/>
      <c r="P523" s="12"/>
      <c r="Q523" s="12"/>
      <c r="R523" s="12"/>
      <c r="S523" s="12"/>
      <c r="T523" s="12"/>
      <c r="U523" s="12"/>
      <c r="V523" s="12"/>
      <c r="W523" s="12"/>
      <c r="X523" s="12"/>
      <c r="Y523" s="12"/>
      <c r="Z523" s="12"/>
    </row>
    <row r="524" customFormat="false" ht="15.75" hidden="false" customHeight="true" outlineLevel="0" collapsed="false">
      <c r="A524" s="12"/>
      <c r="B524" s="12"/>
      <c r="C524" s="12"/>
      <c r="D524" s="12"/>
      <c r="E524" s="12"/>
      <c r="F524" s="12"/>
      <c r="G524" s="12"/>
      <c r="H524" s="12"/>
      <c r="I524" s="12"/>
      <c r="J524" s="12"/>
      <c r="K524" s="12"/>
      <c r="L524" s="12"/>
      <c r="M524" s="12"/>
      <c r="N524" s="12"/>
      <c r="O524" s="12"/>
      <c r="P524" s="12"/>
      <c r="Q524" s="12"/>
      <c r="R524" s="12"/>
      <c r="S524" s="12"/>
      <c r="T524" s="12"/>
      <c r="U524" s="12"/>
      <c r="V524" s="12"/>
      <c r="W524" s="12"/>
      <c r="X524" s="12"/>
      <c r="Y524" s="12"/>
      <c r="Z524" s="12"/>
    </row>
    <row r="525" customFormat="false" ht="15.75" hidden="false" customHeight="true" outlineLevel="0" collapsed="false">
      <c r="A525" s="12"/>
      <c r="B525" s="12"/>
      <c r="C525" s="12"/>
      <c r="D525" s="12"/>
      <c r="E525" s="12"/>
      <c r="F525" s="12"/>
      <c r="G525" s="12"/>
      <c r="H525" s="12"/>
      <c r="I525" s="12"/>
      <c r="J525" s="12"/>
      <c r="K525" s="12"/>
      <c r="L525" s="12"/>
      <c r="M525" s="12"/>
      <c r="N525" s="12"/>
      <c r="O525" s="12"/>
      <c r="P525" s="12"/>
      <c r="Q525" s="12"/>
      <c r="R525" s="12"/>
      <c r="S525" s="12"/>
      <c r="T525" s="12"/>
      <c r="U525" s="12"/>
      <c r="V525" s="12"/>
      <c r="W525" s="12"/>
      <c r="X525" s="12"/>
      <c r="Y525" s="12"/>
      <c r="Z525" s="12"/>
    </row>
    <row r="526" customFormat="false" ht="15.75" hidden="false" customHeight="true" outlineLevel="0" collapsed="false">
      <c r="A526" s="12"/>
      <c r="B526" s="12"/>
      <c r="C526" s="12"/>
      <c r="D526" s="12"/>
      <c r="E526" s="12"/>
      <c r="F526" s="12"/>
      <c r="G526" s="12"/>
      <c r="H526" s="12"/>
      <c r="I526" s="12"/>
      <c r="J526" s="12"/>
      <c r="K526" s="12"/>
      <c r="L526" s="12"/>
      <c r="M526" s="12"/>
      <c r="N526" s="12"/>
      <c r="O526" s="12"/>
      <c r="P526" s="12"/>
      <c r="Q526" s="12"/>
      <c r="R526" s="12"/>
      <c r="S526" s="12"/>
      <c r="T526" s="12"/>
      <c r="U526" s="12"/>
      <c r="V526" s="12"/>
      <c r="W526" s="12"/>
      <c r="X526" s="12"/>
      <c r="Y526" s="12"/>
      <c r="Z526" s="12"/>
    </row>
    <row r="527" customFormat="false" ht="15.75" hidden="false" customHeight="true" outlineLevel="0" collapsed="false">
      <c r="A527" s="12"/>
      <c r="B527" s="12"/>
      <c r="C527" s="12"/>
      <c r="D527" s="12"/>
      <c r="E527" s="12"/>
      <c r="F527" s="12"/>
      <c r="G527" s="12"/>
      <c r="H527" s="12"/>
      <c r="I527" s="12"/>
      <c r="J527" s="12"/>
      <c r="K527" s="12"/>
      <c r="L527" s="12"/>
      <c r="M527" s="12"/>
      <c r="N527" s="12"/>
      <c r="O527" s="12"/>
      <c r="P527" s="12"/>
      <c r="Q527" s="12"/>
      <c r="R527" s="12"/>
      <c r="S527" s="12"/>
      <c r="T527" s="12"/>
      <c r="U527" s="12"/>
      <c r="V527" s="12"/>
      <c r="W527" s="12"/>
      <c r="X527" s="12"/>
      <c r="Y527" s="12"/>
      <c r="Z527" s="12"/>
    </row>
    <row r="528" customFormat="false" ht="15.75" hidden="false" customHeight="true" outlineLevel="0" collapsed="false">
      <c r="A528" s="12"/>
      <c r="B528" s="12"/>
      <c r="C528" s="12"/>
      <c r="D528" s="12"/>
      <c r="E528" s="12"/>
      <c r="F528" s="12"/>
      <c r="G528" s="12"/>
      <c r="H528" s="12"/>
      <c r="I528" s="12"/>
      <c r="J528" s="12"/>
      <c r="K528" s="12"/>
      <c r="L528" s="12"/>
      <c r="M528" s="12"/>
      <c r="N528" s="12"/>
      <c r="O528" s="12"/>
      <c r="P528" s="12"/>
      <c r="Q528" s="12"/>
      <c r="R528" s="12"/>
      <c r="S528" s="12"/>
      <c r="T528" s="12"/>
      <c r="U528" s="12"/>
      <c r="V528" s="12"/>
      <c r="W528" s="12"/>
      <c r="X528" s="12"/>
      <c r="Y528" s="12"/>
      <c r="Z528" s="12"/>
    </row>
    <row r="529" customFormat="false" ht="15.75" hidden="false" customHeight="true" outlineLevel="0" collapsed="false">
      <c r="A529" s="12"/>
      <c r="B529" s="12"/>
      <c r="C529" s="12"/>
      <c r="D529" s="12"/>
      <c r="E529" s="12"/>
      <c r="F529" s="12"/>
      <c r="G529" s="12"/>
      <c r="H529" s="12"/>
      <c r="I529" s="12"/>
      <c r="J529" s="12"/>
      <c r="K529" s="12"/>
      <c r="L529" s="12"/>
      <c r="M529" s="12"/>
      <c r="N529" s="12"/>
      <c r="O529" s="12"/>
      <c r="P529" s="12"/>
      <c r="Q529" s="12"/>
      <c r="R529" s="12"/>
      <c r="S529" s="12"/>
      <c r="T529" s="12"/>
      <c r="U529" s="12"/>
      <c r="V529" s="12"/>
      <c r="W529" s="12"/>
      <c r="X529" s="12"/>
      <c r="Y529" s="12"/>
      <c r="Z529" s="12"/>
    </row>
    <row r="530" customFormat="false" ht="15.75" hidden="false" customHeight="true" outlineLevel="0" collapsed="false">
      <c r="A530" s="12"/>
      <c r="B530" s="12"/>
      <c r="C530" s="12"/>
      <c r="D530" s="12"/>
      <c r="E530" s="12"/>
      <c r="F530" s="12"/>
      <c r="G530" s="12"/>
      <c r="H530" s="12"/>
      <c r="I530" s="12"/>
      <c r="J530" s="12"/>
      <c r="K530" s="12"/>
      <c r="L530" s="12"/>
      <c r="M530" s="12"/>
      <c r="N530" s="12"/>
      <c r="O530" s="12"/>
      <c r="P530" s="12"/>
      <c r="Q530" s="12"/>
      <c r="R530" s="12"/>
      <c r="S530" s="12"/>
      <c r="T530" s="12"/>
      <c r="U530" s="12"/>
      <c r="V530" s="12"/>
      <c r="W530" s="12"/>
      <c r="X530" s="12"/>
      <c r="Y530" s="12"/>
      <c r="Z530" s="12"/>
    </row>
    <row r="531" customFormat="false" ht="15.75" hidden="false" customHeight="true" outlineLevel="0" collapsed="false">
      <c r="A531" s="12"/>
      <c r="B531" s="12"/>
      <c r="C531" s="12"/>
      <c r="D531" s="12"/>
      <c r="E531" s="12"/>
      <c r="F531" s="12"/>
      <c r="G531" s="12"/>
      <c r="H531" s="12"/>
      <c r="I531" s="12"/>
      <c r="J531" s="12"/>
      <c r="K531" s="12"/>
      <c r="L531" s="12"/>
      <c r="M531" s="12"/>
      <c r="N531" s="12"/>
      <c r="O531" s="12"/>
      <c r="P531" s="12"/>
      <c r="Q531" s="12"/>
      <c r="R531" s="12"/>
      <c r="S531" s="12"/>
      <c r="T531" s="12"/>
      <c r="U531" s="12"/>
      <c r="V531" s="12"/>
      <c r="W531" s="12"/>
      <c r="X531" s="12"/>
      <c r="Y531" s="12"/>
      <c r="Z531" s="12"/>
    </row>
    <row r="532" customFormat="false" ht="15.75" hidden="false" customHeight="true" outlineLevel="0" collapsed="false">
      <c r="A532" s="12"/>
      <c r="B532" s="12"/>
      <c r="C532" s="12"/>
      <c r="D532" s="12"/>
      <c r="E532" s="12"/>
      <c r="F532" s="12"/>
      <c r="G532" s="12"/>
      <c r="H532" s="12"/>
      <c r="I532" s="12"/>
      <c r="J532" s="12"/>
      <c r="K532" s="12"/>
      <c r="L532" s="12"/>
      <c r="M532" s="12"/>
      <c r="N532" s="12"/>
      <c r="O532" s="12"/>
      <c r="P532" s="12"/>
      <c r="Q532" s="12"/>
      <c r="R532" s="12"/>
      <c r="S532" s="12"/>
      <c r="T532" s="12"/>
      <c r="U532" s="12"/>
      <c r="V532" s="12"/>
      <c r="W532" s="12"/>
      <c r="X532" s="12"/>
      <c r="Y532" s="12"/>
      <c r="Z532" s="12"/>
    </row>
    <row r="533" customFormat="false" ht="15.75" hidden="false" customHeight="true" outlineLevel="0" collapsed="false">
      <c r="A533" s="12"/>
      <c r="B533" s="12"/>
      <c r="C533" s="12"/>
      <c r="D533" s="12"/>
      <c r="E533" s="12"/>
      <c r="F533" s="12"/>
      <c r="G533" s="12"/>
      <c r="H533" s="12"/>
      <c r="I533" s="12"/>
      <c r="J533" s="12"/>
      <c r="K533" s="12"/>
      <c r="L533" s="12"/>
      <c r="M533" s="12"/>
      <c r="N533" s="12"/>
      <c r="O533" s="12"/>
      <c r="P533" s="12"/>
      <c r="Q533" s="12"/>
      <c r="R533" s="12"/>
      <c r="S533" s="12"/>
      <c r="T533" s="12"/>
      <c r="U533" s="12"/>
      <c r="V533" s="12"/>
      <c r="W533" s="12"/>
      <c r="X533" s="12"/>
      <c r="Y533" s="12"/>
      <c r="Z533" s="12"/>
    </row>
    <row r="534" customFormat="false" ht="15.75" hidden="false" customHeight="true" outlineLevel="0" collapsed="false">
      <c r="A534" s="12"/>
      <c r="B534" s="12"/>
      <c r="C534" s="12"/>
      <c r="D534" s="12"/>
      <c r="E534" s="12"/>
      <c r="F534" s="12"/>
      <c r="G534" s="12"/>
      <c r="H534" s="12"/>
      <c r="I534" s="12"/>
      <c r="J534" s="12"/>
      <c r="K534" s="12"/>
      <c r="L534" s="12"/>
      <c r="M534" s="12"/>
      <c r="N534" s="12"/>
      <c r="O534" s="12"/>
      <c r="P534" s="12"/>
      <c r="Q534" s="12"/>
      <c r="R534" s="12"/>
      <c r="S534" s="12"/>
      <c r="T534" s="12"/>
      <c r="U534" s="12"/>
      <c r="V534" s="12"/>
      <c r="W534" s="12"/>
      <c r="X534" s="12"/>
      <c r="Y534" s="12"/>
      <c r="Z534" s="12"/>
    </row>
    <row r="535" customFormat="false" ht="15.75" hidden="false" customHeight="true" outlineLevel="0" collapsed="false">
      <c r="A535" s="12"/>
      <c r="B535" s="12"/>
      <c r="C535" s="12"/>
      <c r="D535" s="12"/>
      <c r="E535" s="12"/>
      <c r="F535" s="12"/>
      <c r="G535" s="12"/>
      <c r="H535" s="12"/>
      <c r="I535" s="12"/>
      <c r="J535" s="12"/>
      <c r="K535" s="12"/>
      <c r="L535" s="12"/>
      <c r="M535" s="12"/>
      <c r="N535" s="12"/>
      <c r="O535" s="12"/>
      <c r="P535" s="12"/>
      <c r="Q535" s="12"/>
      <c r="R535" s="12"/>
      <c r="S535" s="12"/>
      <c r="T535" s="12"/>
      <c r="U535" s="12"/>
      <c r="V535" s="12"/>
      <c r="W535" s="12"/>
      <c r="X535" s="12"/>
      <c r="Y535" s="12"/>
      <c r="Z535" s="12"/>
    </row>
    <row r="536" customFormat="false" ht="15.75" hidden="false" customHeight="true" outlineLevel="0" collapsed="false">
      <c r="A536" s="12"/>
      <c r="B536" s="12"/>
      <c r="C536" s="12"/>
      <c r="D536" s="12"/>
      <c r="E536" s="12"/>
      <c r="F536" s="12"/>
      <c r="G536" s="12"/>
      <c r="H536" s="12"/>
      <c r="I536" s="12"/>
      <c r="J536" s="12"/>
      <c r="K536" s="12"/>
      <c r="L536" s="12"/>
      <c r="M536" s="12"/>
      <c r="N536" s="12"/>
      <c r="O536" s="12"/>
      <c r="P536" s="12"/>
      <c r="Q536" s="12"/>
      <c r="R536" s="12"/>
      <c r="S536" s="12"/>
      <c r="T536" s="12"/>
      <c r="U536" s="12"/>
      <c r="V536" s="12"/>
      <c r="W536" s="12"/>
      <c r="X536" s="12"/>
      <c r="Y536" s="12"/>
      <c r="Z536" s="12"/>
    </row>
    <row r="537" customFormat="false" ht="15.75" hidden="false" customHeight="true" outlineLevel="0" collapsed="false">
      <c r="A537" s="12"/>
      <c r="B537" s="12"/>
      <c r="C537" s="12"/>
      <c r="D537" s="12"/>
      <c r="E537" s="12"/>
      <c r="F537" s="12"/>
      <c r="G537" s="12"/>
      <c r="H537" s="12"/>
      <c r="I537" s="12"/>
      <c r="J537" s="12"/>
      <c r="K537" s="12"/>
      <c r="L537" s="12"/>
      <c r="M537" s="12"/>
      <c r="N537" s="12"/>
      <c r="O537" s="12"/>
      <c r="P537" s="12"/>
      <c r="Q537" s="12"/>
      <c r="R537" s="12"/>
      <c r="S537" s="12"/>
      <c r="T537" s="12"/>
      <c r="U537" s="12"/>
      <c r="V537" s="12"/>
      <c r="W537" s="12"/>
      <c r="X537" s="12"/>
      <c r="Y537" s="12"/>
      <c r="Z537" s="12"/>
    </row>
    <row r="538" customFormat="false" ht="15.75" hidden="false" customHeight="true" outlineLevel="0" collapsed="false">
      <c r="A538" s="12"/>
      <c r="B538" s="12"/>
      <c r="C538" s="12"/>
      <c r="D538" s="12"/>
      <c r="E538" s="12"/>
      <c r="F538" s="12"/>
      <c r="G538" s="12"/>
      <c r="H538" s="12"/>
      <c r="I538" s="12"/>
      <c r="J538" s="12"/>
      <c r="K538" s="12"/>
      <c r="L538" s="12"/>
      <c r="M538" s="12"/>
      <c r="N538" s="12"/>
      <c r="O538" s="12"/>
      <c r="P538" s="12"/>
      <c r="Q538" s="12"/>
      <c r="R538" s="12"/>
      <c r="S538" s="12"/>
      <c r="T538" s="12"/>
      <c r="U538" s="12"/>
      <c r="V538" s="12"/>
      <c r="W538" s="12"/>
      <c r="X538" s="12"/>
      <c r="Y538" s="12"/>
      <c r="Z538" s="12"/>
    </row>
    <row r="539" customFormat="false" ht="15.75" hidden="false" customHeight="true" outlineLevel="0" collapsed="false">
      <c r="A539" s="12"/>
      <c r="B539" s="12"/>
      <c r="C539" s="12"/>
      <c r="D539" s="12"/>
      <c r="E539" s="12"/>
      <c r="F539" s="12"/>
      <c r="G539" s="12"/>
      <c r="H539" s="12"/>
      <c r="I539" s="12"/>
      <c r="J539" s="12"/>
      <c r="K539" s="12"/>
      <c r="L539" s="12"/>
      <c r="M539" s="12"/>
      <c r="N539" s="12"/>
      <c r="O539" s="12"/>
      <c r="P539" s="12"/>
      <c r="Q539" s="12"/>
      <c r="R539" s="12"/>
      <c r="S539" s="12"/>
      <c r="T539" s="12"/>
      <c r="U539" s="12"/>
      <c r="V539" s="12"/>
      <c r="W539" s="12"/>
      <c r="X539" s="12"/>
      <c r="Y539" s="12"/>
      <c r="Z539" s="12"/>
    </row>
    <row r="540" customFormat="false" ht="15.75" hidden="false" customHeight="true" outlineLevel="0" collapsed="false">
      <c r="A540" s="12"/>
      <c r="B540" s="12"/>
      <c r="C540" s="12"/>
      <c r="D540" s="12"/>
      <c r="E540" s="12"/>
      <c r="F540" s="12"/>
      <c r="G540" s="12"/>
      <c r="H540" s="12"/>
      <c r="I540" s="12"/>
      <c r="J540" s="12"/>
      <c r="K540" s="12"/>
      <c r="L540" s="12"/>
      <c r="M540" s="12"/>
      <c r="N540" s="12"/>
      <c r="O540" s="12"/>
      <c r="P540" s="12"/>
      <c r="Q540" s="12"/>
      <c r="R540" s="12"/>
      <c r="S540" s="12"/>
      <c r="T540" s="12"/>
      <c r="U540" s="12"/>
      <c r="V540" s="12"/>
      <c r="W540" s="12"/>
      <c r="X540" s="12"/>
      <c r="Y540" s="12"/>
      <c r="Z540" s="12"/>
    </row>
    <row r="541" customFormat="false" ht="15.75" hidden="false" customHeight="true" outlineLevel="0" collapsed="false">
      <c r="A541" s="12"/>
      <c r="B541" s="12"/>
      <c r="C541" s="12"/>
      <c r="D541" s="12"/>
      <c r="E541" s="12"/>
      <c r="F541" s="12"/>
      <c r="G541" s="12"/>
      <c r="H541" s="12"/>
      <c r="I541" s="12"/>
      <c r="J541" s="12"/>
      <c r="K541" s="12"/>
      <c r="L541" s="12"/>
      <c r="M541" s="12"/>
      <c r="N541" s="12"/>
      <c r="O541" s="12"/>
      <c r="P541" s="12"/>
      <c r="Q541" s="12"/>
      <c r="R541" s="12"/>
      <c r="S541" s="12"/>
      <c r="T541" s="12"/>
      <c r="U541" s="12"/>
      <c r="V541" s="12"/>
      <c r="W541" s="12"/>
      <c r="X541" s="12"/>
      <c r="Y541" s="12"/>
      <c r="Z541" s="12"/>
    </row>
    <row r="542" customFormat="false" ht="15.75" hidden="false" customHeight="true" outlineLevel="0" collapsed="false">
      <c r="A542" s="12"/>
      <c r="B542" s="12"/>
      <c r="C542" s="12"/>
      <c r="D542" s="12"/>
      <c r="E542" s="12"/>
      <c r="F542" s="12"/>
      <c r="G542" s="12"/>
      <c r="H542" s="12"/>
      <c r="I542" s="12"/>
      <c r="J542" s="12"/>
      <c r="K542" s="12"/>
      <c r="L542" s="12"/>
      <c r="M542" s="12"/>
      <c r="N542" s="12"/>
      <c r="O542" s="12"/>
      <c r="P542" s="12"/>
      <c r="Q542" s="12"/>
      <c r="R542" s="12"/>
      <c r="S542" s="12"/>
      <c r="T542" s="12"/>
      <c r="U542" s="12"/>
      <c r="V542" s="12"/>
      <c r="W542" s="12"/>
      <c r="X542" s="12"/>
      <c r="Y542" s="12"/>
      <c r="Z542" s="12"/>
    </row>
    <row r="543" customFormat="false" ht="15.75" hidden="false" customHeight="true" outlineLevel="0" collapsed="false">
      <c r="A543" s="12"/>
      <c r="B543" s="12"/>
      <c r="C543" s="12"/>
      <c r="D543" s="12"/>
      <c r="E543" s="12"/>
      <c r="F543" s="12"/>
      <c r="G543" s="12"/>
      <c r="H543" s="12"/>
      <c r="I543" s="12"/>
      <c r="J543" s="12"/>
      <c r="K543" s="12"/>
      <c r="L543" s="12"/>
      <c r="M543" s="12"/>
      <c r="N543" s="12"/>
      <c r="O543" s="12"/>
      <c r="P543" s="12"/>
      <c r="Q543" s="12"/>
      <c r="R543" s="12"/>
      <c r="S543" s="12"/>
      <c r="T543" s="12"/>
      <c r="U543" s="12"/>
      <c r="V543" s="12"/>
      <c r="W543" s="12"/>
      <c r="X543" s="12"/>
      <c r="Y543" s="12"/>
      <c r="Z543" s="12"/>
    </row>
    <row r="544" customFormat="false" ht="15.75" hidden="false" customHeight="true" outlineLevel="0" collapsed="false">
      <c r="A544" s="12"/>
      <c r="B544" s="12"/>
      <c r="C544" s="12"/>
      <c r="D544" s="12"/>
      <c r="E544" s="12"/>
      <c r="F544" s="12"/>
      <c r="G544" s="12"/>
      <c r="H544" s="12"/>
      <c r="I544" s="12"/>
      <c r="J544" s="12"/>
      <c r="K544" s="12"/>
      <c r="L544" s="12"/>
      <c r="M544" s="12"/>
      <c r="N544" s="12"/>
      <c r="O544" s="12"/>
      <c r="P544" s="12"/>
      <c r="Q544" s="12"/>
      <c r="R544" s="12"/>
      <c r="S544" s="12"/>
      <c r="T544" s="12"/>
      <c r="U544" s="12"/>
      <c r="V544" s="12"/>
      <c r="W544" s="12"/>
      <c r="X544" s="12"/>
      <c r="Y544" s="12"/>
      <c r="Z544" s="12"/>
    </row>
    <row r="545" customFormat="false" ht="15.75" hidden="false" customHeight="true" outlineLevel="0" collapsed="false">
      <c r="A545" s="12"/>
      <c r="B545" s="12"/>
      <c r="C545" s="12"/>
      <c r="D545" s="12"/>
      <c r="E545" s="12"/>
      <c r="F545" s="12"/>
      <c r="G545" s="12"/>
      <c r="H545" s="12"/>
      <c r="I545" s="12"/>
      <c r="J545" s="12"/>
      <c r="K545" s="12"/>
      <c r="L545" s="12"/>
      <c r="M545" s="12"/>
      <c r="N545" s="12"/>
      <c r="O545" s="12"/>
      <c r="P545" s="12"/>
      <c r="Q545" s="12"/>
      <c r="R545" s="12"/>
      <c r="S545" s="12"/>
      <c r="T545" s="12"/>
      <c r="U545" s="12"/>
      <c r="V545" s="12"/>
      <c r="W545" s="12"/>
      <c r="X545" s="12"/>
      <c r="Y545" s="12"/>
      <c r="Z545" s="12"/>
    </row>
    <row r="546" customFormat="false" ht="15.75" hidden="false" customHeight="true" outlineLevel="0" collapsed="false">
      <c r="A546" s="12"/>
      <c r="B546" s="12"/>
      <c r="C546" s="12"/>
      <c r="D546" s="12"/>
      <c r="E546" s="12"/>
      <c r="F546" s="12"/>
      <c r="G546" s="12"/>
      <c r="H546" s="12"/>
      <c r="I546" s="12"/>
      <c r="J546" s="12"/>
      <c r="K546" s="12"/>
      <c r="L546" s="12"/>
      <c r="M546" s="12"/>
      <c r="N546" s="12"/>
      <c r="O546" s="12"/>
      <c r="P546" s="12"/>
      <c r="Q546" s="12"/>
      <c r="R546" s="12"/>
      <c r="S546" s="12"/>
      <c r="T546" s="12"/>
      <c r="U546" s="12"/>
      <c r="V546" s="12"/>
      <c r="W546" s="12"/>
      <c r="X546" s="12"/>
      <c r="Y546" s="12"/>
      <c r="Z546" s="12"/>
    </row>
    <row r="547" customFormat="false" ht="15.75" hidden="false" customHeight="true" outlineLevel="0" collapsed="false">
      <c r="A547" s="12"/>
      <c r="B547" s="12"/>
      <c r="C547" s="12"/>
      <c r="D547" s="12"/>
      <c r="E547" s="12"/>
      <c r="F547" s="12"/>
      <c r="G547" s="12"/>
      <c r="H547" s="12"/>
      <c r="I547" s="12"/>
      <c r="J547" s="12"/>
      <c r="K547" s="12"/>
      <c r="L547" s="12"/>
      <c r="M547" s="12"/>
      <c r="N547" s="12"/>
      <c r="O547" s="12"/>
      <c r="P547" s="12"/>
      <c r="Q547" s="12"/>
      <c r="R547" s="12"/>
      <c r="S547" s="12"/>
      <c r="T547" s="12"/>
      <c r="U547" s="12"/>
      <c r="V547" s="12"/>
      <c r="W547" s="12"/>
      <c r="X547" s="12"/>
      <c r="Y547" s="12"/>
      <c r="Z547" s="12"/>
    </row>
    <row r="548" customFormat="false" ht="15.75" hidden="false" customHeight="true" outlineLevel="0" collapsed="false">
      <c r="A548" s="12"/>
      <c r="B548" s="12"/>
      <c r="C548" s="12"/>
      <c r="D548" s="12"/>
      <c r="E548" s="12"/>
      <c r="F548" s="12"/>
      <c r="G548" s="12"/>
      <c r="H548" s="12"/>
      <c r="I548" s="12"/>
      <c r="J548" s="12"/>
      <c r="K548" s="12"/>
      <c r="L548" s="12"/>
      <c r="M548" s="12"/>
      <c r="N548" s="12"/>
      <c r="O548" s="12"/>
      <c r="P548" s="12"/>
      <c r="Q548" s="12"/>
      <c r="R548" s="12"/>
      <c r="S548" s="12"/>
      <c r="T548" s="12"/>
      <c r="U548" s="12"/>
      <c r="V548" s="12"/>
      <c r="W548" s="12"/>
      <c r="X548" s="12"/>
      <c r="Y548" s="12"/>
      <c r="Z548" s="12"/>
    </row>
    <row r="549" customFormat="false" ht="15.75" hidden="false" customHeight="true" outlineLevel="0" collapsed="false">
      <c r="A549" s="12"/>
      <c r="B549" s="12"/>
      <c r="C549" s="12"/>
      <c r="D549" s="12"/>
      <c r="E549" s="12"/>
      <c r="F549" s="12"/>
      <c r="G549" s="12"/>
      <c r="H549" s="12"/>
      <c r="I549" s="12"/>
      <c r="J549" s="12"/>
      <c r="K549" s="12"/>
      <c r="L549" s="12"/>
      <c r="M549" s="12"/>
      <c r="N549" s="12"/>
      <c r="O549" s="12"/>
      <c r="P549" s="12"/>
      <c r="Q549" s="12"/>
      <c r="R549" s="12"/>
      <c r="S549" s="12"/>
      <c r="T549" s="12"/>
      <c r="U549" s="12"/>
      <c r="V549" s="12"/>
      <c r="W549" s="12"/>
      <c r="X549" s="12"/>
      <c r="Y549" s="12"/>
      <c r="Z549" s="12"/>
    </row>
    <row r="550" customFormat="false" ht="15.75" hidden="false" customHeight="true" outlineLevel="0" collapsed="false">
      <c r="A550" s="12"/>
      <c r="B550" s="12"/>
      <c r="C550" s="12"/>
      <c r="D550" s="12"/>
      <c r="E550" s="12"/>
      <c r="F550" s="12"/>
      <c r="G550" s="12"/>
      <c r="H550" s="12"/>
      <c r="I550" s="12"/>
      <c r="J550" s="12"/>
      <c r="K550" s="12"/>
      <c r="L550" s="12"/>
      <c r="M550" s="12"/>
      <c r="N550" s="12"/>
      <c r="O550" s="12"/>
      <c r="P550" s="12"/>
      <c r="Q550" s="12"/>
      <c r="R550" s="12"/>
      <c r="S550" s="12"/>
      <c r="T550" s="12"/>
      <c r="U550" s="12"/>
      <c r="V550" s="12"/>
      <c r="W550" s="12"/>
      <c r="X550" s="12"/>
      <c r="Y550" s="12"/>
      <c r="Z550" s="12"/>
    </row>
    <row r="551" customFormat="false" ht="15.75" hidden="false" customHeight="true" outlineLevel="0" collapsed="false">
      <c r="A551" s="12"/>
      <c r="B551" s="12"/>
      <c r="C551" s="12"/>
      <c r="D551" s="12"/>
      <c r="E551" s="12"/>
      <c r="F551" s="12"/>
      <c r="G551" s="12"/>
      <c r="H551" s="12"/>
      <c r="I551" s="12"/>
      <c r="J551" s="12"/>
      <c r="K551" s="12"/>
      <c r="L551" s="12"/>
      <c r="M551" s="12"/>
      <c r="N551" s="12"/>
      <c r="O551" s="12"/>
      <c r="P551" s="12"/>
      <c r="Q551" s="12"/>
      <c r="R551" s="12"/>
      <c r="S551" s="12"/>
      <c r="T551" s="12"/>
      <c r="U551" s="12"/>
      <c r="V551" s="12"/>
      <c r="W551" s="12"/>
      <c r="X551" s="12"/>
      <c r="Y551" s="12"/>
      <c r="Z551" s="12"/>
    </row>
    <row r="552" customFormat="false" ht="15.75" hidden="false" customHeight="true" outlineLevel="0" collapsed="false">
      <c r="A552" s="12"/>
      <c r="B552" s="12"/>
      <c r="C552" s="12"/>
      <c r="D552" s="12"/>
      <c r="E552" s="12"/>
      <c r="F552" s="12"/>
      <c r="G552" s="12"/>
      <c r="H552" s="12"/>
      <c r="I552" s="12"/>
      <c r="J552" s="12"/>
      <c r="K552" s="12"/>
      <c r="L552" s="12"/>
      <c r="M552" s="12"/>
      <c r="N552" s="12"/>
      <c r="O552" s="12"/>
      <c r="P552" s="12"/>
      <c r="Q552" s="12"/>
      <c r="R552" s="12"/>
      <c r="S552" s="12"/>
      <c r="T552" s="12"/>
      <c r="U552" s="12"/>
      <c r="V552" s="12"/>
      <c r="W552" s="12"/>
      <c r="X552" s="12"/>
      <c r="Y552" s="12"/>
      <c r="Z552" s="12"/>
    </row>
    <row r="553" customFormat="false" ht="15.75" hidden="false" customHeight="true" outlineLevel="0" collapsed="false">
      <c r="A553" s="12"/>
      <c r="B553" s="12"/>
      <c r="C553" s="12"/>
      <c r="D553" s="12"/>
      <c r="E553" s="12"/>
      <c r="F553" s="12"/>
      <c r="G553" s="12"/>
      <c r="H553" s="12"/>
      <c r="I553" s="12"/>
      <c r="J553" s="12"/>
      <c r="K553" s="12"/>
      <c r="L553" s="12"/>
      <c r="M553" s="12"/>
      <c r="N553" s="12"/>
      <c r="O553" s="12"/>
      <c r="P553" s="12"/>
      <c r="Q553" s="12"/>
      <c r="R553" s="12"/>
      <c r="S553" s="12"/>
      <c r="T553" s="12"/>
      <c r="U553" s="12"/>
      <c r="V553" s="12"/>
      <c r="W553" s="12"/>
      <c r="X553" s="12"/>
      <c r="Y553" s="12"/>
      <c r="Z553" s="12"/>
    </row>
    <row r="554" customFormat="false" ht="15.75" hidden="false" customHeight="true" outlineLevel="0" collapsed="false">
      <c r="A554" s="12"/>
      <c r="B554" s="12"/>
      <c r="C554" s="12"/>
      <c r="D554" s="12"/>
      <c r="E554" s="12"/>
      <c r="F554" s="12"/>
      <c r="G554" s="12"/>
      <c r="H554" s="12"/>
      <c r="I554" s="12"/>
      <c r="J554" s="12"/>
      <c r="K554" s="12"/>
      <c r="L554" s="12"/>
      <c r="M554" s="12"/>
      <c r="N554" s="12"/>
      <c r="O554" s="12"/>
      <c r="P554" s="12"/>
      <c r="Q554" s="12"/>
      <c r="R554" s="12"/>
      <c r="S554" s="12"/>
      <c r="T554" s="12"/>
      <c r="U554" s="12"/>
      <c r="V554" s="12"/>
      <c r="W554" s="12"/>
      <c r="X554" s="12"/>
      <c r="Y554" s="12"/>
      <c r="Z554" s="12"/>
    </row>
    <row r="555" customFormat="false" ht="15.75" hidden="false" customHeight="true" outlineLevel="0" collapsed="false">
      <c r="A555" s="12"/>
      <c r="B555" s="12"/>
      <c r="C555" s="12"/>
      <c r="D555" s="12"/>
      <c r="E555" s="12"/>
      <c r="F555" s="12"/>
      <c r="G555" s="12"/>
      <c r="H555" s="12"/>
      <c r="I555" s="12"/>
      <c r="J555" s="12"/>
      <c r="K555" s="12"/>
      <c r="L555" s="12"/>
      <c r="M555" s="12"/>
      <c r="N555" s="12"/>
      <c r="O555" s="12"/>
      <c r="P555" s="12"/>
      <c r="Q555" s="12"/>
      <c r="R555" s="12"/>
      <c r="S555" s="12"/>
      <c r="T555" s="12"/>
      <c r="U555" s="12"/>
      <c r="V555" s="12"/>
      <c r="W555" s="12"/>
      <c r="X555" s="12"/>
      <c r="Y555" s="12"/>
      <c r="Z555" s="12"/>
    </row>
    <row r="556" customFormat="false" ht="15.75" hidden="false" customHeight="true" outlineLevel="0" collapsed="false">
      <c r="A556" s="12"/>
      <c r="B556" s="12"/>
      <c r="C556" s="12"/>
      <c r="D556" s="12"/>
      <c r="E556" s="12"/>
      <c r="F556" s="12"/>
      <c r="G556" s="12"/>
      <c r="H556" s="12"/>
      <c r="I556" s="12"/>
      <c r="J556" s="12"/>
      <c r="K556" s="12"/>
      <c r="L556" s="12"/>
      <c r="M556" s="12"/>
      <c r="N556" s="12"/>
      <c r="O556" s="12"/>
      <c r="P556" s="12"/>
      <c r="Q556" s="12"/>
      <c r="R556" s="12"/>
      <c r="S556" s="12"/>
      <c r="T556" s="12"/>
      <c r="U556" s="12"/>
      <c r="V556" s="12"/>
      <c r="W556" s="12"/>
      <c r="X556" s="12"/>
      <c r="Y556" s="12"/>
      <c r="Z556" s="12"/>
    </row>
    <row r="557" customFormat="false" ht="15.75" hidden="false" customHeight="true" outlineLevel="0" collapsed="false">
      <c r="A557" s="12"/>
      <c r="B557" s="12"/>
      <c r="C557" s="12"/>
      <c r="D557" s="12"/>
      <c r="E557" s="12"/>
      <c r="F557" s="12"/>
      <c r="G557" s="12"/>
      <c r="H557" s="12"/>
      <c r="I557" s="12"/>
      <c r="J557" s="12"/>
      <c r="K557" s="12"/>
      <c r="L557" s="12"/>
      <c r="M557" s="12"/>
      <c r="N557" s="12"/>
      <c r="O557" s="12"/>
      <c r="P557" s="12"/>
      <c r="Q557" s="12"/>
      <c r="R557" s="12"/>
      <c r="S557" s="12"/>
      <c r="T557" s="12"/>
      <c r="U557" s="12"/>
      <c r="V557" s="12"/>
      <c r="W557" s="12"/>
      <c r="X557" s="12"/>
      <c r="Y557" s="12"/>
      <c r="Z557" s="12"/>
    </row>
    <row r="558" customFormat="false" ht="15.75" hidden="false" customHeight="true" outlineLevel="0" collapsed="false">
      <c r="A558" s="12"/>
      <c r="B558" s="12"/>
      <c r="C558" s="12"/>
      <c r="D558" s="12"/>
      <c r="E558" s="12"/>
      <c r="F558" s="12"/>
      <c r="G558" s="12"/>
      <c r="H558" s="12"/>
      <c r="I558" s="12"/>
      <c r="J558" s="12"/>
      <c r="K558" s="12"/>
      <c r="L558" s="12"/>
      <c r="M558" s="12"/>
      <c r="N558" s="12"/>
      <c r="O558" s="12"/>
      <c r="P558" s="12"/>
      <c r="Q558" s="12"/>
      <c r="R558" s="12"/>
      <c r="S558" s="12"/>
      <c r="T558" s="12"/>
      <c r="U558" s="12"/>
      <c r="V558" s="12"/>
      <c r="W558" s="12"/>
      <c r="X558" s="12"/>
      <c r="Y558" s="12"/>
      <c r="Z558" s="12"/>
    </row>
    <row r="559" customFormat="false" ht="15.75" hidden="false" customHeight="true" outlineLevel="0" collapsed="false">
      <c r="A559" s="12"/>
      <c r="B559" s="12"/>
      <c r="C559" s="12"/>
      <c r="D559" s="12"/>
      <c r="E559" s="12"/>
      <c r="F559" s="12"/>
      <c r="G559" s="12"/>
      <c r="H559" s="12"/>
      <c r="I559" s="12"/>
      <c r="J559" s="12"/>
      <c r="K559" s="12"/>
      <c r="L559" s="12"/>
      <c r="M559" s="12"/>
      <c r="N559" s="12"/>
      <c r="O559" s="12"/>
      <c r="P559" s="12"/>
      <c r="Q559" s="12"/>
      <c r="R559" s="12"/>
      <c r="S559" s="12"/>
      <c r="T559" s="12"/>
      <c r="U559" s="12"/>
      <c r="V559" s="12"/>
      <c r="W559" s="12"/>
      <c r="X559" s="12"/>
      <c r="Y559" s="12"/>
      <c r="Z559" s="12"/>
    </row>
    <row r="560" customFormat="false" ht="15.75" hidden="false" customHeight="true" outlineLevel="0" collapsed="false">
      <c r="A560" s="12"/>
      <c r="B560" s="12"/>
      <c r="C560" s="12"/>
      <c r="D560" s="12"/>
      <c r="E560" s="12"/>
      <c r="F560" s="12"/>
      <c r="G560" s="12"/>
      <c r="H560" s="12"/>
      <c r="I560" s="12"/>
      <c r="J560" s="12"/>
      <c r="K560" s="12"/>
      <c r="L560" s="12"/>
      <c r="M560" s="12"/>
      <c r="N560" s="12"/>
      <c r="O560" s="12"/>
      <c r="P560" s="12"/>
      <c r="Q560" s="12"/>
      <c r="R560" s="12"/>
      <c r="S560" s="12"/>
      <c r="T560" s="12"/>
      <c r="U560" s="12"/>
      <c r="V560" s="12"/>
      <c r="W560" s="12"/>
      <c r="X560" s="12"/>
      <c r="Y560" s="12"/>
      <c r="Z560" s="12"/>
    </row>
    <row r="561" customFormat="false" ht="15.75" hidden="false" customHeight="true" outlineLevel="0" collapsed="false">
      <c r="A561" s="12"/>
      <c r="B561" s="12"/>
      <c r="C561" s="12"/>
      <c r="D561" s="12"/>
      <c r="E561" s="12"/>
      <c r="F561" s="12"/>
      <c r="G561" s="12"/>
      <c r="H561" s="12"/>
      <c r="I561" s="12"/>
      <c r="J561" s="12"/>
      <c r="K561" s="12"/>
      <c r="L561" s="12"/>
      <c r="M561" s="12"/>
      <c r="N561" s="12"/>
      <c r="O561" s="12"/>
      <c r="P561" s="12"/>
      <c r="Q561" s="12"/>
      <c r="R561" s="12"/>
      <c r="S561" s="12"/>
      <c r="T561" s="12"/>
      <c r="U561" s="12"/>
      <c r="V561" s="12"/>
      <c r="W561" s="12"/>
      <c r="X561" s="12"/>
      <c r="Y561" s="12"/>
      <c r="Z561" s="12"/>
    </row>
    <row r="562" customFormat="false" ht="15.75" hidden="false" customHeight="true" outlineLevel="0" collapsed="false">
      <c r="A562" s="12"/>
      <c r="B562" s="12"/>
      <c r="C562" s="12"/>
      <c r="D562" s="12"/>
      <c r="E562" s="12"/>
      <c r="F562" s="12"/>
      <c r="G562" s="12"/>
      <c r="H562" s="12"/>
      <c r="I562" s="12"/>
      <c r="J562" s="12"/>
      <c r="K562" s="12"/>
      <c r="L562" s="12"/>
      <c r="M562" s="12"/>
      <c r="N562" s="12"/>
      <c r="O562" s="12"/>
      <c r="P562" s="12"/>
      <c r="Q562" s="12"/>
      <c r="R562" s="12"/>
      <c r="S562" s="12"/>
      <c r="T562" s="12"/>
      <c r="U562" s="12"/>
      <c r="V562" s="12"/>
      <c r="W562" s="12"/>
      <c r="X562" s="12"/>
      <c r="Y562" s="12"/>
      <c r="Z562" s="12"/>
    </row>
    <row r="563" customFormat="false" ht="15.75" hidden="false" customHeight="true" outlineLevel="0" collapsed="false">
      <c r="A563" s="12"/>
      <c r="B563" s="12"/>
      <c r="C563" s="12"/>
      <c r="D563" s="12"/>
      <c r="E563" s="12"/>
      <c r="F563" s="12"/>
      <c r="G563" s="12"/>
      <c r="H563" s="12"/>
      <c r="I563" s="12"/>
      <c r="J563" s="12"/>
      <c r="K563" s="12"/>
      <c r="L563" s="12"/>
      <c r="M563" s="12"/>
      <c r="N563" s="12"/>
      <c r="O563" s="12"/>
      <c r="P563" s="12"/>
      <c r="Q563" s="12"/>
      <c r="R563" s="12"/>
      <c r="S563" s="12"/>
      <c r="T563" s="12"/>
      <c r="U563" s="12"/>
      <c r="V563" s="12"/>
      <c r="W563" s="12"/>
      <c r="X563" s="12"/>
      <c r="Y563" s="12"/>
      <c r="Z563" s="12"/>
    </row>
    <row r="564" customFormat="false" ht="15.75" hidden="false" customHeight="true" outlineLevel="0" collapsed="false">
      <c r="A564" s="12"/>
      <c r="B564" s="12"/>
      <c r="C564" s="12"/>
      <c r="D564" s="12"/>
      <c r="E564" s="12"/>
      <c r="F564" s="12"/>
      <c r="G564" s="12"/>
      <c r="H564" s="12"/>
      <c r="I564" s="12"/>
      <c r="J564" s="12"/>
      <c r="K564" s="12"/>
      <c r="L564" s="12"/>
      <c r="M564" s="12"/>
      <c r="N564" s="12"/>
      <c r="O564" s="12"/>
      <c r="P564" s="12"/>
      <c r="Q564" s="12"/>
      <c r="R564" s="12"/>
      <c r="S564" s="12"/>
      <c r="T564" s="12"/>
      <c r="U564" s="12"/>
      <c r="V564" s="12"/>
      <c r="W564" s="12"/>
      <c r="X564" s="12"/>
      <c r="Y564" s="12"/>
      <c r="Z564" s="12"/>
    </row>
    <row r="565" customFormat="false" ht="15.75" hidden="false" customHeight="true" outlineLevel="0" collapsed="false">
      <c r="A565" s="12"/>
      <c r="B565" s="12"/>
      <c r="C565" s="12"/>
      <c r="D565" s="12"/>
      <c r="E565" s="12"/>
      <c r="F565" s="12"/>
      <c r="G565" s="12"/>
      <c r="H565" s="12"/>
      <c r="I565" s="12"/>
      <c r="J565" s="12"/>
      <c r="K565" s="12"/>
      <c r="L565" s="12"/>
      <c r="M565" s="12"/>
      <c r="N565" s="12"/>
      <c r="O565" s="12"/>
      <c r="P565" s="12"/>
      <c r="Q565" s="12"/>
      <c r="R565" s="12"/>
      <c r="S565" s="12"/>
      <c r="T565" s="12"/>
      <c r="U565" s="12"/>
      <c r="V565" s="12"/>
      <c r="W565" s="12"/>
      <c r="X565" s="12"/>
      <c r="Y565" s="12"/>
      <c r="Z565" s="12"/>
    </row>
    <row r="566" customFormat="false" ht="15.75" hidden="false" customHeight="true" outlineLevel="0" collapsed="false">
      <c r="A566" s="12"/>
      <c r="B566" s="12"/>
      <c r="C566" s="12"/>
      <c r="D566" s="12"/>
      <c r="E566" s="12"/>
      <c r="F566" s="12"/>
      <c r="G566" s="12"/>
      <c r="H566" s="12"/>
      <c r="I566" s="12"/>
      <c r="J566" s="12"/>
      <c r="K566" s="12"/>
      <c r="L566" s="12"/>
      <c r="M566" s="12"/>
      <c r="N566" s="12"/>
      <c r="O566" s="12"/>
      <c r="P566" s="12"/>
      <c r="Q566" s="12"/>
      <c r="R566" s="12"/>
      <c r="S566" s="12"/>
      <c r="T566" s="12"/>
      <c r="U566" s="12"/>
      <c r="V566" s="12"/>
      <c r="W566" s="12"/>
      <c r="X566" s="12"/>
      <c r="Y566" s="12"/>
      <c r="Z566" s="12"/>
    </row>
    <row r="567" customFormat="false" ht="15.75" hidden="false" customHeight="true" outlineLevel="0" collapsed="false">
      <c r="A567" s="12"/>
      <c r="B567" s="12"/>
      <c r="C567" s="12"/>
      <c r="D567" s="12"/>
      <c r="E567" s="12"/>
      <c r="F567" s="12"/>
      <c r="G567" s="12"/>
      <c r="H567" s="12"/>
      <c r="I567" s="12"/>
      <c r="J567" s="12"/>
      <c r="K567" s="12"/>
      <c r="L567" s="12"/>
      <c r="M567" s="12"/>
      <c r="N567" s="12"/>
      <c r="O567" s="12"/>
      <c r="P567" s="12"/>
      <c r="Q567" s="12"/>
      <c r="R567" s="12"/>
      <c r="S567" s="12"/>
      <c r="T567" s="12"/>
      <c r="U567" s="12"/>
      <c r="V567" s="12"/>
      <c r="W567" s="12"/>
      <c r="X567" s="12"/>
      <c r="Y567" s="12"/>
      <c r="Z567" s="12"/>
    </row>
    <row r="568" customFormat="false" ht="15.75" hidden="false" customHeight="true" outlineLevel="0" collapsed="false">
      <c r="A568" s="12"/>
      <c r="B568" s="12"/>
      <c r="C568" s="12"/>
      <c r="D568" s="12"/>
      <c r="E568" s="12"/>
      <c r="F568" s="12"/>
      <c r="G568" s="12"/>
      <c r="H568" s="12"/>
      <c r="I568" s="12"/>
      <c r="J568" s="12"/>
      <c r="K568" s="12"/>
      <c r="L568" s="12"/>
      <c r="M568" s="12"/>
      <c r="N568" s="12"/>
      <c r="O568" s="12"/>
      <c r="P568" s="12"/>
      <c r="Q568" s="12"/>
      <c r="R568" s="12"/>
      <c r="S568" s="12"/>
      <c r="T568" s="12"/>
      <c r="U568" s="12"/>
      <c r="V568" s="12"/>
      <c r="W568" s="12"/>
      <c r="X568" s="12"/>
      <c r="Y568" s="12"/>
      <c r="Z568" s="12"/>
    </row>
    <row r="569" customFormat="false" ht="15.75" hidden="false" customHeight="true" outlineLevel="0" collapsed="false">
      <c r="A569" s="12"/>
      <c r="B569" s="12"/>
      <c r="C569" s="12"/>
      <c r="D569" s="12"/>
      <c r="E569" s="12"/>
      <c r="F569" s="12"/>
      <c r="G569" s="12"/>
      <c r="H569" s="12"/>
      <c r="I569" s="12"/>
      <c r="J569" s="12"/>
      <c r="K569" s="12"/>
      <c r="L569" s="12"/>
      <c r="M569" s="12"/>
      <c r="N569" s="12"/>
      <c r="O569" s="12"/>
      <c r="P569" s="12"/>
      <c r="Q569" s="12"/>
      <c r="R569" s="12"/>
      <c r="S569" s="12"/>
      <c r="T569" s="12"/>
      <c r="U569" s="12"/>
      <c r="V569" s="12"/>
      <c r="W569" s="12"/>
      <c r="X569" s="12"/>
      <c r="Y569" s="12"/>
      <c r="Z569" s="12"/>
    </row>
    <row r="570" customFormat="false" ht="15.75" hidden="false" customHeight="true" outlineLevel="0" collapsed="false">
      <c r="A570" s="12"/>
      <c r="B570" s="12"/>
      <c r="C570" s="12"/>
      <c r="D570" s="12"/>
      <c r="E570" s="12"/>
      <c r="F570" s="12"/>
      <c r="G570" s="12"/>
      <c r="H570" s="12"/>
      <c r="I570" s="12"/>
      <c r="J570" s="12"/>
      <c r="K570" s="12"/>
      <c r="L570" s="12"/>
      <c r="M570" s="12"/>
      <c r="N570" s="12"/>
      <c r="O570" s="12"/>
      <c r="P570" s="12"/>
      <c r="Q570" s="12"/>
      <c r="R570" s="12"/>
      <c r="S570" s="12"/>
      <c r="T570" s="12"/>
      <c r="U570" s="12"/>
      <c r="V570" s="12"/>
      <c r="W570" s="12"/>
      <c r="X570" s="12"/>
      <c r="Y570" s="12"/>
      <c r="Z570" s="12"/>
    </row>
    <row r="571" customFormat="false" ht="15.75" hidden="false" customHeight="true" outlineLevel="0" collapsed="false">
      <c r="A571" s="12"/>
      <c r="B571" s="12"/>
      <c r="C571" s="12"/>
      <c r="D571" s="12"/>
      <c r="E571" s="12"/>
      <c r="F571" s="12"/>
      <c r="G571" s="12"/>
      <c r="H571" s="12"/>
      <c r="I571" s="12"/>
      <c r="J571" s="12"/>
      <c r="K571" s="12"/>
      <c r="L571" s="12"/>
      <c r="M571" s="12"/>
      <c r="N571" s="12"/>
      <c r="O571" s="12"/>
      <c r="P571" s="12"/>
      <c r="Q571" s="12"/>
      <c r="R571" s="12"/>
      <c r="S571" s="12"/>
      <c r="T571" s="12"/>
      <c r="U571" s="12"/>
      <c r="V571" s="12"/>
      <c r="W571" s="12"/>
      <c r="X571" s="12"/>
      <c r="Y571" s="12"/>
      <c r="Z571" s="12"/>
    </row>
    <row r="572" customFormat="false" ht="15.75" hidden="false" customHeight="true" outlineLevel="0" collapsed="false">
      <c r="A572" s="12"/>
      <c r="B572" s="12"/>
      <c r="C572" s="12"/>
      <c r="D572" s="12"/>
      <c r="E572" s="12"/>
      <c r="F572" s="12"/>
      <c r="G572" s="12"/>
      <c r="H572" s="12"/>
      <c r="I572" s="12"/>
      <c r="J572" s="12"/>
      <c r="K572" s="12"/>
      <c r="L572" s="12"/>
      <c r="M572" s="12"/>
      <c r="N572" s="12"/>
      <c r="O572" s="12"/>
      <c r="P572" s="12"/>
      <c r="Q572" s="12"/>
      <c r="R572" s="12"/>
      <c r="S572" s="12"/>
      <c r="T572" s="12"/>
      <c r="U572" s="12"/>
      <c r="V572" s="12"/>
      <c r="W572" s="12"/>
      <c r="X572" s="12"/>
      <c r="Y572" s="12"/>
      <c r="Z572" s="12"/>
    </row>
    <row r="573" customFormat="false" ht="15.75" hidden="false" customHeight="true" outlineLevel="0" collapsed="false">
      <c r="A573" s="12"/>
      <c r="B573" s="12"/>
      <c r="C573" s="12"/>
      <c r="D573" s="12"/>
      <c r="E573" s="12"/>
      <c r="F573" s="12"/>
      <c r="G573" s="12"/>
      <c r="H573" s="12"/>
      <c r="I573" s="12"/>
      <c r="J573" s="12"/>
      <c r="K573" s="12"/>
      <c r="L573" s="12"/>
      <c r="M573" s="12"/>
      <c r="N573" s="12"/>
      <c r="O573" s="12"/>
      <c r="P573" s="12"/>
      <c r="Q573" s="12"/>
      <c r="R573" s="12"/>
      <c r="S573" s="12"/>
      <c r="T573" s="12"/>
      <c r="U573" s="12"/>
      <c r="V573" s="12"/>
      <c r="W573" s="12"/>
      <c r="X573" s="12"/>
      <c r="Y573" s="12"/>
      <c r="Z573" s="12"/>
    </row>
    <row r="574" customFormat="false" ht="15.75" hidden="false" customHeight="true" outlineLevel="0" collapsed="false">
      <c r="A574" s="12"/>
      <c r="B574" s="12"/>
      <c r="C574" s="12"/>
      <c r="D574" s="12"/>
      <c r="E574" s="12"/>
      <c r="F574" s="12"/>
      <c r="G574" s="12"/>
      <c r="H574" s="12"/>
      <c r="I574" s="12"/>
      <c r="J574" s="12"/>
      <c r="K574" s="12"/>
      <c r="L574" s="12"/>
      <c r="M574" s="12"/>
      <c r="N574" s="12"/>
      <c r="O574" s="12"/>
      <c r="P574" s="12"/>
      <c r="Q574" s="12"/>
      <c r="R574" s="12"/>
      <c r="S574" s="12"/>
      <c r="T574" s="12"/>
      <c r="U574" s="12"/>
      <c r="V574" s="12"/>
      <c r="W574" s="12"/>
      <c r="X574" s="12"/>
      <c r="Y574" s="12"/>
      <c r="Z574" s="12"/>
    </row>
    <row r="575" customFormat="false" ht="15.75" hidden="false" customHeight="true" outlineLevel="0" collapsed="false">
      <c r="A575" s="12"/>
      <c r="B575" s="12"/>
      <c r="C575" s="12"/>
      <c r="D575" s="12"/>
      <c r="E575" s="12"/>
      <c r="F575" s="12"/>
      <c r="G575" s="12"/>
      <c r="H575" s="12"/>
      <c r="I575" s="12"/>
      <c r="J575" s="12"/>
      <c r="K575" s="12"/>
      <c r="L575" s="12"/>
      <c r="M575" s="12"/>
      <c r="N575" s="12"/>
      <c r="O575" s="12"/>
      <c r="P575" s="12"/>
      <c r="Q575" s="12"/>
      <c r="R575" s="12"/>
      <c r="S575" s="12"/>
      <c r="T575" s="12"/>
      <c r="U575" s="12"/>
      <c r="V575" s="12"/>
      <c r="W575" s="12"/>
      <c r="X575" s="12"/>
      <c r="Y575" s="12"/>
      <c r="Z575" s="12"/>
    </row>
    <row r="576" customFormat="false" ht="15.75" hidden="false" customHeight="true" outlineLevel="0" collapsed="false">
      <c r="A576" s="12"/>
      <c r="B576" s="12"/>
      <c r="C576" s="12"/>
      <c r="D576" s="12"/>
      <c r="E576" s="12"/>
      <c r="F576" s="12"/>
      <c r="G576" s="12"/>
      <c r="H576" s="12"/>
      <c r="I576" s="12"/>
      <c r="J576" s="12"/>
      <c r="K576" s="12"/>
      <c r="L576" s="12"/>
      <c r="M576" s="12"/>
      <c r="N576" s="12"/>
      <c r="O576" s="12"/>
      <c r="P576" s="12"/>
      <c r="Q576" s="12"/>
      <c r="R576" s="12"/>
      <c r="S576" s="12"/>
      <c r="T576" s="12"/>
      <c r="U576" s="12"/>
      <c r="V576" s="12"/>
      <c r="W576" s="12"/>
      <c r="X576" s="12"/>
      <c r="Y576" s="12"/>
      <c r="Z576" s="12"/>
    </row>
    <row r="577" customFormat="false" ht="15.75" hidden="false" customHeight="true" outlineLevel="0" collapsed="false">
      <c r="A577" s="12"/>
      <c r="B577" s="12"/>
      <c r="C577" s="12"/>
      <c r="D577" s="12"/>
      <c r="E577" s="12"/>
      <c r="F577" s="12"/>
      <c r="G577" s="12"/>
      <c r="H577" s="12"/>
      <c r="I577" s="12"/>
      <c r="J577" s="12"/>
      <c r="K577" s="12"/>
      <c r="L577" s="12"/>
      <c r="M577" s="12"/>
      <c r="N577" s="12"/>
      <c r="O577" s="12"/>
      <c r="P577" s="12"/>
      <c r="Q577" s="12"/>
      <c r="R577" s="12"/>
      <c r="S577" s="12"/>
      <c r="T577" s="12"/>
      <c r="U577" s="12"/>
      <c r="V577" s="12"/>
      <c r="W577" s="12"/>
      <c r="X577" s="12"/>
      <c r="Y577" s="12"/>
      <c r="Z577" s="12"/>
    </row>
    <row r="578" customFormat="false" ht="15.75" hidden="false" customHeight="true" outlineLevel="0" collapsed="false">
      <c r="A578" s="12"/>
      <c r="B578" s="12"/>
      <c r="C578" s="12"/>
      <c r="D578" s="12"/>
      <c r="E578" s="12"/>
      <c r="F578" s="12"/>
      <c r="G578" s="12"/>
      <c r="H578" s="12"/>
      <c r="I578" s="12"/>
      <c r="J578" s="12"/>
      <c r="K578" s="12"/>
      <c r="L578" s="12"/>
      <c r="M578" s="12"/>
      <c r="N578" s="12"/>
      <c r="O578" s="12"/>
      <c r="P578" s="12"/>
      <c r="Q578" s="12"/>
      <c r="R578" s="12"/>
      <c r="S578" s="12"/>
      <c r="T578" s="12"/>
      <c r="U578" s="12"/>
      <c r="V578" s="12"/>
      <c r="W578" s="12"/>
      <c r="X578" s="12"/>
      <c r="Y578" s="12"/>
      <c r="Z578" s="12"/>
    </row>
    <row r="579" customFormat="false" ht="15.75" hidden="false" customHeight="true" outlineLevel="0" collapsed="false">
      <c r="A579" s="12"/>
      <c r="B579" s="12"/>
      <c r="C579" s="12"/>
      <c r="D579" s="12"/>
      <c r="E579" s="12"/>
      <c r="F579" s="12"/>
      <c r="G579" s="12"/>
      <c r="H579" s="12"/>
      <c r="I579" s="12"/>
      <c r="J579" s="12"/>
      <c r="K579" s="12"/>
      <c r="L579" s="12"/>
      <c r="M579" s="12"/>
      <c r="N579" s="12"/>
      <c r="O579" s="12"/>
      <c r="P579" s="12"/>
      <c r="Q579" s="12"/>
      <c r="R579" s="12"/>
      <c r="S579" s="12"/>
      <c r="T579" s="12"/>
      <c r="U579" s="12"/>
      <c r="V579" s="12"/>
      <c r="W579" s="12"/>
      <c r="X579" s="12"/>
      <c r="Y579" s="12"/>
      <c r="Z579" s="12"/>
    </row>
    <row r="580" customFormat="false" ht="15.75" hidden="false" customHeight="true" outlineLevel="0" collapsed="false">
      <c r="A580" s="12"/>
      <c r="B580" s="12"/>
      <c r="C580" s="12"/>
      <c r="D580" s="12"/>
      <c r="E580" s="12"/>
      <c r="F580" s="12"/>
      <c r="G580" s="12"/>
      <c r="H580" s="12"/>
      <c r="I580" s="12"/>
      <c r="J580" s="12"/>
      <c r="K580" s="12"/>
      <c r="L580" s="12"/>
      <c r="M580" s="12"/>
      <c r="N580" s="12"/>
      <c r="O580" s="12"/>
      <c r="P580" s="12"/>
      <c r="Q580" s="12"/>
      <c r="R580" s="12"/>
      <c r="S580" s="12"/>
      <c r="T580" s="12"/>
      <c r="U580" s="12"/>
      <c r="V580" s="12"/>
      <c r="W580" s="12"/>
      <c r="X580" s="12"/>
      <c r="Y580" s="12"/>
      <c r="Z580" s="12"/>
    </row>
    <row r="581" customFormat="false" ht="15.75" hidden="false" customHeight="true" outlineLevel="0" collapsed="false">
      <c r="A581" s="12"/>
      <c r="B581" s="12"/>
      <c r="C581" s="12"/>
      <c r="D581" s="12"/>
      <c r="E581" s="12"/>
      <c r="F581" s="12"/>
      <c r="G581" s="12"/>
      <c r="H581" s="12"/>
      <c r="I581" s="12"/>
      <c r="J581" s="12"/>
      <c r="K581" s="12"/>
      <c r="L581" s="12"/>
      <c r="M581" s="12"/>
      <c r="N581" s="12"/>
      <c r="O581" s="12"/>
      <c r="P581" s="12"/>
      <c r="Q581" s="12"/>
      <c r="R581" s="12"/>
      <c r="S581" s="12"/>
      <c r="T581" s="12"/>
      <c r="U581" s="12"/>
      <c r="V581" s="12"/>
      <c r="W581" s="12"/>
      <c r="X581" s="12"/>
      <c r="Y581" s="12"/>
      <c r="Z581" s="12"/>
    </row>
    <row r="582" customFormat="false" ht="15.75" hidden="false" customHeight="true" outlineLevel="0" collapsed="false">
      <c r="A582" s="12"/>
      <c r="B582" s="12"/>
      <c r="C582" s="12"/>
      <c r="D582" s="12"/>
      <c r="E582" s="12"/>
      <c r="F582" s="12"/>
      <c r="G582" s="12"/>
      <c r="H582" s="12"/>
      <c r="I582" s="12"/>
      <c r="J582" s="12"/>
      <c r="K582" s="12"/>
      <c r="L582" s="12"/>
      <c r="M582" s="12"/>
      <c r="N582" s="12"/>
      <c r="O582" s="12"/>
      <c r="P582" s="12"/>
      <c r="Q582" s="12"/>
      <c r="R582" s="12"/>
      <c r="S582" s="12"/>
      <c r="T582" s="12"/>
      <c r="U582" s="12"/>
      <c r="V582" s="12"/>
      <c r="W582" s="12"/>
      <c r="X582" s="12"/>
      <c r="Y582" s="12"/>
      <c r="Z582" s="12"/>
    </row>
    <row r="583" customFormat="false" ht="15.75" hidden="false" customHeight="true" outlineLevel="0" collapsed="false">
      <c r="A583" s="12"/>
      <c r="B583" s="12"/>
      <c r="C583" s="12"/>
      <c r="D583" s="12"/>
      <c r="E583" s="12"/>
      <c r="F583" s="12"/>
      <c r="G583" s="12"/>
      <c r="H583" s="12"/>
      <c r="I583" s="12"/>
      <c r="J583" s="12"/>
      <c r="K583" s="12"/>
      <c r="L583" s="12"/>
      <c r="M583" s="12"/>
      <c r="N583" s="12"/>
      <c r="O583" s="12"/>
      <c r="P583" s="12"/>
      <c r="Q583" s="12"/>
      <c r="R583" s="12"/>
      <c r="S583" s="12"/>
      <c r="T583" s="12"/>
      <c r="U583" s="12"/>
      <c r="V583" s="12"/>
      <c r="W583" s="12"/>
      <c r="X583" s="12"/>
      <c r="Y583" s="12"/>
      <c r="Z583" s="12"/>
    </row>
    <row r="584" customFormat="false" ht="15.75" hidden="false" customHeight="true" outlineLevel="0" collapsed="false">
      <c r="A584" s="12"/>
      <c r="B584" s="12"/>
      <c r="C584" s="12"/>
      <c r="D584" s="12"/>
      <c r="E584" s="12"/>
      <c r="F584" s="12"/>
      <c r="G584" s="12"/>
      <c r="H584" s="12"/>
      <c r="I584" s="12"/>
      <c r="J584" s="12"/>
      <c r="K584" s="12"/>
      <c r="L584" s="12"/>
      <c r="M584" s="12"/>
      <c r="N584" s="12"/>
      <c r="O584" s="12"/>
      <c r="P584" s="12"/>
      <c r="Q584" s="12"/>
      <c r="R584" s="12"/>
      <c r="S584" s="12"/>
      <c r="T584" s="12"/>
      <c r="U584" s="12"/>
      <c r="V584" s="12"/>
      <c r="W584" s="12"/>
      <c r="X584" s="12"/>
      <c r="Y584" s="12"/>
      <c r="Z584" s="12"/>
    </row>
    <row r="585" customFormat="false" ht="15.75" hidden="false" customHeight="true" outlineLevel="0" collapsed="false">
      <c r="A585" s="12"/>
      <c r="B585" s="12"/>
      <c r="C585" s="12"/>
      <c r="D585" s="12"/>
      <c r="E585" s="12"/>
      <c r="F585" s="12"/>
      <c r="G585" s="12"/>
      <c r="H585" s="12"/>
      <c r="I585" s="12"/>
      <c r="J585" s="12"/>
      <c r="K585" s="12"/>
      <c r="L585" s="12"/>
      <c r="M585" s="12"/>
      <c r="N585" s="12"/>
      <c r="O585" s="12"/>
      <c r="P585" s="12"/>
      <c r="Q585" s="12"/>
      <c r="R585" s="12"/>
      <c r="S585" s="12"/>
      <c r="T585" s="12"/>
      <c r="U585" s="12"/>
      <c r="V585" s="12"/>
      <c r="W585" s="12"/>
      <c r="X585" s="12"/>
      <c r="Y585" s="12"/>
      <c r="Z585" s="12"/>
    </row>
    <row r="586" customFormat="false" ht="15.75" hidden="false" customHeight="true" outlineLevel="0" collapsed="false">
      <c r="A586" s="12"/>
      <c r="B586" s="12"/>
      <c r="C586" s="12"/>
      <c r="D586" s="12"/>
      <c r="E586" s="12"/>
      <c r="F586" s="12"/>
      <c r="G586" s="12"/>
      <c r="H586" s="12"/>
      <c r="I586" s="12"/>
      <c r="J586" s="12"/>
      <c r="K586" s="12"/>
      <c r="L586" s="12"/>
      <c r="M586" s="12"/>
      <c r="N586" s="12"/>
      <c r="O586" s="12"/>
      <c r="P586" s="12"/>
      <c r="Q586" s="12"/>
      <c r="R586" s="12"/>
      <c r="S586" s="12"/>
      <c r="T586" s="12"/>
      <c r="U586" s="12"/>
      <c r="V586" s="12"/>
      <c r="W586" s="12"/>
      <c r="X586" s="12"/>
      <c r="Y586" s="12"/>
      <c r="Z586" s="12"/>
    </row>
    <row r="587" customFormat="false" ht="15.75" hidden="false" customHeight="true" outlineLevel="0" collapsed="false">
      <c r="A587" s="12"/>
      <c r="B587" s="12"/>
      <c r="C587" s="12"/>
      <c r="D587" s="12"/>
      <c r="E587" s="12"/>
      <c r="F587" s="12"/>
      <c r="G587" s="12"/>
      <c r="H587" s="12"/>
      <c r="I587" s="12"/>
      <c r="J587" s="12"/>
      <c r="K587" s="12"/>
      <c r="L587" s="12"/>
      <c r="M587" s="12"/>
      <c r="N587" s="12"/>
      <c r="O587" s="12"/>
      <c r="P587" s="12"/>
      <c r="Q587" s="12"/>
      <c r="R587" s="12"/>
      <c r="S587" s="12"/>
      <c r="T587" s="12"/>
      <c r="U587" s="12"/>
      <c r="V587" s="12"/>
      <c r="W587" s="12"/>
      <c r="X587" s="12"/>
      <c r="Y587" s="12"/>
      <c r="Z587" s="12"/>
    </row>
    <row r="588" customFormat="false" ht="15.75" hidden="false" customHeight="true" outlineLevel="0" collapsed="false">
      <c r="A588" s="12"/>
      <c r="B588" s="12"/>
      <c r="C588" s="12"/>
      <c r="D588" s="12"/>
      <c r="E588" s="12"/>
      <c r="F588" s="12"/>
      <c r="G588" s="12"/>
      <c r="H588" s="12"/>
      <c r="I588" s="12"/>
      <c r="J588" s="12"/>
      <c r="K588" s="12"/>
      <c r="L588" s="12"/>
      <c r="M588" s="12"/>
      <c r="N588" s="12"/>
      <c r="O588" s="12"/>
      <c r="P588" s="12"/>
      <c r="Q588" s="12"/>
      <c r="R588" s="12"/>
      <c r="S588" s="12"/>
      <c r="T588" s="12"/>
      <c r="U588" s="12"/>
      <c r="V588" s="12"/>
      <c r="W588" s="12"/>
      <c r="X588" s="12"/>
      <c r="Y588" s="12"/>
      <c r="Z588" s="12"/>
    </row>
    <row r="589" customFormat="false" ht="15.75" hidden="false" customHeight="true" outlineLevel="0" collapsed="false">
      <c r="A589" s="12"/>
      <c r="B589" s="12"/>
      <c r="C589" s="12"/>
      <c r="D589" s="12"/>
      <c r="E589" s="12"/>
      <c r="F589" s="12"/>
      <c r="G589" s="12"/>
      <c r="H589" s="12"/>
      <c r="I589" s="12"/>
      <c r="J589" s="12"/>
      <c r="K589" s="12"/>
      <c r="L589" s="12"/>
      <c r="M589" s="12"/>
      <c r="N589" s="12"/>
      <c r="O589" s="12"/>
      <c r="P589" s="12"/>
      <c r="Q589" s="12"/>
      <c r="R589" s="12"/>
      <c r="S589" s="12"/>
      <c r="T589" s="12"/>
      <c r="U589" s="12"/>
      <c r="V589" s="12"/>
      <c r="W589" s="12"/>
      <c r="X589" s="12"/>
      <c r="Y589" s="12"/>
      <c r="Z589" s="12"/>
    </row>
    <row r="590" customFormat="false" ht="15.75" hidden="false" customHeight="true" outlineLevel="0" collapsed="false">
      <c r="A590" s="12"/>
      <c r="B590" s="12"/>
      <c r="C590" s="12"/>
      <c r="D590" s="12"/>
      <c r="E590" s="12"/>
      <c r="F590" s="12"/>
      <c r="G590" s="12"/>
      <c r="H590" s="12"/>
      <c r="I590" s="12"/>
      <c r="J590" s="12"/>
      <c r="K590" s="12"/>
      <c r="L590" s="12"/>
      <c r="M590" s="12"/>
      <c r="N590" s="12"/>
      <c r="O590" s="12"/>
      <c r="P590" s="12"/>
      <c r="Q590" s="12"/>
      <c r="R590" s="12"/>
      <c r="S590" s="12"/>
      <c r="T590" s="12"/>
      <c r="U590" s="12"/>
      <c r="V590" s="12"/>
      <c r="W590" s="12"/>
      <c r="X590" s="12"/>
      <c r="Y590" s="12"/>
      <c r="Z590" s="12"/>
    </row>
    <row r="591" customFormat="false" ht="15.75" hidden="false" customHeight="true" outlineLevel="0" collapsed="false">
      <c r="A591" s="12"/>
      <c r="B591" s="12"/>
      <c r="C591" s="12"/>
      <c r="D591" s="12"/>
      <c r="E591" s="12"/>
      <c r="F591" s="12"/>
      <c r="G591" s="12"/>
      <c r="H591" s="12"/>
      <c r="I591" s="12"/>
      <c r="J591" s="12"/>
      <c r="K591" s="12"/>
      <c r="L591" s="12"/>
      <c r="M591" s="12"/>
      <c r="N591" s="12"/>
      <c r="O591" s="12"/>
      <c r="P591" s="12"/>
      <c r="Q591" s="12"/>
      <c r="R591" s="12"/>
      <c r="S591" s="12"/>
      <c r="T591" s="12"/>
      <c r="U591" s="12"/>
      <c r="V591" s="12"/>
      <c r="W591" s="12"/>
      <c r="X591" s="12"/>
      <c r="Y591" s="12"/>
      <c r="Z591" s="12"/>
    </row>
    <row r="592" customFormat="false" ht="15.75" hidden="false" customHeight="true" outlineLevel="0" collapsed="false">
      <c r="A592" s="12"/>
      <c r="B592" s="12"/>
      <c r="C592" s="12"/>
      <c r="D592" s="12"/>
      <c r="E592" s="12"/>
      <c r="F592" s="12"/>
      <c r="G592" s="12"/>
      <c r="H592" s="12"/>
      <c r="I592" s="12"/>
      <c r="J592" s="12"/>
      <c r="K592" s="12"/>
      <c r="L592" s="12"/>
      <c r="M592" s="12"/>
      <c r="N592" s="12"/>
      <c r="O592" s="12"/>
      <c r="P592" s="12"/>
      <c r="Q592" s="12"/>
      <c r="R592" s="12"/>
      <c r="S592" s="12"/>
      <c r="T592" s="12"/>
      <c r="U592" s="12"/>
      <c r="V592" s="12"/>
      <c r="W592" s="12"/>
      <c r="X592" s="12"/>
      <c r="Y592" s="12"/>
      <c r="Z592" s="12"/>
    </row>
    <row r="593" customFormat="false" ht="15.75" hidden="false" customHeight="true" outlineLevel="0" collapsed="false">
      <c r="A593" s="12"/>
      <c r="B593" s="12"/>
      <c r="C593" s="12"/>
      <c r="D593" s="12"/>
      <c r="E593" s="12"/>
      <c r="F593" s="12"/>
      <c r="G593" s="12"/>
      <c r="H593" s="12"/>
      <c r="I593" s="12"/>
      <c r="J593" s="12"/>
      <c r="K593" s="12"/>
      <c r="L593" s="12"/>
      <c r="M593" s="12"/>
      <c r="N593" s="12"/>
      <c r="O593" s="12"/>
      <c r="P593" s="12"/>
      <c r="Q593" s="12"/>
      <c r="R593" s="12"/>
      <c r="S593" s="12"/>
      <c r="T593" s="12"/>
      <c r="U593" s="12"/>
      <c r="V593" s="12"/>
      <c r="W593" s="12"/>
      <c r="X593" s="12"/>
      <c r="Y593" s="12"/>
      <c r="Z593" s="12"/>
    </row>
    <row r="594" customFormat="false" ht="15.75" hidden="false" customHeight="true" outlineLevel="0" collapsed="false">
      <c r="A594" s="12"/>
      <c r="B594" s="12"/>
      <c r="C594" s="12"/>
      <c r="D594" s="12"/>
      <c r="E594" s="12"/>
      <c r="F594" s="12"/>
      <c r="G594" s="12"/>
      <c r="H594" s="12"/>
      <c r="I594" s="12"/>
      <c r="J594" s="12"/>
      <c r="K594" s="12"/>
      <c r="L594" s="12"/>
      <c r="M594" s="12"/>
      <c r="N594" s="12"/>
      <c r="O594" s="12"/>
      <c r="P594" s="12"/>
      <c r="Q594" s="12"/>
      <c r="R594" s="12"/>
      <c r="S594" s="12"/>
      <c r="T594" s="12"/>
      <c r="U594" s="12"/>
      <c r="V594" s="12"/>
      <c r="W594" s="12"/>
      <c r="X594" s="12"/>
      <c r="Y594" s="12"/>
      <c r="Z594" s="12"/>
    </row>
    <row r="595" customFormat="false" ht="15.75" hidden="false" customHeight="true" outlineLevel="0" collapsed="false">
      <c r="A595" s="12"/>
      <c r="B595" s="12"/>
      <c r="C595" s="12"/>
      <c r="D595" s="12"/>
      <c r="E595" s="12"/>
      <c r="F595" s="12"/>
      <c r="G595" s="12"/>
      <c r="H595" s="12"/>
      <c r="I595" s="12"/>
      <c r="J595" s="12"/>
      <c r="K595" s="12"/>
      <c r="L595" s="12"/>
      <c r="M595" s="12"/>
      <c r="N595" s="12"/>
      <c r="O595" s="12"/>
      <c r="P595" s="12"/>
      <c r="Q595" s="12"/>
      <c r="R595" s="12"/>
      <c r="S595" s="12"/>
      <c r="T595" s="12"/>
      <c r="U595" s="12"/>
      <c r="V595" s="12"/>
      <c r="W595" s="12"/>
      <c r="X595" s="12"/>
      <c r="Y595" s="12"/>
      <c r="Z595" s="12"/>
    </row>
    <row r="596" customFormat="false" ht="15.75" hidden="false" customHeight="true" outlineLevel="0" collapsed="false">
      <c r="A596" s="12"/>
      <c r="B596" s="12"/>
      <c r="C596" s="12"/>
      <c r="D596" s="12"/>
      <c r="E596" s="12"/>
      <c r="F596" s="12"/>
      <c r="G596" s="12"/>
      <c r="H596" s="12"/>
      <c r="I596" s="12"/>
      <c r="J596" s="12"/>
      <c r="K596" s="12"/>
      <c r="L596" s="12"/>
      <c r="M596" s="12"/>
      <c r="N596" s="12"/>
      <c r="O596" s="12"/>
      <c r="P596" s="12"/>
      <c r="Q596" s="12"/>
      <c r="R596" s="12"/>
      <c r="S596" s="12"/>
      <c r="T596" s="12"/>
      <c r="U596" s="12"/>
      <c r="V596" s="12"/>
      <c r="W596" s="12"/>
      <c r="X596" s="12"/>
      <c r="Y596" s="12"/>
      <c r="Z596" s="12"/>
    </row>
    <row r="597" customFormat="false" ht="15.75" hidden="false" customHeight="true" outlineLevel="0" collapsed="false">
      <c r="A597" s="12"/>
      <c r="B597" s="12"/>
      <c r="C597" s="12"/>
      <c r="D597" s="12"/>
      <c r="E597" s="12"/>
      <c r="F597" s="12"/>
      <c r="G597" s="12"/>
      <c r="H597" s="12"/>
      <c r="I597" s="12"/>
      <c r="J597" s="12"/>
      <c r="K597" s="12"/>
      <c r="L597" s="12"/>
      <c r="M597" s="12"/>
      <c r="N597" s="12"/>
      <c r="O597" s="12"/>
      <c r="P597" s="12"/>
      <c r="Q597" s="12"/>
      <c r="R597" s="12"/>
      <c r="S597" s="12"/>
      <c r="T597" s="12"/>
      <c r="U597" s="12"/>
      <c r="V597" s="12"/>
      <c r="W597" s="12"/>
      <c r="X597" s="12"/>
      <c r="Y597" s="12"/>
      <c r="Z597" s="12"/>
    </row>
    <row r="598" customFormat="false" ht="15.75" hidden="false" customHeight="true" outlineLevel="0" collapsed="false">
      <c r="A598" s="12"/>
      <c r="B598" s="12"/>
      <c r="C598" s="12"/>
      <c r="D598" s="12"/>
      <c r="E598" s="12"/>
      <c r="F598" s="12"/>
      <c r="G598" s="12"/>
      <c r="H598" s="12"/>
      <c r="I598" s="12"/>
      <c r="J598" s="12"/>
      <c r="K598" s="12"/>
      <c r="L598" s="12"/>
      <c r="M598" s="12"/>
      <c r="N598" s="12"/>
      <c r="O598" s="12"/>
      <c r="P598" s="12"/>
      <c r="Q598" s="12"/>
      <c r="R598" s="12"/>
      <c r="S598" s="12"/>
      <c r="T598" s="12"/>
      <c r="U598" s="12"/>
      <c r="V598" s="12"/>
      <c r="W598" s="12"/>
      <c r="X598" s="12"/>
      <c r="Y598" s="12"/>
      <c r="Z598" s="12"/>
    </row>
    <row r="599" customFormat="false" ht="15.75" hidden="false" customHeight="true" outlineLevel="0" collapsed="false">
      <c r="A599" s="12"/>
      <c r="B599" s="12"/>
      <c r="C599" s="12"/>
      <c r="D599" s="12"/>
      <c r="E599" s="12"/>
      <c r="F599" s="12"/>
      <c r="G599" s="12"/>
      <c r="H599" s="12"/>
      <c r="I599" s="12"/>
      <c r="J599" s="12"/>
      <c r="K599" s="12"/>
      <c r="L599" s="12"/>
      <c r="M599" s="12"/>
      <c r="N599" s="12"/>
      <c r="O599" s="12"/>
      <c r="P599" s="12"/>
      <c r="Q599" s="12"/>
      <c r="R599" s="12"/>
      <c r="S599" s="12"/>
      <c r="T599" s="12"/>
      <c r="U599" s="12"/>
      <c r="V599" s="12"/>
      <c r="W599" s="12"/>
      <c r="X599" s="12"/>
      <c r="Y599" s="12"/>
      <c r="Z599" s="12"/>
    </row>
    <row r="600" customFormat="false" ht="15.75" hidden="false" customHeight="true" outlineLevel="0" collapsed="false">
      <c r="A600" s="12"/>
      <c r="B600" s="12"/>
      <c r="C600" s="12"/>
      <c r="D600" s="12"/>
      <c r="E600" s="12"/>
      <c r="F600" s="12"/>
      <c r="G600" s="12"/>
      <c r="H600" s="12"/>
      <c r="I600" s="12"/>
      <c r="J600" s="12"/>
      <c r="K600" s="12"/>
      <c r="L600" s="12"/>
      <c r="M600" s="12"/>
      <c r="N600" s="12"/>
      <c r="O600" s="12"/>
      <c r="P600" s="12"/>
      <c r="Q600" s="12"/>
      <c r="R600" s="12"/>
      <c r="S600" s="12"/>
      <c r="T600" s="12"/>
      <c r="U600" s="12"/>
      <c r="V600" s="12"/>
      <c r="W600" s="12"/>
      <c r="X600" s="12"/>
      <c r="Y600" s="12"/>
      <c r="Z600" s="12"/>
    </row>
    <row r="601" customFormat="false" ht="15.75" hidden="false" customHeight="true" outlineLevel="0" collapsed="false">
      <c r="A601" s="12"/>
      <c r="B601" s="12"/>
      <c r="C601" s="12"/>
      <c r="D601" s="12"/>
      <c r="E601" s="12"/>
      <c r="F601" s="12"/>
      <c r="G601" s="12"/>
      <c r="H601" s="12"/>
      <c r="I601" s="12"/>
      <c r="J601" s="12"/>
      <c r="K601" s="12"/>
      <c r="L601" s="12"/>
      <c r="M601" s="12"/>
      <c r="N601" s="12"/>
      <c r="O601" s="12"/>
      <c r="P601" s="12"/>
      <c r="Q601" s="12"/>
      <c r="R601" s="12"/>
      <c r="S601" s="12"/>
      <c r="T601" s="12"/>
      <c r="U601" s="12"/>
      <c r="V601" s="12"/>
      <c r="W601" s="12"/>
      <c r="X601" s="12"/>
      <c r="Y601" s="12"/>
      <c r="Z601" s="12"/>
    </row>
    <row r="602" customFormat="false" ht="15.75" hidden="false" customHeight="true" outlineLevel="0" collapsed="false">
      <c r="A602" s="12"/>
      <c r="B602" s="12"/>
      <c r="C602" s="12"/>
      <c r="D602" s="12"/>
      <c r="E602" s="12"/>
      <c r="F602" s="12"/>
      <c r="G602" s="12"/>
      <c r="H602" s="12"/>
      <c r="I602" s="12"/>
      <c r="J602" s="12"/>
      <c r="K602" s="12"/>
      <c r="L602" s="12"/>
      <c r="M602" s="12"/>
      <c r="N602" s="12"/>
      <c r="O602" s="12"/>
      <c r="P602" s="12"/>
      <c r="Q602" s="12"/>
      <c r="R602" s="12"/>
      <c r="S602" s="12"/>
      <c r="T602" s="12"/>
      <c r="U602" s="12"/>
      <c r="V602" s="12"/>
      <c r="W602" s="12"/>
      <c r="X602" s="12"/>
      <c r="Y602" s="12"/>
      <c r="Z602" s="12"/>
    </row>
    <row r="603" customFormat="false" ht="15.75" hidden="false" customHeight="true" outlineLevel="0" collapsed="false">
      <c r="A603" s="12"/>
      <c r="B603" s="12"/>
      <c r="C603" s="12"/>
      <c r="D603" s="12"/>
      <c r="E603" s="12"/>
      <c r="F603" s="12"/>
      <c r="G603" s="12"/>
      <c r="H603" s="12"/>
      <c r="I603" s="12"/>
      <c r="J603" s="12"/>
      <c r="K603" s="12"/>
      <c r="L603" s="12"/>
      <c r="M603" s="12"/>
      <c r="N603" s="12"/>
      <c r="O603" s="12"/>
      <c r="P603" s="12"/>
      <c r="Q603" s="12"/>
      <c r="R603" s="12"/>
      <c r="S603" s="12"/>
      <c r="T603" s="12"/>
      <c r="U603" s="12"/>
      <c r="V603" s="12"/>
      <c r="W603" s="12"/>
      <c r="X603" s="12"/>
      <c r="Y603" s="12"/>
      <c r="Z603" s="12"/>
    </row>
    <row r="604" customFormat="false" ht="15.75" hidden="false" customHeight="true" outlineLevel="0" collapsed="false">
      <c r="A604" s="12"/>
      <c r="B604" s="12"/>
      <c r="C604" s="12"/>
      <c r="D604" s="12"/>
      <c r="E604" s="12"/>
      <c r="F604" s="12"/>
      <c r="G604" s="12"/>
      <c r="H604" s="12"/>
      <c r="I604" s="12"/>
      <c r="J604" s="12"/>
      <c r="K604" s="12"/>
      <c r="L604" s="12"/>
      <c r="M604" s="12"/>
      <c r="N604" s="12"/>
      <c r="O604" s="12"/>
      <c r="P604" s="12"/>
      <c r="Q604" s="12"/>
      <c r="R604" s="12"/>
      <c r="S604" s="12"/>
      <c r="T604" s="12"/>
      <c r="U604" s="12"/>
      <c r="V604" s="12"/>
      <c r="W604" s="12"/>
      <c r="X604" s="12"/>
      <c r="Y604" s="12"/>
      <c r="Z604" s="12"/>
    </row>
    <row r="605" customFormat="false" ht="15.75" hidden="false" customHeight="true" outlineLevel="0" collapsed="false">
      <c r="A605" s="12"/>
      <c r="B605" s="12"/>
      <c r="C605" s="12"/>
      <c r="D605" s="12"/>
      <c r="E605" s="12"/>
      <c r="F605" s="12"/>
      <c r="G605" s="12"/>
      <c r="H605" s="12"/>
      <c r="I605" s="12"/>
      <c r="J605" s="12"/>
      <c r="K605" s="12"/>
      <c r="L605" s="12"/>
      <c r="M605" s="12"/>
      <c r="N605" s="12"/>
      <c r="O605" s="12"/>
      <c r="P605" s="12"/>
      <c r="Q605" s="12"/>
      <c r="R605" s="12"/>
      <c r="S605" s="12"/>
      <c r="T605" s="12"/>
      <c r="U605" s="12"/>
      <c r="V605" s="12"/>
      <c r="W605" s="12"/>
      <c r="X605" s="12"/>
      <c r="Y605" s="12"/>
      <c r="Z605" s="12"/>
    </row>
    <row r="606" customFormat="false" ht="15.75" hidden="false" customHeight="true" outlineLevel="0" collapsed="false">
      <c r="A606" s="12"/>
      <c r="B606" s="12"/>
      <c r="C606" s="12"/>
      <c r="D606" s="12"/>
      <c r="E606" s="12"/>
      <c r="F606" s="12"/>
      <c r="G606" s="12"/>
      <c r="H606" s="12"/>
      <c r="I606" s="12"/>
      <c r="J606" s="12"/>
      <c r="K606" s="12"/>
      <c r="L606" s="12"/>
      <c r="M606" s="12"/>
      <c r="N606" s="12"/>
      <c r="O606" s="12"/>
      <c r="P606" s="12"/>
      <c r="Q606" s="12"/>
      <c r="R606" s="12"/>
      <c r="S606" s="12"/>
      <c r="T606" s="12"/>
      <c r="U606" s="12"/>
      <c r="V606" s="12"/>
      <c r="W606" s="12"/>
      <c r="X606" s="12"/>
      <c r="Y606" s="12"/>
      <c r="Z606" s="12"/>
    </row>
    <row r="607" customFormat="false" ht="15.75" hidden="false" customHeight="true" outlineLevel="0" collapsed="false">
      <c r="A607" s="12"/>
      <c r="B607" s="12"/>
      <c r="C607" s="12"/>
      <c r="D607" s="12"/>
      <c r="E607" s="12"/>
      <c r="F607" s="12"/>
      <c r="G607" s="12"/>
      <c r="H607" s="12"/>
      <c r="I607" s="12"/>
      <c r="J607" s="12"/>
      <c r="K607" s="12"/>
      <c r="L607" s="12"/>
      <c r="M607" s="12"/>
      <c r="N607" s="12"/>
      <c r="O607" s="12"/>
      <c r="P607" s="12"/>
      <c r="Q607" s="12"/>
      <c r="R607" s="12"/>
      <c r="S607" s="12"/>
      <c r="T607" s="12"/>
      <c r="U607" s="12"/>
      <c r="V607" s="12"/>
      <c r="W607" s="12"/>
      <c r="X607" s="12"/>
      <c r="Y607" s="12"/>
      <c r="Z607" s="12"/>
    </row>
    <row r="608" customFormat="false" ht="15.75" hidden="false" customHeight="true" outlineLevel="0" collapsed="false">
      <c r="A608" s="12"/>
      <c r="B608" s="12"/>
      <c r="C608" s="12"/>
      <c r="D608" s="12"/>
      <c r="E608" s="12"/>
      <c r="F608" s="12"/>
      <c r="G608" s="12"/>
      <c r="H608" s="12"/>
      <c r="I608" s="12"/>
      <c r="J608" s="12"/>
      <c r="K608" s="12"/>
      <c r="L608" s="12"/>
      <c r="M608" s="12"/>
      <c r="N608" s="12"/>
      <c r="O608" s="12"/>
      <c r="P608" s="12"/>
      <c r="Q608" s="12"/>
      <c r="R608" s="12"/>
      <c r="S608" s="12"/>
      <c r="T608" s="12"/>
      <c r="U608" s="12"/>
      <c r="V608" s="12"/>
      <c r="W608" s="12"/>
      <c r="X608" s="12"/>
      <c r="Y608" s="12"/>
      <c r="Z608" s="12"/>
    </row>
    <row r="609" customFormat="false" ht="15.75" hidden="false" customHeight="true" outlineLevel="0" collapsed="false">
      <c r="A609" s="12"/>
      <c r="B609" s="12"/>
      <c r="C609" s="12"/>
      <c r="D609" s="12"/>
      <c r="E609" s="12"/>
      <c r="F609" s="12"/>
      <c r="G609" s="12"/>
      <c r="H609" s="12"/>
      <c r="I609" s="12"/>
      <c r="J609" s="12"/>
      <c r="K609" s="12"/>
      <c r="L609" s="12"/>
      <c r="M609" s="12"/>
      <c r="N609" s="12"/>
      <c r="O609" s="12"/>
      <c r="P609" s="12"/>
      <c r="Q609" s="12"/>
      <c r="R609" s="12"/>
      <c r="S609" s="12"/>
      <c r="T609" s="12"/>
      <c r="U609" s="12"/>
      <c r="V609" s="12"/>
      <c r="W609" s="12"/>
      <c r="X609" s="12"/>
      <c r="Y609" s="12"/>
      <c r="Z609" s="12"/>
    </row>
    <row r="610" customFormat="false" ht="15.75" hidden="false" customHeight="true" outlineLevel="0" collapsed="false">
      <c r="A610" s="12"/>
      <c r="B610" s="12"/>
      <c r="C610" s="12"/>
      <c r="D610" s="12"/>
      <c r="E610" s="12"/>
      <c r="F610" s="12"/>
      <c r="G610" s="12"/>
      <c r="H610" s="12"/>
      <c r="I610" s="12"/>
      <c r="J610" s="12"/>
      <c r="K610" s="12"/>
      <c r="L610" s="12"/>
      <c r="M610" s="12"/>
      <c r="N610" s="12"/>
      <c r="O610" s="12"/>
      <c r="P610" s="12"/>
      <c r="Q610" s="12"/>
      <c r="R610" s="12"/>
      <c r="S610" s="12"/>
      <c r="T610" s="12"/>
      <c r="U610" s="12"/>
      <c r="V610" s="12"/>
      <c r="W610" s="12"/>
      <c r="X610" s="12"/>
      <c r="Y610" s="12"/>
      <c r="Z610" s="12"/>
    </row>
    <row r="611" customFormat="false" ht="15.75" hidden="false" customHeight="true" outlineLevel="0" collapsed="false">
      <c r="A611" s="12"/>
      <c r="B611" s="12"/>
      <c r="C611" s="12"/>
      <c r="D611" s="12"/>
      <c r="E611" s="12"/>
      <c r="F611" s="12"/>
      <c r="G611" s="12"/>
      <c r="H611" s="12"/>
      <c r="I611" s="12"/>
      <c r="J611" s="12"/>
      <c r="K611" s="12"/>
      <c r="L611" s="12"/>
      <c r="M611" s="12"/>
      <c r="N611" s="12"/>
      <c r="O611" s="12"/>
      <c r="P611" s="12"/>
      <c r="Q611" s="12"/>
      <c r="R611" s="12"/>
      <c r="S611" s="12"/>
      <c r="T611" s="12"/>
      <c r="U611" s="12"/>
      <c r="V611" s="12"/>
      <c r="W611" s="12"/>
      <c r="X611" s="12"/>
      <c r="Y611" s="12"/>
      <c r="Z611" s="12"/>
    </row>
    <row r="612" customFormat="false" ht="15.75" hidden="false" customHeight="true" outlineLevel="0" collapsed="false">
      <c r="A612" s="12"/>
      <c r="B612" s="12"/>
      <c r="C612" s="12"/>
      <c r="D612" s="12"/>
      <c r="E612" s="12"/>
      <c r="F612" s="12"/>
      <c r="G612" s="12"/>
      <c r="H612" s="12"/>
      <c r="I612" s="12"/>
      <c r="J612" s="12"/>
      <c r="K612" s="12"/>
      <c r="L612" s="12"/>
      <c r="M612" s="12"/>
      <c r="N612" s="12"/>
      <c r="O612" s="12"/>
      <c r="P612" s="12"/>
      <c r="Q612" s="12"/>
      <c r="R612" s="12"/>
      <c r="S612" s="12"/>
      <c r="T612" s="12"/>
      <c r="U612" s="12"/>
      <c r="V612" s="12"/>
      <c r="W612" s="12"/>
      <c r="X612" s="12"/>
      <c r="Y612" s="12"/>
      <c r="Z612" s="12"/>
    </row>
    <row r="613" customFormat="false" ht="15.75" hidden="false" customHeight="true" outlineLevel="0" collapsed="false">
      <c r="A613" s="12"/>
      <c r="B613" s="12"/>
      <c r="C613" s="12"/>
      <c r="D613" s="12"/>
      <c r="E613" s="12"/>
      <c r="F613" s="12"/>
      <c r="G613" s="12"/>
      <c r="H613" s="12"/>
      <c r="I613" s="12"/>
      <c r="J613" s="12"/>
      <c r="K613" s="12"/>
      <c r="L613" s="12"/>
      <c r="M613" s="12"/>
      <c r="N613" s="12"/>
      <c r="O613" s="12"/>
      <c r="P613" s="12"/>
      <c r="Q613" s="12"/>
      <c r="R613" s="12"/>
      <c r="S613" s="12"/>
      <c r="T613" s="12"/>
      <c r="U613" s="12"/>
      <c r="V613" s="12"/>
      <c r="W613" s="12"/>
      <c r="X613" s="12"/>
      <c r="Y613" s="12"/>
      <c r="Z613" s="12"/>
    </row>
    <row r="614" customFormat="false" ht="15.75" hidden="false" customHeight="true" outlineLevel="0" collapsed="false">
      <c r="A614" s="12"/>
      <c r="B614" s="12"/>
      <c r="C614" s="12"/>
      <c r="D614" s="12"/>
      <c r="E614" s="12"/>
      <c r="F614" s="12"/>
      <c r="G614" s="12"/>
      <c r="H614" s="12"/>
      <c r="I614" s="12"/>
      <c r="J614" s="12"/>
      <c r="K614" s="12"/>
      <c r="L614" s="12"/>
      <c r="M614" s="12"/>
      <c r="N614" s="12"/>
      <c r="O614" s="12"/>
      <c r="P614" s="12"/>
      <c r="Q614" s="12"/>
      <c r="R614" s="12"/>
      <c r="S614" s="12"/>
      <c r="T614" s="12"/>
      <c r="U614" s="12"/>
      <c r="V614" s="12"/>
      <c r="W614" s="12"/>
      <c r="X614" s="12"/>
      <c r="Y614" s="12"/>
      <c r="Z614" s="12"/>
    </row>
    <row r="615" customFormat="false" ht="15.75" hidden="false" customHeight="true" outlineLevel="0" collapsed="false">
      <c r="A615" s="12"/>
      <c r="B615" s="12"/>
      <c r="C615" s="12"/>
      <c r="D615" s="12"/>
      <c r="E615" s="12"/>
      <c r="F615" s="12"/>
      <c r="G615" s="12"/>
      <c r="H615" s="12"/>
      <c r="I615" s="12"/>
      <c r="J615" s="12"/>
      <c r="K615" s="12"/>
      <c r="L615" s="12"/>
      <c r="M615" s="12"/>
      <c r="N615" s="12"/>
      <c r="O615" s="12"/>
      <c r="P615" s="12"/>
      <c r="Q615" s="12"/>
      <c r="R615" s="12"/>
      <c r="S615" s="12"/>
      <c r="T615" s="12"/>
      <c r="U615" s="12"/>
      <c r="V615" s="12"/>
      <c r="W615" s="12"/>
      <c r="X615" s="12"/>
      <c r="Y615" s="12"/>
      <c r="Z615" s="12"/>
    </row>
    <row r="616" customFormat="false" ht="15.75" hidden="false" customHeight="true" outlineLevel="0" collapsed="false">
      <c r="A616" s="12"/>
      <c r="B616" s="12"/>
      <c r="C616" s="12"/>
      <c r="D616" s="12"/>
      <c r="E616" s="12"/>
      <c r="F616" s="12"/>
      <c r="G616" s="12"/>
      <c r="H616" s="12"/>
      <c r="I616" s="12"/>
      <c r="J616" s="12"/>
      <c r="K616" s="12"/>
      <c r="L616" s="12"/>
      <c r="M616" s="12"/>
      <c r="N616" s="12"/>
      <c r="O616" s="12"/>
      <c r="P616" s="12"/>
      <c r="Q616" s="12"/>
      <c r="R616" s="12"/>
      <c r="S616" s="12"/>
      <c r="T616" s="12"/>
      <c r="U616" s="12"/>
      <c r="V616" s="12"/>
      <c r="W616" s="12"/>
      <c r="X616" s="12"/>
      <c r="Y616" s="12"/>
      <c r="Z616" s="12"/>
    </row>
    <row r="617" customFormat="false" ht="15.75" hidden="false" customHeight="true" outlineLevel="0" collapsed="false">
      <c r="A617" s="12"/>
      <c r="B617" s="12"/>
      <c r="C617" s="12"/>
      <c r="D617" s="12"/>
      <c r="E617" s="12"/>
      <c r="F617" s="12"/>
      <c r="G617" s="12"/>
      <c r="H617" s="12"/>
      <c r="I617" s="12"/>
      <c r="J617" s="12"/>
      <c r="K617" s="12"/>
      <c r="L617" s="12"/>
      <c r="M617" s="12"/>
      <c r="N617" s="12"/>
      <c r="O617" s="12"/>
      <c r="P617" s="12"/>
      <c r="Q617" s="12"/>
      <c r="R617" s="12"/>
      <c r="S617" s="12"/>
      <c r="T617" s="12"/>
      <c r="U617" s="12"/>
      <c r="V617" s="12"/>
      <c r="W617" s="12"/>
      <c r="X617" s="12"/>
      <c r="Y617" s="12"/>
      <c r="Z617" s="12"/>
    </row>
    <row r="618" customFormat="false" ht="15.75" hidden="false" customHeight="true" outlineLevel="0" collapsed="false">
      <c r="A618" s="12"/>
      <c r="B618" s="12"/>
      <c r="C618" s="12"/>
      <c r="D618" s="12"/>
      <c r="E618" s="12"/>
      <c r="F618" s="12"/>
      <c r="G618" s="12"/>
      <c r="H618" s="12"/>
      <c r="I618" s="12"/>
      <c r="J618" s="12"/>
      <c r="K618" s="12"/>
      <c r="L618" s="12"/>
      <c r="M618" s="12"/>
      <c r="N618" s="12"/>
      <c r="O618" s="12"/>
      <c r="P618" s="12"/>
      <c r="Q618" s="12"/>
      <c r="R618" s="12"/>
      <c r="S618" s="12"/>
      <c r="T618" s="12"/>
      <c r="U618" s="12"/>
      <c r="V618" s="12"/>
      <c r="W618" s="12"/>
      <c r="X618" s="12"/>
      <c r="Y618" s="12"/>
      <c r="Z618" s="12"/>
    </row>
    <row r="619" customFormat="false" ht="15.75" hidden="false" customHeight="true" outlineLevel="0" collapsed="false">
      <c r="A619" s="12"/>
      <c r="B619" s="12"/>
      <c r="C619" s="12"/>
      <c r="D619" s="12"/>
      <c r="E619" s="12"/>
      <c r="F619" s="12"/>
      <c r="G619" s="12"/>
      <c r="H619" s="12"/>
      <c r="I619" s="12"/>
      <c r="J619" s="12"/>
      <c r="K619" s="12"/>
      <c r="L619" s="12"/>
      <c r="M619" s="12"/>
      <c r="N619" s="12"/>
      <c r="O619" s="12"/>
      <c r="P619" s="12"/>
      <c r="Q619" s="12"/>
      <c r="R619" s="12"/>
      <c r="S619" s="12"/>
      <c r="T619" s="12"/>
      <c r="U619" s="12"/>
      <c r="V619" s="12"/>
      <c r="W619" s="12"/>
      <c r="X619" s="12"/>
      <c r="Y619" s="12"/>
      <c r="Z619" s="12"/>
    </row>
    <row r="620" customFormat="false" ht="15.75" hidden="false" customHeight="true" outlineLevel="0" collapsed="false">
      <c r="A620" s="12"/>
      <c r="B620" s="12"/>
      <c r="C620" s="12"/>
      <c r="D620" s="12"/>
      <c r="E620" s="12"/>
      <c r="F620" s="12"/>
      <c r="G620" s="12"/>
      <c r="H620" s="12"/>
      <c r="I620" s="12"/>
      <c r="J620" s="12"/>
      <c r="K620" s="12"/>
      <c r="L620" s="12"/>
      <c r="M620" s="12"/>
      <c r="N620" s="12"/>
      <c r="O620" s="12"/>
      <c r="P620" s="12"/>
      <c r="Q620" s="12"/>
      <c r="R620" s="12"/>
      <c r="S620" s="12"/>
      <c r="T620" s="12"/>
      <c r="U620" s="12"/>
      <c r="V620" s="12"/>
      <c r="W620" s="12"/>
      <c r="X620" s="12"/>
      <c r="Y620" s="12"/>
      <c r="Z620" s="12"/>
    </row>
    <row r="621" customFormat="false" ht="15.75" hidden="false" customHeight="true" outlineLevel="0" collapsed="false">
      <c r="A621" s="12"/>
      <c r="B621" s="12"/>
      <c r="C621" s="12"/>
      <c r="D621" s="12"/>
      <c r="E621" s="12"/>
      <c r="F621" s="12"/>
      <c r="G621" s="12"/>
      <c r="H621" s="12"/>
      <c r="I621" s="12"/>
      <c r="J621" s="12"/>
      <c r="K621" s="12"/>
      <c r="L621" s="12"/>
      <c r="M621" s="12"/>
      <c r="N621" s="12"/>
      <c r="O621" s="12"/>
      <c r="P621" s="12"/>
      <c r="Q621" s="12"/>
      <c r="R621" s="12"/>
      <c r="S621" s="12"/>
      <c r="T621" s="12"/>
      <c r="U621" s="12"/>
      <c r="V621" s="12"/>
      <c r="W621" s="12"/>
      <c r="X621" s="12"/>
      <c r="Y621" s="12"/>
      <c r="Z621" s="12"/>
    </row>
    <row r="622" customFormat="false" ht="15.75" hidden="false" customHeight="true" outlineLevel="0" collapsed="false">
      <c r="A622" s="12"/>
      <c r="B622" s="12"/>
      <c r="C622" s="12"/>
      <c r="D622" s="12"/>
      <c r="E622" s="12"/>
      <c r="F622" s="12"/>
      <c r="G622" s="12"/>
      <c r="H622" s="12"/>
      <c r="I622" s="12"/>
      <c r="J622" s="12"/>
      <c r="K622" s="12"/>
      <c r="L622" s="12"/>
      <c r="M622" s="12"/>
      <c r="N622" s="12"/>
      <c r="O622" s="12"/>
      <c r="P622" s="12"/>
      <c r="Q622" s="12"/>
      <c r="R622" s="12"/>
      <c r="S622" s="12"/>
      <c r="T622" s="12"/>
      <c r="U622" s="12"/>
      <c r="V622" s="12"/>
      <c r="W622" s="12"/>
      <c r="X622" s="12"/>
      <c r="Y622" s="12"/>
      <c r="Z622" s="12"/>
    </row>
    <row r="623" customFormat="false" ht="15.75" hidden="false" customHeight="true" outlineLevel="0" collapsed="false">
      <c r="A623" s="12"/>
      <c r="B623" s="12"/>
      <c r="C623" s="12"/>
      <c r="D623" s="12"/>
      <c r="E623" s="12"/>
      <c r="F623" s="12"/>
      <c r="G623" s="12"/>
      <c r="H623" s="12"/>
      <c r="I623" s="12"/>
      <c r="J623" s="12"/>
      <c r="K623" s="12"/>
      <c r="L623" s="12"/>
      <c r="M623" s="12"/>
      <c r="N623" s="12"/>
      <c r="O623" s="12"/>
      <c r="P623" s="12"/>
      <c r="Q623" s="12"/>
      <c r="R623" s="12"/>
      <c r="S623" s="12"/>
      <c r="T623" s="12"/>
      <c r="U623" s="12"/>
      <c r="V623" s="12"/>
      <c r="W623" s="12"/>
      <c r="X623" s="12"/>
      <c r="Y623" s="12"/>
      <c r="Z623" s="12"/>
    </row>
    <row r="624" customFormat="false" ht="15.75" hidden="false" customHeight="true" outlineLevel="0" collapsed="false">
      <c r="A624" s="12"/>
      <c r="B624" s="12"/>
      <c r="C624" s="12"/>
      <c r="D624" s="12"/>
      <c r="E624" s="12"/>
      <c r="F624" s="12"/>
      <c r="G624" s="12"/>
      <c r="H624" s="12"/>
      <c r="I624" s="12"/>
      <c r="J624" s="12"/>
      <c r="K624" s="12"/>
      <c r="L624" s="12"/>
      <c r="M624" s="12"/>
      <c r="N624" s="12"/>
      <c r="O624" s="12"/>
      <c r="P624" s="12"/>
      <c r="Q624" s="12"/>
      <c r="R624" s="12"/>
      <c r="S624" s="12"/>
      <c r="T624" s="12"/>
      <c r="U624" s="12"/>
      <c r="V624" s="12"/>
      <c r="W624" s="12"/>
      <c r="X624" s="12"/>
      <c r="Y624" s="12"/>
      <c r="Z624" s="12"/>
    </row>
    <row r="625" customFormat="false" ht="15.75" hidden="false" customHeight="true" outlineLevel="0" collapsed="false">
      <c r="A625" s="12"/>
      <c r="B625" s="12"/>
      <c r="C625" s="12"/>
      <c r="D625" s="12"/>
      <c r="E625" s="12"/>
      <c r="F625" s="12"/>
      <c r="G625" s="12"/>
      <c r="H625" s="12"/>
      <c r="I625" s="12"/>
      <c r="J625" s="12"/>
      <c r="K625" s="12"/>
      <c r="L625" s="12"/>
      <c r="M625" s="12"/>
      <c r="N625" s="12"/>
      <c r="O625" s="12"/>
      <c r="P625" s="12"/>
      <c r="Q625" s="12"/>
      <c r="R625" s="12"/>
      <c r="S625" s="12"/>
      <c r="T625" s="12"/>
      <c r="U625" s="12"/>
      <c r="V625" s="12"/>
      <c r="W625" s="12"/>
      <c r="X625" s="12"/>
      <c r="Y625" s="12"/>
      <c r="Z625" s="12"/>
    </row>
    <row r="626" customFormat="false" ht="15.75" hidden="false" customHeight="true" outlineLevel="0" collapsed="false">
      <c r="A626" s="12"/>
      <c r="B626" s="12"/>
      <c r="C626" s="12"/>
      <c r="D626" s="12"/>
      <c r="E626" s="12"/>
      <c r="F626" s="12"/>
      <c r="G626" s="12"/>
      <c r="H626" s="12"/>
      <c r="I626" s="12"/>
      <c r="J626" s="12"/>
      <c r="K626" s="12"/>
      <c r="L626" s="12"/>
      <c r="M626" s="12"/>
      <c r="N626" s="12"/>
      <c r="O626" s="12"/>
      <c r="P626" s="12"/>
      <c r="Q626" s="12"/>
      <c r="R626" s="12"/>
      <c r="S626" s="12"/>
      <c r="T626" s="12"/>
      <c r="U626" s="12"/>
      <c r="V626" s="12"/>
      <c r="W626" s="12"/>
      <c r="X626" s="12"/>
      <c r="Y626" s="12"/>
      <c r="Z626" s="12"/>
    </row>
    <row r="627" customFormat="false" ht="15.75" hidden="false" customHeight="true" outlineLevel="0" collapsed="false">
      <c r="A627" s="12"/>
      <c r="B627" s="12"/>
      <c r="C627" s="12"/>
      <c r="D627" s="12"/>
      <c r="E627" s="12"/>
      <c r="F627" s="12"/>
      <c r="G627" s="12"/>
      <c r="H627" s="12"/>
      <c r="I627" s="12"/>
      <c r="J627" s="12"/>
      <c r="K627" s="12"/>
      <c r="L627" s="12"/>
      <c r="M627" s="12"/>
      <c r="N627" s="12"/>
      <c r="O627" s="12"/>
      <c r="P627" s="12"/>
      <c r="Q627" s="12"/>
      <c r="R627" s="12"/>
      <c r="S627" s="12"/>
      <c r="T627" s="12"/>
      <c r="U627" s="12"/>
      <c r="V627" s="12"/>
      <c r="W627" s="12"/>
      <c r="X627" s="12"/>
      <c r="Y627" s="12"/>
      <c r="Z627" s="12"/>
    </row>
    <row r="628" customFormat="false" ht="15.75" hidden="false" customHeight="true" outlineLevel="0" collapsed="false">
      <c r="A628" s="12"/>
      <c r="B628" s="12"/>
      <c r="C628" s="12"/>
      <c r="D628" s="12"/>
      <c r="E628" s="12"/>
      <c r="F628" s="12"/>
      <c r="G628" s="12"/>
      <c r="H628" s="12"/>
      <c r="I628" s="12"/>
      <c r="J628" s="12"/>
      <c r="K628" s="12"/>
      <c r="L628" s="12"/>
      <c r="M628" s="12"/>
      <c r="N628" s="12"/>
      <c r="O628" s="12"/>
      <c r="P628" s="12"/>
      <c r="Q628" s="12"/>
      <c r="R628" s="12"/>
      <c r="S628" s="12"/>
      <c r="T628" s="12"/>
      <c r="U628" s="12"/>
      <c r="V628" s="12"/>
      <c r="W628" s="12"/>
      <c r="X628" s="12"/>
      <c r="Y628" s="12"/>
      <c r="Z628" s="12"/>
    </row>
    <row r="629" customFormat="false" ht="15.75" hidden="false" customHeight="true" outlineLevel="0" collapsed="false">
      <c r="A629" s="12"/>
      <c r="B629" s="12"/>
      <c r="C629" s="12"/>
      <c r="D629" s="12"/>
      <c r="E629" s="12"/>
      <c r="F629" s="12"/>
      <c r="G629" s="12"/>
      <c r="H629" s="12"/>
      <c r="I629" s="12"/>
      <c r="J629" s="12"/>
      <c r="K629" s="12"/>
      <c r="L629" s="12"/>
      <c r="M629" s="12"/>
      <c r="N629" s="12"/>
      <c r="O629" s="12"/>
      <c r="P629" s="12"/>
      <c r="Q629" s="12"/>
      <c r="R629" s="12"/>
      <c r="S629" s="12"/>
      <c r="T629" s="12"/>
      <c r="U629" s="12"/>
      <c r="V629" s="12"/>
      <c r="W629" s="12"/>
      <c r="X629" s="12"/>
      <c r="Y629" s="12"/>
      <c r="Z629" s="12"/>
    </row>
    <row r="630" customFormat="false" ht="15.75" hidden="false" customHeight="true" outlineLevel="0" collapsed="false">
      <c r="A630" s="12"/>
      <c r="B630" s="12"/>
      <c r="C630" s="12"/>
      <c r="D630" s="12"/>
      <c r="E630" s="12"/>
      <c r="F630" s="12"/>
      <c r="G630" s="12"/>
      <c r="H630" s="12"/>
      <c r="I630" s="12"/>
      <c r="J630" s="12"/>
      <c r="K630" s="12"/>
      <c r="L630" s="12"/>
      <c r="M630" s="12"/>
      <c r="N630" s="12"/>
      <c r="O630" s="12"/>
      <c r="P630" s="12"/>
      <c r="Q630" s="12"/>
      <c r="R630" s="12"/>
      <c r="S630" s="12"/>
      <c r="T630" s="12"/>
      <c r="U630" s="12"/>
      <c r="V630" s="12"/>
      <c r="W630" s="12"/>
      <c r="X630" s="12"/>
      <c r="Y630" s="12"/>
      <c r="Z630" s="12"/>
    </row>
    <row r="631" customFormat="false" ht="15.75" hidden="false" customHeight="true" outlineLevel="0" collapsed="false">
      <c r="A631" s="12"/>
      <c r="B631" s="12"/>
      <c r="C631" s="12"/>
      <c r="D631" s="12"/>
      <c r="E631" s="12"/>
      <c r="F631" s="12"/>
      <c r="G631" s="12"/>
      <c r="H631" s="12"/>
      <c r="I631" s="12"/>
      <c r="J631" s="12"/>
      <c r="K631" s="12"/>
      <c r="L631" s="12"/>
      <c r="M631" s="12"/>
      <c r="N631" s="12"/>
      <c r="O631" s="12"/>
      <c r="P631" s="12"/>
      <c r="Q631" s="12"/>
      <c r="R631" s="12"/>
      <c r="S631" s="12"/>
      <c r="T631" s="12"/>
      <c r="U631" s="12"/>
      <c r="V631" s="12"/>
      <c r="W631" s="12"/>
      <c r="X631" s="12"/>
      <c r="Y631" s="12"/>
      <c r="Z631" s="12"/>
    </row>
    <row r="632" customFormat="false" ht="15.75" hidden="false" customHeight="true" outlineLevel="0" collapsed="false">
      <c r="A632" s="12"/>
      <c r="B632" s="12"/>
      <c r="C632" s="12"/>
      <c r="D632" s="12"/>
      <c r="E632" s="12"/>
      <c r="F632" s="12"/>
      <c r="G632" s="12"/>
      <c r="H632" s="12"/>
      <c r="I632" s="12"/>
      <c r="J632" s="12"/>
      <c r="K632" s="12"/>
      <c r="L632" s="12"/>
      <c r="M632" s="12"/>
      <c r="N632" s="12"/>
      <c r="O632" s="12"/>
      <c r="P632" s="12"/>
      <c r="Q632" s="12"/>
      <c r="R632" s="12"/>
      <c r="S632" s="12"/>
      <c r="T632" s="12"/>
      <c r="U632" s="12"/>
      <c r="V632" s="12"/>
      <c r="W632" s="12"/>
      <c r="X632" s="12"/>
      <c r="Y632" s="12"/>
      <c r="Z632" s="12"/>
    </row>
    <row r="633" customFormat="false" ht="15.75" hidden="false" customHeight="true" outlineLevel="0" collapsed="false">
      <c r="A633" s="12"/>
      <c r="B633" s="12"/>
      <c r="C633" s="12"/>
      <c r="D633" s="12"/>
      <c r="E633" s="12"/>
      <c r="F633" s="12"/>
      <c r="G633" s="12"/>
      <c r="H633" s="12"/>
      <c r="I633" s="12"/>
      <c r="J633" s="12"/>
      <c r="K633" s="12"/>
      <c r="L633" s="12"/>
      <c r="M633" s="12"/>
      <c r="N633" s="12"/>
      <c r="O633" s="12"/>
      <c r="P633" s="12"/>
      <c r="Q633" s="12"/>
      <c r="R633" s="12"/>
      <c r="S633" s="12"/>
      <c r="T633" s="12"/>
      <c r="U633" s="12"/>
      <c r="V633" s="12"/>
      <c r="W633" s="12"/>
      <c r="X633" s="12"/>
      <c r="Y633" s="12"/>
      <c r="Z633" s="12"/>
    </row>
    <row r="634" customFormat="false" ht="15.75" hidden="false" customHeight="true" outlineLevel="0" collapsed="false">
      <c r="A634" s="12"/>
      <c r="B634" s="12"/>
      <c r="C634" s="12"/>
      <c r="D634" s="12"/>
      <c r="E634" s="12"/>
      <c r="F634" s="12"/>
      <c r="G634" s="12"/>
      <c r="H634" s="12"/>
      <c r="I634" s="12"/>
      <c r="J634" s="12"/>
      <c r="K634" s="12"/>
      <c r="L634" s="12"/>
      <c r="M634" s="12"/>
      <c r="N634" s="12"/>
      <c r="O634" s="12"/>
      <c r="P634" s="12"/>
      <c r="Q634" s="12"/>
      <c r="R634" s="12"/>
      <c r="S634" s="12"/>
      <c r="T634" s="12"/>
      <c r="U634" s="12"/>
      <c r="V634" s="12"/>
      <c r="W634" s="12"/>
      <c r="X634" s="12"/>
      <c r="Y634" s="12"/>
      <c r="Z634" s="12"/>
    </row>
    <row r="635" customFormat="false" ht="15.75" hidden="false" customHeight="true" outlineLevel="0" collapsed="false">
      <c r="A635" s="12"/>
      <c r="B635" s="12"/>
      <c r="C635" s="12"/>
      <c r="D635" s="12"/>
      <c r="E635" s="12"/>
      <c r="F635" s="12"/>
      <c r="G635" s="12"/>
      <c r="H635" s="12"/>
      <c r="I635" s="12"/>
      <c r="J635" s="12"/>
      <c r="K635" s="12"/>
      <c r="L635" s="12"/>
      <c r="M635" s="12"/>
      <c r="N635" s="12"/>
      <c r="O635" s="12"/>
      <c r="P635" s="12"/>
      <c r="Q635" s="12"/>
      <c r="R635" s="12"/>
      <c r="S635" s="12"/>
      <c r="T635" s="12"/>
      <c r="U635" s="12"/>
      <c r="V635" s="12"/>
      <c r="W635" s="12"/>
      <c r="X635" s="12"/>
      <c r="Y635" s="12"/>
      <c r="Z635" s="12"/>
    </row>
    <row r="636" customFormat="false" ht="15.75" hidden="false" customHeight="true" outlineLevel="0" collapsed="false">
      <c r="A636" s="12"/>
      <c r="B636" s="12"/>
      <c r="C636" s="12"/>
      <c r="D636" s="12"/>
      <c r="E636" s="12"/>
      <c r="F636" s="12"/>
      <c r="G636" s="12"/>
      <c r="H636" s="12"/>
      <c r="I636" s="12"/>
      <c r="J636" s="12"/>
      <c r="K636" s="12"/>
      <c r="L636" s="12"/>
      <c r="M636" s="12"/>
      <c r="N636" s="12"/>
      <c r="O636" s="12"/>
      <c r="P636" s="12"/>
      <c r="Q636" s="12"/>
      <c r="R636" s="12"/>
      <c r="S636" s="12"/>
      <c r="T636" s="12"/>
      <c r="U636" s="12"/>
      <c r="V636" s="12"/>
      <c r="W636" s="12"/>
      <c r="X636" s="12"/>
      <c r="Y636" s="12"/>
      <c r="Z636" s="12"/>
    </row>
    <row r="637" customFormat="false" ht="15.75" hidden="false" customHeight="true" outlineLevel="0" collapsed="false">
      <c r="A637" s="12"/>
      <c r="B637" s="12"/>
      <c r="C637" s="12"/>
      <c r="D637" s="12"/>
      <c r="E637" s="12"/>
      <c r="F637" s="12"/>
      <c r="G637" s="12"/>
      <c r="H637" s="12"/>
      <c r="I637" s="12"/>
      <c r="J637" s="12"/>
      <c r="K637" s="12"/>
      <c r="L637" s="12"/>
      <c r="M637" s="12"/>
      <c r="N637" s="12"/>
      <c r="O637" s="12"/>
      <c r="P637" s="12"/>
      <c r="Q637" s="12"/>
      <c r="R637" s="12"/>
      <c r="S637" s="12"/>
      <c r="T637" s="12"/>
      <c r="U637" s="12"/>
      <c r="V637" s="12"/>
      <c r="W637" s="12"/>
      <c r="X637" s="12"/>
      <c r="Y637" s="12"/>
      <c r="Z637" s="12"/>
    </row>
    <row r="638" customFormat="false" ht="15.75" hidden="false" customHeight="true" outlineLevel="0" collapsed="false">
      <c r="A638" s="12"/>
      <c r="B638" s="12"/>
      <c r="C638" s="12"/>
      <c r="D638" s="12"/>
      <c r="E638" s="12"/>
      <c r="F638" s="12"/>
      <c r="G638" s="12"/>
      <c r="H638" s="12"/>
      <c r="I638" s="12"/>
      <c r="J638" s="12"/>
      <c r="K638" s="12"/>
      <c r="L638" s="12"/>
      <c r="M638" s="12"/>
      <c r="N638" s="12"/>
      <c r="O638" s="12"/>
      <c r="P638" s="12"/>
      <c r="Q638" s="12"/>
      <c r="R638" s="12"/>
      <c r="S638" s="12"/>
      <c r="T638" s="12"/>
      <c r="U638" s="12"/>
      <c r="V638" s="12"/>
      <c r="W638" s="12"/>
      <c r="X638" s="12"/>
      <c r="Y638" s="12"/>
      <c r="Z638" s="12"/>
    </row>
    <row r="639" customFormat="false" ht="15.75" hidden="false" customHeight="true" outlineLevel="0" collapsed="false">
      <c r="A639" s="12"/>
      <c r="B639" s="12"/>
      <c r="C639" s="12"/>
      <c r="D639" s="12"/>
      <c r="E639" s="12"/>
      <c r="F639" s="12"/>
      <c r="G639" s="12"/>
      <c r="H639" s="12"/>
      <c r="I639" s="12"/>
      <c r="J639" s="12"/>
      <c r="K639" s="12"/>
      <c r="L639" s="12"/>
      <c r="M639" s="12"/>
      <c r="N639" s="12"/>
      <c r="O639" s="12"/>
      <c r="P639" s="12"/>
      <c r="Q639" s="12"/>
      <c r="R639" s="12"/>
      <c r="S639" s="12"/>
      <c r="T639" s="12"/>
      <c r="U639" s="12"/>
      <c r="V639" s="12"/>
      <c r="W639" s="12"/>
      <c r="X639" s="12"/>
      <c r="Y639" s="12"/>
      <c r="Z639" s="12"/>
    </row>
    <row r="640" customFormat="false" ht="15.75" hidden="false" customHeight="true" outlineLevel="0" collapsed="false">
      <c r="A640" s="12"/>
      <c r="B640" s="12"/>
      <c r="C640" s="12"/>
      <c r="D640" s="12"/>
      <c r="E640" s="12"/>
      <c r="F640" s="12"/>
      <c r="G640" s="12"/>
      <c r="H640" s="12"/>
      <c r="I640" s="12"/>
      <c r="J640" s="12"/>
      <c r="K640" s="12"/>
      <c r="L640" s="12"/>
      <c r="M640" s="12"/>
      <c r="N640" s="12"/>
      <c r="O640" s="12"/>
      <c r="P640" s="12"/>
      <c r="Q640" s="12"/>
      <c r="R640" s="12"/>
      <c r="S640" s="12"/>
      <c r="T640" s="12"/>
      <c r="U640" s="12"/>
      <c r="V640" s="12"/>
      <c r="W640" s="12"/>
      <c r="X640" s="12"/>
      <c r="Y640" s="12"/>
      <c r="Z640" s="12"/>
    </row>
    <row r="641" customFormat="false" ht="15.75" hidden="false" customHeight="true" outlineLevel="0" collapsed="false">
      <c r="A641" s="12"/>
      <c r="B641" s="12"/>
      <c r="C641" s="12"/>
      <c r="D641" s="12"/>
      <c r="E641" s="12"/>
      <c r="F641" s="12"/>
      <c r="G641" s="12"/>
      <c r="H641" s="12"/>
      <c r="I641" s="12"/>
      <c r="J641" s="12"/>
      <c r="K641" s="12"/>
      <c r="L641" s="12"/>
      <c r="M641" s="12"/>
      <c r="N641" s="12"/>
      <c r="O641" s="12"/>
      <c r="P641" s="12"/>
      <c r="Q641" s="12"/>
      <c r="R641" s="12"/>
      <c r="S641" s="12"/>
      <c r="T641" s="12"/>
      <c r="U641" s="12"/>
      <c r="V641" s="12"/>
      <c r="W641" s="12"/>
      <c r="X641" s="12"/>
      <c r="Y641" s="12"/>
      <c r="Z641" s="12"/>
    </row>
    <row r="642" customFormat="false" ht="15.75" hidden="false" customHeight="true" outlineLevel="0" collapsed="false">
      <c r="A642" s="12"/>
      <c r="B642" s="12"/>
      <c r="C642" s="12"/>
      <c r="D642" s="12"/>
      <c r="E642" s="12"/>
      <c r="F642" s="12"/>
      <c r="G642" s="12"/>
      <c r="H642" s="12"/>
      <c r="I642" s="12"/>
      <c r="J642" s="12"/>
      <c r="K642" s="12"/>
      <c r="L642" s="12"/>
      <c r="M642" s="12"/>
      <c r="N642" s="12"/>
      <c r="O642" s="12"/>
      <c r="P642" s="12"/>
      <c r="Q642" s="12"/>
      <c r="R642" s="12"/>
      <c r="S642" s="12"/>
      <c r="T642" s="12"/>
      <c r="U642" s="12"/>
      <c r="V642" s="12"/>
      <c r="W642" s="12"/>
      <c r="X642" s="12"/>
      <c r="Y642" s="12"/>
      <c r="Z642" s="12"/>
    </row>
    <row r="643" customFormat="false" ht="15.75" hidden="false" customHeight="true" outlineLevel="0" collapsed="false">
      <c r="A643" s="12"/>
      <c r="B643" s="12"/>
      <c r="C643" s="12"/>
      <c r="D643" s="12"/>
      <c r="E643" s="12"/>
      <c r="F643" s="12"/>
      <c r="G643" s="12"/>
      <c r="H643" s="12"/>
      <c r="I643" s="12"/>
      <c r="J643" s="12"/>
      <c r="K643" s="12"/>
      <c r="L643" s="12"/>
      <c r="M643" s="12"/>
      <c r="N643" s="12"/>
      <c r="O643" s="12"/>
      <c r="P643" s="12"/>
      <c r="Q643" s="12"/>
      <c r="R643" s="12"/>
      <c r="S643" s="12"/>
      <c r="T643" s="12"/>
      <c r="U643" s="12"/>
      <c r="V643" s="12"/>
      <c r="W643" s="12"/>
      <c r="X643" s="12"/>
      <c r="Y643" s="12"/>
      <c r="Z643" s="12"/>
    </row>
    <row r="644" customFormat="false" ht="15.75" hidden="false" customHeight="true" outlineLevel="0" collapsed="false">
      <c r="A644" s="12"/>
      <c r="B644" s="12"/>
      <c r="C644" s="12"/>
      <c r="D644" s="12"/>
      <c r="E644" s="12"/>
      <c r="F644" s="12"/>
      <c r="G644" s="12"/>
      <c r="H644" s="12"/>
      <c r="I644" s="12"/>
      <c r="J644" s="12"/>
      <c r="K644" s="12"/>
      <c r="L644" s="12"/>
      <c r="M644" s="12"/>
      <c r="N644" s="12"/>
      <c r="O644" s="12"/>
      <c r="P644" s="12"/>
      <c r="Q644" s="12"/>
      <c r="R644" s="12"/>
      <c r="S644" s="12"/>
      <c r="T644" s="12"/>
      <c r="U644" s="12"/>
      <c r="V644" s="12"/>
      <c r="W644" s="12"/>
      <c r="X644" s="12"/>
      <c r="Y644" s="12"/>
      <c r="Z644" s="12"/>
    </row>
    <row r="645" customFormat="false" ht="15.75" hidden="false" customHeight="true" outlineLevel="0" collapsed="false">
      <c r="A645" s="12"/>
      <c r="B645" s="12"/>
      <c r="C645" s="12"/>
      <c r="D645" s="12"/>
      <c r="E645" s="12"/>
      <c r="F645" s="12"/>
      <c r="G645" s="12"/>
      <c r="H645" s="12"/>
      <c r="I645" s="12"/>
      <c r="J645" s="12"/>
      <c r="K645" s="12"/>
      <c r="L645" s="12"/>
      <c r="M645" s="12"/>
      <c r="N645" s="12"/>
      <c r="O645" s="12"/>
      <c r="P645" s="12"/>
      <c r="Q645" s="12"/>
      <c r="R645" s="12"/>
      <c r="S645" s="12"/>
      <c r="T645" s="12"/>
      <c r="U645" s="12"/>
      <c r="V645" s="12"/>
      <c r="W645" s="12"/>
      <c r="X645" s="12"/>
      <c r="Y645" s="12"/>
      <c r="Z645" s="12"/>
    </row>
    <row r="646" customFormat="false" ht="15.75" hidden="false" customHeight="true" outlineLevel="0" collapsed="false">
      <c r="A646" s="12"/>
      <c r="B646" s="12"/>
      <c r="C646" s="12"/>
      <c r="D646" s="12"/>
      <c r="E646" s="12"/>
      <c r="F646" s="12"/>
      <c r="G646" s="12"/>
      <c r="H646" s="12"/>
      <c r="I646" s="12"/>
      <c r="J646" s="12"/>
      <c r="K646" s="12"/>
      <c r="L646" s="12"/>
      <c r="M646" s="12"/>
      <c r="N646" s="12"/>
      <c r="O646" s="12"/>
      <c r="P646" s="12"/>
      <c r="Q646" s="12"/>
      <c r="R646" s="12"/>
      <c r="S646" s="12"/>
      <c r="T646" s="12"/>
      <c r="U646" s="12"/>
      <c r="V646" s="12"/>
      <c r="W646" s="12"/>
      <c r="X646" s="12"/>
      <c r="Y646" s="12"/>
      <c r="Z646" s="12"/>
    </row>
    <row r="647" customFormat="false" ht="15.75" hidden="false" customHeight="true" outlineLevel="0" collapsed="false">
      <c r="A647" s="12"/>
      <c r="B647" s="12"/>
      <c r="C647" s="12"/>
      <c r="D647" s="12"/>
      <c r="E647" s="12"/>
      <c r="F647" s="12"/>
      <c r="G647" s="12"/>
      <c r="H647" s="12"/>
      <c r="I647" s="12"/>
      <c r="J647" s="12"/>
      <c r="K647" s="12"/>
      <c r="L647" s="12"/>
      <c r="M647" s="12"/>
      <c r="N647" s="12"/>
      <c r="O647" s="12"/>
      <c r="P647" s="12"/>
      <c r="Q647" s="12"/>
      <c r="R647" s="12"/>
      <c r="S647" s="12"/>
      <c r="T647" s="12"/>
      <c r="U647" s="12"/>
      <c r="V647" s="12"/>
      <c r="W647" s="12"/>
      <c r="X647" s="12"/>
      <c r="Y647" s="12"/>
      <c r="Z647" s="12"/>
    </row>
    <row r="648" customFormat="false" ht="15.75" hidden="false" customHeight="true" outlineLevel="0" collapsed="false">
      <c r="A648" s="12"/>
      <c r="B648" s="12"/>
      <c r="C648" s="12"/>
      <c r="D648" s="12"/>
      <c r="E648" s="12"/>
      <c r="F648" s="12"/>
      <c r="G648" s="12"/>
      <c r="H648" s="12"/>
      <c r="I648" s="12"/>
      <c r="J648" s="12"/>
      <c r="K648" s="12"/>
      <c r="L648" s="12"/>
      <c r="M648" s="12"/>
      <c r="N648" s="12"/>
      <c r="O648" s="12"/>
      <c r="P648" s="12"/>
      <c r="Q648" s="12"/>
      <c r="R648" s="12"/>
      <c r="S648" s="12"/>
      <c r="T648" s="12"/>
      <c r="U648" s="12"/>
      <c r="V648" s="12"/>
      <c r="W648" s="12"/>
      <c r="X648" s="12"/>
      <c r="Y648" s="12"/>
      <c r="Z648" s="12"/>
    </row>
    <row r="649" customFormat="false" ht="15.75" hidden="false" customHeight="true" outlineLevel="0" collapsed="false">
      <c r="A649" s="12"/>
      <c r="B649" s="12"/>
      <c r="C649" s="12"/>
      <c r="D649" s="12"/>
      <c r="E649" s="12"/>
      <c r="F649" s="12"/>
      <c r="G649" s="12"/>
      <c r="H649" s="12"/>
      <c r="I649" s="12"/>
      <c r="J649" s="12"/>
      <c r="K649" s="12"/>
      <c r="L649" s="12"/>
      <c r="M649" s="12"/>
      <c r="N649" s="12"/>
      <c r="O649" s="12"/>
      <c r="P649" s="12"/>
      <c r="Q649" s="12"/>
      <c r="R649" s="12"/>
      <c r="S649" s="12"/>
      <c r="T649" s="12"/>
      <c r="U649" s="12"/>
      <c r="V649" s="12"/>
      <c r="W649" s="12"/>
      <c r="X649" s="12"/>
      <c r="Y649" s="12"/>
      <c r="Z649" s="12"/>
    </row>
    <row r="650" customFormat="false" ht="15.75" hidden="false" customHeight="true" outlineLevel="0" collapsed="false">
      <c r="A650" s="12"/>
      <c r="B650" s="12"/>
      <c r="C650" s="12"/>
      <c r="D650" s="12"/>
      <c r="E650" s="12"/>
      <c r="F650" s="12"/>
      <c r="G650" s="12"/>
      <c r="H650" s="12"/>
      <c r="I650" s="12"/>
      <c r="J650" s="12"/>
      <c r="K650" s="12"/>
      <c r="L650" s="12"/>
      <c r="M650" s="12"/>
      <c r="N650" s="12"/>
      <c r="O650" s="12"/>
      <c r="P650" s="12"/>
      <c r="Q650" s="12"/>
      <c r="R650" s="12"/>
      <c r="S650" s="12"/>
      <c r="T650" s="12"/>
      <c r="U650" s="12"/>
      <c r="V650" s="12"/>
      <c r="W650" s="12"/>
      <c r="X650" s="12"/>
      <c r="Y650" s="12"/>
      <c r="Z650" s="12"/>
    </row>
    <row r="651" customFormat="false" ht="15.75" hidden="false" customHeight="true" outlineLevel="0" collapsed="false">
      <c r="A651" s="12"/>
      <c r="B651" s="12"/>
      <c r="C651" s="12"/>
      <c r="D651" s="12"/>
      <c r="E651" s="12"/>
      <c r="F651" s="12"/>
      <c r="G651" s="12"/>
      <c r="H651" s="12"/>
      <c r="I651" s="12"/>
      <c r="J651" s="12"/>
      <c r="K651" s="12"/>
      <c r="L651" s="12"/>
      <c r="M651" s="12"/>
      <c r="N651" s="12"/>
      <c r="O651" s="12"/>
      <c r="P651" s="12"/>
      <c r="Q651" s="12"/>
      <c r="R651" s="12"/>
      <c r="S651" s="12"/>
      <c r="T651" s="12"/>
      <c r="U651" s="12"/>
      <c r="V651" s="12"/>
      <c r="W651" s="12"/>
      <c r="X651" s="12"/>
      <c r="Y651" s="12"/>
      <c r="Z651" s="12"/>
    </row>
    <row r="652" customFormat="false" ht="15.75" hidden="false" customHeight="true" outlineLevel="0" collapsed="false">
      <c r="A652" s="12"/>
      <c r="B652" s="12"/>
      <c r="C652" s="12"/>
      <c r="D652" s="12"/>
      <c r="E652" s="12"/>
      <c r="F652" s="12"/>
      <c r="G652" s="12"/>
      <c r="H652" s="12"/>
      <c r="I652" s="12"/>
      <c r="J652" s="12"/>
      <c r="K652" s="12"/>
      <c r="L652" s="12"/>
      <c r="M652" s="12"/>
      <c r="N652" s="12"/>
      <c r="O652" s="12"/>
      <c r="P652" s="12"/>
      <c r="Q652" s="12"/>
      <c r="R652" s="12"/>
      <c r="S652" s="12"/>
      <c r="T652" s="12"/>
      <c r="U652" s="12"/>
      <c r="V652" s="12"/>
      <c r="W652" s="12"/>
      <c r="X652" s="12"/>
      <c r="Y652" s="12"/>
      <c r="Z652" s="12"/>
    </row>
    <row r="653" customFormat="false" ht="15.75" hidden="false" customHeight="true" outlineLevel="0" collapsed="false">
      <c r="A653" s="12"/>
      <c r="B653" s="12"/>
      <c r="C653" s="12"/>
      <c r="D653" s="12"/>
      <c r="E653" s="12"/>
      <c r="F653" s="12"/>
      <c r="G653" s="12"/>
      <c r="H653" s="12"/>
      <c r="I653" s="12"/>
      <c r="J653" s="12"/>
      <c r="K653" s="12"/>
      <c r="L653" s="12"/>
      <c r="M653" s="12"/>
      <c r="N653" s="12"/>
      <c r="O653" s="12"/>
      <c r="P653" s="12"/>
      <c r="Q653" s="12"/>
      <c r="R653" s="12"/>
      <c r="S653" s="12"/>
      <c r="T653" s="12"/>
      <c r="U653" s="12"/>
      <c r="V653" s="12"/>
      <c r="W653" s="12"/>
      <c r="X653" s="12"/>
      <c r="Y653" s="12"/>
      <c r="Z653" s="12"/>
    </row>
    <row r="654" customFormat="false" ht="15.75" hidden="false" customHeight="true" outlineLevel="0" collapsed="false">
      <c r="A654" s="12"/>
      <c r="B654" s="12"/>
      <c r="C654" s="12"/>
      <c r="D654" s="12"/>
      <c r="E654" s="12"/>
      <c r="F654" s="12"/>
      <c r="G654" s="12"/>
      <c r="H654" s="12"/>
      <c r="I654" s="12"/>
      <c r="J654" s="12"/>
      <c r="K654" s="12"/>
      <c r="L654" s="12"/>
      <c r="M654" s="12"/>
      <c r="N654" s="12"/>
      <c r="O654" s="12"/>
      <c r="P654" s="12"/>
      <c r="Q654" s="12"/>
      <c r="R654" s="12"/>
      <c r="S654" s="12"/>
      <c r="T654" s="12"/>
      <c r="U654" s="12"/>
      <c r="V654" s="12"/>
      <c r="W654" s="12"/>
      <c r="X654" s="12"/>
      <c r="Y654" s="12"/>
      <c r="Z654" s="12"/>
    </row>
    <row r="655" customFormat="false" ht="15.75" hidden="false" customHeight="true" outlineLevel="0" collapsed="false">
      <c r="A655" s="12"/>
      <c r="B655" s="12"/>
      <c r="C655" s="12"/>
      <c r="D655" s="12"/>
      <c r="E655" s="12"/>
      <c r="F655" s="12"/>
      <c r="G655" s="12"/>
      <c r="H655" s="12"/>
      <c r="I655" s="12"/>
      <c r="J655" s="12"/>
      <c r="K655" s="12"/>
      <c r="L655" s="12"/>
      <c r="M655" s="12"/>
      <c r="N655" s="12"/>
      <c r="O655" s="12"/>
      <c r="P655" s="12"/>
      <c r="Q655" s="12"/>
      <c r="R655" s="12"/>
      <c r="S655" s="12"/>
      <c r="T655" s="12"/>
      <c r="U655" s="12"/>
      <c r="V655" s="12"/>
      <c r="W655" s="12"/>
      <c r="X655" s="12"/>
      <c r="Y655" s="12"/>
      <c r="Z655" s="12"/>
    </row>
    <row r="656" customFormat="false" ht="15.75" hidden="false" customHeight="true" outlineLevel="0" collapsed="false">
      <c r="A656" s="12"/>
      <c r="B656" s="12"/>
      <c r="C656" s="12"/>
      <c r="D656" s="12"/>
      <c r="E656" s="12"/>
      <c r="F656" s="12"/>
      <c r="G656" s="12"/>
      <c r="H656" s="12"/>
      <c r="I656" s="12"/>
      <c r="J656" s="12"/>
      <c r="K656" s="12"/>
      <c r="L656" s="12"/>
      <c r="M656" s="12"/>
      <c r="N656" s="12"/>
      <c r="O656" s="12"/>
      <c r="P656" s="12"/>
      <c r="Q656" s="12"/>
      <c r="R656" s="12"/>
      <c r="S656" s="12"/>
      <c r="T656" s="12"/>
      <c r="U656" s="12"/>
      <c r="V656" s="12"/>
      <c r="W656" s="12"/>
      <c r="X656" s="12"/>
      <c r="Y656" s="12"/>
      <c r="Z656" s="12"/>
    </row>
    <row r="657" customFormat="false" ht="15.75" hidden="false" customHeight="true" outlineLevel="0" collapsed="false">
      <c r="A657" s="12"/>
      <c r="B657" s="12"/>
      <c r="C657" s="12"/>
      <c r="D657" s="12"/>
      <c r="E657" s="12"/>
      <c r="F657" s="12"/>
      <c r="G657" s="12"/>
      <c r="H657" s="12"/>
      <c r="I657" s="12"/>
      <c r="J657" s="12"/>
      <c r="K657" s="12"/>
      <c r="L657" s="12"/>
      <c r="M657" s="12"/>
      <c r="N657" s="12"/>
      <c r="O657" s="12"/>
      <c r="P657" s="12"/>
      <c r="Q657" s="12"/>
      <c r="R657" s="12"/>
      <c r="S657" s="12"/>
      <c r="T657" s="12"/>
      <c r="U657" s="12"/>
      <c r="V657" s="12"/>
      <c r="W657" s="12"/>
      <c r="X657" s="12"/>
      <c r="Y657" s="12"/>
      <c r="Z657" s="12"/>
    </row>
    <row r="658" customFormat="false" ht="15.75" hidden="false" customHeight="true" outlineLevel="0" collapsed="false">
      <c r="A658" s="12"/>
      <c r="B658" s="12"/>
      <c r="C658" s="12"/>
      <c r="D658" s="12"/>
      <c r="E658" s="12"/>
      <c r="F658" s="12"/>
      <c r="G658" s="12"/>
      <c r="H658" s="12"/>
      <c r="I658" s="12"/>
      <c r="J658" s="12"/>
      <c r="K658" s="12"/>
      <c r="L658" s="12"/>
      <c r="M658" s="12"/>
      <c r="N658" s="12"/>
      <c r="O658" s="12"/>
      <c r="P658" s="12"/>
      <c r="Q658" s="12"/>
      <c r="R658" s="12"/>
      <c r="S658" s="12"/>
      <c r="T658" s="12"/>
      <c r="U658" s="12"/>
      <c r="V658" s="12"/>
      <c r="W658" s="12"/>
      <c r="X658" s="12"/>
      <c r="Y658" s="12"/>
      <c r="Z658" s="12"/>
    </row>
    <row r="659" customFormat="false" ht="15.75" hidden="false" customHeight="true" outlineLevel="0" collapsed="false">
      <c r="A659" s="12"/>
      <c r="B659" s="12"/>
      <c r="C659" s="12"/>
      <c r="D659" s="12"/>
      <c r="E659" s="12"/>
      <c r="F659" s="12"/>
      <c r="G659" s="12"/>
      <c r="H659" s="12"/>
      <c r="I659" s="12"/>
      <c r="J659" s="12"/>
      <c r="K659" s="12"/>
      <c r="L659" s="12"/>
      <c r="M659" s="12"/>
      <c r="N659" s="12"/>
      <c r="O659" s="12"/>
      <c r="P659" s="12"/>
      <c r="Q659" s="12"/>
      <c r="R659" s="12"/>
      <c r="S659" s="12"/>
      <c r="T659" s="12"/>
      <c r="U659" s="12"/>
      <c r="V659" s="12"/>
      <c r="W659" s="12"/>
      <c r="X659" s="12"/>
      <c r="Y659" s="12"/>
      <c r="Z659" s="12"/>
    </row>
    <row r="660" customFormat="false" ht="15.75" hidden="false" customHeight="true" outlineLevel="0" collapsed="false">
      <c r="A660" s="12"/>
      <c r="B660" s="12"/>
      <c r="C660" s="12"/>
      <c r="D660" s="12"/>
      <c r="E660" s="12"/>
      <c r="F660" s="12"/>
      <c r="G660" s="12"/>
      <c r="H660" s="12"/>
      <c r="I660" s="12"/>
      <c r="J660" s="12"/>
      <c r="K660" s="12"/>
      <c r="L660" s="12"/>
      <c r="M660" s="12"/>
      <c r="N660" s="12"/>
      <c r="O660" s="12"/>
      <c r="P660" s="12"/>
      <c r="Q660" s="12"/>
      <c r="R660" s="12"/>
      <c r="S660" s="12"/>
      <c r="T660" s="12"/>
      <c r="U660" s="12"/>
      <c r="V660" s="12"/>
      <c r="W660" s="12"/>
      <c r="X660" s="12"/>
      <c r="Y660" s="12"/>
      <c r="Z660" s="12"/>
    </row>
    <row r="661" customFormat="false" ht="15.75" hidden="false" customHeight="true" outlineLevel="0" collapsed="false">
      <c r="A661" s="12"/>
      <c r="B661" s="12"/>
      <c r="C661" s="12"/>
      <c r="D661" s="12"/>
      <c r="E661" s="12"/>
      <c r="F661" s="12"/>
      <c r="G661" s="12"/>
      <c r="H661" s="12"/>
      <c r="I661" s="12"/>
      <c r="J661" s="12"/>
      <c r="K661" s="12"/>
      <c r="L661" s="12"/>
      <c r="M661" s="12"/>
      <c r="N661" s="12"/>
      <c r="O661" s="12"/>
      <c r="P661" s="12"/>
      <c r="Q661" s="12"/>
      <c r="R661" s="12"/>
      <c r="S661" s="12"/>
      <c r="T661" s="12"/>
      <c r="U661" s="12"/>
      <c r="V661" s="12"/>
      <c r="W661" s="12"/>
      <c r="X661" s="12"/>
      <c r="Y661" s="12"/>
      <c r="Z661" s="12"/>
    </row>
    <row r="662" customFormat="false" ht="15.75" hidden="false" customHeight="true" outlineLevel="0" collapsed="false">
      <c r="A662" s="12"/>
      <c r="B662" s="12"/>
      <c r="C662" s="12"/>
      <c r="D662" s="12"/>
      <c r="E662" s="12"/>
      <c r="F662" s="12"/>
      <c r="G662" s="12"/>
      <c r="H662" s="12"/>
      <c r="I662" s="12"/>
      <c r="J662" s="12"/>
      <c r="K662" s="12"/>
      <c r="L662" s="12"/>
      <c r="M662" s="12"/>
      <c r="N662" s="12"/>
      <c r="O662" s="12"/>
      <c r="P662" s="12"/>
      <c r="Q662" s="12"/>
      <c r="R662" s="12"/>
      <c r="S662" s="12"/>
      <c r="T662" s="12"/>
      <c r="U662" s="12"/>
      <c r="V662" s="12"/>
      <c r="W662" s="12"/>
      <c r="X662" s="12"/>
      <c r="Y662" s="12"/>
      <c r="Z662" s="12"/>
    </row>
    <row r="663" customFormat="false" ht="15.75" hidden="false" customHeight="true" outlineLevel="0" collapsed="false">
      <c r="A663" s="12"/>
      <c r="B663" s="12"/>
      <c r="C663" s="12"/>
      <c r="D663" s="12"/>
      <c r="E663" s="12"/>
      <c r="F663" s="12"/>
      <c r="G663" s="12"/>
      <c r="H663" s="12"/>
      <c r="I663" s="12"/>
      <c r="J663" s="12"/>
      <c r="K663" s="12"/>
      <c r="L663" s="12"/>
      <c r="M663" s="12"/>
      <c r="N663" s="12"/>
      <c r="O663" s="12"/>
      <c r="P663" s="12"/>
      <c r="Q663" s="12"/>
      <c r="R663" s="12"/>
      <c r="S663" s="12"/>
      <c r="T663" s="12"/>
      <c r="U663" s="12"/>
      <c r="V663" s="12"/>
      <c r="W663" s="12"/>
      <c r="X663" s="12"/>
      <c r="Y663" s="12"/>
      <c r="Z663" s="12"/>
    </row>
    <row r="664" customFormat="false" ht="15.75" hidden="false" customHeight="true" outlineLevel="0" collapsed="false">
      <c r="A664" s="12"/>
      <c r="B664" s="12"/>
      <c r="C664" s="12"/>
      <c r="D664" s="12"/>
      <c r="E664" s="12"/>
      <c r="F664" s="12"/>
      <c r="G664" s="12"/>
      <c r="H664" s="12"/>
      <c r="I664" s="12"/>
      <c r="J664" s="12"/>
      <c r="K664" s="12"/>
      <c r="L664" s="12"/>
      <c r="M664" s="12"/>
      <c r="N664" s="12"/>
      <c r="O664" s="12"/>
      <c r="P664" s="12"/>
      <c r="Q664" s="12"/>
      <c r="R664" s="12"/>
      <c r="S664" s="12"/>
      <c r="T664" s="12"/>
      <c r="U664" s="12"/>
      <c r="V664" s="12"/>
      <c r="W664" s="12"/>
      <c r="X664" s="12"/>
      <c r="Y664" s="12"/>
      <c r="Z664" s="12"/>
    </row>
    <row r="665" customFormat="false" ht="15.75" hidden="false" customHeight="true" outlineLevel="0" collapsed="false">
      <c r="A665" s="12"/>
      <c r="B665" s="12"/>
      <c r="C665" s="12"/>
      <c r="D665" s="12"/>
      <c r="E665" s="12"/>
      <c r="F665" s="12"/>
      <c r="G665" s="12"/>
      <c r="H665" s="12"/>
      <c r="I665" s="12"/>
      <c r="J665" s="12"/>
      <c r="K665" s="12"/>
      <c r="L665" s="12"/>
      <c r="M665" s="12"/>
      <c r="N665" s="12"/>
      <c r="O665" s="12"/>
      <c r="P665" s="12"/>
      <c r="Q665" s="12"/>
      <c r="R665" s="12"/>
      <c r="S665" s="12"/>
      <c r="T665" s="12"/>
      <c r="U665" s="12"/>
      <c r="V665" s="12"/>
      <c r="W665" s="12"/>
      <c r="X665" s="12"/>
      <c r="Y665" s="12"/>
      <c r="Z665" s="12"/>
    </row>
    <row r="666" customFormat="false" ht="15.75" hidden="false" customHeight="true" outlineLevel="0" collapsed="false">
      <c r="A666" s="12"/>
      <c r="B666" s="12"/>
      <c r="C666" s="12"/>
      <c r="D666" s="12"/>
      <c r="E666" s="12"/>
      <c r="F666" s="12"/>
      <c r="G666" s="12"/>
      <c r="H666" s="12"/>
      <c r="I666" s="12"/>
      <c r="J666" s="12"/>
      <c r="K666" s="12"/>
      <c r="L666" s="12"/>
      <c r="M666" s="12"/>
      <c r="N666" s="12"/>
      <c r="O666" s="12"/>
      <c r="P666" s="12"/>
      <c r="Q666" s="12"/>
      <c r="R666" s="12"/>
      <c r="S666" s="12"/>
      <c r="T666" s="12"/>
      <c r="U666" s="12"/>
      <c r="V666" s="12"/>
      <c r="W666" s="12"/>
      <c r="X666" s="12"/>
      <c r="Y666" s="12"/>
      <c r="Z666" s="12"/>
    </row>
    <row r="667" customFormat="false" ht="15.75" hidden="false" customHeight="true" outlineLevel="0" collapsed="false">
      <c r="A667" s="12"/>
      <c r="B667" s="12"/>
      <c r="C667" s="12"/>
      <c r="D667" s="12"/>
      <c r="E667" s="12"/>
      <c r="F667" s="12"/>
      <c r="G667" s="12"/>
      <c r="H667" s="12"/>
      <c r="I667" s="12"/>
      <c r="J667" s="12"/>
      <c r="K667" s="12"/>
      <c r="L667" s="12"/>
      <c r="M667" s="12"/>
      <c r="N667" s="12"/>
      <c r="O667" s="12"/>
      <c r="P667" s="12"/>
      <c r="Q667" s="12"/>
      <c r="R667" s="12"/>
      <c r="S667" s="12"/>
      <c r="T667" s="12"/>
      <c r="U667" s="12"/>
      <c r="V667" s="12"/>
      <c r="W667" s="12"/>
      <c r="X667" s="12"/>
      <c r="Y667" s="12"/>
      <c r="Z667" s="12"/>
    </row>
    <row r="668" customFormat="false" ht="15.75" hidden="false" customHeight="true" outlineLevel="0" collapsed="false">
      <c r="A668" s="12"/>
      <c r="B668" s="12"/>
      <c r="C668" s="12"/>
      <c r="D668" s="12"/>
      <c r="E668" s="12"/>
      <c r="F668" s="12"/>
      <c r="G668" s="12"/>
      <c r="H668" s="12"/>
      <c r="I668" s="12"/>
      <c r="J668" s="12"/>
      <c r="K668" s="12"/>
      <c r="L668" s="12"/>
      <c r="M668" s="12"/>
      <c r="N668" s="12"/>
      <c r="O668" s="12"/>
      <c r="P668" s="12"/>
      <c r="Q668" s="12"/>
      <c r="R668" s="12"/>
      <c r="S668" s="12"/>
      <c r="T668" s="12"/>
      <c r="U668" s="12"/>
      <c r="V668" s="12"/>
      <c r="W668" s="12"/>
      <c r="X668" s="12"/>
      <c r="Y668" s="12"/>
      <c r="Z668" s="12"/>
    </row>
    <row r="669" customFormat="false" ht="15.75" hidden="false" customHeight="true" outlineLevel="0" collapsed="false">
      <c r="A669" s="12"/>
      <c r="B669" s="12"/>
      <c r="C669" s="12"/>
      <c r="D669" s="12"/>
      <c r="E669" s="12"/>
      <c r="F669" s="12"/>
      <c r="G669" s="12"/>
      <c r="H669" s="12"/>
      <c r="I669" s="12"/>
      <c r="J669" s="12"/>
      <c r="K669" s="12"/>
      <c r="L669" s="12"/>
      <c r="M669" s="12"/>
      <c r="N669" s="12"/>
      <c r="O669" s="12"/>
      <c r="P669" s="12"/>
      <c r="Q669" s="12"/>
      <c r="R669" s="12"/>
      <c r="S669" s="12"/>
      <c r="T669" s="12"/>
      <c r="U669" s="12"/>
      <c r="V669" s="12"/>
      <c r="W669" s="12"/>
      <c r="X669" s="12"/>
      <c r="Y669" s="12"/>
      <c r="Z669" s="12"/>
    </row>
    <row r="670" customFormat="false" ht="15.75" hidden="false" customHeight="true" outlineLevel="0" collapsed="false">
      <c r="A670" s="12"/>
      <c r="B670" s="12"/>
      <c r="C670" s="12"/>
      <c r="D670" s="12"/>
      <c r="E670" s="12"/>
      <c r="F670" s="12"/>
      <c r="G670" s="12"/>
      <c r="H670" s="12"/>
      <c r="I670" s="12"/>
      <c r="J670" s="12"/>
      <c r="K670" s="12"/>
      <c r="L670" s="12"/>
      <c r="M670" s="12"/>
      <c r="N670" s="12"/>
      <c r="O670" s="12"/>
      <c r="P670" s="12"/>
      <c r="Q670" s="12"/>
      <c r="R670" s="12"/>
      <c r="S670" s="12"/>
      <c r="T670" s="12"/>
      <c r="U670" s="12"/>
      <c r="V670" s="12"/>
      <c r="W670" s="12"/>
      <c r="X670" s="12"/>
      <c r="Y670" s="12"/>
      <c r="Z670" s="12"/>
    </row>
    <row r="671" customFormat="false" ht="15.75" hidden="false" customHeight="true" outlineLevel="0" collapsed="false">
      <c r="A671" s="12"/>
      <c r="B671" s="12"/>
      <c r="C671" s="12"/>
      <c r="D671" s="12"/>
      <c r="E671" s="12"/>
      <c r="F671" s="12"/>
      <c r="G671" s="12"/>
      <c r="H671" s="12"/>
      <c r="I671" s="12"/>
      <c r="J671" s="12"/>
      <c r="K671" s="12"/>
      <c r="L671" s="12"/>
      <c r="M671" s="12"/>
      <c r="N671" s="12"/>
      <c r="O671" s="12"/>
      <c r="P671" s="12"/>
      <c r="Q671" s="12"/>
      <c r="R671" s="12"/>
      <c r="S671" s="12"/>
      <c r="T671" s="12"/>
      <c r="U671" s="12"/>
      <c r="V671" s="12"/>
      <c r="W671" s="12"/>
      <c r="X671" s="12"/>
      <c r="Y671" s="12"/>
      <c r="Z671" s="12"/>
    </row>
    <row r="672" customFormat="false" ht="15.75" hidden="false" customHeight="true" outlineLevel="0" collapsed="false">
      <c r="A672" s="12"/>
      <c r="B672" s="12"/>
      <c r="C672" s="12"/>
      <c r="D672" s="12"/>
      <c r="E672" s="12"/>
      <c r="F672" s="12"/>
      <c r="G672" s="12"/>
      <c r="H672" s="12"/>
      <c r="I672" s="12"/>
      <c r="J672" s="12"/>
      <c r="K672" s="12"/>
      <c r="L672" s="12"/>
      <c r="M672" s="12"/>
      <c r="N672" s="12"/>
      <c r="O672" s="12"/>
      <c r="P672" s="12"/>
      <c r="Q672" s="12"/>
      <c r="R672" s="12"/>
      <c r="S672" s="12"/>
      <c r="T672" s="12"/>
      <c r="U672" s="12"/>
      <c r="V672" s="12"/>
      <c r="W672" s="12"/>
      <c r="X672" s="12"/>
      <c r="Y672" s="12"/>
      <c r="Z672" s="12"/>
    </row>
    <row r="673" customFormat="false" ht="15.75" hidden="false" customHeight="true" outlineLevel="0" collapsed="false">
      <c r="A673" s="12"/>
      <c r="B673" s="12"/>
      <c r="C673" s="12"/>
      <c r="D673" s="12"/>
      <c r="E673" s="12"/>
      <c r="F673" s="12"/>
      <c r="G673" s="12"/>
      <c r="H673" s="12"/>
      <c r="I673" s="12"/>
      <c r="J673" s="12"/>
      <c r="K673" s="12"/>
      <c r="L673" s="12"/>
      <c r="M673" s="12"/>
      <c r="N673" s="12"/>
      <c r="O673" s="12"/>
      <c r="P673" s="12"/>
      <c r="Q673" s="12"/>
      <c r="R673" s="12"/>
      <c r="S673" s="12"/>
      <c r="T673" s="12"/>
      <c r="U673" s="12"/>
      <c r="V673" s="12"/>
      <c r="W673" s="12"/>
      <c r="X673" s="12"/>
      <c r="Y673" s="12"/>
      <c r="Z673" s="12"/>
    </row>
    <row r="674" customFormat="false" ht="15.75" hidden="false" customHeight="true" outlineLevel="0" collapsed="false">
      <c r="A674" s="12"/>
      <c r="B674" s="12"/>
      <c r="C674" s="12"/>
      <c r="D674" s="12"/>
      <c r="E674" s="12"/>
      <c r="F674" s="12"/>
      <c r="G674" s="12"/>
      <c r="H674" s="12"/>
      <c r="I674" s="12"/>
      <c r="J674" s="12"/>
      <c r="K674" s="12"/>
      <c r="L674" s="12"/>
      <c r="M674" s="12"/>
      <c r="N674" s="12"/>
      <c r="O674" s="12"/>
      <c r="P674" s="12"/>
      <c r="Q674" s="12"/>
      <c r="R674" s="12"/>
      <c r="S674" s="12"/>
      <c r="T674" s="12"/>
      <c r="U674" s="12"/>
      <c r="V674" s="12"/>
      <c r="W674" s="12"/>
      <c r="X674" s="12"/>
      <c r="Y674" s="12"/>
      <c r="Z674" s="12"/>
    </row>
    <row r="675" customFormat="false" ht="15.75" hidden="false" customHeight="true" outlineLevel="0" collapsed="false">
      <c r="A675" s="12"/>
      <c r="B675" s="12"/>
      <c r="C675" s="12"/>
      <c r="D675" s="12"/>
      <c r="E675" s="12"/>
      <c r="F675" s="12"/>
      <c r="G675" s="12"/>
      <c r="H675" s="12"/>
      <c r="I675" s="12"/>
      <c r="J675" s="12"/>
      <c r="K675" s="12"/>
      <c r="L675" s="12"/>
      <c r="M675" s="12"/>
      <c r="N675" s="12"/>
      <c r="O675" s="12"/>
      <c r="P675" s="12"/>
      <c r="Q675" s="12"/>
      <c r="R675" s="12"/>
      <c r="S675" s="12"/>
      <c r="T675" s="12"/>
      <c r="U675" s="12"/>
      <c r="V675" s="12"/>
      <c r="W675" s="12"/>
      <c r="X675" s="12"/>
      <c r="Y675" s="12"/>
      <c r="Z675" s="12"/>
    </row>
    <row r="676" customFormat="false" ht="15.75" hidden="false" customHeight="true" outlineLevel="0" collapsed="false">
      <c r="A676" s="12"/>
      <c r="B676" s="12"/>
      <c r="C676" s="12"/>
      <c r="D676" s="12"/>
      <c r="E676" s="12"/>
      <c r="F676" s="12"/>
      <c r="G676" s="12"/>
      <c r="H676" s="12"/>
      <c r="I676" s="12"/>
      <c r="J676" s="12"/>
      <c r="K676" s="12"/>
      <c r="L676" s="12"/>
      <c r="M676" s="12"/>
      <c r="N676" s="12"/>
      <c r="O676" s="12"/>
      <c r="P676" s="12"/>
      <c r="Q676" s="12"/>
      <c r="R676" s="12"/>
      <c r="S676" s="12"/>
      <c r="T676" s="12"/>
      <c r="U676" s="12"/>
      <c r="V676" s="12"/>
      <c r="W676" s="12"/>
      <c r="X676" s="12"/>
      <c r="Y676" s="12"/>
      <c r="Z676" s="12"/>
    </row>
    <row r="677" customFormat="false" ht="15.75" hidden="false" customHeight="true" outlineLevel="0" collapsed="false">
      <c r="A677" s="12"/>
      <c r="B677" s="12"/>
      <c r="C677" s="12"/>
      <c r="D677" s="12"/>
      <c r="E677" s="12"/>
      <c r="F677" s="12"/>
      <c r="G677" s="12"/>
      <c r="H677" s="12"/>
      <c r="I677" s="12"/>
      <c r="J677" s="12"/>
      <c r="K677" s="12"/>
      <c r="L677" s="12"/>
      <c r="M677" s="12"/>
      <c r="N677" s="12"/>
      <c r="O677" s="12"/>
      <c r="P677" s="12"/>
      <c r="Q677" s="12"/>
      <c r="R677" s="12"/>
      <c r="S677" s="12"/>
      <c r="T677" s="12"/>
      <c r="U677" s="12"/>
      <c r="V677" s="12"/>
      <c r="W677" s="12"/>
      <c r="X677" s="12"/>
      <c r="Y677" s="12"/>
      <c r="Z677" s="12"/>
    </row>
    <row r="678" customFormat="false" ht="15.75" hidden="false" customHeight="true" outlineLevel="0" collapsed="false">
      <c r="A678" s="12"/>
      <c r="B678" s="12"/>
      <c r="C678" s="12"/>
      <c r="D678" s="12"/>
      <c r="E678" s="12"/>
      <c r="F678" s="12"/>
      <c r="G678" s="12"/>
      <c r="H678" s="12"/>
      <c r="I678" s="12"/>
      <c r="J678" s="12"/>
      <c r="K678" s="12"/>
      <c r="L678" s="12"/>
      <c r="M678" s="12"/>
      <c r="N678" s="12"/>
      <c r="O678" s="12"/>
      <c r="P678" s="12"/>
      <c r="Q678" s="12"/>
      <c r="R678" s="12"/>
      <c r="S678" s="12"/>
      <c r="T678" s="12"/>
      <c r="U678" s="12"/>
      <c r="V678" s="12"/>
      <c r="W678" s="12"/>
      <c r="X678" s="12"/>
      <c r="Y678" s="12"/>
      <c r="Z678" s="12"/>
    </row>
    <row r="679" customFormat="false" ht="15.75" hidden="false" customHeight="true" outlineLevel="0" collapsed="false">
      <c r="A679" s="12"/>
      <c r="B679" s="12"/>
      <c r="C679" s="12"/>
      <c r="D679" s="12"/>
      <c r="E679" s="12"/>
      <c r="F679" s="12"/>
      <c r="G679" s="12"/>
      <c r="H679" s="12"/>
      <c r="I679" s="12"/>
      <c r="J679" s="12"/>
      <c r="K679" s="12"/>
      <c r="L679" s="12"/>
      <c r="M679" s="12"/>
      <c r="N679" s="12"/>
      <c r="O679" s="12"/>
      <c r="P679" s="12"/>
      <c r="Q679" s="12"/>
      <c r="R679" s="12"/>
      <c r="S679" s="12"/>
      <c r="T679" s="12"/>
      <c r="U679" s="12"/>
      <c r="V679" s="12"/>
      <c r="W679" s="12"/>
      <c r="X679" s="12"/>
      <c r="Y679" s="12"/>
      <c r="Z679" s="12"/>
    </row>
    <row r="680" customFormat="false" ht="15.75" hidden="false" customHeight="true" outlineLevel="0" collapsed="false">
      <c r="A680" s="12"/>
      <c r="B680" s="12"/>
      <c r="C680" s="12"/>
      <c r="D680" s="12"/>
      <c r="E680" s="12"/>
      <c r="F680" s="12"/>
      <c r="G680" s="12"/>
      <c r="H680" s="12"/>
      <c r="I680" s="12"/>
      <c r="J680" s="12"/>
      <c r="K680" s="12"/>
      <c r="L680" s="12"/>
      <c r="M680" s="12"/>
      <c r="N680" s="12"/>
      <c r="O680" s="12"/>
      <c r="P680" s="12"/>
      <c r="Q680" s="12"/>
      <c r="R680" s="12"/>
      <c r="S680" s="12"/>
      <c r="T680" s="12"/>
      <c r="U680" s="12"/>
      <c r="V680" s="12"/>
      <c r="W680" s="12"/>
      <c r="X680" s="12"/>
      <c r="Y680" s="12"/>
      <c r="Z680" s="12"/>
    </row>
    <row r="681" customFormat="false" ht="15.75" hidden="false" customHeight="true" outlineLevel="0" collapsed="false">
      <c r="A681" s="12"/>
      <c r="B681" s="12"/>
      <c r="C681" s="12"/>
      <c r="D681" s="12"/>
      <c r="E681" s="12"/>
      <c r="F681" s="12"/>
      <c r="G681" s="12"/>
      <c r="H681" s="12"/>
      <c r="I681" s="12"/>
      <c r="J681" s="12"/>
      <c r="K681" s="12"/>
      <c r="L681" s="12"/>
      <c r="M681" s="12"/>
      <c r="N681" s="12"/>
      <c r="O681" s="12"/>
      <c r="P681" s="12"/>
      <c r="Q681" s="12"/>
      <c r="R681" s="12"/>
      <c r="S681" s="12"/>
      <c r="T681" s="12"/>
      <c r="U681" s="12"/>
      <c r="V681" s="12"/>
      <c r="W681" s="12"/>
      <c r="X681" s="12"/>
      <c r="Y681" s="12"/>
      <c r="Z681" s="12"/>
    </row>
    <row r="682" customFormat="false" ht="15.75" hidden="false" customHeight="true" outlineLevel="0" collapsed="false">
      <c r="A682" s="12"/>
      <c r="B682" s="12"/>
      <c r="C682" s="12"/>
      <c r="D682" s="12"/>
      <c r="E682" s="12"/>
      <c r="F682" s="12"/>
      <c r="G682" s="12"/>
      <c r="H682" s="12"/>
      <c r="I682" s="12"/>
      <c r="J682" s="12"/>
      <c r="K682" s="12"/>
      <c r="L682" s="12"/>
      <c r="M682" s="12"/>
      <c r="N682" s="12"/>
      <c r="O682" s="12"/>
      <c r="P682" s="12"/>
      <c r="Q682" s="12"/>
      <c r="R682" s="12"/>
      <c r="S682" s="12"/>
      <c r="T682" s="12"/>
      <c r="U682" s="12"/>
      <c r="V682" s="12"/>
      <c r="W682" s="12"/>
      <c r="X682" s="12"/>
      <c r="Y682" s="12"/>
      <c r="Z682" s="12"/>
    </row>
    <row r="683" customFormat="false" ht="15.75" hidden="false" customHeight="true" outlineLevel="0" collapsed="false">
      <c r="A683" s="12"/>
      <c r="B683" s="12"/>
      <c r="C683" s="12"/>
      <c r="D683" s="12"/>
      <c r="E683" s="12"/>
      <c r="F683" s="12"/>
      <c r="G683" s="12"/>
      <c r="H683" s="12"/>
      <c r="I683" s="12"/>
      <c r="J683" s="12"/>
      <c r="K683" s="12"/>
      <c r="L683" s="12"/>
      <c r="M683" s="12"/>
      <c r="N683" s="12"/>
      <c r="O683" s="12"/>
      <c r="P683" s="12"/>
      <c r="Q683" s="12"/>
      <c r="R683" s="12"/>
      <c r="S683" s="12"/>
      <c r="T683" s="12"/>
      <c r="U683" s="12"/>
      <c r="V683" s="12"/>
      <c r="W683" s="12"/>
      <c r="X683" s="12"/>
      <c r="Y683" s="12"/>
      <c r="Z683" s="12"/>
    </row>
    <row r="684" customFormat="false" ht="15.75" hidden="false" customHeight="true" outlineLevel="0" collapsed="false">
      <c r="A684" s="12"/>
      <c r="B684" s="12"/>
      <c r="C684" s="12"/>
      <c r="D684" s="12"/>
      <c r="E684" s="12"/>
      <c r="F684" s="12"/>
      <c r="G684" s="12"/>
      <c r="H684" s="12"/>
      <c r="I684" s="12"/>
      <c r="J684" s="12"/>
      <c r="K684" s="12"/>
      <c r="L684" s="12"/>
      <c r="M684" s="12"/>
      <c r="N684" s="12"/>
      <c r="O684" s="12"/>
      <c r="P684" s="12"/>
      <c r="Q684" s="12"/>
      <c r="R684" s="12"/>
      <c r="S684" s="12"/>
      <c r="T684" s="12"/>
      <c r="U684" s="12"/>
      <c r="V684" s="12"/>
      <c r="W684" s="12"/>
      <c r="X684" s="12"/>
      <c r="Y684" s="12"/>
      <c r="Z684" s="12"/>
    </row>
    <row r="685" customFormat="false" ht="15.75" hidden="false" customHeight="true" outlineLevel="0" collapsed="false">
      <c r="A685" s="12"/>
      <c r="B685" s="12"/>
      <c r="C685" s="12"/>
      <c r="D685" s="12"/>
      <c r="E685" s="12"/>
      <c r="F685" s="12"/>
      <c r="G685" s="12"/>
      <c r="H685" s="12"/>
      <c r="I685" s="12"/>
      <c r="J685" s="12"/>
      <c r="K685" s="12"/>
      <c r="L685" s="12"/>
      <c r="M685" s="12"/>
      <c r="N685" s="12"/>
      <c r="O685" s="12"/>
      <c r="P685" s="12"/>
      <c r="Q685" s="12"/>
      <c r="R685" s="12"/>
      <c r="S685" s="12"/>
      <c r="T685" s="12"/>
      <c r="U685" s="12"/>
      <c r="V685" s="12"/>
      <c r="W685" s="12"/>
      <c r="X685" s="12"/>
      <c r="Y685" s="12"/>
      <c r="Z685" s="12"/>
    </row>
    <row r="686" customFormat="false" ht="15.75" hidden="false" customHeight="true" outlineLevel="0" collapsed="false">
      <c r="A686" s="12"/>
      <c r="B686" s="12"/>
      <c r="C686" s="12"/>
      <c r="D686" s="12"/>
      <c r="E686" s="12"/>
      <c r="F686" s="12"/>
      <c r="G686" s="12"/>
      <c r="H686" s="12"/>
      <c r="I686" s="12"/>
      <c r="J686" s="12"/>
      <c r="K686" s="12"/>
      <c r="L686" s="12"/>
      <c r="M686" s="12"/>
      <c r="N686" s="12"/>
      <c r="O686" s="12"/>
      <c r="P686" s="12"/>
      <c r="Q686" s="12"/>
      <c r="R686" s="12"/>
      <c r="S686" s="12"/>
      <c r="T686" s="12"/>
      <c r="U686" s="12"/>
      <c r="V686" s="12"/>
      <c r="W686" s="12"/>
      <c r="X686" s="12"/>
      <c r="Y686" s="12"/>
      <c r="Z686" s="12"/>
    </row>
    <row r="687" customFormat="false" ht="15.75" hidden="false" customHeight="true" outlineLevel="0" collapsed="false">
      <c r="A687" s="12"/>
      <c r="B687" s="12"/>
      <c r="C687" s="12"/>
      <c r="D687" s="12"/>
      <c r="E687" s="12"/>
      <c r="F687" s="12"/>
      <c r="G687" s="12"/>
      <c r="H687" s="12"/>
      <c r="I687" s="12"/>
      <c r="J687" s="12"/>
      <c r="K687" s="12"/>
      <c r="L687" s="12"/>
      <c r="M687" s="12"/>
      <c r="N687" s="12"/>
      <c r="O687" s="12"/>
      <c r="P687" s="12"/>
      <c r="Q687" s="12"/>
      <c r="R687" s="12"/>
      <c r="S687" s="12"/>
      <c r="T687" s="12"/>
      <c r="U687" s="12"/>
      <c r="V687" s="12"/>
      <c r="W687" s="12"/>
      <c r="X687" s="12"/>
      <c r="Y687" s="12"/>
      <c r="Z687" s="12"/>
    </row>
    <row r="688" customFormat="false" ht="15.75" hidden="false" customHeight="true" outlineLevel="0" collapsed="false">
      <c r="A688" s="12"/>
      <c r="B688" s="12"/>
      <c r="C688" s="12"/>
      <c r="D688" s="12"/>
      <c r="E688" s="12"/>
      <c r="F688" s="12"/>
      <c r="G688" s="12"/>
      <c r="H688" s="12"/>
      <c r="I688" s="12"/>
      <c r="J688" s="12"/>
      <c r="K688" s="12"/>
      <c r="L688" s="12"/>
      <c r="M688" s="12"/>
      <c r="N688" s="12"/>
      <c r="O688" s="12"/>
      <c r="P688" s="12"/>
      <c r="Q688" s="12"/>
      <c r="R688" s="12"/>
      <c r="S688" s="12"/>
      <c r="T688" s="12"/>
      <c r="U688" s="12"/>
      <c r="V688" s="12"/>
      <c r="W688" s="12"/>
      <c r="X688" s="12"/>
      <c r="Y688" s="12"/>
      <c r="Z688" s="12"/>
    </row>
    <row r="689" customFormat="false" ht="15.75" hidden="false" customHeight="true" outlineLevel="0" collapsed="false">
      <c r="A689" s="12"/>
      <c r="B689" s="12"/>
      <c r="C689" s="12"/>
      <c r="D689" s="12"/>
      <c r="E689" s="12"/>
      <c r="F689" s="12"/>
      <c r="G689" s="12"/>
      <c r="H689" s="12"/>
      <c r="I689" s="12"/>
      <c r="J689" s="12"/>
      <c r="K689" s="12"/>
      <c r="L689" s="12"/>
      <c r="M689" s="12"/>
      <c r="N689" s="12"/>
      <c r="O689" s="12"/>
      <c r="P689" s="12"/>
      <c r="Q689" s="12"/>
      <c r="R689" s="12"/>
      <c r="S689" s="12"/>
      <c r="T689" s="12"/>
      <c r="U689" s="12"/>
      <c r="V689" s="12"/>
      <c r="W689" s="12"/>
      <c r="X689" s="12"/>
      <c r="Y689" s="12"/>
      <c r="Z689" s="12"/>
    </row>
    <row r="690" customFormat="false" ht="15.75" hidden="false" customHeight="true" outlineLevel="0" collapsed="false">
      <c r="A690" s="12"/>
      <c r="B690" s="12"/>
      <c r="C690" s="12"/>
      <c r="D690" s="12"/>
      <c r="E690" s="12"/>
      <c r="F690" s="12"/>
      <c r="G690" s="12"/>
      <c r="H690" s="12"/>
      <c r="I690" s="12"/>
      <c r="J690" s="12"/>
      <c r="K690" s="12"/>
      <c r="L690" s="12"/>
      <c r="M690" s="12"/>
      <c r="N690" s="12"/>
      <c r="O690" s="12"/>
      <c r="P690" s="12"/>
      <c r="Q690" s="12"/>
      <c r="R690" s="12"/>
      <c r="S690" s="12"/>
      <c r="T690" s="12"/>
      <c r="U690" s="12"/>
      <c r="V690" s="12"/>
      <c r="W690" s="12"/>
      <c r="X690" s="12"/>
      <c r="Y690" s="12"/>
      <c r="Z690" s="12"/>
    </row>
    <row r="691" customFormat="false" ht="15.75" hidden="false" customHeight="true" outlineLevel="0" collapsed="false">
      <c r="A691" s="12"/>
      <c r="B691" s="12"/>
      <c r="C691" s="12"/>
      <c r="D691" s="12"/>
      <c r="E691" s="12"/>
      <c r="F691" s="12"/>
      <c r="G691" s="12"/>
      <c r="H691" s="12"/>
      <c r="I691" s="12"/>
      <c r="J691" s="12"/>
      <c r="K691" s="12"/>
      <c r="L691" s="12"/>
      <c r="M691" s="12"/>
      <c r="N691" s="12"/>
      <c r="O691" s="12"/>
      <c r="P691" s="12"/>
      <c r="Q691" s="12"/>
      <c r="R691" s="12"/>
      <c r="S691" s="12"/>
      <c r="T691" s="12"/>
      <c r="U691" s="12"/>
      <c r="V691" s="12"/>
      <c r="W691" s="12"/>
      <c r="X691" s="12"/>
      <c r="Y691" s="12"/>
      <c r="Z691" s="12"/>
    </row>
    <row r="692" customFormat="false" ht="15.75" hidden="false" customHeight="true" outlineLevel="0" collapsed="false">
      <c r="A692" s="12"/>
      <c r="B692" s="12"/>
      <c r="C692" s="12"/>
      <c r="D692" s="12"/>
      <c r="E692" s="12"/>
      <c r="F692" s="12"/>
      <c r="G692" s="12"/>
      <c r="H692" s="12"/>
      <c r="I692" s="12"/>
      <c r="J692" s="12"/>
      <c r="K692" s="12"/>
      <c r="L692" s="12"/>
      <c r="M692" s="12"/>
      <c r="N692" s="12"/>
      <c r="O692" s="12"/>
      <c r="P692" s="12"/>
      <c r="Q692" s="12"/>
      <c r="R692" s="12"/>
      <c r="S692" s="12"/>
      <c r="T692" s="12"/>
      <c r="U692" s="12"/>
      <c r="V692" s="12"/>
      <c r="W692" s="12"/>
      <c r="X692" s="12"/>
      <c r="Y692" s="12"/>
      <c r="Z692" s="12"/>
    </row>
    <row r="693" customFormat="false" ht="15.75" hidden="false" customHeight="true" outlineLevel="0" collapsed="false">
      <c r="A693" s="12"/>
      <c r="B693" s="12"/>
      <c r="C693" s="12"/>
      <c r="D693" s="12"/>
      <c r="E693" s="12"/>
      <c r="F693" s="12"/>
      <c r="G693" s="12"/>
      <c r="H693" s="12"/>
      <c r="I693" s="12"/>
      <c r="J693" s="12"/>
      <c r="K693" s="12"/>
      <c r="L693" s="12"/>
      <c r="M693" s="12"/>
      <c r="N693" s="12"/>
      <c r="O693" s="12"/>
      <c r="P693" s="12"/>
      <c r="Q693" s="12"/>
      <c r="R693" s="12"/>
      <c r="S693" s="12"/>
      <c r="T693" s="12"/>
      <c r="U693" s="12"/>
      <c r="V693" s="12"/>
      <c r="W693" s="12"/>
      <c r="X693" s="12"/>
      <c r="Y693" s="12"/>
      <c r="Z693" s="12"/>
    </row>
    <row r="694" customFormat="false" ht="15.75" hidden="false" customHeight="true" outlineLevel="0" collapsed="false">
      <c r="A694" s="12"/>
      <c r="B694" s="12"/>
      <c r="C694" s="12"/>
      <c r="D694" s="12"/>
      <c r="E694" s="12"/>
      <c r="F694" s="12"/>
      <c r="G694" s="12"/>
      <c r="H694" s="12"/>
      <c r="I694" s="12"/>
      <c r="J694" s="12"/>
      <c r="K694" s="12"/>
      <c r="L694" s="12"/>
      <c r="M694" s="12"/>
      <c r="N694" s="12"/>
      <c r="O694" s="12"/>
      <c r="P694" s="12"/>
      <c r="Q694" s="12"/>
      <c r="R694" s="12"/>
      <c r="S694" s="12"/>
      <c r="T694" s="12"/>
      <c r="U694" s="12"/>
      <c r="V694" s="12"/>
      <c r="W694" s="12"/>
      <c r="X694" s="12"/>
      <c r="Y694" s="12"/>
      <c r="Z694" s="12"/>
    </row>
    <row r="695" customFormat="false" ht="15.75" hidden="false" customHeight="true" outlineLevel="0" collapsed="false">
      <c r="A695" s="12"/>
      <c r="B695" s="12"/>
      <c r="C695" s="12"/>
      <c r="D695" s="12"/>
      <c r="E695" s="12"/>
      <c r="F695" s="12"/>
      <c r="G695" s="12"/>
      <c r="H695" s="12"/>
      <c r="I695" s="12"/>
      <c r="J695" s="12"/>
      <c r="K695" s="12"/>
      <c r="L695" s="12"/>
      <c r="M695" s="12"/>
      <c r="N695" s="12"/>
      <c r="O695" s="12"/>
      <c r="P695" s="12"/>
      <c r="Q695" s="12"/>
      <c r="R695" s="12"/>
      <c r="S695" s="12"/>
      <c r="T695" s="12"/>
      <c r="U695" s="12"/>
      <c r="V695" s="12"/>
      <c r="W695" s="12"/>
      <c r="X695" s="12"/>
      <c r="Y695" s="12"/>
      <c r="Z695" s="12"/>
    </row>
    <row r="696" customFormat="false" ht="15.75" hidden="false" customHeight="true" outlineLevel="0" collapsed="false">
      <c r="A696" s="12"/>
      <c r="B696" s="12"/>
      <c r="C696" s="12"/>
      <c r="D696" s="12"/>
      <c r="E696" s="12"/>
      <c r="F696" s="12"/>
      <c r="G696" s="12"/>
      <c r="H696" s="12"/>
      <c r="I696" s="12"/>
      <c r="J696" s="12"/>
      <c r="K696" s="12"/>
      <c r="L696" s="12"/>
      <c r="M696" s="12"/>
      <c r="N696" s="12"/>
      <c r="O696" s="12"/>
      <c r="P696" s="12"/>
      <c r="Q696" s="12"/>
      <c r="R696" s="12"/>
      <c r="S696" s="12"/>
      <c r="T696" s="12"/>
      <c r="U696" s="12"/>
      <c r="V696" s="12"/>
      <c r="W696" s="12"/>
      <c r="X696" s="12"/>
      <c r="Y696" s="12"/>
      <c r="Z696" s="12"/>
    </row>
    <row r="697" customFormat="false" ht="15.75" hidden="false" customHeight="true" outlineLevel="0" collapsed="false">
      <c r="A697" s="12"/>
      <c r="B697" s="12"/>
      <c r="C697" s="12"/>
      <c r="D697" s="12"/>
      <c r="E697" s="12"/>
      <c r="F697" s="12"/>
      <c r="G697" s="12"/>
      <c r="H697" s="12"/>
      <c r="I697" s="12"/>
      <c r="J697" s="12"/>
      <c r="K697" s="12"/>
      <c r="L697" s="12"/>
      <c r="M697" s="12"/>
      <c r="N697" s="12"/>
      <c r="O697" s="12"/>
      <c r="P697" s="12"/>
      <c r="Q697" s="12"/>
      <c r="R697" s="12"/>
      <c r="S697" s="12"/>
      <c r="T697" s="12"/>
      <c r="U697" s="12"/>
      <c r="V697" s="12"/>
      <c r="W697" s="12"/>
      <c r="X697" s="12"/>
      <c r="Y697" s="12"/>
      <c r="Z697" s="12"/>
    </row>
    <row r="698" customFormat="false" ht="15.75" hidden="false" customHeight="true" outlineLevel="0" collapsed="false">
      <c r="A698" s="12"/>
      <c r="B698" s="12"/>
      <c r="C698" s="12"/>
      <c r="D698" s="12"/>
      <c r="E698" s="12"/>
      <c r="F698" s="12"/>
      <c r="G698" s="12"/>
      <c r="H698" s="12"/>
      <c r="I698" s="12"/>
      <c r="J698" s="12"/>
      <c r="K698" s="12"/>
      <c r="L698" s="12"/>
      <c r="M698" s="12"/>
      <c r="N698" s="12"/>
      <c r="O698" s="12"/>
      <c r="P698" s="12"/>
      <c r="Q698" s="12"/>
      <c r="R698" s="12"/>
      <c r="S698" s="12"/>
      <c r="T698" s="12"/>
      <c r="U698" s="12"/>
      <c r="V698" s="12"/>
      <c r="W698" s="12"/>
      <c r="X698" s="12"/>
      <c r="Y698" s="12"/>
      <c r="Z698" s="12"/>
    </row>
    <row r="699" customFormat="false" ht="15.75" hidden="false" customHeight="true" outlineLevel="0" collapsed="false">
      <c r="A699" s="12"/>
      <c r="B699" s="12"/>
      <c r="C699" s="12"/>
      <c r="D699" s="12"/>
      <c r="E699" s="12"/>
      <c r="F699" s="12"/>
      <c r="G699" s="12"/>
      <c r="H699" s="12"/>
      <c r="I699" s="12"/>
      <c r="J699" s="12"/>
      <c r="K699" s="12"/>
      <c r="L699" s="12"/>
      <c r="M699" s="12"/>
      <c r="N699" s="12"/>
      <c r="O699" s="12"/>
      <c r="P699" s="12"/>
      <c r="Q699" s="12"/>
      <c r="R699" s="12"/>
      <c r="S699" s="12"/>
      <c r="T699" s="12"/>
      <c r="U699" s="12"/>
      <c r="V699" s="12"/>
      <c r="W699" s="12"/>
      <c r="X699" s="12"/>
      <c r="Y699" s="12"/>
      <c r="Z699" s="12"/>
    </row>
    <row r="700" customFormat="false" ht="15.75" hidden="false" customHeight="true" outlineLevel="0" collapsed="false">
      <c r="A700" s="12"/>
      <c r="B700" s="12"/>
      <c r="C700" s="12"/>
      <c r="D700" s="12"/>
      <c r="E700" s="12"/>
      <c r="F700" s="12"/>
      <c r="G700" s="12"/>
      <c r="H700" s="12"/>
      <c r="I700" s="12"/>
      <c r="J700" s="12"/>
      <c r="K700" s="12"/>
      <c r="L700" s="12"/>
      <c r="M700" s="12"/>
      <c r="N700" s="12"/>
      <c r="O700" s="12"/>
      <c r="P700" s="12"/>
      <c r="Q700" s="12"/>
      <c r="R700" s="12"/>
      <c r="S700" s="12"/>
      <c r="T700" s="12"/>
      <c r="U700" s="12"/>
      <c r="V700" s="12"/>
      <c r="W700" s="12"/>
      <c r="X700" s="12"/>
      <c r="Y700" s="12"/>
      <c r="Z700" s="12"/>
    </row>
    <row r="701" customFormat="false" ht="15.75" hidden="false" customHeight="true" outlineLevel="0" collapsed="false">
      <c r="A701" s="12"/>
      <c r="B701" s="12"/>
      <c r="C701" s="12"/>
      <c r="D701" s="12"/>
      <c r="E701" s="12"/>
      <c r="F701" s="12"/>
      <c r="G701" s="12"/>
      <c r="H701" s="12"/>
      <c r="I701" s="12"/>
      <c r="J701" s="12"/>
      <c r="K701" s="12"/>
      <c r="L701" s="12"/>
      <c r="M701" s="12"/>
      <c r="N701" s="12"/>
      <c r="O701" s="12"/>
      <c r="P701" s="12"/>
      <c r="Q701" s="12"/>
      <c r="R701" s="12"/>
      <c r="S701" s="12"/>
      <c r="T701" s="12"/>
      <c r="U701" s="12"/>
      <c r="V701" s="12"/>
      <c r="W701" s="12"/>
      <c r="X701" s="12"/>
      <c r="Y701" s="12"/>
      <c r="Z701" s="12"/>
    </row>
    <row r="702" customFormat="false" ht="15.75" hidden="false" customHeight="true" outlineLevel="0" collapsed="false">
      <c r="A702" s="12"/>
      <c r="B702" s="12"/>
      <c r="C702" s="12"/>
      <c r="D702" s="12"/>
      <c r="E702" s="12"/>
      <c r="F702" s="12"/>
      <c r="G702" s="12"/>
      <c r="H702" s="12"/>
      <c r="I702" s="12"/>
      <c r="J702" s="12"/>
      <c r="K702" s="12"/>
      <c r="L702" s="12"/>
      <c r="M702" s="12"/>
      <c r="N702" s="12"/>
      <c r="O702" s="12"/>
      <c r="P702" s="12"/>
      <c r="Q702" s="12"/>
      <c r="R702" s="12"/>
      <c r="S702" s="12"/>
      <c r="T702" s="12"/>
      <c r="U702" s="12"/>
      <c r="V702" s="12"/>
      <c r="W702" s="12"/>
      <c r="X702" s="12"/>
      <c r="Y702" s="12"/>
      <c r="Z702" s="12"/>
    </row>
    <row r="703" customFormat="false" ht="15.75" hidden="false" customHeight="true" outlineLevel="0" collapsed="false">
      <c r="A703" s="12"/>
      <c r="B703" s="12"/>
      <c r="C703" s="12"/>
      <c r="D703" s="12"/>
      <c r="E703" s="12"/>
      <c r="F703" s="12"/>
      <c r="G703" s="12"/>
      <c r="H703" s="12"/>
      <c r="I703" s="12"/>
      <c r="J703" s="12"/>
      <c r="K703" s="12"/>
      <c r="L703" s="12"/>
      <c r="M703" s="12"/>
      <c r="N703" s="12"/>
      <c r="O703" s="12"/>
      <c r="P703" s="12"/>
      <c r="Q703" s="12"/>
      <c r="R703" s="12"/>
      <c r="S703" s="12"/>
      <c r="T703" s="12"/>
      <c r="U703" s="12"/>
      <c r="V703" s="12"/>
      <c r="W703" s="12"/>
      <c r="X703" s="12"/>
      <c r="Y703" s="12"/>
      <c r="Z703" s="12"/>
    </row>
    <row r="704" customFormat="false" ht="15.75" hidden="false" customHeight="true" outlineLevel="0" collapsed="false">
      <c r="A704" s="12"/>
      <c r="B704" s="12"/>
      <c r="C704" s="12"/>
      <c r="D704" s="12"/>
      <c r="E704" s="12"/>
      <c r="F704" s="12"/>
      <c r="G704" s="12"/>
      <c r="H704" s="12"/>
      <c r="I704" s="12"/>
      <c r="J704" s="12"/>
      <c r="K704" s="12"/>
      <c r="L704" s="12"/>
      <c r="M704" s="12"/>
      <c r="N704" s="12"/>
      <c r="O704" s="12"/>
      <c r="P704" s="12"/>
      <c r="Q704" s="12"/>
      <c r="R704" s="12"/>
      <c r="S704" s="12"/>
      <c r="T704" s="12"/>
      <c r="U704" s="12"/>
      <c r="V704" s="12"/>
      <c r="W704" s="12"/>
      <c r="X704" s="12"/>
      <c r="Y704" s="12"/>
      <c r="Z704" s="12"/>
    </row>
    <row r="705" customFormat="false" ht="15.75" hidden="false" customHeight="true" outlineLevel="0" collapsed="false">
      <c r="A705" s="12"/>
      <c r="B705" s="12"/>
      <c r="C705" s="12"/>
      <c r="D705" s="12"/>
      <c r="E705" s="12"/>
      <c r="F705" s="12"/>
      <c r="G705" s="12"/>
      <c r="H705" s="12"/>
      <c r="I705" s="12"/>
      <c r="J705" s="12"/>
      <c r="K705" s="12"/>
      <c r="L705" s="12"/>
      <c r="M705" s="12"/>
      <c r="N705" s="12"/>
      <c r="O705" s="12"/>
      <c r="P705" s="12"/>
      <c r="Q705" s="12"/>
      <c r="R705" s="12"/>
      <c r="S705" s="12"/>
      <c r="T705" s="12"/>
      <c r="U705" s="12"/>
      <c r="V705" s="12"/>
      <c r="W705" s="12"/>
      <c r="X705" s="12"/>
      <c r="Y705" s="12"/>
      <c r="Z705" s="12"/>
    </row>
    <row r="706" customFormat="false" ht="15.75" hidden="false" customHeight="true" outlineLevel="0" collapsed="false">
      <c r="A706" s="12"/>
      <c r="B706" s="12"/>
      <c r="C706" s="12"/>
      <c r="D706" s="12"/>
      <c r="E706" s="12"/>
      <c r="F706" s="12"/>
      <c r="G706" s="12"/>
      <c r="H706" s="12"/>
      <c r="I706" s="12"/>
      <c r="J706" s="12"/>
      <c r="K706" s="12"/>
      <c r="L706" s="12"/>
      <c r="M706" s="12"/>
      <c r="N706" s="12"/>
      <c r="O706" s="12"/>
      <c r="P706" s="12"/>
      <c r="Q706" s="12"/>
      <c r="R706" s="12"/>
      <c r="S706" s="12"/>
      <c r="T706" s="12"/>
      <c r="U706" s="12"/>
      <c r="V706" s="12"/>
      <c r="W706" s="12"/>
      <c r="X706" s="12"/>
      <c r="Y706" s="12"/>
      <c r="Z706" s="12"/>
    </row>
    <row r="707" customFormat="false" ht="15.75" hidden="false" customHeight="true" outlineLevel="0" collapsed="false">
      <c r="A707" s="12"/>
      <c r="B707" s="12"/>
      <c r="C707" s="12"/>
      <c r="D707" s="12"/>
      <c r="E707" s="12"/>
      <c r="F707" s="12"/>
      <c r="G707" s="12"/>
      <c r="H707" s="12"/>
      <c r="I707" s="12"/>
      <c r="J707" s="12"/>
      <c r="K707" s="12"/>
      <c r="L707" s="12"/>
      <c r="M707" s="12"/>
      <c r="N707" s="12"/>
      <c r="O707" s="12"/>
      <c r="P707" s="12"/>
      <c r="Q707" s="12"/>
      <c r="R707" s="12"/>
      <c r="S707" s="12"/>
      <c r="T707" s="12"/>
      <c r="U707" s="12"/>
      <c r="V707" s="12"/>
      <c r="W707" s="12"/>
      <c r="X707" s="12"/>
      <c r="Y707" s="12"/>
      <c r="Z707" s="12"/>
    </row>
    <row r="708" customFormat="false" ht="15.75" hidden="false" customHeight="true" outlineLevel="0" collapsed="false">
      <c r="A708" s="12"/>
      <c r="B708" s="12"/>
      <c r="C708" s="12"/>
      <c r="D708" s="12"/>
      <c r="E708" s="12"/>
      <c r="F708" s="12"/>
      <c r="G708" s="12"/>
      <c r="H708" s="12"/>
      <c r="I708" s="12"/>
      <c r="J708" s="12"/>
      <c r="K708" s="12"/>
      <c r="L708" s="12"/>
      <c r="M708" s="12"/>
      <c r="N708" s="12"/>
      <c r="O708" s="12"/>
      <c r="P708" s="12"/>
      <c r="Q708" s="12"/>
      <c r="R708" s="12"/>
      <c r="S708" s="12"/>
      <c r="T708" s="12"/>
      <c r="U708" s="12"/>
      <c r="V708" s="12"/>
      <c r="W708" s="12"/>
      <c r="X708" s="12"/>
      <c r="Y708" s="12"/>
      <c r="Z708" s="12"/>
    </row>
    <row r="709" customFormat="false" ht="15.75" hidden="false" customHeight="true" outlineLevel="0" collapsed="false">
      <c r="A709" s="12"/>
      <c r="B709" s="12"/>
      <c r="C709" s="12"/>
      <c r="D709" s="12"/>
      <c r="E709" s="12"/>
      <c r="F709" s="12"/>
      <c r="G709" s="12"/>
      <c r="H709" s="12"/>
      <c r="I709" s="12"/>
      <c r="J709" s="12"/>
      <c r="K709" s="12"/>
      <c r="L709" s="12"/>
      <c r="M709" s="12"/>
      <c r="N709" s="12"/>
      <c r="O709" s="12"/>
      <c r="P709" s="12"/>
      <c r="Q709" s="12"/>
      <c r="R709" s="12"/>
      <c r="S709" s="12"/>
      <c r="T709" s="12"/>
      <c r="U709" s="12"/>
      <c r="V709" s="12"/>
      <c r="W709" s="12"/>
      <c r="X709" s="12"/>
      <c r="Y709" s="12"/>
      <c r="Z709" s="12"/>
    </row>
    <row r="710" customFormat="false" ht="15.75" hidden="false" customHeight="true" outlineLevel="0" collapsed="false">
      <c r="A710" s="12"/>
      <c r="B710" s="12"/>
      <c r="C710" s="12"/>
      <c r="D710" s="12"/>
      <c r="E710" s="12"/>
      <c r="F710" s="12"/>
      <c r="G710" s="12"/>
      <c r="H710" s="12"/>
      <c r="I710" s="12"/>
      <c r="J710" s="12"/>
      <c r="K710" s="12"/>
      <c r="L710" s="12"/>
      <c r="M710" s="12"/>
      <c r="N710" s="12"/>
      <c r="O710" s="12"/>
      <c r="P710" s="12"/>
      <c r="Q710" s="12"/>
      <c r="R710" s="12"/>
      <c r="S710" s="12"/>
      <c r="T710" s="12"/>
      <c r="U710" s="12"/>
      <c r="V710" s="12"/>
      <c r="W710" s="12"/>
      <c r="X710" s="12"/>
      <c r="Y710" s="12"/>
      <c r="Z710" s="12"/>
    </row>
    <row r="711" customFormat="false" ht="15.75" hidden="false" customHeight="true" outlineLevel="0" collapsed="false">
      <c r="A711" s="12"/>
      <c r="B711" s="12"/>
      <c r="C711" s="12"/>
      <c r="D711" s="12"/>
      <c r="E711" s="12"/>
      <c r="F711" s="12"/>
      <c r="G711" s="12"/>
      <c r="H711" s="12"/>
      <c r="I711" s="12"/>
      <c r="J711" s="12"/>
      <c r="K711" s="12"/>
      <c r="L711" s="12"/>
      <c r="M711" s="12"/>
      <c r="N711" s="12"/>
      <c r="O711" s="12"/>
      <c r="P711" s="12"/>
      <c r="Q711" s="12"/>
      <c r="R711" s="12"/>
      <c r="S711" s="12"/>
      <c r="T711" s="12"/>
      <c r="U711" s="12"/>
      <c r="V711" s="12"/>
      <c r="W711" s="12"/>
      <c r="X711" s="12"/>
      <c r="Y711" s="12"/>
      <c r="Z711" s="12"/>
    </row>
    <row r="712" customFormat="false" ht="15.75" hidden="false" customHeight="true" outlineLevel="0" collapsed="false">
      <c r="A712" s="12"/>
      <c r="B712" s="12"/>
      <c r="C712" s="12"/>
      <c r="D712" s="12"/>
      <c r="E712" s="12"/>
      <c r="F712" s="12"/>
      <c r="G712" s="12"/>
      <c r="H712" s="12"/>
      <c r="I712" s="12"/>
      <c r="J712" s="12"/>
      <c r="K712" s="12"/>
      <c r="L712" s="12"/>
      <c r="M712" s="12"/>
      <c r="N712" s="12"/>
      <c r="O712" s="12"/>
      <c r="P712" s="12"/>
      <c r="Q712" s="12"/>
      <c r="R712" s="12"/>
      <c r="S712" s="12"/>
      <c r="T712" s="12"/>
      <c r="U712" s="12"/>
      <c r="V712" s="12"/>
      <c r="W712" s="12"/>
      <c r="X712" s="12"/>
      <c r="Y712" s="12"/>
      <c r="Z712" s="12"/>
    </row>
    <row r="713" customFormat="false" ht="15.75" hidden="false" customHeight="true" outlineLevel="0" collapsed="false">
      <c r="A713" s="12"/>
      <c r="B713" s="12"/>
      <c r="C713" s="12"/>
      <c r="D713" s="12"/>
      <c r="E713" s="12"/>
      <c r="F713" s="12"/>
      <c r="G713" s="12"/>
      <c r="H713" s="12"/>
      <c r="I713" s="12"/>
      <c r="J713" s="12"/>
      <c r="K713" s="12"/>
      <c r="L713" s="12"/>
      <c r="M713" s="12"/>
      <c r="N713" s="12"/>
      <c r="O713" s="12"/>
      <c r="P713" s="12"/>
      <c r="Q713" s="12"/>
      <c r="R713" s="12"/>
      <c r="S713" s="12"/>
      <c r="T713" s="12"/>
      <c r="U713" s="12"/>
      <c r="V713" s="12"/>
      <c r="W713" s="12"/>
      <c r="X713" s="12"/>
      <c r="Y713" s="12"/>
      <c r="Z713" s="12"/>
    </row>
    <row r="714" customFormat="false" ht="15.75" hidden="false" customHeight="true" outlineLevel="0" collapsed="false">
      <c r="A714" s="12"/>
      <c r="B714" s="12"/>
      <c r="C714" s="12"/>
      <c r="D714" s="12"/>
      <c r="E714" s="12"/>
      <c r="F714" s="12"/>
      <c r="G714" s="12"/>
      <c r="H714" s="12"/>
      <c r="I714" s="12"/>
      <c r="J714" s="12"/>
      <c r="K714" s="12"/>
      <c r="L714" s="12"/>
      <c r="M714" s="12"/>
      <c r="N714" s="12"/>
      <c r="O714" s="12"/>
      <c r="P714" s="12"/>
      <c r="Q714" s="12"/>
      <c r="R714" s="12"/>
      <c r="S714" s="12"/>
      <c r="T714" s="12"/>
      <c r="U714" s="12"/>
      <c r="V714" s="12"/>
      <c r="W714" s="12"/>
      <c r="X714" s="12"/>
      <c r="Y714" s="12"/>
      <c r="Z714" s="12"/>
    </row>
    <row r="715" customFormat="false" ht="15.75" hidden="false" customHeight="true" outlineLevel="0" collapsed="false">
      <c r="A715" s="12"/>
      <c r="B715" s="12"/>
      <c r="C715" s="12"/>
      <c r="D715" s="12"/>
      <c r="E715" s="12"/>
      <c r="F715" s="12"/>
      <c r="G715" s="12"/>
      <c r="H715" s="12"/>
      <c r="I715" s="12"/>
      <c r="J715" s="12"/>
      <c r="K715" s="12"/>
      <c r="L715" s="12"/>
      <c r="M715" s="12"/>
      <c r="N715" s="12"/>
      <c r="O715" s="12"/>
      <c r="P715" s="12"/>
      <c r="Q715" s="12"/>
      <c r="R715" s="12"/>
      <c r="S715" s="12"/>
      <c r="T715" s="12"/>
      <c r="U715" s="12"/>
      <c r="V715" s="12"/>
      <c r="W715" s="12"/>
      <c r="X715" s="12"/>
      <c r="Y715" s="12"/>
      <c r="Z715" s="12"/>
    </row>
    <row r="716" customFormat="false" ht="15.75" hidden="false" customHeight="true" outlineLevel="0" collapsed="false">
      <c r="A716" s="12"/>
      <c r="B716" s="12"/>
      <c r="C716" s="12"/>
      <c r="D716" s="12"/>
      <c r="E716" s="12"/>
      <c r="F716" s="12"/>
      <c r="G716" s="12"/>
      <c r="H716" s="12"/>
      <c r="I716" s="12"/>
      <c r="J716" s="12"/>
      <c r="K716" s="12"/>
      <c r="L716" s="12"/>
      <c r="M716" s="12"/>
      <c r="N716" s="12"/>
      <c r="O716" s="12"/>
      <c r="P716" s="12"/>
      <c r="Q716" s="12"/>
      <c r="R716" s="12"/>
      <c r="S716" s="12"/>
      <c r="T716" s="12"/>
      <c r="U716" s="12"/>
      <c r="V716" s="12"/>
      <c r="W716" s="12"/>
      <c r="X716" s="12"/>
      <c r="Y716" s="12"/>
      <c r="Z716" s="12"/>
    </row>
    <row r="717" customFormat="false" ht="15.75" hidden="false" customHeight="true" outlineLevel="0" collapsed="false">
      <c r="A717" s="12"/>
      <c r="B717" s="12"/>
      <c r="C717" s="12"/>
      <c r="D717" s="12"/>
      <c r="E717" s="12"/>
      <c r="F717" s="12"/>
      <c r="G717" s="12"/>
      <c r="H717" s="12"/>
      <c r="I717" s="12"/>
      <c r="J717" s="12"/>
      <c r="K717" s="12"/>
      <c r="L717" s="12"/>
      <c r="M717" s="12"/>
      <c r="N717" s="12"/>
      <c r="O717" s="12"/>
      <c r="P717" s="12"/>
      <c r="Q717" s="12"/>
      <c r="R717" s="12"/>
      <c r="S717" s="12"/>
      <c r="T717" s="12"/>
      <c r="U717" s="12"/>
      <c r="V717" s="12"/>
      <c r="W717" s="12"/>
      <c r="X717" s="12"/>
      <c r="Y717" s="12"/>
      <c r="Z717" s="12"/>
    </row>
    <row r="718" customFormat="false" ht="15.75" hidden="false" customHeight="true" outlineLevel="0" collapsed="false">
      <c r="A718" s="12"/>
      <c r="B718" s="12"/>
      <c r="C718" s="12"/>
      <c r="D718" s="12"/>
      <c r="E718" s="12"/>
      <c r="F718" s="12"/>
      <c r="G718" s="12"/>
      <c r="H718" s="12"/>
      <c r="I718" s="12"/>
      <c r="J718" s="12"/>
      <c r="K718" s="12"/>
      <c r="L718" s="12"/>
      <c r="M718" s="12"/>
      <c r="N718" s="12"/>
      <c r="O718" s="12"/>
      <c r="P718" s="12"/>
      <c r="Q718" s="12"/>
      <c r="R718" s="12"/>
      <c r="S718" s="12"/>
      <c r="T718" s="12"/>
      <c r="U718" s="12"/>
      <c r="V718" s="12"/>
      <c r="W718" s="12"/>
      <c r="X718" s="12"/>
      <c r="Y718" s="12"/>
      <c r="Z718" s="12"/>
    </row>
    <row r="719" customFormat="false" ht="15.75" hidden="false" customHeight="true" outlineLevel="0" collapsed="false">
      <c r="A719" s="12"/>
      <c r="B719" s="12"/>
      <c r="C719" s="12"/>
      <c r="D719" s="12"/>
      <c r="E719" s="12"/>
      <c r="F719" s="12"/>
      <c r="G719" s="12"/>
      <c r="H719" s="12"/>
      <c r="I719" s="12"/>
      <c r="J719" s="12"/>
      <c r="K719" s="12"/>
      <c r="L719" s="12"/>
      <c r="M719" s="12"/>
      <c r="N719" s="12"/>
      <c r="O719" s="12"/>
      <c r="P719" s="12"/>
      <c r="Q719" s="12"/>
      <c r="R719" s="12"/>
      <c r="S719" s="12"/>
      <c r="T719" s="12"/>
      <c r="U719" s="12"/>
      <c r="V719" s="12"/>
      <c r="W719" s="12"/>
      <c r="X719" s="12"/>
      <c r="Y719" s="12"/>
      <c r="Z719" s="12"/>
    </row>
    <row r="720" customFormat="false" ht="15.75" hidden="false" customHeight="true" outlineLevel="0" collapsed="false">
      <c r="A720" s="12"/>
      <c r="B720" s="12"/>
      <c r="C720" s="12"/>
      <c r="D720" s="12"/>
      <c r="E720" s="12"/>
      <c r="F720" s="12"/>
      <c r="G720" s="12"/>
      <c r="H720" s="12"/>
      <c r="I720" s="12"/>
      <c r="J720" s="12"/>
      <c r="K720" s="12"/>
      <c r="L720" s="12"/>
      <c r="M720" s="12"/>
      <c r="N720" s="12"/>
      <c r="O720" s="12"/>
      <c r="P720" s="12"/>
      <c r="Q720" s="12"/>
      <c r="R720" s="12"/>
      <c r="S720" s="12"/>
      <c r="T720" s="12"/>
      <c r="U720" s="12"/>
      <c r="V720" s="12"/>
      <c r="W720" s="12"/>
      <c r="X720" s="12"/>
      <c r="Y720" s="12"/>
      <c r="Z720" s="12"/>
    </row>
    <row r="721" customFormat="false" ht="15.75" hidden="false" customHeight="true" outlineLevel="0" collapsed="false">
      <c r="A721" s="12"/>
      <c r="B721" s="12"/>
      <c r="C721" s="12"/>
      <c r="D721" s="12"/>
      <c r="E721" s="12"/>
      <c r="F721" s="12"/>
      <c r="G721" s="12"/>
      <c r="H721" s="12"/>
      <c r="I721" s="12"/>
      <c r="J721" s="12"/>
      <c r="K721" s="12"/>
      <c r="L721" s="12"/>
      <c r="M721" s="12"/>
      <c r="N721" s="12"/>
      <c r="O721" s="12"/>
      <c r="P721" s="12"/>
      <c r="Q721" s="12"/>
      <c r="R721" s="12"/>
      <c r="S721" s="12"/>
      <c r="T721" s="12"/>
      <c r="U721" s="12"/>
      <c r="V721" s="12"/>
      <c r="W721" s="12"/>
      <c r="X721" s="12"/>
      <c r="Y721" s="12"/>
      <c r="Z721" s="12"/>
    </row>
    <row r="722" customFormat="false" ht="15.75" hidden="false" customHeight="true" outlineLevel="0" collapsed="false">
      <c r="A722" s="12"/>
      <c r="B722" s="12"/>
      <c r="C722" s="12"/>
      <c r="D722" s="12"/>
      <c r="E722" s="12"/>
      <c r="F722" s="12"/>
      <c r="G722" s="12"/>
      <c r="H722" s="12"/>
      <c r="I722" s="12"/>
      <c r="J722" s="12"/>
      <c r="K722" s="12"/>
      <c r="L722" s="12"/>
      <c r="M722" s="12"/>
      <c r="N722" s="12"/>
      <c r="O722" s="12"/>
      <c r="P722" s="12"/>
      <c r="Q722" s="12"/>
      <c r="R722" s="12"/>
      <c r="S722" s="12"/>
      <c r="T722" s="12"/>
      <c r="U722" s="12"/>
      <c r="V722" s="12"/>
      <c r="W722" s="12"/>
      <c r="X722" s="12"/>
      <c r="Y722" s="12"/>
      <c r="Z722" s="12"/>
    </row>
    <row r="723" customFormat="false" ht="15.75" hidden="false" customHeight="true" outlineLevel="0" collapsed="false">
      <c r="A723" s="12"/>
      <c r="B723" s="12"/>
      <c r="C723" s="12"/>
      <c r="D723" s="12"/>
      <c r="E723" s="12"/>
      <c r="F723" s="12"/>
      <c r="G723" s="12"/>
      <c r="H723" s="12"/>
      <c r="I723" s="12"/>
      <c r="J723" s="12"/>
      <c r="K723" s="12"/>
      <c r="L723" s="12"/>
      <c r="M723" s="12"/>
      <c r="N723" s="12"/>
      <c r="O723" s="12"/>
      <c r="P723" s="12"/>
      <c r="Q723" s="12"/>
      <c r="R723" s="12"/>
      <c r="S723" s="12"/>
      <c r="T723" s="12"/>
      <c r="U723" s="12"/>
      <c r="V723" s="12"/>
      <c r="W723" s="12"/>
      <c r="X723" s="12"/>
      <c r="Y723" s="12"/>
      <c r="Z723" s="12"/>
    </row>
    <row r="724" customFormat="false" ht="15.75" hidden="false" customHeight="true" outlineLevel="0" collapsed="false">
      <c r="A724" s="12"/>
      <c r="B724" s="12"/>
      <c r="C724" s="12"/>
      <c r="D724" s="12"/>
      <c r="E724" s="12"/>
      <c r="F724" s="12"/>
      <c r="G724" s="12"/>
      <c r="H724" s="12"/>
      <c r="I724" s="12"/>
      <c r="J724" s="12"/>
      <c r="K724" s="12"/>
      <c r="L724" s="12"/>
      <c r="M724" s="12"/>
      <c r="N724" s="12"/>
      <c r="O724" s="12"/>
      <c r="P724" s="12"/>
      <c r="Q724" s="12"/>
      <c r="R724" s="12"/>
      <c r="S724" s="12"/>
      <c r="T724" s="12"/>
      <c r="U724" s="12"/>
      <c r="V724" s="12"/>
      <c r="W724" s="12"/>
      <c r="X724" s="12"/>
      <c r="Y724" s="12"/>
      <c r="Z724" s="12"/>
    </row>
    <row r="725" customFormat="false" ht="15.75" hidden="false" customHeight="true" outlineLevel="0" collapsed="false">
      <c r="A725" s="12"/>
      <c r="B725" s="12"/>
      <c r="C725" s="12"/>
      <c r="D725" s="12"/>
      <c r="E725" s="12"/>
      <c r="F725" s="12"/>
      <c r="G725" s="12"/>
      <c r="H725" s="12"/>
      <c r="I725" s="12"/>
      <c r="J725" s="12"/>
      <c r="K725" s="12"/>
      <c r="L725" s="12"/>
      <c r="M725" s="12"/>
      <c r="N725" s="12"/>
      <c r="O725" s="12"/>
      <c r="P725" s="12"/>
      <c r="Q725" s="12"/>
      <c r="R725" s="12"/>
      <c r="S725" s="12"/>
      <c r="T725" s="12"/>
      <c r="U725" s="12"/>
      <c r="V725" s="12"/>
      <c r="W725" s="12"/>
      <c r="X725" s="12"/>
      <c r="Y725" s="12"/>
      <c r="Z725" s="12"/>
    </row>
    <row r="726" customFormat="false" ht="15.75" hidden="false" customHeight="true" outlineLevel="0" collapsed="false">
      <c r="A726" s="12"/>
      <c r="B726" s="12"/>
      <c r="C726" s="12"/>
      <c r="D726" s="12"/>
      <c r="E726" s="12"/>
      <c r="F726" s="12"/>
      <c r="G726" s="12"/>
      <c r="H726" s="12"/>
      <c r="I726" s="12"/>
      <c r="J726" s="12"/>
      <c r="K726" s="12"/>
      <c r="L726" s="12"/>
      <c r="M726" s="12"/>
      <c r="N726" s="12"/>
      <c r="O726" s="12"/>
      <c r="P726" s="12"/>
      <c r="Q726" s="12"/>
      <c r="R726" s="12"/>
      <c r="S726" s="12"/>
      <c r="T726" s="12"/>
      <c r="U726" s="12"/>
      <c r="V726" s="12"/>
      <c r="W726" s="12"/>
      <c r="X726" s="12"/>
      <c r="Y726" s="12"/>
      <c r="Z726" s="12"/>
    </row>
    <row r="727" customFormat="false" ht="15.75" hidden="false" customHeight="true" outlineLevel="0" collapsed="false">
      <c r="A727" s="12"/>
      <c r="B727" s="12"/>
      <c r="C727" s="12"/>
      <c r="D727" s="12"/>
      <c r="E727" s="12"/>
      <c r="F727" s="12"/>
      <c r="G727" s="12"/>
      <c r="H727" s="12"/>
      <c r="I727" s="12"/>
      <c r="J727" s="12"/>
      <c r="K727" s="12"/>
      <c r="L727" s="12"/>
      <c r="M727" s="12"/>
      <c r="N727" s="12"/>
      <c r="O727" s="12"/>
      <c r="P727" s="12"/>
      <c r="Q727" s="12"/>
      <c r="R727" s="12"/>
      <c r="S727" s="12"/>
      <c r="T727" s="12"/>
      <c r="U727" s="12"/>
      <c r="V727" s="12"/>
      <c r="W727" s="12"/>
      <c r="X727" s="12"/>
      <c r="Y727" s="12"/>
      <c r="Z727" s="12"/>
    </row>
    <row r="728" customFormat="false" ht="15.75" hidden="false" customHeight="true" outlineLevel="0" collapsed="false">
      <c r="A728" s="12"/>
      <c r="B728" s="12"/>
      <c r="C728" s="12"/>
      <c r="D728" s="12"/>
      <c r="E728" s="12"/>
      <c r="F728" s="12"/>
      <c r="G728" s="12"/>
      <c r="H728" s="12"/>
      <c r="I728" s="12"/>
      <c r="J728" s="12"/>
      <c r="K728" s="12"/>
      <c r="L728" s="12"/>
      <c r="M728" s="12"/>
      <c r="N728" s="12"/>
      <c r="O728" s="12"/>
      <c r="P728" s="12"/>
      <c r="Q728" s="12"/>
      <c r="R728" s="12"/>
      <c r="S728" s="12"/>
      <c r="T728" s="12"/>
      <c r="U728" s="12"/>
      <c r="V728" s="12"/>
      <c r="W728" s="12"/>
      <c r="X728" s="12"/>
      <c r="Y728" s="12"/>
      <c r="Z728" s="12"/>
    </row>
    <row r="729" customFormat="false" ht="15.75" hidden="false" customHeight="true" outlineLevel="0" collapsed="false">
      <c r="A729" s="12"/>
      <c r="B729" s="12"/>
      <c r="C729" s="12"/>
      <c r="D729" s="12"/>
      <c r="E729" s="12"/>
      <c r="F729" s="12"/>
      <c r="G729" s="12"/>
      <c r="H729" s="12"/>
      <c r="I729" s="12"/>
      <c r="J729" s="12"/>
      <c r="K729" s="12"/>
      <c r="L729" s="12"/>
      <c r="M729" s="12"/>
      <c r="N729" s="12"/>
      <c r="O729" s="12"/>
      <c r="P729" s="12"/>
      <c r="Q729" s="12"/>
      <c r="R729" s="12"/>
      <c r="S729" s="12"/>
      <c r="T729" s="12"/>
      <c r="U729" s="12"/>
      <c r="V729" s="12"/>
      <c r="W729" s="12"/>
      <c r="X729" s="12"/>
      <c r="Y729" s="12"/>
      <c r="Z729" s="12"/>
    </row>
    <row r="730" customFormat="false" ht="15.75" hidden="false" customHeight="true" outlineLevel="0" collapsed="false">
      <c r="A730" s="12"/>
      <c r="B730" s="12"/>
      <c r="C730" s="12"/>
      <c r="D730" s="12"/>
      <c r="E730" s="12"/>
      <c r="F730" s="12"/>
      <c r="G730" s="12"/>
      <c r="H730" s="12"/>
      <c r="I730" s="12"/>
      <c r="J730" s="12"/>
      <c r="K730" s="12"/>
      <c r="L730" s="12"/>
      <c r="M730" s="12"/>
      <c r="N730" s="12"/>
      <c r="O730" s="12"/>
      <c r="P730" s="12"/>
      <c r="Q730" s="12"/>
      <c r="R730" s="12"/>
      <c r="S730" s="12"/>
      <c r="T730" s="12"/>
      <c r="U730" s="12"/>
      <c r="V730" s="12"/>
      <c r="W730" s="12"/>
      <c r="X730" s="12"/>
      <c r="Y730" s="12"/>
      <c r="Z730" s="12"/>
    </row>
    <row r="731" customFormat="false" ht="15.75" hidden="false" customHeight="true" outlineLevel="0" collapsed="false">
      <c r="A731" s="12"/>
      <c r="B731" s="12"/>
      <c r="C731" s="12"/>
      <c r="D731" s="12"/>
      <c r="E731" s="12"/>
      <c r="F731" s="12"/>
      <c r="G731" s="12"/>
      <c r="H731" s="12"/>
      <c r="I731" s="12"/>
      <c r="J731" s="12"/>
      <c r="K731" s="12"/>
      <c r="L731" s="12"/>
      <c r="M731" s="12"/>
      <c r="N731" s="12"/>
      <c r="O731" s="12"/>
      <c r="P731" s="12"/>
      <c r="Q731" s="12"/>
      <c r="R731" s="12"/>
      <c r="S731" s="12"/>
      <c r="T731" s="12"/>
      <c r="U731" s="12"/>
      <c r="V731" s="12"/>
      <c r="W731" s="12"/>
      <c r="X731" s="12"/>
      <c r="Y731" s="12"/>
      <c r="Z731" s="12"/>
    </row>
    <row r="732" customFormat="false" ht="15.75" hidden="false" customHeight="true" outlineLevel="0" collapsed="false">
      <c r="A732" s="12"/>
      <c r="B732" s="12"/>
      <c r="C732" s="12"/>
      <c r="D732" s="12"/>
      <c r="E732" s="12"/>
      <c r="F732" s="12"/>
      <c r="G732" s="12"/>
      <c r="H732" s="12"/>
      <c r="I732" s="12"/>
      <c r="J732" s="12"/>
      <c r="K732" s="12"/>
      <c r="L732" s="12"/>
      <c r="M732" s="12"/>
      <c r="N732" s="12"/>
      <c r="O732" s="12"/>
      <c r="P732" s="12"/>
      <c r="Q732" s="12"/>
      <c r="R732" s="12"/>
      <c r="S732" s="12"/>
      <c r="T732" s="12"/>
      <c r="U732" s="12"/>
      <c r="V732" s="12"/>
      <c r="W732" s="12"/>
      <c r="X732" s="12"/>
      <c r="Y732" s="12"/>
      <c r="Z732" s="12"/>
    </row>
    <row r="733" customFormat="false" ht="15.75" hidden="false" customHeight="true" outlineLevel="0" collapsed="false">
      <c r="A733" s="12"/>
      <c r="B733" s="12"/>
      <c r="C733" s="12"/>
      <c r="D733" s="12"/>
      <c r="E733" s="12"/>
      <c r="F733" s="12"/>
      <c r="G733" s="12"/>
      <c r="H733" s="12"/>
      <c r="I733" s="12"/>
      <c r="J733" s="12"/>
      <c r="K733" s="12"/>
      <c r="L733" s="12"/>
      <c r="M733" s="12"/>
      <c r="N733" s="12"/>
      <c r="O733" s="12"/>
      <c r="P733" s="12"/>
      <c r="Q733" s="12"/>
      <c r="R733" s="12"/>
      <c r="S733" s="12"/>
      <c r="T733" s="12"/>
      <c r="U733" s="12"/>
      <c r="V733" s="12"/>
      <c r="W733" s="12"/>
      <c r="X733" s="12"/>
      <c r="Y733" s="12"/>
      <c r="Z733" s="12"/>
    </row>
    <row r="734" customFormat="false" ht="15.75" hidden="false" customHeight="true" outlineLevel="0" collapsed="false">
      <c r="A734" s="12"/>
      <c r="B734" s="12"/>
      <c r="C734" s="12"/>
      <c r="D734" s="12"/>
      <c r="E734" s="12"/>
      <c r="F734" s="12"/>
      <c r="G734" s="12"/>
      <c r="H734" s="12"/>
      <c r="I734" s="12"/>
      <c r="J734" s="12"/>
      <c r="K734" s="12"/>
      <c r="L734" s="12"/>
      <c r="M734" s="12"/>
      <c r="N734" s="12"/>
      <c r="O734" s="12"/>
      <c r="P734" s="12"/>
      <c r="Q734" s="12"/>
      <c r="R734" s="12"/>
      <c r="S734" s="12"/>
      <c r="T734" s="12"/>
      <c r="U734" s="12"/>
      <c r="V734" s="12"/>
      <c r="W734" s="12"/>
      <c r="X734" s="12"/>
      <c r="Y734" s="12"/>
      <c r="Z734" s="12"/>
    </row>
    <row r="735" customFormat="false" ht="15.75" hidden="false" customHeight="true" outlineLevel="0" collapsed="false">
      <c r="A735" s="12"/>
      <c r="B735" s="12"/>
      <c r="C735" s="12"/>
      <c r="D735" s="12"/>
      <c r="E735" s="12"/>
      <c r="F735" s="12"/>
      <c r="G735" s="12"/>
      <c r="H735" s="12"/>
      <c r="I735" s="12"/>
      <c r="J735" s="12"/>
      <c r="K735" s="12"/>
      <c r="L735" s="12"/>
      <c r="M735" s="12"/>
      <c r="N735" s="12"/>
      <c r="O735" s="12"/>
      <c r="P735" s="12"/>
      <c r="Q735" s="12"/>
      <c r="R735" s="12"/>
      <c r="S735" s="12"/>
      <c r="T735" s="12"/>
      <c r="U735" s="12"/>
      <c r="V735" s="12"/>
      <c r="W735" s="12"/>
      <c r="X735" s="12"/>
      <c r="Y735" s="12"/>
      <c r="Z735" s="12"/>
    </row>
    <row r="736" customFormat="false" ht="15.75" hidden="false" customHeight="true" outlineLevel="0" collapsed="false">
      <c r="A736" s="12"/>
      <c r="B736" s="12"/>
      <c r="C736" s="12"/>
      <c r="D736" s="12"/>
      <c r="E736" s="12"/>
      <c r="F736" s="12"/>
      <c r="G736" s="12"/>
      <c r="H736" s="12"/>
      <c r="I736" s="12"/>
      <c r="J736" s="12"/>
      <c r="K736" s="12"/>
      <c r="L736" s="12"/>
      <c r="M736" s="12"/>
      <c r="N736" s="12"/>
      <c r="O736" s="12"/>
      <c r="P736" s="12"/>
      <c r="Q736" s="12"/>
      <c r="R736" s="12"/>
      <c r="S736" s="12"/>
      <c r="T736" s="12"/>
      <c r="U736" s="12"/>
      <c r="V736" s="12"/>
      <c r="W736" s="12"/>
      <c r="X736" s="12"/>
      <c r="Y736" s="12"/>
      <c r="Z736" s="12"/>
    </row>
    <row r="737" customFormat="false" ht="15.75" hidden="false" customHeight="true" outlineLevel="0" collapsed="false">
      <c r="A737" s="12"/>
      <c r="B737" s="12"/>
      <c r="C737" s="12"/>
      <c r="D737" s="12"/>
      <c r="E737" s="12"/>
      <c r="F737" s="12"/>
      <c r="G737" s="12"/>
      <c r="H737" s="12"/>
      <c r="I737" s="12"/>
      <c r="J737" s="12"/>
      <c r="K737" s="12"/>
      <c r="L737" s="12"/>
      <c r="M737" s="12"/>
      <c r="N737" s="12"/>
      <c r="O737" s="12"/>
      <c r="P737" s="12"/>
      <c r="Q737" s="12"/>
      <c r="R737" s="12"/>
      <c r="S737" s="12"/>
      <c r="T737" s="12"/>
      <c r="U737" s="12"/>
      <c r="V737" s="12"/>
      <c r="W737" s="12"/>
      <c r="X737" s="12"/>
      <c r="Y737" s="12"/>
      <c r="Z737" s="12"/>
    </row>
    <row r="738" customFormat="false" ht="15.75" hidden="false" customHeight="true" outlineLevel="0" collapsed="false">
      <c r="A738" s="12"/>
      <c r="B738" s="12"/>
      <c r="C738" s="12"/>
      <c r="D738" s="12"/>
      <c r="E738" s="12"/>
      <c r="F738" s="12"/>
      <c r="G738" s="12"/>
      <c r="H738" s="12"/>
      <c r="I738" s="12"/>
      <c r="J738" s="12"/>
      <c r="K738" s="12"/>
      <c r="L738" s="12"/>
      <c r="M738" s="12"/>
      <c r="N738" s="12"/>
      <c r="O738" s="12"/>
      <c r="P738" s="12"/>
      <c r="Q738" s="12"/>
      <c r="R738" s="12"/>
      <c r="S738" s="12"/>
      <c r="T738" s="12"/>
      <c r="U738" s="12"/>
      <c r="V738" s="12"/>
      <c r="W738" s="12"/>
      <c r="X738" s="12"/>
      <c r="Y738" s="12"/>
      <c r="Z738" s="12"/>
    </row>
    <row r="739" customFormat="false" ht="15.75" hidden="false" customHeight="true" outlineLevel="0" collapsed="false">
      <c r="A739" s="12"/>
      <c r="B739" s="12"/>
      <c r="C739" s="12"/>
      <c r="D739" s="12"/>
      <c r="E739" s="12"/>
      <c r="F739" s="12"/>
      <c r="G739" s="12"/>
      <c r="H739" s="12"/>
      <c r="I739" s="12"/>
      <c r="J739" s="12"/>
      <c r="K739" s="12"/>
      <c r="L739" s="12"/>
      <c r="M739" s="12"/>
      <c r="N739" s="12"/>
      <c r="O739" s="12"/>
      <c r="P739" s="12"/>
      <c r="Q739" s="12"/>
      <c r="R739" s="12"/>
      <c r="S739" s="12"/>
      <c r="T739" s="12"/>
      <c r="U739" s="12"/>
      <c r="V739" s="12"/>
      <c r="W739" s="12"/>
      <c r="X739" s="12"/>
      <c r="Y739" s="12"/>
      <c r="Z739" s="12"/>
    </row>
    <row r="740" customFormat="false" ht="15.75" hidden="false" customHeight="true" outlineLevel="0" collapsed="false">
      <c r="A740" s="12"/>
      <c r="B740" s="12"/>
      <c r="C740" s="12"/>
      <c r="D740" s="12"/>
      <c r="E740" s="12"/>
      <c r="F740" s="12"/>
      <c r="G740" s="12"/>
      <c r="H740" s="12"/>
      <c r="I740" s="12"/>
      <c r="J740" s="12"/>
      <c r="K740" s="12"/>
      <c r="L740" s="12"/>
      <c r="M740" s="12"/>
      <c r="N740" s="12"/>
      <c r="O740" s="12"/>
      <c r="P740" s="12"/>
      <c r="Q740" s="12"/>
      <c r="R740" s="12"/>
      <c r="S740" s="12"/>
      <c r="T740" s="12"/>
      <c r="U740" s="12"/>
      <c r="V740" s="12"/>
      <c r="W740" s="12"/>
      <c r="X740" s="12"/>
      <c r="Y740" s="12"/>
      <c r="Z740" s="12"/>
    </row>
    <row r="741" customFormat="false" ht="15.75" hidden="false" customHeight="true" outlineLevel="0" collapsed="false">
      <c r="A741" s="12"/>
      <c r="B741" s="12"/>
      <c r="C741" s="12"/>
      <c r="D741" s="12"/>
      <c r="E741" s="12"/>
      <c r="F741" s="12"/>
      <c r="G741" s="12"/>
      <c r="H741" s="12"/>
      <c r="I741" s="12"/>
      <c r="J741" s="12"/>
      <c r="K741" s="12"/>
      <c r="L741" s="12"/>
      <c r="M741" s="12"/>
      <c r="N741" s="12"/>
      <c r="O741" s="12"/>
      <c r="P741" s="12"/>
      <c r="Q741" s="12"/>
      <c r="R741" s="12"/>
      <c r="S741" s="12"/>
      <c r="T741" s="12"/>
      <c r="U741" s="12"/>
      <c r="V741" s="12"/>
      <c r="W741" s="12"/>
      <c r="X741" s="12"/>
      <c r="Y741" s="12"/>
      <c r="Z741" s="12"/>
    </row>
    <row r="742" customFormat="false" ht="15.75" hidden="false" customHeight="true" outlineLevel="0" collapsed="false">
      <c r="A742" s="12"/>
      <c r="B742" s="12"/>
      <c r="C742" s="12"/>
      <c r="D742" s="12"/>
      <c r="E742" s="12"/>
      <c r="F742" s="12"/>
      <c r="G742" s="12"/>
      <c r="H742" s="12"/>
      <c r="I742" s="12"/>
      <c r="J742" s="12"/>
      <c r="K742" s="12"/>
      <c r="L742" s="12"/>
      <c r="M742" s="12"/>
      <c r="N742" s="12"/>
      <c r="O742" s="12"/>
      <c r="P742" s="12"/>
      <c r="Q742" s="12"/>
      <c r="R742" s="12"/>
      <c r="S742" s="12"/>
      <c r="T742" s="12"/>
      <c r="U742" s="12"/>
      <c r="V742" s="12"/>
      <c r="W742" s="12"/>
      <c r="X742" s="12"/>
      <c r="Y742" s="12"/>
      <c r="Z742" s="12"/>
    </row>
    <row r="743" customFormat="false" ht="15.75" hidden="false" customHeight="true" outlineLevel="0" collapsed="false">
      <c r="A743" s="12"/>
      <c r="B743" s="12"/>
      <c r="C743" s="12"/>
      <c r="D743" s="12"/>
      <c r="E743" s="12"/>
      <c r="F743" s="12"/>
      <c r="G743" s="12"/>
      <c r="H743" s="12"/>
      <c r="I743" s="12"/>
      <c r="J743" s="12"/>
      <c r="K743" s="12"/>
      <c r="L743" s="12"/>
      <c r="M743" s="12"/>
      <c r="N743" s="12"/>
      <c r="O743" s="12"/>
      <c r="P743" s="12"/>
      <c r="Q743" s="12"/>
      <c r="R743" s="12"/>
      <c r="S743" s="12"/>
      <c r="T743" s="12"/>
      <c r="U743" s="12"/>
      <c r="V743" s="12"/>
      <c r="W743" s="12"/>
      <c r="X743" s="12"/>
      <c r="Y743" s="12"/>
      <c r="Z743" s="12"/>
    </row>
    <row r="744" customFormat="false" ht="15.75" hidden="false" customHeight="true" outlineLevel="0" collapsed="false">
      <c r="A744" s="12"/>
      <c r="B744" s="12"/>
      <c r="C744" s="12"/>
      <c r="D744" s="12"/>
      <c r="E744" s="12"/>
      <c r="F744" s="12"/>
      <c r="G744" s="12"/>
      <c r="H744" s="12"/>
      <c r="I744" s="12"/>
      <c r="J744" s="12"/>
      <c r="K744" s="12"/>
      <c r="L744" s="12"/>
      <c r="M744" s="12"/>
      <c r="N744" s="12"/>
      <c r="O744" s="12"/>
      <c r="P744" s="12"/>
      <c r="Q744" s="12"/>
      <c r="R744" s="12"/>
      <c r="S744" s="12"/>
      <c r="T744" s="12"/>
      <c r="U744" s="12"/>
      <c r="V744" s="12"/>
      <c r="W744" s="12"/>
      <c r="X744" s="12"/>
      <c r="Y744" s="12"/>
      <c r="Z744" s="12"/>
    </row>
    <row r="745" customFormat="false" ht="15.75" hidden="false" customHeight="true" outlineLevel="0" collapsed="false">
      <c r="A745" s="12"/>
      <c r="B745" s="12"/>
      <c r="C745" s="12"/>
      <c r="D745" s="12"/>
      <c r="E745" s="12"/>
      <c r="F745" s="12"/>
      <c r="G745" s="12"/>
      <c r="H745" s="12"/>
      <c r="I745" s="12"/>
      <c r="J745" s="12"/>
      <c r="K745" s="12"/>
      <c r="L745" s="12"/>
      <c r="M745" s="12"/>
      <c r="N745" s="12"/>
      <c r="O745" s="12"/>
      <c r="P745" s="12"/>
      <c r="Q745" s="12"/>
      <c r="R745" s="12"/>
      <c r="S745" s="12"/>
      <c r="T745" s="12"/>
      <c r="U745" s="12"/>
      <c r="V745" s="12"/>
      <c r="W745" s="12"/>
      <c r="X745" s="12"/>
      <c r="Y745" s="12"/>
      <c r="Z745" s="12"/>
    </row>
    <row r="746" customFormat="false" ht="15.75" hidden="false" customHeight="true" outlineLevel="0" collapsed="false">
      <c r="A746" s="12"/>
      <c r="B746" s="12"/>
      <c r="C746" s="12"/>
      <c r="D746" s="12"/>
      <c r="E746" s="12"/>
      <c r="F746" s="12"/>
      <c r="G746" s="12"/>
      <c r="H746" s="12"/>
      <c r="I746" s="12"/>
      <c r="J746" s="12"/>
      <c r="K746" s="12"/>
      <c r="L746" s="12"/>
      <c r="M746" s="12"/>
      <c r="N746" s="12"/>
      <c r="O746" s="12"/>
      <c r="P746" s="12"/>
      <c r="Q746" s="12"/>
      <c r="R746" s="12"/>
      <c r="S746" s="12"/>
      <c r="T746" s="12"/>
      <c r="U746" s="12"/>
      <c r="V746" s="12"/>
      <c r="W746" s="12"/>
      <c r="X746" s="12"/>
      <c r="Y746" s="12"/>
      <c r="Z746" s="12"/>
    </row>
    <row r="747" customFormat="false" ht="15.75" hidden="false" customHeight="true" outlineLevel="0" collapsed="false">
      <c r="A747" s="12"/>
      <c r="B747" s="12"/>
      <c r="C747" s="12"/>
      <c r="D747" s="12"/>
      <c r="E747" s="12"/>
      <c r="F747" s="12"/>
      <c r="G747" s="12"/>
      <c r="H747" s="12"/>
      <c r="I747" s="12"/>
      <c r="J747" s="12"/>
      <c r="K747" s="12"/>
      <c r="L747" s="12"/>
      <c r="M747" s="12"/>
      <c r="N747" s="12"/>
      <c r="O747" s="12"/>
      <c r="P747" s="12"/>
      <c r="Q747" s="12"/>
      <c r="R747" s="12"/>
      <c r="S747" s="12"/>
      <c r="T747" s="12"/>
      <c r="U747" s="12"/>
      <c r="V747" s="12"/>
      <c r="W747" s="12"/>
      <c r="X747" s="12"/>
      <c r="Y747" s="12"/>
      <c r="Z747" s="12"/>
    </row>
    <row r="748" customFormat="false" ht="15.75" hidden="false" customHeight="true" outlineLevel="0" collapsed="false">
      <c r="A748" s="12"/>
      <c r="B748" s="12"/>
      <c r="C748" s="12"/>
      <c r="D748" s="12"/>
      <c r="E748" s="12"/>
      <c r="F748" s="12"/>
      <c r="G748" s="12"/>
      <c r="H748" s="12"/>
      <c r="I748" s="12"/>
      <c r="J748" s="12"/>
      <c r="K748" s="12"/>
      <c r="L748" s="12"/>
      <c r="M748" s="12"/>
      <c r="N748" s="12"/>
      <c r="O748" s="12"/>
      <c r="P748" s="12"/>
      <c r="Q748" s="12"/>
      <c r="R748" s="12"/>
      <c r="S748" s="12"/>
      <c r="T748" s="12"/>
      <c r="U748" s="12"/>
      <c r="V748" s="12"/>
      <c r="W748" s="12"/>
      <c r="X748" s="12"/>
      <c r="Y748" s="12"/>
      <c r="Z748" s="12"/>
    </row>
    <row r="749" customFormat="false" ht="15.75" hidden="false" customHeight="true" outlineLevel="0" collapsed="false">
      <c r="A749" s="12"/>
      <c r="B749" s="12"/>
      <c r="C749" s="12"/>
      <c r="D749" s="12"/>
      <c r="E749" s="12"/>
      <c r="F749" s="12"/>
      <c r="G749" s="12"/>
      <c r="H749" s="12"/>
      <c r="I749" s="12"/>
      <c r="J749" s="12"/>
      <c r="K749" s="12"/>
      <c r="L749" s="12"/>
      <c r="M749" s="12"/>
      <c r="N749" s="12"/>
      <c r="O749" s="12"/>
      <c r="P749" s="12"/>
      <c r="Q749" s="12"/>
      <c r="R749" s="12"/>
      <c r="S749" s="12"/>
      <c r="T749" s="12"/>
      <c r="U749" s="12"/>
      <c r="V749" s="12"/>
      <c r="W749" s="12"/>
      <c r="X749" s="12"/>
      <c r="Y749" s="12"/>
      <c r="Z749" s="12"/>
    </row>
    <row r="750" customFormat="false" ht="15.75" hidden="false" customHeight="true" outlineLevel="0" collapsed="false">
      <c r="A750" s="12"/>
      <c r="B750" s="12"/>
      <c r="C750" s="12"/>
      <c r="D750" s="12"/>
      <c r="E750" s="12"/>
      <c r="F750" s="12"/>
      <c r="G750" s="12"/>
      <c r="H750" s="12"/>
      <c r="I750" s="12"/>
      <c r="J750" s="12"/>
      <c r="K750" s="12"/>
      <c r="L750" s="12"/>
      <c r="M750" s="12"/>
      <c r="N750" s="12"/>
      <c r="O750" s="12"/>
      <c r="P750" s="12"/>
      <c r="Q750" s="12"/>
      <c r="R750" s="12"/>
      <c r="S750" s="12"/>
      <c r="T750" s="12"/>
      <c r="U750" s="12"/>
      <c r="V750" s="12"/>
      <c r="W750" s="12"/>
      <c r="X750" s="12"/>
      <c r="Y750" s="12"/>
      <c r="Z750" s="12"/>
    </row>
    <row r="751" customFormat="false" ht="15.75" hidden="false" customHeight="true" outlineLevel="0" collapsed="false">
      <c r="A751" s="12"/>
      <c r="B751" s="12"/>
      <c r="C751" s="12"/>
      <c r="D751" s="12"/>
      <c r="E751" s="12"/>
      <c r="F751" s="12"/>
      <c r="G751" s="12"/>
      <c r="H751" s="12"/>
      <c r="I751" s="12"/>
      <c r="J751" s="12"/>
      <c r="K751" s="12"/>
      <c r="L751" s="12"/>
      <c r="M751" s="12"/>
      <c r="N751" s="12"/>
      <c r="O751" s="12"/>
      <c r="P751" s="12"/>
      <c r="Q751" s="12"/>
      <c r="R751" s="12"/>
      <c r="S751" s="12"/>
      <c r="T751" s="12"/>
      <c r="U751" s="12"/>
      <c r="V751" s="12"/>
      <c r="W751" s="12"/>
      <c r="X751" s="12"/>
      <c r="Y751" s="12"/>
      <c r="Z751" s="12"/>
    </row>
    <row r="752" customFormat="false" ht="15.75" hidden="false" customHeight="true" outlineLevel="0" collapsed="false">
      <c r="A752" s="12"/>
      <c r="B752" s="12"/>
      <c r="C752" s="12"/>
      <c r="D752" s="12"/>
      <c r="E752" s="12"/>
      <c r="F752" s="12"/>
      <c r="G752" s="12"/>
      <c r="H752" s="12"/>
      <c r="I752" s="12"/>
      <c r="J752" s="12"/>
      <c r="K752" s="12"/>
      <c r="L752" s="12"/>
      <c r="M752" s="12"/>
      <c r="N752" s="12"/>
      <c r="O752" s="12"/>
      <c r="P752" s="12"/>
      <c r="Q752" s="12"/>
      <c r="R752" s="12"/>
      <c r="S752" s="12"/>
      <c r="T752" s="12"/>
      <c r="U752" s="12"/>
      <c r="V752" s="12"/>
      <c r="W752" s="12"/>
      <c r="X752" s="12"/>
      <c r="Y752" s="12"/>
      <c r="Z752" s="12"/>
    </row>
    <row r="753" customFormat="false" ht="15.75" hidden="false" customHeight="true" outlineLevel="0" collapsed="false">
      <c r="A753" s="12"/>
      <c r="B753" s="12"/>
      <c r="C753" s="12"/>
      <c r="D753" s="12"/>
      <c r="E753" s="12"/>
      <c r="F753" s="12"/>
      <c r="G753" s="12"/>
      <c r="H753" s="12"/>
      <c r="I753" s="12"/>
      <c r="J753" s="12"/>
      <c r="K753" s="12"/>
      <c r="L753" s="12"/>
      <c r="M753" s="12"/>
      <c r="N753" s="12"/>
      <c r="O753" s="12"/>
      <c r="P753" s="12"/>
      <c r="Q753" s="12"/>
      <c r="R753" s="12"/>
      <c r="S753" s="12"/>
      <c r="T753" s="12"/>
      <c r="U753" s="12"/>
      <c r="V753" s="12"/>
      <c r="W753" s="12"/>
      <c r="X753" s="12"/>
      <c r="Y753" s="12"/>
      <c r="Z753" s="12"/>
    </row>
    <row r="754" customFormat="false" ht="15.75" hidden="false" customHeight="true" outlineLevel="0" collapsed="false">
      <c r="A754" s="12"/>
      <c r="B754" s="12"/>
      <c r="C754" s="12"/>
      <c r="D754" s="12"/>
      <c r="E754" s="12"/>
      <c r="F754" s="12"/>
      <c r="G754" s="12"/>
      <c r="H754" s="12"/>
      <c r="I754" s="12"/>
      <c r="J754" s="12"/>
      <c r="K754" s="12"/>
      <c r="L754" s="12"/>
      <c r="M754" s="12"/>
      <c r="N754" s="12"/>
      <c r="O754" s="12"/>
      <c r="P754" s="12"/>
      <c r="Q754" s="12"/>
      <c r="R754" s="12"/>
      <c r="S754" s="12"/>
      <c r="T754" s="12"/>
      <c r="U754" s="12"/>
      <c r="V754" s="12"/>
      <c r="W754" s="12"/>
      <c r="X754" s="12"/>
      <c r="Y754" s="12"/>
      <c r="Z754" s="12"/>
    </row>
    <row r="755" customFormat="false" ht="15.75" hidden="false" customHeight="true" outlineLevel="0" collapsed="false">
      <c r="A755" s="12"/>
      <c r="B755" s="12"/>
      <c r="C755" s="12"/>
      <c r="D755" s="12"/>
      <c r="E755" s="12"/>
      <c r="F755" s="12"/>
      <c r="G755" s="12"/>
      <c r="H755" s="12"/>
      <c r="I755" s="12"/>
      <c r="J755" s="12"/>
      <c r="K755" s="12"/>
      <c r="L755" s="12"/>
      <c r="M755" s="12"/>
      <c r="N755" s="12"/>
      <c r="O755" s="12"/>
      <c r="P755" s="12"/>
      <c r="Q755" s="12"/>
      <c r="R755" s="12"/>
      <c r="S755" s="12"/>
      <c r="T755" s="12"/>
      <c r="U755" s="12"/>
      <c r="V755" s="12"/>
      <c r="W755" s="12"/>
      <c r="X755" s="12"/>
      <c r="Y755" s="12"/>
      <c r="Z755" s="12"/>
    </row>
    <row r="756" customFormat="false" ht="15.75" hidden="false" customHeight="true" outlineLevel="0" collapsed="false">
      <c r="A756" s="12"/>
      <c r="B756" s="12"/>
      <c r="C756" s="12"/>
      <c r="D756" s="12"/>
      <c r="E756" s="12"/>
      <c r="F756" s="12"/>
      <c r="G756" s="12"/>
      <c r="H756" s="12"/>
      <c r="I756" s="12"/>
      <c r="J756" s="12"/>
      <c r="K756" s="12"/>
      <c r="L756" s="12"/>
      <c r="M756" s="12"/>
      <c r="N756" s="12"/>
      <c r="O756" s="12"/>
      <c r="P756" s="12"/>
      <c r="Q756" s="12"/>
      <c r="R756" s="12"/>
      <c r="S756" s="12"/>
      <c r="T756" s="12"/>
      <c r="U756" s="12"/>
      <c r="V756" s="12"/>
      <c r="W756" s="12"/>
      <c r="X756" s="12"/>
      <c r="Y756" s="12"/>
      <c r="Z756" s="12"/>
    </row>
    <row r="757" customFormat="false" ht="15.75" hidden="false" customHeight="true" outlineLevel="0" collapsed="false">
      <c r="A757" s="12"/>
      <c r="B757" s="12"/>
      <c r="C757" s="12"/>
      <c r="D757" s="12"/>
      <c r="E757" s="12"/>
      <c r="F757" s="12"/>
      <c r="G757" s="12"/>
      <c r="H757" s="12"/>
      <c r="I757" s="12"/>
      <c r="J757" s="12"/>
      <c r="K757" s="12"/>
      <c r="L757" s="12"/>
      <c r="M757" s="12"/>
      <c r="N757" s="12"/>
      <c r="O757" s="12"/>
      <c r="P757" s="12"/>
      <c r="Q757" s="12"/>
      <c r="R757" s="12"/>
      <c r="S757" s="12"/>
      <c r="T757" s="12"/>
      <c r="U757" s="12"/>
      <c r="V757" s="12"/>
      <c r="W757" s="12"/>
      <c r="X757" s="12"/>
      <c r="Y757" s="12"/>
      <c r="Z757" s="12"/>
    </row>
    <row r="758" customFormat="false" ht="15.75" hidden="false" customHeight="true" outlineLevel="0" collapsed="false">
      <c r="A758" s="12"/>
      <c r="B758" s="12"/>
      <c r="C758" s="12"/>
      <c r="D758" s="12"/>
      <c r="E758" s="12"/>
      <c r="F758" s="12"/>
      <c r="G758" s="12"/>
      <c r="H758" s="12"/>
      <c r="I758" s="12"/>
      <c r="J758" s="12"/>
      <c r="K758" s="12"/>
      <c r="L758" s="12"/>
      <c r="M758" s="12"/>
      <c r="N758" s="12"/>
      <c r="O758" s="12"/>
      <c r="P758" s="12"/>
      <c r="Q758" s="12"/>
      <c r="R758" s="12"/>
      <c r="S758" s="12"/>
      <c r="T758" s="12"/>
      <c r="U758" s="12"/>
      <c r="V758" s="12"/>
      <c r="W758" s="12"/>
      <c r="X758" s="12"/>
      <c r="Y758" s="12"/>
      <c r="Z758" s="12"/>
    </row>
    <row r="759" customFormat="false" ht="15.75" hidden="false" customHeight="true" outlineLevel="0" collapsed="false">
      <c r="A759" s="12"/>
      <c r="B759" s="12"/>
      <c r="C759" s="12"/>
      <c r="D759" s="12"/>
      <c r="E759" s="12"/>
      <c r="F759" s="12"/>
      <c r="G759" s="12"/>
      <c r="H759" s="12"/>
      <c r="I759" s="12"/>
      <c r="J759" s="12"/>
      <c r="K759" s="12"/>
      <c r="L759" s="12"/>
      <c r="M759" s="12"/>
      <c r="N759" s="12"/>
      <c r="O759" s="12"/>
      <c r="P759" s="12"/>
      <c r="Q759" s="12"/>
      <c r="R759" s="12"/>
      <c r="S759" s="12"/>
      <c r="T759" s="12"/>
      <c r="U759" s="12"/>
      <c r="V759" s="12"/>
      <c r="W759" s="12"/>
      <c r="X759" s="12"/>
      <c r="Y759" s="12"/>
      <c r="Z759" s="12"/>
    </row>
    <row r="760" customFormat="false" ht="15.75" hidden="false" customHeight="true" outlineLevel="0" collapsed="false">
      <c r="A760" s="12"/>
      <c r="B760" s="12"/>
      <c r="C760" s="12"/>
      <c r="D760" s="12"/>
      <c r="E760" s="12"/>
      <c r="F760" s="12"/>
      <c r="G760" s="12"/>
      <c r="H760" s="12"/>
      <c r="I760" s="12"/>
      <c r="J760" s="12"/>
      <c r="K760" s="12"/>
      <c r="L760" s="12"/>
      <c r="M760" s="12"/>
      <c r="N760" s="12"/>
      <c r="O760" s="12"/>
      <c r="P760" s="12"/>
      <c r="Q760" s="12"/>
      <c r="R760" s="12"/>
      <c r="S760" s="12"/>
      <c r="T760" s="12"/>
      <c r="U760" s="12"/>
      <c r="V760" s="12"/>
      <c r="W760" s="12"/>
      <c r="X760" s="12"/>
      <c r="Y760" s="12"/>
      <c r="Z760" s="12"/>
    </row>
    <row r="761" customFormat="false" ht="15.75" hidden="false" customHeight="true" outlineLevel="0" collapsed="false">
      <c r="A761" s="12"/>
      <c r="B761" s="12"/>
      <c r="C761" s="12"/>
      <c r="D761" s="12"/>
      <c r="E761" s="12"/>
      <c r="F761" s="12"/>
      <c r="G761" s="12"/>
      <c r="H761" s="12"/>
      <c r="I761" s="12"/>
      <c r="J761" s="12"/>
      <c r="K761" s="12"/>
      <c r="L761" s="12"/>
      <c r="M761" s="12"/>
      <c r="N761" s="12"/>
      <c r="O761" s="12"/>
      <c r="P761" s="12"/>
      <c r="Q761" s="12"/>
      <c r="R761" s="12"/>
      <c r="S761" s="12"/>
      <c r="T761" s="12"/>
      <c r="U761" s="12"/>
      <c r="V761" s="12"/>
      <c r="W761" s="12"/>
      <c r="X761" s="12"/>
      <c r="Y761" s="12"/>
      <c r="Z761" s="12"/>
    </row>
    <row r="762" customFormat="false" ht="15.75" hidden="false" customHeight="true" outlineLevel="0" collapsed="false">
      <c r="A762" s="12"/>
      <c r="B762" s="12"/>
      <c r="C762" s="12"/>
      <c r="D762" s="12"/>
      <c r="E762" s="12"/>
      <c r="F762" s="12"/>
      <c r="G762" s="12"/>
      <c r="H762" s="12"/>
      <c r="I762" s="12"/>
      <c r="J762" s="12"/>
      <c r="K762" s="12"/>
      <c r="L762" s="12"/>
      <c r="M762" s="12"/>
      <c r="N762" s="12"/>
      <c r="O762" s="12"/>
      <c r="P762" s="12"/>
      <c r="Q762" s="12"/>
      <c r="R762" s="12"/>
      <c r="S762" s="12"/>
      <c r="T762" s="12"/>
      <c r="U762" s="12"/>
      <c r="V762" s="12"/>
      <c r="W762" s="12"/>
      <c r="X762" s="12"/>
      <c r="Y762" s="12"/>
      <c r="Z762" s="12"/>
    </row>
    <row r="763" customFormat="false" ht="15.75" hidden="false" customHeight="true" outlineLevel="0" collapsed="false">
      <c r="A763" s="12"/>
      <c r="B763" s="12"/>
      <c r="C763" s="12"/>
      <c r="D763" s="12"/>
      <c r="E763" s="12"/>
      <c r="F763" s="12"/>
      <c r="G763" s="12"/>
      <c r="H763" s="12"/>
      <c r="I763" s="12"/>
      <c r="J763" s="12"/>
      <c r="K763" s="12"/>
      <c r="L763" s="12"/>
      <c r="M763" s="12"/>
      <c r="N763" s="12"/>
      <c r="O763" s="12"/>
      <c r="P763" s="12"/>
      <c r="Q763" s="12"/>
      <c r="R763" s="12"/>
      <c r="S763" s="12"/>
      <c r="T763" s="12"/>
      <c r="U763" s="12"/>
      <c r="V763" s="12"/>
      <c r="W763" s="12"/>
      <c r="X763" s="12"/>
      <c r="Y763" s="12"/>
      <c r="Z763" s="12"/>
    </row>
    <row r="764" customFormat="false" ht="15.75" hidden="false" customHeight="true" outlineLevel="0" collapsed="false">
      <c r="A764" s="12"/>
      <c r="B764" s="12"/>
      <c r="C764" s="12"/>
      <c r="D764" s="12"/>
      <c r="E764" s="12"/>
      <c r="F764" s="12"/>
      <c r="G764" s="12"/>
      <c r="H764" s="12"/>
      <c r="I764" s="12"/>
      <c r="J764" s="12"/>
      <c r="K764" s="12"/>
      <c r="L764" s="12"/>
      <c r="M764" s="12"/>
      <c r="N764" s="12"/>
      <c r="O764" s="12"/>
      <c r="P764" s="12"/>
      <c r="Q764" s="12"/>
      <c r="R764" s="12"/>
      <c r="S764" s="12"/>
      <c r="T764" s="12"/>
      <c r="U764" s="12"/>
      <c r="V764" s="12"/>
      <c r="W764" s="12"/>
      <c r="X764" s="12"/>
      <c r="Y764" s="12"/>
      <c r="Z764" s="12"/>
    </row>
    <row r="765" customFormat="false" ht="15.75" hidden="false" customHeight="true" outlineLevel="0" collapsed="false">
      <c r="A765" s="12"/>
      <c r="B765" s="12"/>
      <c r="C765" s="12"/>
      <c r="D765" s="12"/>
      <c r="E765" s="12"/>
      <c r="F765" s="12"/>
      <c r="G765" s="12"/>
      <c r="H765" s="12"/>
      <c r="I765" s="12"/>
      <c r="J765" s="12"/>
      <c r="K765" s="12"/>
      <c r="L765" s="12"/>
      <c r="M765" s="12"/>
      <c r="N765" s="12"/>
      <c r="O765" s="12"/>
      <c r="P765" s="12"/>
      <c r="Q765" s="12"/>
      <c r="R765" s="12"/>
      <c r="S765" s="12"/>
      <c r="T765" s="12"/>
      <c r="U765" s="12"/>
      <c r="V765" s="12"/>
      <c r="W765" s="12"/>
      <c r="X765" s="12"/>
      <c r="Y765" s="12"/>
      <c r="Z765" s="12"/>
    </row>
    <row r="766" customFormat="false" ht="15.75" hidden="false" customHeight="true" outlineLevel="0" collapsed="false">
      <c r="A766" s="12"/>
      <c r="B766" s="12"/>
      <c r="C766" s="12"/>
      <c r="D766" s="12"/>
      <c r="E766" s="12"/>
      <c r="F766" s="12"/>
      <c r="G766" s="12"/>
      <c r="H766" s="12"/>
      <c r="I766" s="12"/>
      <c r="J766" s="12"/>
      <c r="K766" s="12"/>
      <c r="L766" s="12"/>
      <c r="M766" s="12"/>
      <c r="N766" s="12"/>
      <c r="O766" s="12"/>
      <c r="P766" s="12"/>
      <c r="Q766" s="12"/>
      <c r="R766" s="12"/>
      <c r="S766" s="12"/>
      <c r="T766" s="12"/>
      <c r="U766" s="12"/>
      <c r="V766" s="12"/>
      <c r="W766" s="12"/>
      <c r="X766" s="12"/>
      <c r="Y766" s="12"/>
      <c r="Z766" s="12"/>
    </row>
    <row r="767" customFormat="false" ht="15.75" hidden="false" customHeight="true" outlineLevel="0" collapsed="false">
      <c r="A767" s="12"/>
      <c r="B767" s="12"/>
      <c r="C767" s="12"/>
      <c r="D767" s="12"/>
      <c r="E767" s="12"/>
      <c r="F767" s="12"/>
      <c r="G767" s="12"/>
      <c r="H767" s="12"/>
      <c r="I767" s="12"/>
      <c r="J767" s="12"/>
      <c r="K767" s="12"/>
      <c r="L767" s="12"/>
      <c r="M767" s="12"/>
      <c r="N767" s="12"/>
      <c r="O767" s="12"/>
      <c r="P767" s="12"/>
      <c r="Q767" s="12"/>
      <c r="R767" s="12"/>
      <c r="S767" s="12"/>
      <c r="T767" s="12"/>
      <c r="U767" s="12"/>
      <c r="V767" s="12"/>
      <c r="W767" s="12"/>
      <c r="X767" s="12"/>
      <c r="Y767" s="12"/>
      <c r="Z767" s="12"/>
    </row>
    <row r="768" customFormat="false" ht="15.75" hidden="false" customHeight="true" outlineLevel="0" collapsed="false">
      <c r="A768" s="12"/>
      <c r="B768" s="12"/>
      <c r="C768" s="12"/>
      <c r="D768" s="12"/>
      <c r="E768" s="12"/>
      <c r="F768" s="12"/>
      <c r="G768" s="12"/>
      <c r="H768" s="12"/>
      <c r="I768" s="12"/>
      <c r="J768" s="12"/>
      <c r="K768" s="12"/>
      <c r="L768" s="12"/>
      <c r="M768" s="12"/>
      <c r="N768" s="12"/>
      <c r="O768" s="12"/>
      <c r="P768" s="12"/>
      <c r="Q768" s="12"/>
      <c r="R768" s="12"/>
      <c r="S768" s="12"/>
      <c r="T768" s="12"/>
      <c r="U768" s="12"/>
      <c r="V768" s="12"/>
      <c r="W768" s="12"/>
      <c r="X768" s="12"/>
      <c r="Y768" s="12"/>
      <c r="Z768" s="12"/>
    </row>
    <row r="769" customFormat="false" ht="15.75" hidden="false" customHeight="true" outlineLevel="0" collapsed="false">
      <c r="A769" s="12"/>
      <c r="B769" s="12"/>
      <c r="C769" s="12"/>
      <c r="D769" s="12"/>
      <c r="E769" s="12"/>
      <c r="F769" s="12"/>
      <c r="G769" s="12"/>
      <c r="H769" s="12"/>
      <c r="I769" s="12"/>
      <c r="J769" s="12"/>
      <c r="K769" s="12"/>
      <c r="L769" s="12"/>
      <c r="M769" s="12"/>
      <c r="N769" s="12"/>
      <c r="O769" s="12"/>
      <c r="P769" s="12"/>
      <c r="Q769" s="12"/>
      <c r="R769" s="12"/>
      <c r="S769" s="12"/>
      <c r="T769" s="12"/>
      <c r="U769" s="12"/>
      <c r="V769" s="12"/>
      <c r="W769" s="12"/>
      <c r="X769" s="12"/>
      <c r="Y769" s="12"/>
      <c r="Z769" s="12"/>
    </row>
    <row r="770" customFormat="false" ht="15.75" hidden="false" customHeight="true" outlineLevel="0" collapsed="false">
      <c r="A770" s="12"/>
      <c r="B770" s="12"/>
      <c r="C770" s="12"/>
      <c r="D770" s="12"/>
      <c r="E770" s="12"/>
      <c r="F770" s="12"/>
      <c r="G770" s="12"/>
      <c r="H770" s="12"/>
      <c r="I770" s="12"/>
      <c r="J770" s="12"/>
      <c r="K770" s="12"/>
      <c r="L770" s="12"/>
      <c r="M770" s="12"/>
      <c r="N770" s="12"/>
      <c r="O770" s="12"/>
      <c r="P770" s="12"/>
      <c r="Q770" s="12"/>
      <c r="R770" s="12"/>
      <c r="S770" s="12"/>
      <c r="T770" s="12"/>
      <c r="U770" s="12"/>
      <c r="V770" s="12"/>
      <c r="W770" s="12"/>
      <c r="X770" s="12"/>
      <c r="Y770" s="12"/>
      <c r="Z770" s="12"/>
    </row>
    <row r="771" customFormat="false" ht="15.75" hidden="false" customHeight="true" outlineLevel="0" collapsed="false">
      <c r="A771" s="12"/>
      <c r="B771" s="12"/>
      <c r="C771" s="12"/>
      <c r="D771" s="12"/>
      <c r="E771" s="12"/>
      <c r="F771" s="12"/>
      <c r="G771" s="12"/>
      <c r="H771" s="12"/>
      <c r="I771" s="12"/>
      <c r="J771" s="12"/>
      <c r="K771" s="12"/>
      <c r="L771" s="12"/>
      <c r="M771" s="12"/>
      <c r="N771" s="12"/>
      <c r="O771" s="12"/>
      <c r="P771" s="12"/>
      <c r="Q771" s="12"/>
      <c r="R771" s="12"/>
      <c r="S771" s="12"/>
      <c r="T771" s="12"/>
      <c r="U771" s="12"/>
      <c r="V771" s="12"/>
      <c r="W771" s="12"/>
      <c r="X771" s="12"/>
      <c r="Y771" s="12"/>
      <c r="Z771" s="12"/>
    </row>
    <row r="772" customFormat="false" ht="15.75" hidden="false" customHeight="true" outlineLevel="0" collapsed="false">
      <c r="A772" s="12"/>
      <c r="B772" s="12"/>
      <c r="C772" s="12"/>
      <c r="D772" s="12"/>
      <c r="E772" s="12"/>
      <c r="F772" s="12"/>
      <c r="G772" s="12"/>
      <c r="H772" s="12"/>
      <c r="I772" s="12"/>
      <c r="J772" s="12"/>
      <c r="K772" s="12"/>
      <c r="L772" s="12"/>
      <c r="M772" s="12"/>
      <c r="N772" s="12"/>
      <c r="O772" s="12"/>
      <c r="P772" s="12"/>
      <c r="Q772" s="12"/>
      <c r="R772" s="12"/>
      <c r="S772" s="12"/>
      <c r="T772" s="12"/>
      <c r="U772" s="12"/>
      <c r="V772" s="12"/>
      <c r="W772" s="12"/>
      <c r="X772" s="12"/>
      <c r="Y772" s="12"/>
      <c r="Z772" s="12"/>
    </row>
    <row r="773" customFormat="false" ht="15.75" hidden="false" customHeight="true" outlineLevel="0" collapsed="false">
      <c r="A773" s="12"/>
      <c r="B773" s="12"/>
      <c r="C773" s="12"/>
      <c r="D773" s="12"/>
      <c r="E773" s="12"/>
      <c r="F773" s="12"/>
      <c r="G773" s="12"/>
      <c r="H773" s="12"/>
      <c r="I773" s="12"/>
      <c r="J773" s="12"/>
      <c r="K773" s="12"/>
      <c r="L773" s="12"/>
      <c r="M773" s="12"/>
      <c r="N773" s="12"/>
      <c r="O773" s="12"/>
      <c r="P773" s="12"/>
      <c r="Q773" s="12"/>
      <c r="R773" s="12"/>
      <c r="S773" s="12"/>
      <c r="T773" s="12"/>
      <c r="U773" s="12"/>
      <c r="V773" s="12"/>
      <c r="W773" s="12"/>
      <c r="X773" s="12"/>
      <c r="Y773" s="12"/>
      <c r="Z773" s="12"/>
    </row>
    <row r="774" customFormat="false" ht="15.75" hidden="false" customHeight="true" outlineLevel="0" collapsed="false">
      <c r="A774" s="12"/>
      <c r="B774" s="12"/>
      <c r="C774" s="12"/>
      <c r="D774" s="12"/>
      <c r="E774" s="12"/>
      <c r="F774" s="12"/>
      <c r="G774" s="12"/>
      <c r="H774" s="12"/>
      <c r="I774" s="12"/>
      <c r="J774" s="12"/>
      <c r="K774" s="12"/>
      <c r="L774" s="12"/>
      <c r="M774" s="12"/>
      <c r="N774" s="12"/>
      <c r="O774" s="12"/>
      <c r="P774" s="12"/>
      <c r="Q774" s="12"/>
      <c r="R774" s="12"/>
      <c r="S774" s="12"/>
      <c r="T774" s="12"/>
      <c r="U774" s="12"/>
      <c r="V774" s="12"/>
      <c r="W774" s="12"/>
      <c r="X774" s="12"/>
      <c r="Y774" s="12"/>
      <c r="Z774" s="12"/>
    </row>
    <row r="775" customFormat="false" ht="15.75" hidden="false" customHeight="true" outlineLevel="0" collapsed="false">
      <c r="A775" s="12"/>
      <c r="B775" s="12"/>
      <c r="C775" s="12"/>
      <c r="D775" s="12"/>
      <c r="E775" s="12"/>
      <c r="F775" s="12"/>
      <c r="G775" s="12"/>
      <c r="H775" s="12"/>
      <c r="I775" s="12"/>
      <c r="J775" s="12"/>
      <c r="K775" s="12"/>
      <c r="L775" s="12"/>
      <c r="M775" s="12"/>
      <c r="N775" s="12"/>
      <c r="O775" s="12"/>
      <c r="P775" s="12"/>
      <c r="Q775" s="12"/>
      <c r="R775" s="12"/>
      <c r="S775" s="12"/>
      <c r="T775" s="12"/>
      <c r="U775" s="12"/>
      <c r="V775" s="12"/>
      <c r="W775" s="12"/>
      <c r="X775" s="12"/>
      <c r="Y775" s="12"/>
      <c r="Z775" s="12"/>
    </row>
    <row r="776" customFormat="false" ht="15.75" hidden="false" customHeight="true" outlineLevel="0" collapsed="false">
      <c r="A776" s="12"/>
      <c r="B776" s="12"/>
      <c r="C776" s="12"/>
      <c r="D776" s="12"/>
      <c r="E776" s="12"/>
      <c r="F776" s="12"/>
      <c r="G776" s="12"/>
      <c r="H776" s="12"/>
      <c r="I776" s="12"/>
      <c r="J776" s="12"/>
      <c r="K776" s="12"/>
      <c r="L776" s="12"/>
      <c r="M776" s="12"/>
      <c r="N776" s="12"/>
      <c r="O776" s="12"/>
      <c r="P776" s="12"/>
      <c r="Q776" s="12"/>
      <c r="R776" s="12"/>
      <c r="S776" s="12"/>
      <c r="T776" s="12"/>
      <c r="U776" s="12"/>
      <c r="V776" s="12"/>
      <c r="W776" s="12"/>
      <c r="X776" s="12"/>
      <c r="Y776" s="12"/>
      <c r="Z776" s="12"/>
    </row>
    <row r="777" customFormat="false" ht="15.75" hidden="false" customHeight="true" outlineLevel="0" collapsed="false">
      <c r="A777" s="12"/>
      <c r="B777" s="12"/>
      <c r="C777" s="12"/>
      <c r="D777" s="12"/>
      <c r="E777" s="12"/>
      <c r="F777" s="12"/>
      <c r="G777" s="12"/>
      <c r="H777" s="12"/>
      <c r="I777" s="12"/>
      <c r="J777" s="12"/>
      <c r="K777" s="12"/>
      <c r="L777" s="12"/>
      <c r="M777" s="12"/>
      <c r="N777" s="12"/>
      <c r="O777" s="12"/>
      <c r="P777" s="12"/>
      <c r="Q777" s="12"/>
      <c r="R777" s="12"/>
      <c r="S777" s="12"/>
      <c r="T777" s="12"/>
      <c r="U777" s="12"/>
      <c r="V777" s="12"/>
      <c r="W777" s="12"/>
      <c r="X777" s="12"/>
      <c r="Y777" s="12"/>
      <c r="Z777" s="12"/>
    </row>
    <row r="778" customFormat="false" ht="15.75" hidden="false" customHeight="true" outlineLevel="0" collapsed="false">
      <c r="A778" s="12"/>
      <c r="B778" s="12"/>
      <c r="C778" s="12"/>
      <c r="D778" s="12"/>
      <c r="E778" s="12"/>
      <c r="F778" s="12"/>
      <c r="G778" s="12"/>
      <c r="H778" s="12"/>
      <c r="I778" s="12"/>
      <c r="J778" s="12"/>
      <c r="K778" s="12"/>
      <c r="L778" s="12"/>
      <c r="M778" s="12"/>
      <c r="N778" s="12"/>
      <c r="O778" s="12"/>
      <c r="P778" s="12"/>
      <c r="Q778" s="12"/>
      <c r="R778" s="12"/>
      <c r="S778" s="12"/>
      <c r="T778" s="12"/>
      <c r="U778" s="12"/>
      <c r="V778" s="12"/>
      <c r="W778" s="12"/>
      <c r="X778" s="12"/>
      <c r="Y778" s="12"/>
      <c r="Z778" s="12"/>
    </row>
    <row r="779" customFormat="false" ht="15.75" hidden="false" customHeight="true" outlineLevel="0" collapsed="false">
      <c r="A779" s="12"/>
      <c r="B779" s="12"/>
      <c r="C779" s="12"/>
      <c r="D779" s="12"/>
      <c r="E779" s="12"/>
      <c r="F779" s="12"/>
      <c r="G779" s="12"/>
      <c r="H779" s="12"/>
      <c r="I779" s="12"/>
      <c r="J779" s="12"/>
      <c r="K779" s="12"/>
      <c r="L779" s="12"/>
      <c r="M779" s="12"/>
      <c r="N779" s="12"/>
      <c r="O779" s="12"/>
      <c r="P779" s="12"/>
      <c r="Q779" s="12"/>
      <c r="R779" s="12"/>
      <c r="S779" s="12"/>
      <c r="T779" s="12"/>
      <c r="U779" s="12"/>
      <c r="V779" s="12"/>
      <c r="W779" s="12"/>
      <c r="X779" s="12"/>
      <c r="Y779" s="12"/>
      <c r="Z779" s="12"/>
    </row>
    <row r="780" customFormat="false" ht="15.75" hidden="false" customHeight="true" outlineLevel="0" collapsed="false">
      <c r="A780" s="12"/>
      <c r="B780" s="12"/>
      <c r="C780" s="12"/>
      <c r="D780" s="12"/>
      <c r="E780" s="12"/>
      <c r="F780" s="12"/>
      <c r="G780" s="12"/>
      <c r="H780" s="12"/>
      <c r="I780" s="12"/>
      <c r="J780" s="12"/>
      <c r="K780" s="12"/>
      <c r="L780" s="12"/>
      <c r="M780" s="12"/>
      <c r="N780" s="12"/>
      <c r="O780" s="12"/>
      <c r="P780" s="12"/>
      <c r="Q780" s="12"/>
      <c r="R780" s="12"/>
      <c r="S780" s="12"/>
      <c r="T780" s="12"/>
      <c r="U780" s="12"/>
      <c r="V780" s="12"/>
      <c r="W780" s="12"/>
      <c r="X780" s="12"/>
      <c r="Y780" s="12"/>
      <c r="Z780" s="12"/>
    </row>
    <row r="781" customFormat="false" ht="15.75" hidden="false" customHeight="true" outlineLevel="0" collapsed="false">
      <c r="A781" s="12"/>
      <c r="B781" s="12"/>
      <c r="C781" s="12"/>
      <c r="D781" s="12"/>
      <c r="E781" s="12"/>
      <c r="F781" s="12"/>
      <c r="G781" s="12"/>
      <c r="H781" s="12"/>
      <c r="I781" s="12"/>
      <c r="J781" s="12"/>
      <c r="K781" s="12"/>
      <c r="L781" s="12"/>
      <c r="M781" s="12"/>
      <c r="N781" s="12"/>
      <c r="O781" s="12"/>
      <c r="P781" s="12"/>
      <c r="Q781" s="12"/>
      <c r="R781" s="12"/>
      <c r="S781" s="12"/>
      <c r="T781" s="12"/>
      <c r="U781" s="12"/>
      <c r="V781" s="12"/>
      <c r="W781" s="12"/>
      <c r="X781" s="12"/>
      <c r="Y781" s="12"/>
      <c r="Z781" s="12"/>
    </row>
    <row r="782" customFormat="false" ht="15.75" hidden="false" customHeight="true" outlineLevel="0" collapsed="false">
      <c r="A782" s="12"/>
      <c r="B782" s="12"/>
      <c r="C782" s="12"/>
      <c r="D782" s="12"/>
      <c r="E782" s="12"/>
      <c r="F782" s="12"/>
      <c r="G782" s="12"/>
      <c r="H782" s="12"/>
      <c r="I782" s="12"/>
      <c r="J782" s="12"/>
      <c r="K782" s="12"/>
      <c r="L782" s="12"/>
      <c r="M782" s="12"/>
      <c r="N782" s="12"/>
      <c r="O782" s="12"/>
      <c r="P782" s="12"/>
      <c r="Q782" s="12"/>
      <c r="R782" s="12"/>
      <c r="S782" s="12"/>
      <c r="T782" s="12"/>
      <c r="U782" s="12"/>
      <c r="V782" s="12"/>
      <c r="W782" s="12"/>
      <c r="X782" s="12"/>
      <c r="Y782" s="12"/>
      <c r="Z782" s="12"/>
    </row>
    <row r="783" customFormat="false" ht="15.75" hidden="false" customHeight="true" outlineLevel="0" collapsed="false">
      <c r="A783" s="12"/>
      <c r="B783" s="12"/>
      <c r="C783" s="12"/>
      <c r="D783" s="12"/>
      <c r="E783" s="12"/>
      <c r="F783" s="12"/>
      <c r="G783" s="12"/>
      <c r="H783" s="12"/>
      <c r="I783" s="12"/>
      <c r="J783" s="12"/>
      <c r="K783" s="12"/>
      <c r="L783" s="12"/>
      <c r="M783" s="12"/>
      <c r="N783" s="12"/>
      <c r="O783" s="12"/>
      <c r="P783" s="12"/>
      <c r="Q783" s="12"/>
      <c r="R783" s="12"/>
      <c r="S783" s="12"/>
      <c r="T783" s="12"/>
      <c r="U783" s="12"/>
      <c r="V783" s="12"/>
      <c r="W783" s="12"/>
      <c r="X783" s="12"/>
      <c r="Y783" s="12"/>
      <c r="Z783" s="12"/>
    </row>
    <row r="784" customFormat="false" ht="15.75" hidden="false" customHeight="true" outlineLevel="0" collapsed="false">
      <c r="A784" s="12"/>
      <c r="B784" s="12"/>
      <c r="C784" s="12"/>
      <c r="D784" s="12"/>
      <c r="E784" s="12"/>
      <c r="F784" s="12"/>
      <c r="G784" s="12"/>
      <c r="H784" s="12"/>
      <c r="I784" s="12"/>
      <c r="J784" s="12"/>
      <c r="K784" s="12"/>
      <c r="L784" s="12"/>
      <c r="M784" s="12"/>
      <c r="N784" s="12"/>
      <c r="O784" s="12"/>
      <c r="P784" s="12"/>
      <c r="Q784" s="12"/>
      <c r="R784" s="12"/>
      <c r="S784" s="12"/>
      <c r="T784" s="12"/>
      <c r="U784" s="12"/>
      <c r="V784" s="12"/>
      <c r="W784" s="12"/>
      <c r="X784" s="12"/>
      <c r="Y784" s="12"/>
      <c r="Z784" s="12"/>
    </row>
    <row r="785" customFormat="false" ht="15.75" hidden="false" customHeight="true" outlineLevel="0" collapsed="false">
      <c r="A785" s="12"/>
      <c r="B785" s="12"/>
      <c r="C785" s="12"/>
      <c r="D785" s="12"/>
      <c r="E785" s="12"/>
      <c r="F785" s="12"/>
      <c r="G785" s="12"/>
      <c r="H785" s="12"/>
      <c r="I785" s="12"/>
      <c r="J785" s="12"/>
      <c r="K785" s="12"/>
      <c r="L785" s="12"/>
      <c r="M785" s="12"/>
      <c r="N785" s="12"/>
      <c r="O785" s="12"/>
      <c r="P785" s="12"/>
      <c r="Q785" s="12"/>
      <c r="R785" s="12"/>
      <c r="S785" s="12"/>
      <c r="T785" s="12"/>
      <c r="U785" s="12"/>
      <c r="V785" s="12"/>
      <c r="W785" s="12"/>
      <c r="X785" s="12"/>
      <c r="Y785" s="12"/>
      <c r="Z785" s="12"/>
    </row>
    <row r="786" customFormat="false" ht="15.75" hidden="false" customHeight="true" outlineLevel="0" collapsed="false">
      <c r="A786" s="12"/>
      <c r="B786" s="12"/>
      <c r="C786" s="12"/>
      <c r="D786" s="12"/>
      <c r="E786" s="12"/>
      <c r="F786" s="12"/>
      <c r="G786" s="12"/>
      <c r="H786" s="12"/>
      <c r="I786" s="12"/>
      <c r="J786" s="12"/>
      <c r="K786" s="12"/>
      <c r="L786" s="12"/>
      <c r="M786" s="12"/>
      <c r="N786" s="12"/>
      <c r="O786" s="12"/>
      <c r="P786" s="12"/>
      <c r="Q786" s="12"/>
      <c r="R786" s="12"/>
      <c r="S786" s="12"/>
      <c r="T786" s="12"/>
      <c r="U786" s="12"/>
      <c r="V786" s="12"/>
      <c r="W786" s="12"/>
      <c r="X786" s="12"/>
      <c r="Y786" s="12"/>
      <c r="Z786" s="12"/>
    </row>
    <row r="787" customFormat="false" ht="15.75" hidden="false" customHeight="true" outlineLevel="0" collapsed="false">
      <c r="A787" s="12"/>
      <c r="B787" s="12"/>
      <c r="C787" s="12"/>
      <c r="D787" s="12"/>
      <c r="E787" s="12"/>
      <c r="F787" s="12"/>
      <c r="G787" s="12"/>
      <c r="H787" s="12"/>
      <c r="I787" s="12"/>
      <c r="J787" s="12"/>
      <c r="K787" s="12"/>
      <c r="L787" s="12"/>
      <c r="M787" s="12"/>
      <c r="N787" s="12"/>
      <c r="O787" s="12"/>
      <c r="P787" s="12"/>
      <c r="Q787" s="12"/>
      <c r="R787" s="12"/>
      <c r="S787" s="12"/>
      <c r="T787" s="12"/>
      <c r="U787" s="12"/>
      <c r="V787" s="12"/>
      <c r="W787" s="12"/>
      <c r="X787" s="12"/>
      <c r="Y787" s="12"/>
      <c r="Z787" s="12"/>
    </row>
    <row r="788" customFormat="false" ht="15.75" hidden="false" customHeight="true" outlineLevel="0" collapsed="false">
      <c r="A788" s="12"/>
      <c r="B788" s="12"/>
      <c r="C788" s="12"/>
      <c r="D788" s="12"/>
      <c r="E788" s="12"/>
      <c r="F788" s="12"/>
      <c r="G788" s="12"/>
      <c r="H788" s="12"/>
      <c r="I788" s="12"/>
      <c r="J788" s="12"/>
      <c r="K788" s="12"/>
      <c r="L788" s="12"/>
      <c r="M788" s="12"/>
      <c r="N788" s="12"/>
      <c r="O788" s="12"/>
      <c r="P788" s="12"/>
      <c r="Q788" s="12"/>
      <c r="R788" s="12"/>
      <c r="S788" s="12"/>
      <c r="T788" s="12"/>
      <c r="U788" s="12"/>
      <c r="V788" s="12"/>
      <c r="W788" s="12"/>
      <c r="X788" s="12"/>
      <c r="Y788" s="12"/>
      <c r="Z788" s="12"/>
    </row>
    <row r="789" customFormat="false" ht="15.75" hidden="false" customHeight="true" outlineLevel="0" collapsed="false">
      <c r="A789" s="12"/>
      <c r="B789" s="12"/>
      <c r="C789" s="12"/>
      <c r="D789" s="12"/>
      <c r="E789" s="12"/>
      <c r="F789" s="12"/>
      <c r="G789" s="12"/>
      <c r="H789" s="12"/>
      <c r="I789" s="12"/>
      <c r="J789" s="12"/>
      <c r="K789" s="12"/>
      <c r="L789" s="12"/>
      <c r="M789" s="12"/>
      <c r="N789" s="12"/>
      <c r="O789" s="12"/>
      <c r="P789" s="12"/>
      <c r="Q789" s="12"/>
      <c r="R789" s="12"/>
      <c r="S789" s="12"/>
      <c r="T789" s="12"/>
      <c r="U789" s="12"/>
      <c r="V789" s="12"/>
      <c r="W789" s="12"/>
      <c r="X789" s="12"/>
      <c r="Y789" s="12"/>
      <c r="Z789" s="12"/>
    </row>
    <row r="790" customFormat="false" ht="15.75" hidden="false" customHeight="true" outlineLevel="0" collapsed="false">
      <c r="A790" s="12"/>
      <c r="B790" s="12"/>
      <c r="C790" s="12"/>
      <c r="D790" s="12"/>
      <c r="E790" s="12"/>
      <c r="F790" s="12"/>
      <c r="G790" s="12"/>
      <c r="H790" s="12"/>
      <c r="I790" s="12"/>
      <c r="J790" s="12"/>
      <c r="K790" s="12"/>
      <c r="L790" s="12"/>
      <c r="M790" s="12"/>
      <c r="N790" s="12"/>
      <c r="O790" s="12"/>
      <c r="P790" s="12"/>
      <c r="Q790" s="12"/>
      <c r="R790" s="12"/>
      <c r="S790" s="12"/>
      <c r="T790" s="12"/>
      <c r="U790" s="12"/>
      <c r="V790" s="12"/>
      <c r="W790" s="12"/>
      <c r="X790" s="12"/>
      <c r="Y790" s="12"/>
      <c r="Z790" s="12"/>
    </row>
    <row r="791" customFormat="false" ht="15.75" hidden="false" customHeight="true" outlineLevel="0" collapsed="false">
      <c r="A791" s="12"/>
      <c r="B791" s="12"/>
      <c r="C791" s="12"/>
      <c r="D791" s="12"/>
      <c r="E791" s="12"/>
      <c r="F791" s="12"/>
      <c r="G791" s="12"/>
      <c r="H791" s="12"/>
      <c r="I791" s="12"/>
      <c r="J791" s="12"/>
      <c r="K791" s="12"/>
      <c r="L791" s="12"/>
      <c r="M791" s="12"/>
      <c r="N791" s="12"/>
      <c r="O791" s="12"/>
      <c r="P791" s="12"/>
      <c r="Q791" s="12"/>
      <c r="R791" s="12"/>
      <c r="S791" s="12"/>
      <c r="T791" s="12"/>
      <c r="U791" s="12"/>
      <c r="V791" s="12"/>
      <c r="W791" s="12"/>
      <c r="X791" s="12"/>
      <c r="Y791" s="12"/>
      <c r="Z791" s="12"/>
    </row>
    <row r="792" customFormat="false" ht="15.75" hidden="false" customHeight="true" outlineLevel="0" collapsed="false">
      <c r="A792" s="12"/>
      <c r="B792" s="12"/>
      <c r="C792" s="12"/>
      <c r="D792" s="12"/>
      <c r="E792" s="12"/>
      <c r="F792" s="12"/>
      <c r="G792" s="12"/>
      <c r="H792" s="12"/>
      <c r="I792" s="12"/>
      <c r="J792" s="12"/>
      <c r="K792" s="12"/>
      <c r="L792" s="12"/>
      <c r="M792" s="12"/>
      <c r="N792" s="12"/>
      <c r="O792" s="12"/>
      <c r="P792" s="12"/>
      <c r="Q792" s="12"/>
      <c r="R792" s="12"/>
      <c r="S792" s="12"/>
      <c r="T792" s="12"/>
      <c r="U792" s="12"/>
      <c r="V792" s="12"/>
      <c r="W792" s="12"/>
      <c r="X792" s="12"/>
      <c r="Y792" s="12"/>
      <c r="Z792" s="12"/>
    </row>
    <row r="793" customFormat="false" ht="15.75" hidden="false" customHeight="true" outlineLevel="0" collapsed="false">
      <c r="A793" s="12"/>
      <c r="B793" s="12"/>
      <c r="C793" s="12"/>
      <c r="D793" s="12"/>
      <c r="E793" s="12"/>
      <c r="F793" s="12"/>
      <c r="G793" s="12"/>
      <c r="H793" s="12"/>
      <c r="I793" s="12"/>
      <c r="J793" s="12"/>
      <c r="K793" s="12"/>
      <c r="L793" s="12"/>
      <c r="M793" s="12"/>
      <c r="N793" s="12"/>
      <c r="O793" s="12"/>
      <c r="P793" s="12"/>
      <c r="Q793" s="12"/>
      <c r="R793" s="12"/>
      <c r="S793" s="12"/>
      <c r="T793" s="12"/>
      <c r="U793" s="12"/>
      <c r="V793" s="12"/>
      <c r="W793" s="12"/>
      <c r="X793" s="12"/>
      <c r="Y793" s="12"/>
      <c r="Z793" s="12"/>
    </row>
    <row r="794" customFormat="false" ht="15.75" hidden="false" customHeight="true" outlineLevel="0" collapsed="false">
      <c r="A794" s="12"/>
      <c r="B794" s="12"/>
      <c r="C794" s="12"/>
      <c r="D794" s="12"/>
      <c r="E794" s="12"/>
      <c r="F794" s="12"/>
      <c r="G794" s="12"/>
      <c r="H794" s="12"/>
      <c r="I794" s="12"/>
      <c r="J794" s="12"/>
      <c r="K794" s="12"/>
      <c r="L794" s="12"/>
      <c r="M794" s="12"/>
      <c r="N794" s="12"/>
      <c r="O794" s="12"/>
      <c r="P794" s="12"/>
      <c r="Q794" s="12"/>
      <c r="R794" s="12"/>
      <c r="S794" s="12"/>
      <c r="T794" s="12"/>
      <c r="U794" s="12"/>
      <c r="V794" s="12"/>
      <c r="W794" s="12"/>
      <c r="X794" s="12"/>
      <c r="Y794" s="12"/>
      <c r="Z794" s="12"/>
    </row>
    <row r="795" customFormat="false" ht="15.75" hidden="false" customHeight="true" outlineLevel="0" collapsed="false">
      <c r="A795" s="12"/>
      <c r="B795" s="12"/>
      <c r="C795" s="12"/>
      <c r="D795" s="12"/>
      <c r="E795" s="12"/>
      <c r="F795" s="12"/>
      <c r="G795" s="12"/>
      <c r="H795" s="12"/>
      <c r="I795" s="12"/>
      <c r="J795" s="12"/>
      <c r="K795" s="12"/>
      <c r="L795" s="12"/>
      <c r="M795" s="12"/>
      <c r="N795" s="12"/>
      <c r="O795" s="12"/>
      <c r="P795" s="12"/>
      <c r="Q795" s="12"/>
      <c r="R795" s="12"/>
      <c r="S795" s="12"/>
      <c r="T795" s="12"/>
      <c r="U795" s="12"/>
      <c r="V795" s="12"/>
      <c r="W795" s="12"/>
      <c r="X795" s="12"/>
      <c r="Y795" s="12"/>
      <c r="Z795" s="12"/>
    </row>
    <row r="796" customFormat="false" ht="15.75" hidden="false" customHeight="true" outlineLevel="0" collapsed="false">
      <c r="A796" s="12"/>
      <c r="B796" s="12"/>
      <c r="C796" s="12"/>
      <c r="D796" s="12"/>
      <c r="E796" s="12"/>
      <c r="F796" s="12"/>
      <c r="G796" s="12"/>
      <c r="H796" s="12"/>
      <c r="I796" s="12"/>
      <c r="J796" s="12"/>
      <c r="K796" s="12"/>
      <c r="L796" s="12"/>
      <c r="M796" s="12"/>
      <c r="N796" s="12"/>
      <c r="O796" s="12"/>
      <c r="P796" s="12"/>
      <c r="Q796" s="12"/>
      <c r="R796" s="12"/>
      <c r="S796" s="12"/>
      <c r="T796" s="12"/>
      <c r="U796" s="12"/>
      <c r="V796" s="12"/>
      <c r="W796" s="12"/>
      <c r="X796" s="12"/>
      <c r="Y796" s="12"/>
      <c r="Z796" s="12"/>
    </row>
    <row r="797" customFormat="false" ht="15.75" hidden="false" customHeight="true" outlineLevel="0" collapsed="false">
      <c r="A797" s="12"/>
      <c r="B797" s="12"/>
      <c r="C797" s="12"/>
      <c r="D797" s="12"/>
      <c r="E797" s="12"/>
      <c r="F797" s="12"/>
      <c r="G797" s="12"/>
      <c r="H797" s="12"/>
      <c r="I797" s="12"/>
      <c r="J797" s="12"/>
      <c r="K797" s="12"/>
      <c r="L797" s="12"/>
      <c r="M797" s="12"/>
      <c r="N797" s="12"/>
      <c r="O797" s="12"/>
      <c r="P797" s="12"/>
      <c r="Q797" s="12"/>
      <c r="R797" s="12"/>
      <c r="S797" s="12"/>
      <c r="T797" s="12"/>
      <c r="U797" s="12"/>
      <c r="V797" s="12"/>
      <c r="W797" s="12"/>
      <c r="X797" s="12"/>
      <c r="Y797" s="12"/>
      <c r="Z797" s="12"/>
    </row>
    <row r="798" customFormat="false" ht="15.75" hidden="false" customHeight="true" outlineLevel="0" collapsed="false">
      <c r="A798" s="12"/>
      <c r="B798" s="12"/>
      <c r="C798" s="12"/>
      <c r="D798" s="12"/>
      <c r="E798" s="12"/>
      <c r="F798" s="12"/>
      <c r="G798" s="12"/>
      <c r="H798" s="12"/>
      <c r="I798" s="12"/>
      <c r="J798" s="12"/>
      <c r="K798" s="12"/>
      <c r="L798" s="12"/>
      <c r="M798" s="12"/>
      <c r="N798" s="12"/>
      <c r="O798" s="12"/>
      <c r="P798" s="12"/>
      <c r="Q798" s="12"/>
      <c r="R798" s="12"/>
      <c r="S798" s="12"/>
      <c r="T798" s="12"/>
      <c r="U798" s="12"/>
      <c r="V798" s="12"/>
      <c r="W798" s="12"/>
      <c r="X798" s="12"/>
      <c r="Y798" s="12"/>
      <c r="Z798" s="12"/>
    </row>
    <row r="799" customFormat="false" ht="15.75" hidden="false" customHeight="true" outlineLevel="0" collapsed="false">
      <c r="A799" s="12"/>
      <c r="B799" s="12"/>
      <c r="C799" s="12"/>
      <c r="D799" s="12"/>
      <c r="E799" s="12"/>
      <c r="F799" s="12"/>
      <c r="G799" s="12"/>
      <c r="H799" s="12"/>
      <c r="I799" s="12"/>
      <c r="J799" s="12"/>
      <c r="K799" s="12"/>
      <c r="L799" s="12"/>
      <c r="M799" s="12"/>
      <c r="N799" s="12"/>
      <c r="O799" s="12"/>
      <c r="P799" s="12"/>
      <c r="Q799" s="12"/>
      <c r="R799" s="12"/>
      <c r="S799" s="12"/>
      <c r="T799" s="12"/>
      <c r="U799" s="12"/>
      <c r="V799" s="12"/>
      <c r="W799" s="12"/>
      <c r="X799" s="12"/>
      <c r="Y799" s="12"/>
      <c r="Z799" s="12"/>
    </row>
    <row r="800" customFormat="false" ht="15.75" hidden="false" customHeight="true" outlineLevel="0" collapsed="false">
      <c r="A800" s="12"/>
      <c r="B800" s="12"/>
      <c r="C800" s="12"/>
      <c r="D800" s="12"/>
      <c r="E800" s="12"/>
      <c r="F800" s="12"/>
      <c r="G800" s="12"/>
      <c r="H800" s="12"/>
      <c r="I800" s="12"/>
      <c r="J800" s="12"/>
      <c r="K800" s="12"/>
      <c r="L800" s="12"/>
      <c r="M800" s="12"/>
      <c r="N800" s="12"/>
      <c r="O800" s="12"/>
      <c r="P800" s="12"/>
      <c r="Q800" s="12"/>
      <c r="R800" s="12"/>
      <c r="S800" s="12"/>
      <c r="T800" s="12"/>
      <c r="U800" s="12"/>
      <c r="V800" s="12"/>
      <c r="W800" s="12"/>
      <c r="X800" s="12"/>
      <c r="Y800" s="12"/>
      <c r="Z800" s="12"/>
    </row>
    <row r="801" customFormat="false" ht="15.75" hidden="false" customHeight="true" outlineLevel="0" collapsed="false">
      <c r="A801" s="12"/>
      <c r="B801" s="12"/>
      <c r="C801" s="12"/>
      <c r="D801" s="12"/>
      <c r="E801" s="12"/>
      <c r="F801" s="12"/>
      <c r="G801" s="12"/>
      <c r="H801" s="12"/>
      <c r="I801" s="12"/>
      <c r="J801" s="12"/>
      <c r="K801" s="12"/>
      <c r="L801" s="12"/>
      <c r="M801" s="12"/>
      <c r="N801" s="12"/>
      <c r="O801" s="12"/>
      <c r="P801" s="12"/>
      <c r="Q801" s="12"/>
      <c r="R801" s="12"/>
      <c r="S801" s="12"/>
      <c r="T801" s="12"/>
      <c r="U801" s="12"/>
      <c r="V801" s="12"/>
      <c r="W801" s="12"/>
      <c r="X801" s="12"/>
      <c r="Y801" s="12"/>
      <c r="Z801" s="12"/>
    </row>
    <row r="802" customFormat="false" ht="15.75" hidden="false" customHeight="true" outlineLevel="0" collapsed="false">
      <c r="A802" s="12"/>
      <c r="B802" s="12"/>
      <c r="C802" s="12"/>
      <c r="D802" s="12"/>
      <c r="E802" s="12"/>
      <c r="F802" s="12"/>
      <c r="G802" s="12"/>
      <c r="H802" s="12"/>
      <c r="I802" s="12"/>
      <c r="J802" s="12"/>
      <c r="K802" s="12"/>
      <c r="L802" s="12"/>
      <c r="M802" s="12"/>
      <c r="N802" s="12"/>
      <c r="O802" s="12"/>
      <c r="P802" s="12"/>
      <c r="Q802" s="12"/>
      <c r="R802" s="12"/>
      <c r="S802" s="12"/>
      <c r="T802" s="12"/>
      <c r="U802" s="12"/>
      <c r="V802" s="12"/>
      <c r="W802" s="12"/>
      <c r="X802" s="12"/>
      <c r="Y802" s="12"/>
      <c r="Z802" s="12"/>
    </row>
    <row r="803" customFormat="false" ht="15.75" hidden="false" customHeight="true" outlineLevel="0" collapsed="false">
      <c r="A803" s="12"/>
      <c r="B803" s="12"/>
      <c r="C803" s="12"/>
      <c r="D803" s="12"/>
      <c r="E803" s="12"/>
      <c r="F803" s="12"/>
      <c r="G803" s="12"/>
      <c r="H803" s="12"/>
      <c r="I803" s="12"/>
      <c r="J803" s="12"/>
      <c r="K803" s="12"/>
      <c r="L803" s="12"/>
      <c r="M803" s="12"/>
      <c r="N803" s="12"/>
      <c r="O803" s="12"/>
      <c r="P803" s="12"/>
      <c r="Q803" s="12"/>
      <c r="R803" s="12"/>
      <c r="S803" s="12"/>
      <c r="T803" s="12"/>
      <c r="U803" s="12"/>
      <c r="V803" s="12"/>
      <c r="W803" s="12"/>
      <c r="X803" s="12"/>
      <c r="Y803" s="12"/>
      <c r="Z803" s="12"/>
    </row>
    <row r="804" customFormat="false" ht="15.75" hidden="false" customHeight="true" outlineLevel="0" collapsed="false">
      <c r="A804" s="12"/>
      <c r="B804" s="12"/>
      <c r="C804" s="12"/>
      <c r="D804" s="12"/>
      <c r="E804" s="12"/>
      <c r="F804" s="12"/>
      <c r="G804" s="12"/>
      <c r="H804" s="12"/>
      <c r="I804" s="12"/>
      <c r="J804" s="12"/>
      <c r="K804" s="12"/>
      <c r="L804" s="12"/>
      <c r="M804" s="12"/>
      <c r="N804" s="12"/>
      <c r="O804" s="12"/>
      <c r="P804" s="12"/>
      <c r="Q804" s="12"/>
      <c r="R804" s="12"/>
      <c r="S804" s="12"/>
      <c r="T804" s="12"/>
      <c r="U804" s="12"/>
      <c r="V804" s="12"/>
      <c r="W804" s="12"/>
      <c r="X804" s="12"/>
      <c r="Y804" s="12"/>
      <c r="Z804" s="12"/>
    </row>
    <row r="805" customFormat="false" ht="15.75" hidden="false" customHeight="true" outlineLevel="0" collapsed="false">
      <c r="A805" s="12"/>
      <c r="B805" s="12"/>
      <c r="C805" s="12"/>
      <c r="D805" s="12"/>
      <c r="E805" s="12"/>
      <c r="F805" s="12"/>
      <c r="G805" s="12"/>
      <c r="H805" s="12"/>
      <c r="I805" s="12"/>
      <c r="J805" s="12"/>
      <c r="K805" s="12"/>
      <c r="L805" s="12"/>
      <c r="M805" s="12"/>
      <c r="N805" s="12"/>
      <c r="O805" s="12"/>
      <c r="P805" s="12"/>
      <c r="Q805" s="12"/>
      <c r="R805" s="12"/>
      <c r="S805" s="12"/>
      <c r="T805" s="12"/>
      <c r="U805" s="12"/>
      <c r="V805" s="12"/>
      <c r="W805" s="12"/>
      <c r="X805" s="12"/>
      <c r="Y805" s="12"/>
      <c r="Z805" s="12"/>
    </row>
    <row r="806" customFormat="false" ht="15.75" hidden="false" customHeight="true" outlineLevel="0" collapsed="false">
      <c r="A806" s="12"/>
      <c r="B806" s="12"/>
      <c r="C806" s="12"/>
      <c r="D806" s="12"/>
      <c r="E806" s="12"/>
      <c r="F806" s="12"/>
      <c r="G806" s="12"/>
      <c r="H806" s="12"/>
      <c r="I806" s="12"/>
      <c r="J806" s="12"/>
      <c r="K806" s="12"/>
      <c r="L806" s="12"/>
      <c r="M806" s="12"/>
      <c r="N806" s="12"/>
      <c r="O806" s="12"/>
      <c r="P806" s="12"/>
      <c r="Q806" s="12"/>
      <c r="R806" s="12"/>
      <c r="S806" s="12"/>
      <c r="T806" s="12"/>
      <c r="U806" s="12"/>
      <c r="V806" s="12"/>
      <c r="W806" s="12"/>
      <c r="X806" s="12"/>
      <c r="Y806" s="12"/>
      <c r="Z806" s="12"/>
    </row>
    <row r="807" customFormat="false" ht="15.75" hidden="false" customHeight="true" outlineLevel="0" collapsed="false">
      <c r="A807" s="12"/>
      <c r="B807" s="12"/>
      <c r="C807" s="12"/>
      <c r="D807" s="12"/>
      <c r="E807" s="12"/>
      <c r="F807" s="12"/>
      <c r="G807" s="12"/>
      <c r="H807" s="12"/>
      <c r="I807" s="12"/>
      <c r="J807" s="12"/>
      <c r="K807" s="12"/>
      <c r="L807" s="12"/>
      <c r="M807" s="12"/>
      <c r="N807" s="12"/>
      <c r="O807" s="12"/>
      <c r="P807" s="12"/>
      <c r="Q807" s="12"/>
      <c r="R807" s="12"/>
      <c r="S807" s="12"/>
      <c r="T807" s="12"/>
      <c r="U807" s="12"/>
      <c r="V807" s="12"/>
      <c r="W807" s="12"/>
      <c r="X807" s="12"/>
      <c r="Y807" s="12"/>
      <c r="Z807" s="12"/>
    </row>
    <row r="808" customFormat="false" ht="15.75" hidden="false" customHeight="true" outlineLevel="0" collapsed="false">
      <c r="A808" s="12"/>
      <c r="B808" s="12"/>
      <c r="C808" s="12"/>
      <c r="D808" s="12"/>
      <c r="E808" s="12"/>
      <c r="F808" s="12"/>
      <c r="G808" s="12"/>
      <c r="H808" s="12"/>
      <c r="I808" s="12"/>
      <c r="J808" s="12"/>
      <c r="K808" s="12"/>
      <c r="L808" s="12"/>
      <c r="M808" s="12"/>
      <c r="N808" s="12"/>
      <c r="O808" s="12"/>
      <c r="P808" s="12"/>
      <c r="Q808" s="12"/>
      <c r="R808" s="12"/>
      <c r="S808" s="12"/>
      <c r="T808" s="12"/>
      <c r="U808" s="12"/>
      <c r="V808" s="12"/>
      <c r="W808" s="12"/>
      <c r="X808" s="12"/>
      <c r="Y808" s="12"/>
      <c r="Z808" s="12"/>
    </row>
    <row r="809" customFormat="false" ht="15.75" hidden="false" customHeight="true" outlineLevel="0" collapsed="false">
      <c r="A809" s="12"/>
      <c r="B809" s="12"/>
      <c r="C809" s="12"/>
      <c r="D809" s="12"/>
      <c r="E809" s="12"/>
      <c r="F809" s="12"/>
      <c r="G809" s="12"/>
      <c r="H809" s="12"/>
      <c r="I809" s="12"/>
      <c r="J809" s="12"/>
      <c r="K809" s="12"/>
      <c r="L809" s="12"/>
      <c r="M809" s="12"/>
      <c r="N809" s="12"/>
      <c r="O809" s="12"/>
      <c r="P809" s="12"/>
      <c r="Q809" s="12"/>
      <c r="R809" s="12"/>
      <c r="S809" s="12"/>
      <c r="T809" s="12"/>
      <c r="U809" s="12"/>
      <c r="V809" s="12"/>
      <c r="W809" s="12"/>
      <c r="X809" s="12"/>
      <c r="Y809" s="12"/>
      <c r="Z809" s="12"/>
    </row>
    <row r="810" customFormat="false" ht="15.75" hidden="false" customHeight="true" outlineLevel="0" collapsed="false">
      <c r="A810" s="12"/>
      <c r="B810" s="12"/>
      <c r="C810" s="12"/>
      <c r="D810" s="12"/>
      <c r="E810" s="12"/>
      <c r="F810" s="12"/>
      <c r="G810" s="12"/>
      <c r="H810" s="12"/>
      <c r="I810" s="12"/>
      <c r="J810" s="12"/>
      <c r="K810" s="12"/>
      <c r="L810" s="12"/>
      <c r="M810" s="12"/>
      <c r="N810" s="12"/>
      <c r="O810" s="12"/>
      <c r="P810" s="12"/>
      <c r="Q810" s="12"/>
      <c r="R810" s="12"/>
      <c r="S810" s="12"/>
      <c r="T810" s="12"/>
      <c r="U810" s="12"/>
      <c r="V810" s="12"/>
      <c r="W810" s="12"/>
      <c r="X810" s="12"/>
      <c r="Y810" s="12"/>
      <c r="Z810" s="12"/>
    </row>
    <row r="811" customFormat="false" ht="15.75" hidden="false" customHeight="true" outlineLevel="0" collapsed="false">
      <c r="A811" s="12"/>
      <c r="B811" s="12"/>
      <c r="C811" s="12"/>
      <c r="D811" s="12"/>
      <c r="E811" s="12"/>
      <c r="F811" s="12"/>
      <c r="G811" s="12"/>
      <c r="H811" s="12"/>
      <c r="I811" s="12"/>
      <c r="J811" s="12"/>
      <c r="K811" s="12"/>
      <c r="L811" s="12"/>
      <c r="M811" s="12"/>
      <c r="N811" s="12"/>
      <c r="O811" s="12"/>
      <c r="P811" s="12"/>
      <c r="Q811" s="12"/>
      <c r="R811" s="12"/>
      <c r="S811" s="12"/>
      <c r="T811" s="12"/>
      <c r="U811" s="12"/>
      <c r="V811" s="12"/>
      <c r="W811" s="12"/>
      <c r="X811" s="12"/>
      <c r="Y811" s="12"/>
      <c r="Z811" s="12"/>
    </row>
    <row r="812" customFormat="false" ht="15.75" hidden="false" customHeight="true" outlineLevel="0" collapsed="false">
      <c r="A812" s="12"/>
      <c r="B812" s="12"/>
      <c r="C812" s="12"/>
      <c r="D812" s="12"/>
      <c r="E812" s="12"/>
      <c r="F812" s="12"/>
      <c r="G812" s="12"/>
      <c r="H812" s="12"/>
      <c r="I812" s="12"/>
      <c r="J812" s="12"/>
      <c r="K812" s="12"/>
      <c r="L812" s="12"/>
      <c r="M812" s="12"/>
      <c r="N812" s="12"/>
      <c r="O812" s="12"/>
      <c r="P812" s="12"/>
      <c r="Q812" s="12"/>
      <c r="R812" s="12"/>
      <c r="S812" s="12"/>
      <c r="T812" s="12"/>
      <c r="U812" s="12"/>
      <c r="V812" s="12"/>
      <c r="W812" s="12"/>
      <c r="X812" s="12"/>
      <c r="Y812" s="12"/>
      <c r="Z812" s="12"/>
    </row>
    <row r="813" customFormat="false" ht="15.75" hidden="false" customHeight="true" outlineLevel="0" collapsed="false">
      <c r="A813" s="12"/>
      <c r="B813" s="12"/>
      <c r="C813" s="12"/>
      <c r="D813" s="12"/>
      <c r="E813" s="12"/>
      <c r="F813" s="12"/>
      <c r="G813" s="12"/>
      <c r="H813" s="12"/>
      <c r="I813" s="12"/>
      <c r="J813" s="12"/>
      <c r="K813" s="12"/>
      <c r="L813" s="12"/>
      <c r="M813" s="12"/>
      <c r="N813" s="12"/>
      <c r="O813" s="12"/>
      <c r="P813" s="12"/>
      <c r="Q813" s="12"/>
      <c r="R813" s="12"/>
      <c r="S813" s="12"/>
      <c r="T813" s="12"/>
      <c r="U813" s="12"/>
      <c r="V813" s="12"/>
      <c r="W813" s="12"/>
      <c r="X813" s="12"/>
      <c r="Y813" s="12"/>
      <c r="Z813" s="12"/>
    </row>
    <row r="814" customFormat="false" ht="15.75" hidden="false" customHeight="true" outlineLevel="0" collapsed="false">
      <c r="A814" s="12"/>
      <c r="B814" s="12"/>
      <c r="C814" s="12"/>
      <c r="D814" s="12"/>
      <c r="E814" s="12"/>
      <c r="F814" s="12"/>
      <c r="G814" s="12"/>
      <c r="H814" s="12"/>
      <c r="I814" s="12"/>
      <c r="J814" s="12"/>
      <c r="K814" s="12"/>
      <c r="L814" s="12"/>
      <c r="M814" s="12"/>
      <c r="N814" s="12"/>
      <c r="O814" s="12"/>
      <c r="P814" s="12"/>
      <c r="Q814" s="12"/>
      <c r="R814" s="12"/>
      <c r="S814" s="12"/>
      <c r="T814" s="12"/>
      <c r="U814" s="12"/>
      <c r="V814" s="12"/>
      <c r="W814" s="12"/>
      <c r="X814" s="12"/>
      <c r="Y814" s="12"/>
      <c r="Z814" s="12"/>
    </row>
    <row r="815" customFormat="false" ht="15.75" hidden="false" customHeight="true" outlineLevel="0" collapsed="false">
      <c r="A815" s="12"/>
      <c r="B815" s="12"/>
      <c r="C815" s="12"/>
      <c r="D815" s="12"/>
      <c r="E815" s="12"/>
      <c r="F815" s="12"/>
      <c r="G815" s="12"/>
      <c r="H815" s="12"/>
      <c r="I815" s="12"/>
      <c r="J815" s="12"/>
      <c r="K815" s="12"/>
      <c r="L815" s="12"/>
      <c r="M815" s="12"/>
      <c r="N815" s="12"/>
      <c r="O815" s="12"/>
      <c r="P815" s="12"/>
      <c r="Q815" s="12"/>
      <c r="R815" s="12"/>
      <c r="S815" s="12"/>
      <c r="T815" s="12"/>
      <c r="U815" s="12"/>
      <c r="V815" s="12"/>
      <c r="W815" s="12"/>
      <c r="X815" s="12"/>
      <c r="Y815" s="12"/>
      <c r="Z815" s="12"/>
    </row>
    <row r="816" customFormat="false" ht="15.75" hidden="false" customHeight="true" outlineLevel="0" collapsed="false">
      <c r="A816" s="12"/>
      <c r="B816" s="12"/>
      <c r="C816" s="12"/>
      <c r="D816" s="12"/>
      <c r="E816" s="12"/>
      <c r="F816" s="12"/>
      <c r="G816" s="12"/>
      <c r="H816" s="12"/>
      <c r="I816" s="12"/>
      <c r="J816" s="12"/>
      <c r="K816" s="12"/>
      <c r="L816" s="12"/>
      <c r="M816" s="12"/>
      <c r="N816" s="12"/>
      <c r="O816" s="12"/>
      <c r="P816" s="12"/>
      <c r="Q816" s="12"/>
      <c r="R816" s="12"/>
      <c r="S816" s="12"/>
      <c r="T816" s="12"/>
      <c r="U816" s="12"/>
      <c r="V816" s="12"/>
      <c r="W816" s="12"/>
      <c r="X816" s="12"/>
      <c r="Y816" s="12"/>
      <c r="Z816" s="12"/>
    </row>
    <row r="817" customFormat="false" ht="15.75" hidden="false" customHeight="true" outlineLevel="0" collapsed="false">
      <c r="A817" s="12"/>
      <c r="B817" s="12"/>
      <c r="C817" s="12"/>
      <c r="D817" s="12"/>
      <c r="E817" s="12"/>
      <c r="F817" s="12"/>
      <c r="G817" s="12"/>
      <c r="H817" s="12"/>
      <c r="I817" s="12"/>
      <c r="J817" s="12"/>
      <c r="K817" s="12"/>
      <c r="L817" s="12"/>
      <c r="M817" s="12"/>
      <c r="N817" s="12"/>
      <c r="O817" s="12"/>
      <c r="P817" s="12"/>
      <c r="Q817" s="12"/>
      <c r="R817" s="12"/>
      <c r="S817" s="12"/>
      <c r="T817" s="12"/>
      <c r="U817" s="12"/>
      <c r="V817" s="12"/>
      <c r="W817" s="12"/>
      <c r="X817" s="12"/>
      <c r="Y817" s="12"/>
      <c r="Z817" s="12"/>
    </row>
    <row r="818" customFormat="false" ht="15.75" hidden="false" customHeight="true" outlineLevel="0" collapsed="false">
      <c r="A818" s="12"/>
      <c r="B818" s="12"/>
      <c r="C818" s="12"/>
      <c r="D818" s="12"/>
      <c r="E818" s="12"/>
      <c r="F818" s="12"/>
      <c r="G818" s="12"/>
      <c r="H818" s="12"/>
      <c r="I818" s="12"/>
      <c r="J818" s="12"/>
      <c r="K818" s="12"/>
      <c r="L818" s="12"/>
      <c r="M818" s="12"/>
      <c r="N818" s="12"/>
      <c r="O818" s="12"/>
      <c r="P818" s="12"/>
      <c r="Q818" s="12"/>
      <c r="R818" s="12"/>
      <c r="S818" s="12"/>
      <c r="T818" s="12"/>
      <c r="U818" s="12"/>
      <c r="V818" s="12"/>
      <c r="W818" s="12"/>
      <c r="X818" s="12"/>
      <c r="Y818" s="12"/>
      <c r="Z818" s="12"/>
    </row>
    <row r="819" customFormat="false" ht="15.75" hidden="false" customHeight="true" outlineLevel="0" collapsed="false">
      <c r="A819" s="12"/>
      <c r="B819" s="12"/>
      <c r="C819" s="12"/>
      <c r="D819" s="12"/>
      <c r="E819" s="12"/>
      <c r="F819" s="12"/>
      <c r="G819" s="12"/>
      <c r="H819" s="12"/>
      <c r="I819" s="12"/>
      <c r="J819" s="12"/>
      <c r="K819" s="12"/>
      <c r="L819" s="12"/>
      <c r="M819" s="12"/>
      <c r="N819" s="12"/>
      <c r="O819" s="12"/>
      <c r="P819" s="12"/>
      <c r="Q819" s="12"/>
      <c r="R819" s="12"/>
      <c r="S819" s="12"/>
      <c r="T819" s="12"/>
      <c r="U819" s="12"/>
      <c r="V819" s="12"/>
      <c r="W819" s="12"/>
      <c r="X819" s="12"/>
      <c r="Y819" s="12"/>
      <c r="Z819" s="12"/>
    </row>
    <row r="820" customFormat="false" ht="15.75" hidden="false" customHeight="true" outlineLevel="0" collapsed="false">
      <c r="A820" s="12"/>
      <c r="B820" s="12"/>
      <c r="C820" s="12"/>
      <c r="D820" s="12"/>
      <c r="E820" s="12"/>
      <c r="F820" s="12"/>
      <c r="G820" s="12"/>
      <c r="H820" s="12"/>
      <c r="I820" s="12"/>
      <c r="J820" s="12"/>
      <c r="K820" s="12"/>
      <c r="L820" s="12"/>
      <c r="M820" s="12"/>
      <c r="N820" s="12"/>
      <c r="O820" s="12"/>
      <c r="P820" s="12"/>
      <c r="Q820" s="12"/>
      <c r="R820" s="12"/>
      <c r="S820" s="12"/>
      <c r="T820" s="12"/>
      <c r="U820" s="12"/>
      <c r="V820" s="12"/>
      <c r="W820" s="12"/>
      <c r="X820" s="12"/>
      <c r="Y820" s="12"/>
      <c r="Z820" s="12"/>
    </row>
    <row r="821" customFormat="false" ht="15.75" hidden="false" customHeight="true" outlineLevel="0" collapsed="false">
      <c r="A821" s="12"/>
      <c r="B821" s="12"/>
      <c r="C821" s="12"/>
      <c r="D821" s="12"/>
      <c r="E821" s="12"/>
      <c r="F821" s="12"/>
      <c r="G821" s="12"/>
      <c r="H821" s="12"/>
      <c r="I821" s="12"/>
      <c r="J821" s="12"/>
      <c r="K821" s="12"/>
      <c r="L821" s="12"/>
      <c r="M821" s="12"/>
      <c r="N821" s="12"/>
      <c r="O821" s="12"/>
      <c r="P821" s="12"/>
      <c r="Q821" s="12"/>
      <c r="R821" s="12"/>
      <c r="S821" s="12"/>
      <c r="T821" s="12"/>
      <c r="U821" s="12"/>
      <c r="V821" s="12"/>
      <c r="W821" s="12"/>
      <c r="X821" s="12"/>
      <c r="Y821" s="12"/>
      <c r="Z821" s="12"/>
    </row>
    <row r="822" customFormat="false" ht="15.75" hidden="false" customHeight="true" outlineLevel="0" collapsed="false">
      <c r="A822" s="12"/>
      <c r="B822" s="12"/>
      <c r="C822" s="12"/>
      <c r="D822" s="12"/>
      <c r="E822" s="12"/>
      <c r="F822" s="12"/>
      <c r="G822" s="12"/>
      <c r="H822" s="12"/>
      <c r="I822" s="12"/>
      <c r="J822" s="12"/>
      <c r="K822" s="12"/>
      <c r="L822" s="12"/>
      <c r="M822" s="12"/>
      <c r="N822" s="12"/>
      <c r="O822" s="12"/>
      <c r="P822" s="12"/>
      <c r="Q822" s="12"/>
      <c r="R822" s="12"/>
      <c r="S822" s="12"/>
      <c r="T822" s="12"/>
      <c r="U822" s="12"/>
      <c r="V822" s="12"/>
      <c r="W822" s="12"/>
      <c r="X822" s="12"/>
      <c r="Y822" s="12"/>
      <c r="Z822" s="12"/>
    </row>
    <row r="823" customFormat="false" ht="15.75" hidden="false" customHeight="true" outlineLevel="0" collapsed="false">
      <c r="A823" s="12"/>
      <c r="B823" s="12"/>
      <c r="C823" s="12"/>
      <c r="D823" s="12"/>
      <c r="E823" s="12"/>
      <c r="F823" s="12"/>
      <c r="G823" s="12"/>
      <c r="H823" s="12"/>
      <c r="I823" s="12"/>
      <c r="J823" s="12"/>
      <c r="K823" s="12"/>
      <c r="L823" s="12"/>
      <c r="M823" s="12"/>
      <c r="N823" s="12"/>
      <c r="O823" s="12"/>
      <c r="P823" s="12"/>
      <c r="Q823" s="12"/>
      <c r="R823" s="12"/>
      <c r="S823" s="12"/>
      <c r="T823" s="12"/>
      <c r="U823" s="12"/>
      <c r="V823" s="12"/>
      <c r="W823" s="12"/>
      <c r="X823" s="12"/>
      <c r="Y823" s="12"/>
      <c r="Z823" s="12"/>
    </row>
    <row r="824" customFormat="false" ht="15.75" hidden="false" customHeight="true" outlineLevel="0" collapsed="false">
      <c r="A824" s="12"/>
      <c r="B824" s="12"/>
      <c r="C824" s="12"/>
      <c r="D824" s="12"/>
      <c r="E824" s="12"/>
      <c r="F824" s="12"/>
      <c r="G824" s="12"/>
      <c r="H824" s="12"/>
      <c r="I824" s="12"/>
      <c r="J824" s="12"/>
      <c r="K824" s="12"/>
      <c r="L824" s="12"/>
      <c r="M824" s="12"/>
      <c r="N824" s="12"/>
      <c r="O824" s="12"/>
      <c r="P824" s="12"/>
      <c r="Q824" s="12"/>
      <c r="R824" s="12"/>
      <c r="S824" s="12"/>
      <c r="T824" s="12"/>
      <c r="U824" s="12"/>
      <c r="V824" s="12"/>
      <c r="W824" s="12"/>
      <c r="X824" s="12"/>
      <c r="Y824" s="12"/>
      <c r="Z824" s="12"/>
    </row>
    <row r="825" customFormat="false" ht="15.75" hidden="false" customHeight="true" outlineLevel="0" collapsed="false">
      <c r="A825" s="12"/>
      <c r="B825" s="12"/>
      <c r="C825" s="12"/>
      <c r="D825" s="12"/>
      <c r="E825" s="12"/>
      <c r="F825" s="12"/>
      <c r="G825" s="12"/>
      <c r="H825" s="12"/>
      <c r="I825" s="12"/>
      <c r="J825" s="12"/>
      <c r="K825" s="12"/>
      <c r="L825" s="12"/>
      <c r="M825" s="12"/>
      <c r="N825" s="12"/>
      <c r="O825" s="12"/>
      <c r="P825" s="12"/>
      <c r="Q825" s="12"/>
      <c r="R825" s="12"/>
      <c r="S825" s="12"/>
      <c r="T825" s="12"/>
      <c r="U825" s="12"/>
      <c r="V825" s="12"/>
      <c r="W825" s="12"/>
      <c r="X825" s="12"/>
      <c r="Y825" s="12"/>
      <c r="Z825" s="12"/>
    </row>
    <row r="826" customFormat="false" ht="15.75" hidden="false" customHeight="true" outlineLevel="0" collapsed="false">
      <c r="A826" s="12"/>
      <c r="B826" s="12"/>
      <c r="C826" s="12"/>
      <c r="D826" s="12"/>
      <c r="E826" s="12"/>
      <c r="F826" s="12"/>
      <c r="G826" s="12"/>
      <c r="H826" s="12"/>
      <c r="I826" s="12"/>
      <c r="J826" s="12"/>
      <c r="K826" s="12"/>
      <c r="L826" s="12"/>
      <c r="M826" s="12"/>
      <c r="N826" s="12"/>
      <c r="O826" s="12"/>
      <c r="P826" s="12"/>
      <c r="Q826" s="12"/>
      <c r="R826" s="12"/>
      <c r="S826" s="12"/>
      <c r="T826" s="12"/>
      <c r="U826" s="12"/>
      <c r="V826" s="12"/>
      <c r="W826" s="12"/>
      <c r="X826" s="12"/>
      <c r="Y826" s="12"/>
      <c r="Z826" s="12"/>
    </row>
    <row r="827" customFormat="false" ht="15.75" hidden="false" customHeight="true" outlineLevel="0" collapsed="false">
      <c r="A827" s="12"/>
      <c r="B827" s="12"/>
      <c r="C827" s="12"/>
      <c r="D827" s="12"/>
      <c r="E827" s="12"/>
      <c r="F827" s="12"/>
      <c r="G827" s="12"/>
      <c r="H827" s="12"/>
      <c r="I827" s="12"/>
      <c r="J827" s="12"/>
      <c r="K827" s="12"/>
      <c r="L827" s="12"/>
      <c r="M827" s="12"/>
      <c r="N827" s="12"/>
      <c r="O827" s="12"/>
      <c r="P827" s="12"/>
      <c r="Q827" s="12"/>
      <c r="R827" s="12"/>
      <c r="S827" s="12"/>
      <c r="T827" s="12"/>
      <c r="U827" s="12"/>
      <c r="V827" s="12"/>
      <c r="W827" s="12"/>
      <c r="X827" s="12"/>
      <c r="Y827" s="12"/>
      <c r="Z827" s="12"/>
    </row>
    <row r="828" customFormat="false" ht="15.75" hidden="false" customHeight="true" outlineLevel="0" collapsed="false">
      <c r="A828" s="12"/>
      <c r="B828" s="12"/>
      <c r="C828" s="12"/>
      <c r="D828" s="12"/>
      <c r="E828" s="12"/>
      <c r="F828" s="12"/>
      <c r="G828" s="12"/>
      <c r="H828" s="12"/>
      <c r="I828" s="12"/>
      <c r="J828" s="12"/>
      <c r="K828" s="12"/>
      <c r="L828" s="12"/>
      <c r="M828" s="12"/>
      <c r="N828" s="12"/>
      <c r="O828" s="12"/>
      <c r="P828" s="12"/>
      <c r="Q828" s="12"/>
      <c r="R828" s="12"/>
      <c r="S828" s="12"/>
      <c r="T828" s="12"/>
      <c r="U828" s="12"/>
      <c r="V828" s="12"/>
      <c r="W828" s="12"/>
      <c r="X828" s="12"/>
      <c r="Y828" s="12"/>
      <c r="Z828" s="12"/>
    </row>
    <row r="829" customFormat="false" ht="15.75" hidden="false" customHeight="true" outlineLevel="0" collapsed="false">
      <c r="A829" s="12"/>
      <c r="B829" s="12"/>
      <c r="C829" s="12"/>
      <c r="D829" s="12"/>
      <c r="E829" s="12"/>
      <c r="F829" s="12"/>
      <c r="G829" s="12"/>
      <c r="H829" s="12"/>
      <c r="I829" s="12"/>
      <c r="J829" s="12"/>
      <c r="K829" s="12"/>
      <c r="L829" s="12"/>
      <c r="M829" s="12"/>
      <c r="N829" s="12"/>
      <c r="O829" s="12"/>
      <c r="P829" s="12"/>
      <c r="Q829" s="12"/>
      <c r="R829" s="12"/>
      <c r="S829" s="12"/>
      <c r="T829" s="12"/>
      <c r="U829" s="12"/>
      <c r="V829" s="12"/>
      <c r="W829" s="12"/>
      <c r="X829" s="12"/>
      <c r="Y829" s="12"/>
      <c r="Z829" s="12"/>
    </row>
    <row r="830" customFormat="false" ht="15.75" hidden="false" customHeight="true" outlineLevel="0" collapsed="false">
      <c r="A830" s="12"/>
      <c r="B830" s="12"/>
      <c r="C830" s="12"/>
      <c r="D830" s="12"/>
      <c r="E830" s="12"/>
      <c r="F830" s="12"/>
      <c r="G830" s="12"/>
      <c r="H830" s="12"/>
      <c r="I830" s="12"/>
      <c r="J830" s="12"/>
      <c r="K830" s="12"/>
      <c r="L830" s="12"/>
      <c r="M830" s="12"/>
      <c r="N830" s="12"/>
      <c r="O830" s="12"/>
      <c r="P830" s="12"/>
      <c r="Q830" s="12"/>
      <c r="R830" s="12"/>
      <c r="S830" s="12"/>
      <c r="T830" s="12"/>
      <c r="U830" s="12"/>
      <c r="V830" s="12"/>
      <c r="W830" s="12"/>
      <c r="X830" s="12"/>
      <c r="Y830" s="12"/>
      <c r="Z830" s="12"/>
    </row>
    <row r="831" customFormat="false" ht="15.75" hidden="false" customHeight="true" outlineLevel="0" collapsed="false">
      <c r="A831" s="12"/>
      <c r="B831" s="12"/>
      <c r="C831" s="12"/>
      <c r="D831" s="12"/>
      <c r="E831" s="12"/>
      <c r="F831" s="12"/>
      <c r="G831" s="12"/>
      <c r="H831" s="12"/>
      <c r="I831" s="12"/>
      <c r="J831" s="12"/>
      <c r="K831" s="12"/>
      <c r="L831" s="12"/>
      <c r="M831" s="12"/>
      <c r="N831" s="12"/>
      <c r="O831" s="12"/>
      <c r="P831" s="12"/>
      <c r="Q831" s="12"/>
      <c r="R831" s="12"/>
      <c r="S831" s="12"/>
      <c r="T831" s="12"/>
      <c r="U831" s="12"/>
      <c r="V831" s="12"/>
      <c r="W831" s="12"/>
      <c r="X831" s="12"/>
      <c r="Y831" s="12"/>
      <c r="Z831" s="12"/>
    </row>
    <row r="832" customFormat="false" ht="15.75" hidden="false" customHeight="true" outlineLevel="0" collapsed="false">
      <c r="A832" s="12"/>
      <c r="B832" s="12"/>
      <c r="C832" s="12"/>
      <c r="D832" s="12"/>
      <c r="E832" s="12"/>
      <c r="F832" s="12"/>
      <c r="G832" s="12"/>
      <c r="H832" s="12"/>
      <c r="I832" s="12"/>
      <c r="J832" s="12"/>
      <c r="K832" s="12"/>
      <c r="L832" s="12"/>
      <c r="M832" s="12"/>
      <c r="N832" s="12"/>
      <c r="O832" s="12"/>
      <c r="P832" s="12"/>
      <c r="Q832" s="12"/>
      <c r="R832" s="12"/>
      <c r="S832" s="12"/>
      <c r="T832" s="12"/>
      <c r="U832" s="12"/>
      <c r="V832" s="12"/>
      <c r="W832" s="12"/>
      <c r="X832" s="12"/>
      <c r="Y832" s="12"/>
      <c r="Z832" s="12"/>
    </row>
    <row r="833" customFormat="false" ht="15.75" hidden="false" customHeight="true" outlineLevel="0" collapsed="false">
      <c r="A833" s="12"/>
      <c r="B833" s="12"/>
      <c r="C833" s="12"/>
      <c r="D833" s="12"/>
      <c r="E833" s="12"/>
      <c r="F833" s="12"/>
      <c r="G833" s="12"/>
      <c r="H833" s="12"/>
      <c r="I833" s="12"/>
      <c r="J833" s="12"/>
      <c r="K833" s="12"/>
      <c r="L833" s="12"/>
      <c r="M833" s="12"/>
      <c r="N833" s="12"/>
      <c r="O833" s="12"/>
      <c r="P833" s="12"/>
      <c r="Q833" s="12"/>
      <c r="R833" s="12"/>
      <c r="S833" s="12"/>
      <c r="T833" s="12"/>
      <c r="U833" s="12"/>
      <c r="V833" s="12"/>
      <c r="W833" s="12"/>
      <c r="X833" s="12"/>
      <c r="Y833" s="12"/>
      <c r="Z833" s="12"/>
    </row>
    <row r="834" customFormat="false" ht="15.75" hidden="false" customHeight="true" outlineLevel="0" collapsed="false">
      <c r="A834" s="12"/>
      <c r="B834" s="12"/>
      <c r="C834" s="12"/>
      <c r="D834" s="12"/>
      <c r="E834" s="12"/>
      <c r="F834" s="12"/>
      <c r="G834" s="12"/>
      <c r="H834" s="12"/>
      <c r="I834" s="12"/>
      <c r="J834" s="12"/>
      <c r="K834" s="12"/>
      <c r="L834" s="12"/>
      <c r="M834" s="12"/>
      <c r="N834" s="12"/>
      <c r="O834" s="12"/>
      <c r="P834" s="12"/>
      <c r="Q834" s="12"/>
      <c r="R834" s="12"/>
      <c r="S834" s="12"/>
      <c r="T834" s="12"/>
      <c r="U834" s="12"/>
      <c r="V834" s="12"/>
      <c r="W834" s="12"/>
      <c r="X834" s="12"/>
      <c r="Y834" s="12"/>
      <c r="Z834" s="12"/>
    </row>
    <row r="835" customFormat="false" ht="15.75" hidden="false" customHeight="true" outlineLevel="0" collapsed="false">
      <c r="A835" s="12"/>
      <c r="B835" s="12"/>
      <c r="C835" s="12"/>
      <c r="D835" s="12"/>
      <c r="E835" s="12"/>
      <c r="F835" s="12"/>
      <c r="G835" s="12"/>
      <c r="H835" s="12"/>
      <c r="I835" s="12"/>
      <c r="J835" s="12"/>
      <c r="K835" s="12"/>
      <c r="L835" s="12"/>
      <c r="M835" s="12"/>
      <c r="N835" s="12"/>
      <c r="O835" s="12"/>
      <c r="P835" s="12"/>
      <c r="Q835" s="12"/>
      <c r="R835" s="12"/>
      <c r="S835" s="12"/>
      <c r="T835" s="12"/>
      <c r="U835" s="12"/>
      <c r="V835" s="12"/>
      <c r="W835" s="12"/>
      <c r="X835" s="12"/>
      <c r="Y835" s="12"/>
      <c r="Z835" s="12"/>
    </row>
    <row r="836" customFormat="false" ht="15.75" hidden="false" customHeight="true" outlineLevel="0" collapsed="false">
      <c r="A836" s="12"/>
      <c r="B836" s="12"/>
      <c r="C836" s="12"/>
      <c r="D836" s="12"/>
      <c r="E836" s="12"/>
      <c r="F836" s="12"/>
      <c r="G836" s="12"/>
      <c r="H836" s="12"/>
      <c r="I836" s="12"/>
      <c r="J836" s="12"/>
      <c r="K836" s="12"/>
      <c r="L836" s="12"/>
      <c r="M836" s="12"/>
      <c r="N836" s="12"/>
      <c r="O836" s="12"/>
      <c r="P836" s="12"/>
      <c r="Q836" s="12"/>
      <c r="R836" s="12"/>
      <c r="S836" s="12"/>
      <c r="T836" s="12"/>
      <c r="U836" s="12"/>
      <c r="V836" s="12"/>
      <c r="W836" s="12"/>
      <c r="X836" s="12"/>
      <c r="Y836" s="12"/>
      <c r="Z836" s="12"/>
    </row>
    <row r="837" customFormat="false" ht="15.75" hidden="false" customHeight="true" outlineLevel="0" collapsed="false">
      <c r="A837" s="12"/>
      <c r="B837" s="12"/>
      <c r="C837" s="12"/>
      <c r="D837" s="12"/>
      <c r="E837" s="12"/>
      <c r="F837" s="12"/>
      <c r="G837" s="12"/>
      <c r="H837" s="12"/>
      <c r="I837" s="12"/>
      <c r="J837" s="12"/>
      <c r="K837" s="12"/>
      <c r="L837" s="12"/>
      <c r="M837" s="12"/>
      <c r="N837" s="12"/>
      <c r="O837" s="12"/>
      <c r="P837" s="12"/>
      <c r="Q837" s="12"/>
      <c r="R837" s="12"/>
      <c r="S837" s="12"/>
      <c r="T837" s="12"/>
      <c r="U837" s="12"/>
      <c r="V837" s="12"/>
      <c r="W837" s="12"/>
      <c r="X837" s="12"/>
      <c r="Y837" s="12"/>
      <c r="Z837" s="12"/>
    </row>
    <row r="838" customFormat="false" ht="15.75" hidden="false" customHeight="true" outlineLevel="0" collapsed="false">
      <c r="A838" s="12"/>
      <c r="B838" s="12"/>
      <c r="C838" s="12"/>
      <c r="D838" s="12"/>
      <c r="E838" s="12"/>
      <c r="F838" s="12"/>
      <c r="G838" s="12"/>
      <c r="H838" s="12"/>
      <c r="I838" s="12"/>
      <c r="J838" s="12"/>
      <c r="K838" s="12"/>
      <c r="L838" s="12"/>
      <c r="M838" s="12"/>
      <c r="N838" s="12"/>
      <c r="O838" s="12"/>
      <c r="P838" s="12"/>
      <c r="Q838" s="12"/>
      <c r="R838" s="12"/>
      <c r="S838" s="12"/>
      <c r="T838" s="12"/>
      <c r="U838" s="12"/>
      <c r="V838" s="12"/>
      <c r="W838" s="12"/>
      <c r="X838" s="12"/>
      <c r="Y838" s="12"/>
      <c r="Z838" s="12"/>
    </row>
    <row r="839" customFormat="false" ht="15.75" hidden="false" customHeight="true" outlineLevel="0" collapsed="false">
      <c r="A839" s="12"/>
      <c r="B839" s="12"/>
      <c r="C839" s="12"/>
      <c r="D839" s="12"/>
      <c r="E839" s="12"/>
      <c r="F839" s="12"/>
      <c r="G839" s="12"/>
      <c r="H839" s="12"/>
      <c r="I839" s="12"/>
      <c r="J839" s="12"/>
      <c r="K839" s="12"/>
      <c r="L839" s="12"/>
      <c r="M839" s="12"/>
      <c r="N839" s="12"/>
      <c r="O839" s="12"/>
      <c r="P839" s="12"/>
      <c r="Q839" s="12"/>
      <c r="R839" s="12"/>
      <c r="S839" s="12"/>
      <c r="T839" s="12"/>
      <c r="U839" s="12"/>
      <c r="V839" s="12"/>
      <c r="W839" s="12"/>
      <c r="X839" s="12"/>
      <c r="Y839" s="12"/>
      <c r="Z839" s="12"/>
    </row>
    <row r="840" customFormat="false" ht="15.75" hidden="false" customHeight="true" outlineLevel="0" collapsed="false">
      <c r="A840" s="12"/>
      <c r="B840" s="12"/>
      <c r="C840" s="12"/>
      <c r="D840" s="12"/>
      <c r="E840" s="12"/>
      <c r="F840" s="12"/>
      <c r="G840" s="12"/>
      <c r="H840" s="12"/>
      <c r="I840" s="12"/>
      <c r="J840" s="12"/>
      <c r="K840" s="12"/>
      <c r="L840" s="12"/>
      <c r="M840" s="12"/>
      <c r="N840" s="12"/>
      <c r="O840" s="12"/>
      <c r="P840" s="12"/>
      <c r="Q840" s="12"/>
      <c r="R840" s="12"/>
      <c r="S840" s="12"/>
      <c r="T840" s="12"/>
      <c r="U840" s="12"/>
      <c r="V840" s="12"/>
      <c r="W840" s="12"/>
      <c r="X840" s="12"/>
      <c r="Y840" s="12"/>
      <c r="Z840" s="12"/>
    </row>
    <row r="841" customFormat="false" ht="15.75" hidden="false" customHeight="true" outlineLevel="0" collapsed="false">
      <c r="A841" s="12"/>
      <c r="B841" s="12"/>
      <c r="C841" s="12"/>
      <c r="D841" s="12"/>
      <c r="E841" s="12"/>
      <c r="F841" s="12"/>
      <c r="G841" s="12"/>
      <c r="H841" s="12"/>
      <c r="I841" s="12"/>
      <c r="J841" s="12"/>
      <c r="K841" s="12"/>
      <c r="L841" s="12"/>
      <c r="M841" s="12"/>
      <c r="N841" s="12"/>
      <c r="O841" s="12"/>
      <c r="P841" s="12"/>
      <c r="Q841" s="12"/>
      <c r="R841" s="12"/>
      <c r="S841" s="12"/>
      <c r="T841" s="12"/>
      <c r="U841" s="12"/>
      <c r="V841" s="12"/>
      <c r="W841" s="12"/>
      <c r="X841" s="12"/>
      <c r="Y841" s="12"/>
      <c r="Z841" s="12"/>
    </row>
    <row r="842" customFormat="false" ht="15.75" hidden="false" customHeight="true" outlineLevel="0" collapsed="false">
      <c r="A842" s="12"/>
      <c r="B842" s="12"/>
      <c r="C842" s="12"/>
      <c r="D842" s="12"/>
      <c r="E842" s="12"/>
      <c r="F842" s="12"/>
      <c r="G842" s="12"/>
      <c r="H842" s="12"/>
      <c r="I842" s="12"/>
      <c r="J842" s="12"/>
      <c r="K842" s="12"/>
      <c r="L842" s="12"/>
      <c r="M842" s="12"/>
      <c r="N842" s="12"/>
      <c r="O842" s="12"/>
      <c r="P842" s="12"/>
      <c r="Q842" s="12"/>
      <c r="R842" s="12"/>
      <c r="S842" s="12"/>
      <c r="T842" s="12"/>
      <c r="U842" s="12"/>
      <c r="V842" s="12"/>
      <c r="W842" s="12"/>
      <c r="X842" s="12"/>
      <c r="Y842" s="12"/>
      <c r="Z842" s="12"/>
    </row>
    <row r="843" customFormat="false" ht="15.75" hidden="false" customHeight="true" outlineLevel="0" collapsed="false">
      <c r="A843" s="12"/>
      <c r="B843" s="12"/>
      <c r="C843" s="12"/>
      <c r="D843" s="12"/>
      <c r="E843" s="12"/>
      <c r="F843" s="12"/>
      <c r="G843" s="12"/>
      <c r="H843" s="12"/>
      <c r="I843" s="12"/>
      <c r="J843" s="12"/>
      <c r="K843" s="12"/>
      <c r="L843" s="12"/>
      <c r="M843" s="12"/>
      <c r="N843" s="12"/>
      <c r="O843" s="12"/>
      <c r="P843" s="12"/>
      <c r="Q843" s="12"/>
      <c r="R843" s="12"/>
      <c r="S843" s="12"/>
      <c r="T843" s="12"/>
      <c r="U843" s="12"/>
      <c r="V843" s="12"/>
      <c r="W843" s="12"/>
      <c r="X843" s="12"/>
      <c r="Y843" s="12"/>
      <c r="Z843" s="12"/>
    </row>
    <row r="844" customFormat="false" ht="15.75" hidden="false" customHeight="true" outlineLevel="0" collapsed="false">
      <c r="A844" s="12"/>
      <c r="B844" s="12"/>
      <c r="C844" s="12"/>
      <c r="D844" s="12"/>
      <c r="E844" s="12"/>
      <c r="F844" s="12"/>
      <c r="G844" s="12"/>
      <c r="H844" s="12"/>
      <c r="I844" s="12"/>
      <c r="J844" s="12"/>
      <c r="K844" s="12"/>
      <c r="L844" s="12"/>
      <c r="M844" s="12"/>
      <c r="N844" s="12"/>
      <c r="O844" s="12"/>
      <c r="P844" s="12"/>
      <c r="Q844" s="12"/>
      <c r="R844" s="12"/>
      <c r="S844" s="12"/>
      <c r="T844" s="12"/>
      <c r="U844" s="12"/>
      <c r="V844" s="12"/>
      <c r="W844" s="12"/>
      <c r="X844" s="12"/>
      <c r="Y844" s="12"/>
      <c r="Z844" s="12"/>
    </row>
    <row r="845" customFormat="false" ht="15.75" hidden="false" customHeight="true" outlineLevel="0" collapsed="false">
      <c r="A845" s="12"/>
      <c r="B845" s="12"/>
      <c r="C845" s="12"/>
      <c r="D845" s="12"/>
      <c r="E845" s="12"/>
      <c r="F845" s="12"/>
      <c r="G845" s="12"/>
      <c r="H845" s="12"/>
      <c r="I845" s="12"/>
      <c r="J845" s="12"/>
      <c r="K845" s="12"/>
      <c r="L845" s="12"/>
      <c r="M845" s="12"/>
      <c r="N845" s="12"/>
      <c r="O845" s="12"/>
      <c r="P845" s="12"/>
      <c r="Q845" s="12"/>
      <c r="R845" s="12"/>
      <c r="S845" s="12"/>
      <c r="T845" s="12"/>
      <c r="U845" s="12"/>
      <c r="V845" s="12"/>
      <c r="W845" s="12"/>
      <c r="X845" s="12"/>
      <c r="Y845" s="12"/>
      <c r="Z845" s="12"/>
    </row>
    <row r="846" customFormat="false" ht="15.75" hidden="false" customHeight="true" outlineLevel="0" collapsed="false">
      <c r="A846" s="12"/>
      <c r="B846" s="12"/>
      <c r="C846" s="12"/>
      <c r="D846" s="12"/>
      <c r="E846" s="12"/>
      <c r="F846" s="12"/>
      <c r="G846" s="12"/>
      <c r="H846" s="12"/>
      <c r="I846" s="12"/>
      <c r="J846" s="12"/>
      <c r="K846" s="12"/>
      <c r="L846" s="12"/>
      <c r="M846" s="12"/>
      <c r="N846" s="12"/>
      <c r="O846" s="12"/>
      <c r="P846" s="12"/>
      <c r="Q846" s="12"/>
      <c r="R846" s="12"/>
      <c r="S846" s="12"/>
      <c r="T846" s="12"/>
      <c r="U846" s="12"/>
      <c r="V846" s="12"/>
      <c r="W846" s="12"/>
      <c r="X846" s="12"/>
      <c r="Y846" s="12"/>
      <c r="Z846" s="12"/>
    </row>
    <row r="847" customFormat="false" ht="15.75" hidden="false" customHeight="true" outlineLevel="0" collapsed="false">
      <c r="A847" s="12"/>
      <c r="B847" s="12"/>
      <c r="C847" s="12"/>
      <c r="D847" s="12"/>
      <c r="E847" s="12"/>
      <c r="F847" s="12"/>
      <c r="G847" s="12"/>
      <c r="H847" s="12"/>
      <c r="I847" s="12"/>
      <c r="J847" s="12"/>
      <c r="K847" s="12"/>
      <c r="L847" s="12"/>
      <c r="M847" s="12"/>
      <c r="N847" s="12"/>
      <c r="O847" s="12"/>
      <c r="P847" s="12"/>
      <c r="Q847" s="12"/>
      <c r="R847" s="12"/>
      <c r="S847" s="12"/>
      <c r="T847" s="12"/>
      <c r="U847" s="12"/>
      <c r="V847" s="12"/>
      <c r="W847" s="12"/>
      <c r="X847" s="12"/>
      <c r="Y847" s="12"/>
      <c r="Z847" s="12"/>
    </row>
    <row r="848" customFormat="false" ht="15.75" hidden="false" customHeight="true" outlineLevel="0" collapsed="false">
      <c r="A848" s="12"/>
      <c r="B848" s="12"/>
      <c r="C848" s="12"/>
      <c r="D848" s="12"/>
      <c r="E848" s="12"/>
      <c r="F848" s="12"/>
      <c r="G848" s="12"/>
      <c r="H848" s="12"/>
      <c r="I848" s="12"/>
      <c r="J848" s="12"/>
      <c r="K848" s="12"/>
      <c r="L848" s="12"/>
      <c r="M848" s="12"/>
      <c r="N848" s="12"/>
      <c r="O848" s="12"/>
      <c r="P848" s="12"/>
      <c r="Q848" s="12"/>
      <c r="R848" s="12"/>
      <c r="S848" s="12"/>
      <c r="T848" s="12"/>
      <c r="U848" s="12"/>
      <c r="V848" s="12"/>
      <c r="W848" s="12"/>
      <c r="X848" s="12"/>
      <c r="Y848" s="12"/>
      <c r="Z848" s="12"/>
    </row>
    <row r="849" customFormat="false" ht="15.75" hidden="false" customHeight="true" outlineLevel="0" collapsed="false">
      <c r="A849" s="12"/>
      <c r="B849" s="12"/>
      <c r="C849" s="12"/>
      <c r="D849" s="12"/>
      <c r="E849" s="12"/>
      <c r="F849" s="12"/>
      <c r="G849" s="12"/>
      <c r="H849" s="12"/>
      <c r="I849" s="12"/>
      <c r="J849" s="12"/>
      <c r="K849" s="12"/>
      <c r="L849" s="12"/>
      <c r="M849" s="12"/>
      <c r="N849" s="12"/>
      <c r="O849" s="12"/>
      <c r="P849" s="12"/>
      <c r="Q849" s="12"/>
      <c r="R849" s="12"/>
      <c r="S849" s="12"/>
      <c r="T849" s="12"/>
      <c r="U849" s="12"/>
      <c r="V849" s="12"/>
      <c r="W849" s="12"/>
      <c r="X849" s="12"/>
      <c r="Y849" s="12"/>
      <c r="Z849" s="12"/>
    </row>
    <row r="850" customFormat="false" ht="15.75" hidden="false" customHeight="true" outlineLevel="0" collapsed="false">
      <c r="A850" s="12"/>
      <c r="B850" s="12"/>
      <c r="C850" s="12"/>
      <c r="D850" s="12"/>
      <c r="E850" s="12"/>
      <c r="F850" s="12"/>
      <c r="G850" s="12"/>
      <c r="H850" s="12"/>
      <c r="I850" s="12"/>
      <c r="J850" s="12"/>
      <c r="K850" s="12"/>
      <c r="L850" s="12"/>
      <c r="M850" s="12"/>
      <c r="N850" s="12"/>
      <c r="O850" s="12"/>
      <c r="P850" s="12"/>
      <c r="Q850" s="12"/>
      <c r="R850" s="12"/>
      <c r="S850" s="12"/>
      <c r="T850" s="12"/>
      <c r="U850" s="12"/>
      <c r="V850" s="12"/>
      <c r="W850" s="12"/>
      <c r="X850" s="12"/>
      <c r="Y850" s="12"/>
      <c r="Z850" s="12"/>
    </row>
    <row r="851" customFormat="false" ht="15.75" hidden="false" customHeight="true" outlineLevel="0" collapsed="false">
      <c r="A851" s="12"/>
      <c r="B851" s="12"/>
      <c r="C851" s="12"/>
      <c r="D851" s="12"/>
      <c r="E851" s="12"/>
      <c r="F851" s="12"/>
      <c r="G851" s="12"/>
      <c r="H851" s="12"/>
      <c r="I851" s="12"/>
      <c r="J851" s="12"/>
      <c r="K851" s="12"/>
      <c r="L851" s="12"/>
      <c r="M851" s="12"/>
      <c r="N851" s="12"/>
      <c r="O851" s="12"/>
      <c r="P851" s="12"/>
      <c r="Q851" s="12"/>
      <c r="R851" s="12"/>
      <c r="S851" s="12"/>
      <c r="T851" s="12"/>
      <c r="U851" s="12"/>
      <c r="V851" s="12"/>
      <c r="W851" s="12"/>
      <c r="X851" s="12"/>
      <c r="Y851" s="12"/>
      <c r="Z851" s="12"/>
    </row>
    <row r="852" customFormat="false" ht="15.75" hidden="false" customHeight="true" outlineLevel="0" collapsed="false">
      <c r="A852" s="12"/>
      <c r="B852" s="12"/>
      <c r="C852" s="12"/>
      <c r="D852" s="12"/>
      <c r="E852" s="12"/>
      <c r="F852" s="12"/>
      <c r="G852" s="12"/>
      <c r="H852" s="12"/>
      <c r="I852" s="12"/>
      <c r="J852" s="12"/>
      <c r="K852" s="12"/>
      <c r="L852" s="12"/>
      <c r="M852" s="12"/>
      <c r="N852" s="12"/>
      <c r="O852" s="12"/>
      <c r="P852" s="12"/>
      <c r="Q852" s="12"/>
      <c r="R852" s="12"/>
      <c r="S852" s="12"/>
      <c r="T852" s="12"/>
      <c r="U852" s="12"/>
      <c r="V852" s="12"/>
      <c r="W852" s="12"/>
      <c r="X852" s="12"/>
      <c r="Y852" s="12"/>
      <c r="Z852" s="12"/>
    </row>
    <row r="853" customFormat="false" ht="15.75" hidden="false" customHeight="true" outlineLevel="0" collapsed="false">
      <c r="A853" s="12"/>
      <c r="B853" s="12"/>
      <c r="C853" s="12"/>
      <c r="D853" s="12"/>
      <c r="E853" s="12"/>
      <c r="F853" s="12"/>
      <c r="G853" s="12"/>
      <c r="H853" s="12"/>
      <c r="I853" s="12"/>
      <c r="J853" s="12"/>
      <c r="K853" s="12"/>
      <c r="L853" s="12"/>
      <c r="M853" s="12"/>
      <c r="N853" s="12"/>
      <c r="O853" s="12"/>
      <c r="P853" s="12"/>
      <c r="Q853" s="12"/>
      <c r="R853" s="12"/>
      <c r="S853" s="12"/>
      <c r="T853" s="12"/>
      <c r="U853" s="12"/>
      <c r="V853" s="12"/>
      <c r="W853" s="12"/>
      <c r="X853" s="12"/>
      <c r="Y853" s="12"/>
      <c r="Z853" s="12"/>
    </row>
    <row r="854" customFormat="false" ht="15.75" hidden="false" customHeight="true" outlineLevel="0" collapsed="false">
      <c r="A854" s="12"/>
      <c r="B854" s="12"/>
      <c r="C854" s="12"/>
      <c r="D854" s="12"/>
      <c r="E854" s="12"/>
      <c r="F854" s="12"/>
      <c r="G854" s="12"/>
      <c r="H854" s="12"/>
      <c r="I854" s="12"/>
      <c r="J854" s="12"/>
      <c r="K854" s="12"/>
      <c r="L854" s="12"/>
      <c r="M854" s="12"/>
      <c r="N854" s="12"/>
      <c r="O854" s="12"/>
      <c r="P854" s="12"/>
      <c r="Q854" s="12"/>
      <c r="R854" s="12"/>
      <c r="S854" s="12"/>
      <c r="T854" s="12"/>
      <c r="U854" s="12"/>
      <c r="V854" s="12"/>
      <c r="W854" s="12"/>
      <c r="X854" s="12"/>
      <c r="Y854" s="12"/>
      <c r="Z854" s="12"/>
    </row>
    <row r="855" customFormat="false" ht="15.75" hidden="false" customHeight="true" outlineLevel="0" collapsed="false">
      <c r="A855" s="12"/>
      <c r="B855" s="12"/>
      <c r="C855" s="12"/>
      <c r="D855" s="12"/>
      <c r="E855" s="12"/>
      <c r="F855" s="12"/>
      <c r="G855" s="12"/>
      <c r="H855" s="12"/>
      <c r="I855" s="12"/>
      <c r="J855" s="12"/>
      <c r="K855" s="12"/>
      <c r="L855" s="12"/>
      <c r="M855" s="12"/>
      <c r="N855" s="12"/>
      <c r="O855" s="12"/>
      <c r="P855" s="12"/>
      <c r="Q855" s="12"/>
      <c r="R855" s="12"/>
      <c r="S855" s="12"/>
      <c r="T855" s="12"/>
      <c r="U855" s="12"/>
      <c r="V855" s="12"/>
      <c r="W855" s="12"/>
      <c r="X855" s="12"/>
      <c r="Y855" s="12"/>
      <c r="Z855" s="12"/>
    </row>
    <row r="856" customFormat="false" ht="15.75" hidden="false" customHeight="true" outlineLevel="0" collapsed="false">
      <c r="A856" s="12"/>
      <c r="B856" s="12"/>
      <c r="C856" s="12"/>
      <c r="D856" s="12"/>
      <c r="E856" s="12"/>
      <c r="F856" s="12"/>
      <c r="G856" s="12"/>
      <c r="H856" s="12"/>
      <c r="I856" s="12"/>
      <c r="J856" s="12"/>
      <c r="K856" s="12"/>
      <c r="L856" s="12"/>
      <c r="M856" s="12"/>
      <c r="N856" s="12"/>
      <c r="O856" s="12"/>
      <c r="P856" s="12"/>
      <c r="Q856" s="12"/>
      <c r="R856" s="12"/>
      <c r="S856" s="12"/>
      <c r="T856" s="12"/>
      <c r="U856" s="12"/>
      <c r="V856" s="12"/>
      <c r="W856" s="12"/>
      <c r="X856" s="12"/>
      <c r="Y856" s="12"/>
      <c r="Z856" s="12"/>
    </row>
    <row r="857" customFormat="false" ht="15.75" hidden="false" customHeight="true" outlineLevel="0" collapsed="false">
      <c r="A857" s="12"/>
      <c r="B857" s="12"/>
      <c r="C857" s="12"/>
      <c r="D857" s="12"/>
      <c r="E857" s="12"/>
      <c r="F857" s="12"/>
      <c r="G857" s="12"/>
      <c r="H857" s="12"/>
      <c r="I857" s="12"/>
      <c r="J857" s="12"/>
      <c r="K857" s="12"/>
      <c r="L857" s="12"/>
      <c r="M857" s="12"/>
      <c r="N857" s="12"/>
      <c r="O857" s="12"/>
      <c r="P857" s="12"/>
      <c r="Q857" s="12"/>
      <c r="R857" s="12"/>
      <c r="S857" s="12"/>
      <c r="T857" s="12"/>
      <c r="U857" s="12"/>
      <c r="V857" s="12"/>
      <c r="W857" s="12"/>
      <c r="X857" s="12"/>
      <c r="Y857" s="12"/>
      <c r="Z857" s="12"/>
    </row>
    <row r="858" customFormat="false" ht="15.75" hidden="false" customHeight="true" outlineLevel="0" collapsed="false">
      <c r="A858" s="12"/>
      <c r="B858" s="12"/>
      <c r="C858" s="12"/>
      <c r="D858" s="12"/>
      <c r="E858" s="12"/>
      <c r="F858" s="12"/>
      <c r="G858" s="12"/>
      <c r="H858" s="12"/>
      <c r="I858" s="12"/>
      <c r="J858" s="12"/>
      <c r="K858" s="12"/>
      <c r="L858" s="12"/>
      <c r="M858" s="12"/>
      <c r="N858" s="12"/>
      <c r="O858" s="12"/>
      <c r="P858" s="12"/>
      <c r="Q858" s="12"/>
      <c r="R858" s="12"/>
      <c r="S858" s="12"/>
      <c r="T858" s="12"/>
      <c r="U858" s="12"/>
      <c r="V858" s="12"/>
      <c r="W858" s="12"/>
      <c r="X858" s="12"/>
      <c r="Y858" s="12"/>
      <c r="Z858" s="12"/>
    </row>
    <row r="859" customFormat="false" ht="15.75" hidden="false" customHeight="true" outlineLevel="0" collapsed="false">
      <c r="A859" s="12"/>
      <c r="B859" s="12"/>
      <c r="C859" s="12"/>
      <c r="D859" s="12"/>
      <c r="E859" s="12"/>
      <c r="F859" s="12"/>
      <c r="G859" s="12"/>
      <c r="H859" s="12"/>
      <c r="I859" s="12"/>
      <c r="J859" s="12"/>
      <c r="K859" s="12"/>
      <c r="L859" s="12"/>
      <c r="M859" s="12"/>
      <c r="N859" s="12"/>
      <c r="O859" s="12"/>
      <c r="P859" s="12"/>
      <c r="Q859" s="12"/>
      <c r="R859" s="12"/>
      <c r="S859" s="12"/>
      <c r="T859" s="12"/>
      <c r="U859" s="12"/>
      <c r="V859" s="12"/>
      <c r="W859" s="12"/>
      <c r="X859" s="12"/>
      <c r="Y859" s="12"/>
      <c r="Z859" s="12"/>
    </row>
    <row r="860" customFormat="false" ht="15.75" hidden="false" customHeight="true" outlineLevel="0" collapsed="false">
      <c r="A860" s="12"/>
      <c r="B860" s="12"/>
      <c r="C860" s="12"/>
      <c r="D860" s="12"/>
      <c r="E860" s="12"/>
      <c r="F860" s="12"/>
      <c r="G860" s="12"/>
      <c r="H860" s="12"/>
      <c r="I860" s="12"/>
      <c r="J860" s="12"/>
      <c r="K860" s="12"/>
      <c r="L860" s="12"/>
      <c r="M860" s="12"/>
      <c r="N860" s="12"/>
      <c r="O860" s="12"/>
      <c r="P860" s="12"/>
      <c r="Q860" s="12"/>
      <c r="R860" s="12"/>
      <c r="S860" s="12"/>
      <c r="T860" s="12"/>
      <c r="U860" s="12"/>
      <c r="V860" s="12"/>
      <c r="W860" s="12"/>
      <c r="X860" s="12"/>
      <c r="Y860" s="12"/>
      <c r="Z860" s="12"/>
    </row>
    <row r="861" customFormat="false" ht="15.75" hidden="false" customHeight="true" outlineLevel="0" collapsed="false">
      <c r="A861" s="12"/>
      <c r="B861" s="12"/>
      <c r="C861" s="12"/>
      <c r="D861" s="12"/>
      <c r="E861" s="12"/>
      <c r="F861" s="12"/>
      <c r="G861" s="12"/>
      <c r="H861" s="12"/>
      <c r="I861" s="12"/>
      <c r="J861" s="12"/>
      <c r="K861" s="12"/>
      <c r="L861" s="12"/>
      <c r="M861" s="12"/>
      <c r="N861" s="12"/>
      <c r="O861" s="12"/>
      <c r="P861" s="12"/>
      <c r="Q861" s="12"/>
      <c r="R861" s="12"/>
      <c r="S861" s="12"/>
      <c r="T861" s="12"/>
      <c r="U861" s="12"/>
      <c r="V861" s="12"/>
      <c r="W861" s="12"/>
      <c r="X861" s="12"/>
      <c r="Y861" s="12"/>
      <c r="Z861" s="12"/>
    </row>
    <row r="862" customFormat="false" ht="15.75" hidden="false" customHeight="true" outlineLevel="0" collapsed="false">
      <c r="A862" s="12"/>
      <c r="B862" s="12"/>
      <c r="C862" s="12"/>
      <c r="D862" s="12"/>
      <c r="E862" s="12"/>
      <c r="F862" s="12"/>
      <c r="G862" s="12"/>
      <c r="H862" s="12"/>
      <c r="I862" s="12"/>
      <c r="J862" s="12"/>
      <c r="K862" s="12"/>
      <c r="L862" s="12"/>
      <c r="M862" s="12"/>
      <c r="N862" s="12"/>
      <c r="O862" s="12"/>
      <c r="P862" s="12"/>
      <c r="Q862" s="12"/>
      <c r="R862" s="12"/>
      <c r="S862" s="12"/>
      <c r="T862" s="12"/>
      <c r="U862" s="12"/>
      <c r="V862" s="12"/>
      <c r="W862" s="12"/>
      <c r="X862" s="12"/>
      <c r="Y862" s="12"/>
      <c r="Z862" s="12"/>
    </row>
    <row r="863" customFormat="false" ht="15.75" hidden="false" customHeight="true" outlineLevel="0" collapsed="false">
      <c r="A863" s="12"/>
      <c r="B863" s="12"/>
      <c r="C863" s="12"/>
      <c r="D863" s="12"/>
      <c r="E863" s="12"/>
      <c r="F863" s="12"/>
      <c r="G863" s="12"/>
      <c r="H863" s="12"/>
      <c r="I863" s="12"/>
      <c r="J863" s="12"/>
      <c r="K863" s="12"/>
      <c r="L863" s="12"/>
      <c r="M863" s="12"/>
      <c r="N863" s="12"/>
      <c r="O863" s="12"/>
      <c r="P863" s="12"/>
      <c r="Q863" s="12"/>
      <c r="R863" s="12"/>
      <c r="S863" s="12"/>
      <c r="T863" s="12"/>
      <c r="U863" s="12"/>
      <c r="V863" s="12"/>
      <c r="W863" s="12"/>
      <c r="X863" s="12"/>
      <c r="Y863" s="12"/>
      <c r="Z863" s="12"/>
    </row>
    <row r="864" customFormat="false" ht="15.75" hidden="false" customHeight="true" outlineLevel="0" collapsed="false">
      <c r="A864" s="12"/>
      <c r="B864" s="12"/>
      <c r="C864" s="12"/>
      <c r="D864" s="12"/>
      <c r="E864" s="12"/>
      <c r="F864" s="12"/>
      <c r="G864" s="12"/>
      <c r="H864" s="12"/>
      <c r="I864" s="12"/>
      <c r="J864" s="12"/>
      <c r="K864" s="12"/>
      <c r="L864" s="12"/>
      <c r="M864" s="12"/>
      <c r="N864" s="12"/>
      <c r="O864" s="12"/>
      <c r="P864" s="12"/>
      <c r="Q864" s="12"/>
      <c r="R864" s="12"/>
      <c r="S864" s="12"/>
      <c r="T864" s="12"/>
      <c r="U864" s="12"/>
      <c r="V864" s="12"/>
      <c r="W864" s="12"/>
      <c r="X864" s="12"/>
      <c r="Y864" s="12"/>
      <c r="Z864" s="12"/>
    </row>
    <row r="865" customFormat="false" ht="15.75" hidden="false" customHeight="true" outlineLevel="0" collapsed="false">
      <c r="A865" s="12"/>
      <c r="B865" s="12"/>
      <c r="C865" s="12"/>
      <c r="D865" s="12"/>
      <c r="E865" s="12"/>
      <c r="F865" s="12"/>
      <c r="G865" s="12"/>
      <c r="H865" s="12"/>
      <c r="I865" s="12"/>
      <c r="J865" s="12"/>
      <c r="K865" s="12"/>
      <c r="L865" s="12"/>
      <c r="M865" s="12"/>
      <c r="N865" s="12"/>
      <c r="O865" s="12"/>
      <c r="P865" s="12"/>
      <c r="Q865" s="12"/>
      <c r="R865" s="12"/>
      <c r="S865" s="12"/>
      <c r="T865" s="12"/>
      <c r="U865" s="12"/>
      <c r="V865" s="12"/>
      <c r="W865" s="12"/>
      <c r="X865" s="12"/>
      <c r="Y865" s="12"/>
      <c r="Z865" s="12"/>
    </row>
    <row r="866" customFormat="false" ht="15.75" hidden="false" customHeight="true" outlineLevel="0" collapsed="false">
      <c r="A866" s="12"/>
      <c r="B866" s="12"/>
      <c r="C866" s="12"/>
      <c r="D866" s="12"/>
      <c r="E866" s="12"/>
      <c r="F866" s="12"/>
      <c r="G866" s="12"/>
      <c r="H866" s="12"/>
      <c r="I866" s="12"/>
      <c r="J866" s="12"/>
      <c r="K866" s="12"/>
      <c r="L866" s="12"/>
      <c r="M866" s="12"/>
      <c r="N866" s="12"/>
      <c r="O866" s="12"/>
      <c r="P866" s="12"/>
      <c r="Q866" s="12"/>
      <c r="R866" s="12"/>
      <c r="S866" s="12"/>
      <c r="T866" s="12"/>
      <c r="U866" s="12"/>
      <c r="V866" s="12"/>
      <c r="W866" s="12"/>
      <c r="X866" s="12"/>
      <c r="Y866" s="12"/>
      <c r="Z866" s="12"/>
    </row>
    <row r="867" customFormat="false" ht="15.75" hidden="false" customHeight="true" outlineLevel="0" collapsed="false">
      <c r="A867" s="12"/>
      <c r="B867" s="12"/>
      <c r="C867" s="12"/>
      <c r="D867" s="12"/>
      <c r="E867" s="12"/>
      <c r="F867" s="12"/>
      <c r="G867" s="12"/>
      <c r="H867" s="12"/>
      <c r="I867" s="12"/>
      <c r="J867" s="12"/>
      <c r="K867" s="12"/>
      <c r="L867" s="12"/>
      <c r="M867" s="12"/>
      <c r="N867" s="12"/>
      <c r="O867" s="12"/>
      <c r="P867" s="12"/>
      <c r="Q867" s="12"/>
      <c r="R867" s="12"/>
      <c r="S867" s="12"/>
      <c r="T867" s="12"/>
      <c r="U867" s="12"/>
      <c r="V867" s="12"/>
      <c r="W867" s="12"/>
      <c r="X867" s="12"/>
      <c r="Y867" s="12"/>
      <c r="Z867" s="12"/>
    </row>
    <row r="868" customFormat="false" ht="15.75" hidden="false" customHeight="true" outlineLevel="0" collapsed="false">
      <c r="A868" s="12"/>
      <c r="B868" s="12"/>
      <c r="C868" s="12"/>
      <c r="D868" s="12"/>
      <c r="E868" s="12"/>
      <c r="F868" s="12"/>
      <c r="G868" s="12"/>
      <c r="H868" s="12"/>
      <c r="I868" s="12"/>
      <c r="J868" s="12"/>
      <c r="K868" s="12"/>
      <c r="L868" s="12"/>
      <c r="M868" s="12"/>
      <c r="N868" s="12"/>
      <c r="O868" s="12"/>
      <c r="P868" s="12"/>
      <c r="Q868" s="12"/>
      <c r="R868" s="12"/>
      <c r="S868" s="12"/>
      <c r="T868" s="12"/>
      <c r="U868" s="12"/>
      <c r="V868" s="12"/>
      <c r="W868" s="12"/>
      <c r="X868" s="12"/>
      <c r="Y868" s="12"/>
      <c r="Z868" s="12"/>
    </row>
    <row r="869" customFormat="false" ht="15.75" hidden="false" customHeight="true" outlineLevel="0" collapsed="false">
      <c r="A869" s="12"/>
      <c r="B869" s="12"/>
      <c r="C869" s="12"/>
      <c r="D869" s="12"/>
      <c r="E869" s="12"/>
      <c r="F869" s="12"/>
      <c r="G869" s="12"/>
      <c r="H869" s="12"/>
      <c r="I869" s="12"/>
      <c r="J869" s="12"/>
      <c r="K869" s="12"/>
      <c r="L869" s="12"/>
      <c r="M869" s="12"/>
      <c r="N869" s="12"/>
      <c r="O869" s="12"/>
      <c r="P869" s="12"/>
      <c r="Q869" s="12"/>
      <c r="R869" s="12"/>
      <c r="S869" s="12"/>
      <c r="T869" s="12"/>
      <c r="U869" s="12"/>
      <c r="V869" s="12"/>
      <c r="W869" s="12"/>
      <c r="X869" s="12"/>
      <c r="Y869" s="12"/>
      <c r="Z869" s="12"/>
    </row>
    <row r="870" customFormat="false" ht="15.75" hidden="false" customHeight="true" outlineLevel="0" collapsed="false">
      <c r="A870" s="12"/>
      <c r="B870" s="12"/>
      <c r="C870" s="12"/>
      <c r="D870" s="12"/>
      <c r="E870" s="12"/>
      <c r="F870" s="12"/>
      <c r="G870" s="12"/>
      <c r="H870" s="12"/>
      <c r="I870" s="12"/>
      <c r="J870" s="12"/>
      <c r="K870" s="12"/>
      <c r="L870" s="12"/>
      <c r="M870" s="12"/>
      <c r="N870" s="12"/>
      <c r="O870" s="12"/>
      <c r="P870" s="12"/>
      <c r="Q870" s="12"/>
      <c r="R870" s="12"/>
      <c r="S870" s="12"/>
      <c r="T870" s="12"/>
      <c r="U870" s="12"/>
      <c r="V870" s="12"/>
      <c r="W870" s="12"/>
      <c r="X870" s="12"/>
      <c r="Y870" s="12"/>
      <c r="Z870" s="12"/>
    </row>
    <row r="871" customFormat="false" ht="15.75" hidden="false" customHeight="true" outlineLevel="0" collapsed="false">
      <c r="A871" s="12"/>
      <c r="B871" s="12"/>
      <c r="C871" s="12"/>
      <c r="D871" s="12"/>
      <c r="E871" s="12"/>
      <c r="F871" s="12"/>
      <c r="G871" s="12"/>
      <c r="H871" s="12"/>
      <c r="I871" s="12"/>
      <c r="J871" s="12"/>
      <c r="K871" s="12"/>
      <c r="L871" s="12"/>
      <c r="M871" s="12"/>
      <c r="N871" s="12"/>
      <c r="O871" s="12"/>
      <c r="P871" s="12"/>
      <c r="Q871" s="12"/>
      <c r="R871" s="12"/>
      <c r="S871" s="12"/>
      <c r="T871" s="12"/>
      <c r="U871" s="12"/>
      <c r="V871" s="12"/>
      <c r="W871" s="12"/>
      <c r="X871" s="12"/>
      <c r="Y871" s="12"/>
      <c r="Z871" s="12"/>
    </row>
    <row r="872" customFormat="false" ht="15.75" hidden="false" customHeight="true" outlineLevel="0" collapsed="false">
      <c r="A872" s="12"/>
      <c r="B872" s="12"/>
      <c r="C872" s="12"/>
      <c r="D872" s="12"/>
      <c r="E872" s="12"/>
      <c r="F872" s="12"/>
      <c r="G872" s="12"/>
      <c r="H872" s="12"/>
      <c r="I872" s="12"/>
      <c r="J872" s="12"/>
      <c r="K872" s="12"/>
      <c r="L872" s="12"/>
      <c r="M872" s="12"/>
      <c r="N872" s="12"/>
      <c r="O872" s="12"/>
      <c r="P872" s="12"/>
      <c r="Q872" s="12"/>
      <c r="R872" s="12"/>
      <c r="S872" s="12"/>
      <c r="T872" s="12"/>
      <c r="U872" s="12"/>
      <c r="V872" s="12"/>
      <c r="W872" s="12"/>
      <c r="X872" s="12"/>
      <c r="Y872" s="12"/>
      <c r="Z872" s="12"/>
    </row>
    <row r="873" customFormat="false" ht="15.75" hidden="false" customHeight="true" outlineLevel="0" collapsed="false">
      <c r="A873" s="12"/>
      <c r="B873" s="12"/>
      <c r="C873" s="12"/>
      <c r="D873" s="12"/>
      <c r="E873" s="12"/>
      <c r="F873" s="12"/>
      <c r="G873" s="12"/>
      <c r="H873" s="12"/>
      <c r="I873" s="12"/>
      <c r="J873" s="12"/>
      <c r="K873" s="12"/>
      <c r="L873" s="12"/>
      <c r="M873" s="12"/>
      <c r="N873" s="12"/>
      <c r="O873" s="12"/>
      <c r="P873" s="12"/>
      <c r="Q873" s="12"/>
      <c r="R873" s="12"/>
      <c r="S873" s="12"/>
      <c r="T873" s="12"/>
      <c r="U873" s="12"/>
      <c r="V873" s="12"/>
      <c r="W873" s="12"/>
      <c r="X873" s="12"/>
      <c r="Y873" s="12"/>
      <c r="Z873" s="12"/>
    </row>
    <row r="874" customFormat="false" ht="15.75" hidden="false" customHeight="true" outlineLevel="0" collapsed="false">
      <c r="A874" s="12"/>
      <c r="B874" s="12"/>
      <c r="C874" s="12"/>
      <c r="D874" s="12"/>
      <c r="E874" s="12"/>
      <c r="F874" s="12"/>
      <c r="G874" s="12"/>
      <c r="H874" s="12"/>
      <c r="I874" s="12"/>
      <c r="J874" s="12"/>
      <c r="K874" s="12"/>
      <c r="L874" s="12"/>
      <c r="M874" s="12"/>
      <c r="N874" s="12"/>
      <c r="O874" s="12"/>
      <c r="P874" s="12"/>
      <c r="Q874" s="12"/>
      <c r="R874" s="12"/>
      <c r="S874" s="12"/>
      <c r="T874" s="12"/>
      <c r="U874" s="12"/>
      <c r="V874" s="12"/>
      <c r="W874" s="12"/>
      <c r="X874" s="12"/>
      <c r="Y874" s="12"/>
      <c r="Z874" s="12"/>
    </row>
    <row r="875" customFormat="false" ht="15.75" hidden="false" customHeight="true" outlineLevel="0" collapsed="false">
      <c r="A875" s="12"/>
      <c r="B875" s="12"/>
      <c r="C875" s="12"/>
      <c r="D875" s="12"/>
      <c r="E875" s="12"/>
      <c r="F875" s="12"/>
      <c r="G875" s="12"/>
      <c r="H875" s="12"/>
      <c r="I875" s="12"/>
      <c r="J875" s="12"/>
      <c r="K875" s="12"/>
      <c r="L875" s="12"/>
      <c r="M875" s="12"/>
      <c r="N875" s="12"/>
      <c r="O875" s="12"/>
      <c r="P875" s="12"/>
      <c r="Q875" s="12"/>
      <c r="R875" s="12"/>
      <c r="S875" s="12"/>
      <c r="T875" s="12"/>
      <c r="U875" s="12"/>
      <c r="V875" s="12"/>
      <c r="W875" s="12"/>
      <c r="X875" s="12"/>
      <c r="Y875" s="12"/>
      <c r="Z875" s="12"/>
    </row>
    <row r="876" customFormat="false" ht="15.75" hidden="false" customHeight="true" outlineLevel="0" collapsed="false">
      <c r="A876" s="12"/>
      <c r="B876" s="12"/>
      <c r="C876" s="12"/>
      <c r="D876" s="12"/>
      <c r="E876" s="12"/>
      <c r="F876" s="12"/>
      <c r="G876" s="12"/>
      <c r="H876" s="12"/>
      <c r="I876" s="12"/>
      <c r="J876" s="12"/>
      <c r="K876" s="12"/>
      <c r="L876" s="12"/>
      <c r="M876" s="12"/>
      <c r="N876" s="12"/>
      <c r="O876" s="12"/>
      <c r="P876" s="12"/>
      <c r="Q876" s="12"/>
      <c r="R876" s="12"/>
      <c r="S876" s="12"/>
      <c r="T876" s="12"/>
      <c r="U876" s="12"/>
      <c r="V876" s="12"/>
      <c r="W876" s="12"/>
      <c r="X876" s="12"/>
      <c r="Y876" s="12"/>
      <c r="Z876" s="12"/>
    </row>
    <row r="877" customFormat="false" ht="15.75" hidden="false" customHeight="true" outlineLevel="0" collapsed="false">
      <c r="A877" s="12"/>
      <c r="B877" s="12"/>
      <c r="C877" s="12"/>
      <c r="D877" s="12"/>
      <c r="E877" s="12"/>
      <c r="F877" s="12"/>
      <c r="G877" s="12"/>
      <c r="H877" s="12"/>
      <c r="I877" s="12"/>
      <c r="J877" s="12"/>
      <c r="K877" s="12"/>
      <c r="L877" s="12"/>
      <c r="M877" s="12"/>
      <c r="N877" s="12"/>
      <c r="O877" s="12"/>
      <c r="P877" s="12"/>
      <c r="Q877" s="12"/>
      <c r="R877" s="12"/>
      <c r="S877" s="12"/>
      <c r="T877" s="12"/>
      <c r="U877" s="12"/>
      <c r="V877" s="12"/>
      <c r="W877" s="12"/>
      <c r="X877" s="12"/>
      <c r="Y877" s="12"/>
      <c r="Z877" s="12"/>
    </row>
    <row r="878" customFormat="false" ht="15.75" hidden="false" customHeight="true" outlineLevel="0" collapsed="false">
      <c r="A878" s="12"/>
      <c r="B878" s="12"/>
      <c r="C878" s="12"/>
      <c r="D878" s="12"/>
      <c r="E878" s="12"/>
      <c r="F878" s="12"/>
      <c r="G878" s="12"/>
      <c r="H878" s="12"/>
      <c r="I878" s="12"/>
      <c r="J878" s="12"/>
      <c r="K878" s="12"/>
      <c r="L878" s="12"/>
      <c r="M878" s="12"/>
      <c r="N878" s="12"/>
      <c r="O878" s="12"/>
      <c r="P878" s="12"/>
      <c r="Q878" s="12"/>
      <c r="R878" s="12"/>
      <c r="S878" s="12"/>
      <c r="T878" s="12"/>
      <c r="U878" s="12"/>
      <c r="V878" s="12"/>
      <c r="W878" s="12"/>
      <c r="X878" s="12"/>
      <c r="Y878" s="12"/>
      <c r="Z878" s="12"/>
    </row>
    <row r="879" customFormat="false" ht="15.75" hidden="false" customHeight="true" outlineLevel="0" collapsed="false">
      <c r="A879" s="12"/>
      <c r="B879" s="12"/>
      <c r="C879" s="12"/>
      <c r="D879" s="12"/>
      <c r="E879" s="12"/>
      <c r="F879" s="12"/>
      <c r="G879" s="12"/>
      <c r="H879" s="12"/>
      <c r="I879" s="12"/>
      <c r="J879" s="12"/>
      <c r="K879" s="12"/>
      <c r="L879" s="12"/>
      <c r="M879" s="12"/>
      <c r="N879" s="12"/>
      <c r="O879" s="12"/>
      <c r="P879" s="12"/>
      <c r="Q879" s="12"/>
      <c r="R879" s="12"/>
      <c r="S879" s="12"/>
      <c r="T879" s="12"/>
      <c r="U879" s="12"/>
      <c r="V879" s="12"/>
      <c r="W879" s="12"/>
      <c r="X879" s="12"/>
      <c r="Y879" s="12"/>
      <c r="Z879" s="12"/>
    </row>
    <row r="880" customFormat="false" ht="15.75" hidden="false" customHeight="true" outlineLevel="0" collapsed="false">
      <c r="A880" s="12"/>
      <c r="B880" s="12"/>
      <c r="C880" s="12"/>
      <c r="D880" s="12"/>
      <c r="E880" s="12"/>
      <c r="F880" s="12"/>
      <c r="G880" s="12"/>
      <c r="H880" s="12"/>
      <c r="I880" s="12"/>
      <c r="J880" s="12"/>
      <c r="K880" s="12"/>
      <c r="L880" s="12"/>
      <c r="M880" s="12"/>
      <c r="N880" s="12"/>
      <c r="O880" s="12"/>
      <c r="P880" s="12"/>
      <c r="Q880" s="12"/>
      <c r="R880" s="12"/>
      <c r="S880" s="12"/>
      <c r="T880" s="12"/>
      <c r="U880" s="12"/>
      <c r="V880" s="12"/>
      <c r="W880" s="12"/>
      <c r="X880" s="12"/>
      <c r="Y880" s="12"/>
      <c r="Z880" s="12"/>
    </row>
    <row r="881" customFormat="false" ht="15.75" hidden="false" customHeight="true" outlineLevel="0" collapsed="false">
      <c r="A881" s="12"/>
      <c r="B881" s="12"/>
      <c r="C881" s="12"/>
      <c r="D881" s="12"/>
      <c r="E881" s="12"/>
      <c r="F881" s="12"/>
      <c r="G881" s="12"/>
      <c r="H881" s="12"/>
      <c r="I881" s="12"/>
      <c r="J881" s="12"/>
      <c r="K881" s="12"/>
      <c r="L881" s="12"/>
      <c r="M881" s="12"/>
      <c r="N881" s="12"/>
      <c r="O881" s="12"/>
      <c r="P881" s="12"/>
      <c r="Q881" s="12"/>
      <c r="R881" s="12"/>
      <c r="S881" s="12"/>
      <c r="T881" s="12"/>
      <c r="U881" s="12"/>
      <c r="V881" s="12"/>
      <c r="W881" s="12"/>
      <c r="X881" s="12"/>
      <c r="Y881" s="12"/>
      <c r="Z881" s="12"/>
    </row>
    <row r="882" customFormat="false" ht="15.75" hidden="false" customHeight="true" outlineLevel="0" collapsed="false">
      <c r="A882" s="12"/>
      <c r="B882" s="12"/>
      <c r="C882" s="12"/>
      <c r="D882" s="12"/>
      <c r="E882" s="12"/>
      <c r="F882" s="12"/>
      <c r="G882" s="12"/>
      <c r="H882" s="12"/>
      <c r="I882" s="12"/>
      <c r="J882" s="12"/>
      <c r="K882" s="12"/>
      <c r="L882" s="12"/>
      <c r="M882" s="12"/>
      <c r="N882" s="12"/>
      <c r="O882" s="12"/>
      <c r="P882" s="12"/>
      <c r="Q882" s="12"/>
      <c r="R882" s="12"/>
      <c r="S882" s="12"/>
      <c r="T882" s="12"/>
      <c r="U882" s="12"/>
      <c r="V882" s="12"/>
      <c r="W882" s="12"/>
      <c r="X882" s="12"/>
      <c r="Y882" s="12"/>
      <c r="Z882" s="12"/>
    </row>
    <row r="883" customFormat="false" ht="15.75" hidden="false" customHeight="true" outlineLevel="0" collapsed="false">
      <c r="A883" s="12"/>
      <c r="B883" s="12"/>
      <c r="C883" s="12"/>
      <c r="D883" s="12"/>
      <c r="E883" s="12"/>
      <c r="F883" s="12"/>
      <c r="G883" s="12"/>
      <c r="H883" s="12"/>
      <c r="I883" s="12"/>
      <c r="J883" s="12"/>
      <c r="K883" s="12"/>
      <c r="L883" s="12"/>
      <c r="M883" s="12"/>
      <c r="N883" s="12"/>
      <c r="O883" s="12"/>
      <c r="P883" s="12"/>
      <c r="Q883" s="12"/>
      <c r="R883" s="12"/>
      <c r="S883" s="12"/>
      <c r="T883" s="12"/>
      <c r="U883" s="12"/>
      <c r="V883" s="12"/>
      <c r="W883" s="12"/>
      <c r="X883" s="12"/>
      <c r="Y883" s="12"/>
      <c r="Z883" s="12"/>
    </row>
    <row r="884" customFormat="false" ht="15.75" hidden="false" customHeight="true" outlineLevel="0" collapsed="false">
      <c r="A884" s="12"/>
      <c r="B884" s="12"/>
      <c r="C884" s="12"/>
      <c r="D884" s="12"/>
      <c r="E884" s="12"/>
      <c r="F884" s="12"/>
      <c r="G884" s="12"/>
      <c r="H884" s="12"/>
      <c r="I884" s="12"/>
      <c r="J884" s="12"/>
      <c r="K884" s="12"/>
      <c r="L884" s="12"/>
      <c r="M884" s="12"/>
      <c r="N884" s="12"/>
      <c r="O884" s="12"/>
      <c r="P884" s="12"/>
      <c r="Q884" s="12"/>
      <c r="R884" s="12"/>
      <c r="S884" s="12"/>
      <c r="T884" s="12"/>
      <c r="U884" s="12"/>
      <c r="V884" s="12"/>
      <c r="W884" s="12"/>
      <c r="X884" s="12"/>
      <c r="Y884" s="12"/>
      <c r="Z884" s="12"/>
    </row>
    <row r="885" customFormat="false" ht="15.75" hidden="false" customHeight="true" outlineLevel="0" collapsed="false">
      <c r="A885" s="12"/>
      <c r="B885" s="12"/>
      <c r="C885" s="12"/>
      <c r="D885" s="12"/>
      <c r="E885" s="12"/>
      <c r="F885" s="12"/>
      <c r="G885" s="12"/>
      <c r="H885" s="12"/>
      <c r="I885" s="12"/>
      <c r="J885" s="12"/>
      <c r="K885" s="12"/>
      <c r="L885" s="12"/>
      <c r="M885" s="12"/>
      <c r="N885" s="12"/>
      <c r="O885" s="12"/>
      <c r="P885" s="12"/>
      <c r="Q885" s="12"/>
      <c r="R885" s="12"/>
      <c r="S885" s="12"/>
      <c r="T885" s="12"/>
      <c r="U885" s="12"/>
      <c r="V885" s="12"/>
      <c r="W885" s="12"/>
      <c r="X885" s="12"/>
      <c r="Y885" s="12"/>
      <c r="Z885" s="12"/>
    </row>
    <row r="886" customFormat="false" ht="15.75" hidden="false" customHeight="true" outlineLevel="0" collapsed="false">
      <c r="A886" s="12"/>
      <c r="B886" s="12"/>
      <c r="C886" s="12"/>
      <c r="D886" s="12"/>
      <c r="E886" s="12"/>
      <c r="F886" s="12"/>
      <c r="G886" s="12"/>
      <c r="H886" s="12"/>
      <c r="I886" s="12"/>
      <c r="J886" s="12"/>
      <c r="K886" s="12"/>
      <c r="L886" s="12"/>
      <c r="M886" s="12"/>
      <c r="N886" s="12"/>
      <c r="O886" s="12"/>
      <c r="P886" s="12"/>
      <c r="Q886" s="12"/>
      <c r="R886" s="12"/>
      <c r="S886" s="12"/>
      <c r="T886" s="12"/>
      <c r="U886" s="12"/>
      <c r="V886" s="12"/>
      <c r="W886" s="12"/>
      <c r="X886" s="12"/>
      <c r="Y886" s="12"/>
      <c r="Z886" s="12"/>
    </row>
    <row r="887" customFormat="false" ht="15.75" hidden="false" customHeight="true" outlineLevel="0" collapsed="false">
      <c r="A887" s="12"/>
      <c r="B887" s="12"/>
      <c r="C887" s="12"/>
      <c r="D887" s="12"/>
      <c r="E887" s="12"/>
      <c r="F887" s="12"/>
      <c r="G887" s="12"/>
      <c r="H887" s="12"/>
      <c r="I887" s="12"/>
      <c r="J887" s="12"/>
      <c r="K887" s="12"/>
      <c r="L887" s="12"/>
      <c r="M887" s="12"/>
      <c r="N887" s="12"/>
      <c r="O887" s="12"/>
      <c r="P887" s="12"/>
      <c r="Q887" s="12"/>
      <c r="R887" s="12"/>
      <c r="S887" s="12"/>
      <c r="T887" s="12"/>
      <c r="U887" s="12"/>
      <c r="V887" s="12"/>
      <c r="W887" s="12"/>
      <c r="X887" s="12"/>
      <c r="Y887" s="12"/>
      <c r="Z887" s="12"/>
    </row>
    <row r="888" customFormat="false" ht="15.75" hidden="false" customHeight="true" outlineLevel="0" collapsed="false">
      <c r="A888" s="12"/>
      <c r="B888" s="12"/>
      <c r="C888" s="12"/>
      <c r="D888" s="12"/>
      <c r="E888" s="12"/>
      <c r="F888" s="12"/>
      <c r="G888" s="12"/>
      <c r="H888" s="12"/>
      <c r="I888" s="12"/>
      <c r="J888" s="12"/>
      <c r="K888" s="12"/>
      <c r="L888" s="12"/>
      <c r="M888" s="12"/>
      <c r="N888" s="12"/>
      <c r="O888" s="12"/>
      <c r="P888" s="12"/>
      <c r="Q888" s="12"/>
      <c r="R888" s="12"/>
      <c r="S888" s="12"/>
      <c r="T888" s="12"/>
      <c r="U888" s="12"/>
      <c r="V888" s="12"/>
      <c r="W888" s="12"/>
      <c r="X888" s="12"/>
      <c r="Y888" s="12"/>
      <c r="Z888" s="12"/>
    </row>
    <row r="889" customFormat="false" ht="15.75" hidden="false" customHeight="true" outlineLevel="0" collapsed="false">
      <c r="A889" s="12"/>
      <c r="B889" s="12"/>
      <c r="C889" s="12"/>
      <c r="D889" s="12"/>
      <c r="E889" s="12"/>
      <c r="F889" s="12"/>
      <c r="G889" s="12"/>
      <c r="H889" s="12"/>
      <c r="I889" s="12"/>
      <c r="J889" s="12"/>
      <c r="K889" s="12"/>
      <c r="L889" s="12"/>
      <c r="M889" s="12"/>
      <c r="N889" s="12"/>
      <c r="O889" s="12"/>
      <c r="P889" s="12"/>
      <c r="Q889" s="12"/>
      <c r="R889" s="12"/>
      <c r="S889" s="12"/>
      <c r="T889" s="12"/>
      <c r="U889" s="12"/>
      <c r="V889" s="12"/>
      <c r="W889" s="12"/>
      <c r="X889" s="12"/>
      <c r="Y889" s="12"/>
      <c r="Z889" s="12"/>
    </row>
    <row r="890" customFormat="false" ht="15.75" hidden="false" customHeight="true" outlineLevel="0" collapsed="false">
      <c r="A890" s="12"/>
      <c r="B890" s="12"/>
      <c r="C890" s="12"/>
      <c r="D890" s="12"/>
      <c r="E890" s="12"/>
      <c r="F890" s="12"/>
      <c r="G890" s="12"/>
      <c r="H890" s="12"/>
      <c r="I890" s="12"/>
      <c r="J890" s="12"/>
      <c r="K890" s="12"/>
      <c r="L890" s="12"/>
      <c r="M890" s="12"/>
      <c r="N890" s="12"/>
      <c r="O890" s="12"/>
      <c r="P890" s="12"/>
      <c r="Q890" s="12"/>
      <c r="R890" s="12"/>
      <c r="S890" s="12"/>
      <c r="T890" s="12"/>
      <c r="U890" s="12"/>
      <c r="V890" s="12"/>
      <c r="W890" s="12"/>
      <c r="X890" s="12"/>
      <c r="Y890" s="12"/>
      <c r="Z890" s="12"/>
    </row>
    <row r="891" customFormat="false" ht="15.75" hidden="false" customHeight="true" outlineLevel="0" collapsed="false">
      <c r="A891" s="12"/>
      <c r="B891" s="12"/>
      <c r="C891" s="12"/>
      <c r="D891" s="12"/>
      <c r="E891" s="12"/>
      <c r="F891" s="12"/>
      <c r="G891" s="12"/>
      <c r="H891" s="12"/>
      <c r="I891" s="12"/>
      <c r="J891" s="12"/>
      <c r="K891" s="12"/>
      <c r="L891" s="12"/>
      <c r="M891" s="12"/>
      <c r="N891" s="12"/>
      <c r="O891" s="12"/>
      <c r="P891" s="12"/>
      <c r="Q891" s="12"/>
      <c r="R891" s="12"/>
      <c r="S891" s="12"/>
      <c r="T891" s="12"/>
      <c r="U891" s="12"/>
      <c r="V891" s="12"/>
      <c r="W891" s="12"/>
      <c r="X891" s="12"/>
      <c r="Y891" s="12"/>
      <c r="Z891" s="12"/>
    </row>
    <row r="892" customFormat="false" ht="15.75" hidden="false" customHeight="true" outlineLevel="0" collapsed="false">
      <c r="A892" s="12"/>
      <c r="B892" s="12"/>
      <c r="C892" s="12"/>
      <c r="D892" s="12"/>
      <c r="E892" s="12"/>
      <c r="F892" s="12"/>
      <c r="G892" s="12"/>
      <c r="H892" s="12"/>
      <c r="I892" s="12"/>
      <c r="J892" s="12"/>
      <c r="K892" s="12"/>
      <c r="L892" s="12"/>
      <c r="M892" s="12"/>
      <c r="N892" s="12"/>
      <c r="O892" s="12"/>
      <c r="P892" s="12"/>
      <c r="Q892" s="12"/>
      <c r="R892" s="12"/>
      <c r="S892" s="12"/>
      <c r="T892" s="12"/>
      <c r="U892" s="12"/>
      <c r="V892" s="12"/>
      <c r="W892" s="12"/>
      <c r="X892" s="12"/>
      <c r="Y892" s="12"/>
      <c r="Z892" s="12"/>
    </row>
    <row r="893" customFormat="false" ht="15.75" hidden="false" customHeight="true" outlineLevel="0" collapsed="false">
      <c r="A893" s="12"/>
      <c r="B893" s="12"/>
      <c r="C893" s="12"/>
      <c r="D893" s="12"/>
      <c r="E893" s="12"/>
      <c r="F893" s="12"/>
      <c r="G893" s="12"/>
      <c r="H893" s="12"/>
      <c r="I893" s="12"/>
      <c r="J893" s="12"/>
      <c r="K893" s="12"/>
      <c r="L893" s="12"/>
      <c r="M893" s="12"/>
      <c r="N893" s="12"/>
      <c r="O893" s="12"/>
      <c r="P893" s="12"/>
      <c r="Q893" s="12"/>
      <c r="R893" s="12"/>
      <c r="S893" s="12"/>
      <c r="T893" s="12"/>
      <c r="U893" s="12"/>
      <c r="V893" s="12"/>
      <c r="W893" s="12"/>
      <c r="X893" s="12"/>
      <c r="Y893" s="12"/>
      <c r="Z893" s="12"/>
    </row>
    <row r="894" customFormat="false" ht="15.75" hidden="false" customHeight="true" outlineLevel="0" collapsed="false">
      <c r="A894" s="12"/>
      <c r="B894" s="12"/>
      <c r="C894" s="12"/>
      <c r="D894" s="12"/>
      <c r="E894" s="12"/>
      <c r="F894" s="12"/>
      <c r="G894" s="12"/>
      <c r="H894" s="12"/>
      <c r="I894" s="12"/>
      <c r="J894" s="12"/>
      <c r="K894" s="12"/>
      <c r="L894" s="12"/>
      <c r="M894" s="12"/>
      <c r="N894" s="12"/>
      <c r="O894" s="12"/>
      <c r="P894" s="12"/>
      <c r="Q894" s="12"/>
      <c r="R894" s="12"/>
      <c r="S894" s="12"/>
      <c r="T894" s="12"/>
      <c r="U894" s="12"/>
      <c r="V894" s="12"/>
      <c r="W894" s="12"/>
      <c r="X894" s="12"/>
      <c r="Y894" s="12"/>
      <c r="Z894" s="12"/>
    </row>
    <row r="895" customFormat="false" ht="15.75" hidden="false" customHeight="true" outlineLevel="0" collapsed="false">
      <c r="A895" s="12"/>
      <c r="B895" s="12"/>
      <c r="C895" s="12"/>
      <c r="D895" s="12"/>
      <c r="E895" s="12"/>
      <c r="F895" s="12"/>
      <c r="G895" s="12"/>
      <c r="H895" s="12"/>
      <c r="I895" s="12"/>
      <c r="J895" s="12"/>
      <c r="K895" s="12"/>
      <c r="L895" s="12"/>
      <c r="M895" s="12"/>
      <c r="N895" s="12"/>
      <c r="O895" s="12"/>
      <c r="P895" s="12"/>
      <c r="Q895" s="12"/>
      <c r="R895" s="12"/>
      <c r="S895" s="12"/>
      <c r="T895" s="12"/>
      <c r="U895" s="12"/>
      <c r="V895" s="12"/>
      <c r="W895" s="12"/>
      <c r="X895" s="12"/>
      <c r="Y895" s="12"/>
      <c r="Z895" s="12"/>
    </row>
    <row r="896" customFormat="false" ht="15.75" hidden="false" customHeight="true" outlineLevel="0" collapsed="false">
      <c r="A896" s="12"/>
      <c r="B896" s="12"/>
      <c r="C896" s="12"/>
      <c r="D896" s="12"/>
      <c r="E896" s="12"/>
      <c r="F896" s="12"/>
      <c r="G896" s="12"/>
      <c r="H896" s="12"/>
      <c r="I896" s="12"/>
      <c r="J896" s="12"/>
      <c r="K896" s="12"/>
      <c r="L896" s="12"/>
      <c r="M896" s="12"/>
      <c r="N896" s="12"/>
      <c r="O896" s="12"/>
      <c r="P896" s="12"/>
      <c r="Q896" s="12"/>
      <c r="R896" s="12"/>
      <c r="S896" s="12"/>
      <c r="T896" s="12"/>
      <c r="U896" s="12"/>
      <c r="V896" s="12"/>
      <c r="W896" s="12"/>
      <c r="X896" s="12"/>
      <c r="Y896" s="12"/>
      <c r="Z896" s="12"/>
    </row>
    <row r="897" customFormat="false" ht="15.75" hidden="false" customHeight="true" outlineLevel="0" collapsed="false">
      <c r="A897" s="12"/>
      <c r="B897" s="12"/>
      <c r="C897" s="12"/>
      <c r="D897" s="12"/>
      <c r="E897" s="12"/>
      <c r="F897" s="12"/>
      <c r="G897" s="12"/>
      <c r="H897" s="12"/>
      <c r="I897" s="12"/>
      <c r="J897" s="12"/>
      <c r="K897" s="12"/>
      <c r="L897" s="12"/>
      <c r="M897" s="12"/>
      <c r="N897" s="12"/>
      <c r="O897" s="12"/>
      <c r="P897" s="12"/>
      <c r="Q897" s="12"/>
      <c r="R897" s="12"/>
      <c r="S897" s="12"/>
      <c r="T897" s="12"/>
      <c r="U897" s="12"/>
      <c r="V897" s="12"/>
      <c r="W897" s="12"/>
      <c r="X897" s="12"/>
      <c r="Y897" s="12"/>
      <c r="Z897" s="12"/>
    </row>
    <row r="898" customFormat="false" ht="15.75" hidden="false" customHeight="true" outlineLevel="0" collapsed="false">
      <c r="A898" s="12"/>
      <c r="B898" s="12"/>
      <c r="C898" s="12"/>
      <c r="D898" s="12"/>
      <c r="E898" s="12"/>
      <c r="F898" s="12"/>
      <c r="G898" s="12"/>
      <c r="H898" s="12"/>
      <c r="I898" s="12"/>
      <c r="J898" s="12"/>
      <c r="K898" s="12"/>
      <c r="L898" s="12"/>
      <c r="M898" s="12"/>
      <c r="N898" s="12"/>
      <c r="O898" s="12"/>
      <c r="P898" s="12"/>
      <c r="Q898" s="12"/>
      <c r="R898" s="12"/>
      <c r="S898" s="12"/>
      <c r="T898" s="12"/>
      <c r="U898" s="12"/>
      <c r="V898" s="12"/>
      <c r="W898" s="12"/>
      <c r="X898" s="12"/>
      <c r="Y898" s="12"/>
      <c r="Z898" s="12"/>
    </row>
    <row r="899" customFormat="false" ht="15.75" hidden="false" customHeight="true" outlineLevel="0" collapsed="false">
      <c r="A899" s="12"/>
      <c r="B899" s="12"/>
      <c r="C899" s="12"/>
      <c r="D899" s="12"/>
      <c r="E899" s="12"/>
      <c r="F899" s="12"/>
      <c r="G899" s="12"/>
      <c r="H899" s="12"/>
      <c r="I899" s="12"/>
      <c r="J899" s="12"/>
      <c r="K899" s="12"/>
      <c r="L899" s="12"/>
      <c r="M899" s="12"/>
      <c r="N899" s="12"/>
      <c r="O899" s="12"/>
      <c r="P899" s="12"/>
      <c r="Q899" s="12"/>
      <c r="R899" s="12"/>
      <c r="S899" s="12"/>
      <c r="T899" s="12"/>
      <c r="U899" s="12"/>
      <c r="V899" s="12"/>
      <c r="W899" s="12"/>
      <c r="X899" s="12"/>
      <c r="Y899" s="12"/>
      <c r="Z899" s="12"/>
    </row>
    <row r="900" customFormat="false" ht="15.75" hidden="false" customHeight="true" outlineLevel="0" collapsed="false">
      <c r="A900" s="12"/>
      <c r="B900" s="12"/>
      <c r="C900" s="12"/>
      <c r="D900" s="12"/>
      <c r="E900" s="12"/>
      <c r="F900" s="12"/>
      <c r="G900" s="12"/>
      <c r="H900" s="12"/>
      <c r="I900" s="12"/>
      <c r="J900" s="12"/>
      <c r="K900" s="12"/>
      <c r="L900" s="12"/>
      <c r="M900" s="12"/>
      <c r="N900" s="12"/>
      <c r="O900" s="12"/>
      <c r="P900" s="12"/>
      <c r="Q900" s="12"/>
      <c r="R900" s="12"/>
      <c r="S900" s="12"/>
      <c r="T900" s="12"/>
      <c r="U900" s="12"/>
      <c r="V900" s="12"/>
      <c r="W900" s="12"/>
      <c r="X900" s="12"/>
      <c r="Y900" s="12"/>
      <c r="Z900" s="12"/>
    </row>
    <row r="901" customFormat="false" ht="15.75" hidden="false" customHeight="true" outlineLevel="0" collapsed="false">
      <c r="A901" s="12"/>
      <c r="B901" s="12"/>
      <c r="C901" s="12"/>
      <c r="D901" s="12"/>
      <c r="E901" s="12"/>
      <c r="F901" s="12"/>
      <c r="G901" s="12"/>
      <c r="H901" s="12"/>
      <c r="I901" s="12"/>
      <c r="J901" s="12"/>
      <c r="K901" s="12"/>
      <c r="L901" s="12"/>
      <c r="M901" s="12"/>
      <c r="N901" s="12"/>
      <c r="O901" s="12"/>
      <c r="P901" s="12"/>
      <c r="Q901" s="12"/>
      <c r="R901" s="12"/>
      <c r="S901" s="12"/>
      <c r="T901" s="12"/>
      <c r="U901" s="12"/>
      <c r="V901" s="12"/>
      <c r="W901" s="12"/>
      <c r="X901" s="12"/>
      <c r="Y901" s="12"/>
      <c r="Z901" s="12"/>
    </row>
    <row r="902" customFormat="false" ht="15.75" hidden="false" customHeight="true" outlineLevel="0" collapsed="false">
      <c r="A902" s="12"/>
      <c r="B902" s="12"/>
      <c r="C902" s="12"/>
      <c r="D902" s="12"/>
      <c r="E902" s="12"/>
      <c r="F902" s="12"/>
      <c r="G902" s="12"/>
      <c r="H902" s="12"/>
      <c r="I902" s="12"/>
      <c r="J902" s="12"/>
      <c r="K902" s="12"/>
      <c r="L902" s="12"/>
      <c r="M902" s="12"/>
      <c r="N902" s="12"/>
      <c r="O902" s="12"/>
      <c r="P902" s="12"/>
      <c r="Q902" s="12"/>
      <c r="R902" s="12"/>
      <c r="S902" s="12"/>
      <c r="T902" s="12"/>
      <c r="U902" s="12"/>
      <c r="V902" s="12"/>
      <c r="W902" s="12"/>
      <c r="X902" s="12"/>
      <c r="Y902" s="12"/>
      <c r="Z902" s="12"/>
    </row>
    <row r="903" customFormat="false" ht="15.75" hidden="false" customHeight="true" outlineLevel="0" collapsed="false">
      <c r="A903" s="12"/>
      <c r="B903" s="12"/>
      <c r="C903" s="12"/>
      <c r="D903" s="12"/>
      <c r="E903" s="12"/>
      <c r="F903" s="12"/>
      <c r="G903" s="12"/>
      <c r="H903" s="12"/>
      <c r="I903" s="12"/>
      <c r="J903" s="12"/>
      <c r="K903" s="12"/>
      <c r="L903" s="12"/>
      <c r="M903" s="12"/>
      <c r="N903" s="12"/>
      <c r="O903" s="12"/>
      <c r="P903" s="12"/>
      <c r="Q903" s="12"/>
      <c r="R903" s="12"/>
      <c r="S903" s="12"/>
      <c r="T903" s="12"/>
      <c r="U903" s="12"/>
      <c r="V903" s="12"/>
      <c r="W903" s="12"/>
      <c r="X903" s="12"/>
      <c r="Y903" s="12"/>
      <c r="Z903" s="12"/>
    </row>
    <row r="904" customFormat="false" ht="15.75" hidden="false" customHeight="true" outlineLevel="0" collapsed="false">
      <c r="A904" s="12"/>
      <c r="B904" s="12"/>
      <c r="C904" s="12"/>
      <c r="D904" s="12"/>
      <c r="E904" s="12"/>
      <c r="F904" s="12"/>
      <c r="G904" s="12"/>
      <c r="H904" s="12"/>
      <c r="I904" s="12"/>
      <c r="J904" s="12"/>
      <c r="K904" s="12"/>
      <c r="L904" s="12"/>
      <c r="M904" s="12"/>
      <c r="N904" s="12"/>
      <c r="O904" s="12"/>
      <c r="P904" s="12"/>
      <c r="Q904" s="12"/>
      <c r="R904" s="12"/>
      <c r="S904" s="12"/>
      <c r="T904" s="12"/>
      <c r="U904" s="12"/>
      <c r="V904" s="12"/>
      <c r="W904" s="12"/>
      <c r="X904" s="12"/>
      <c r="Y904" s="12"/>
      <c r="Z904" s="12"/>
    </row>
    <row r="905" customFormat="false" ht="15.75" hidden="false" customHeight="true" outlineLevel="0" collapsed="false">
      <c r="A905" s="12"/>
      <c r="B905" s="12"/>
      <c r="C905" s="12"/>
      <c r="D905" s="12"/>
      <c r="E905" s="12"/>
      <c r="F905" s="12"/>
      <c r="G905" s="12"/>
      <c r="H905" s="12"/>
      <c r="I905" s="12"/>
      <c r="J905" s="12"/>
      <c r="K905" s="12"/>
      <c r="L905" s="12"/>
      <c r="M905" s="12"/>
      <c r="N905" s="12"/>
      <c r="O905" s="12"/>
      <c r="P905" s="12"/>
      <c r="Q905" s="12"/>
      <c r="R905" s="12"/>
      <c r="S905" s="12"/>
      <c r="T905" s="12"/>
      <c r="U905" s="12"/>
      <c r="V905" s="12"/>
      <c r="W905" s="12"/>
      <c r="X905" s="12"/>
      <c r="Y905" s="12"/>
      <c r="Z905" s="12"/>
    </row>
    <row r="906" customFormat="false" ht="15.75" hidden="false" customHeight="true" outlineLevel="0" collapsed="false">
      <c r="A906" s="12"/>
      <c r="B906" s="12"/>
      <c r="C906" s="12"/>
      <c r="D906" s="12"/>
      <c r="E906" s="12"/>
      <c r="F906" s="12"/>
      <c r="G906" s="12"/>
      <c r="H906" s="12"/>
      <c r="I906" s="12"/>
      <c r="J906" s="12"/>
      <c r="K906" s="12"/>
      <c r="L906" s="12"/>
      <c r="M906" s="12"/>
      <c r="N906" s="12"/>
      <c r="O906" s="12"/>
      <c r="P906" s="12"/>
      <c r="Q906" s="12"/>
      <c r="R906" s="12"/>
      <c r="S906" s="12"/>
      <c r="T906" s="12"/>
      <c r="U906" s="12"/>
      <c r="V906" s="12"/>
      <c r="W906" s="12"/>
      <c r="X906" s="12"/>
      <c r="Y906" s="12"/>
      <c r="Z906" s="12"/>
    </row>
    <row r="907" customFormat="false" ht="15.75" hidden="false" customHeight="true" outlineLevel="0" collapsed="false">
      <c r="A907" s="12"/>
      <c r="B907" s="12"/>
      <c r="C907" s="12"/>
      <c r="D907" s="12"/>
      <c r="E907" s="12"/>
      <c r="F907" s="12"/>
      <c r="G907" s="12"/>
      <c r="H907" s="12"/>
      <c r="I907" s="12"/>
      <c r="J907" s="12"/>
      <c r="K907" s="12"/>
      <c r="L907" s="12"/>
      <c r="M907" s="12"/>
      <c r="N907" s="12"/>
      <c r="O907" s="12"/>
      <c r="P907" s="12"/>
      <c r="Q907" s="12"/>
      <c r="R907" s="12"/>
      <c r="S907" s="12"/>
      <c r="T907" s="12"/>
      <c r="U907" s="12"/>
      <c r="V907" s="12"/>
      <c r="W907" s="12"/>
      <c r="X907" s="12"/>
      <c r="Y907" s="12"/>
      <c r="Z907" s="12"/>
    </row>
    <row r="908" customFormat="false" ht="15.75" hidden="false" customHeight="true" outlineLevel="0" collapsed="false">
      <c r="A908" s="12"/>
      <c r="B908" s="12"/>
      <c r="C908" s="12"/>
      <c r="D908" s="12"/>
      <c r="E908" s="12"/>
      <c r="F908" s="12"/>
      <c r="G908" s="12"/>
      <c r="H908" s="12"/>
      <c r="I908" s="12"/>
      <c r="J908" s="12"/>
      <c r="K908" s="12"/>
      <c r="L908" s="12"/>
      <c r="M908" s="12"/>
      <c r="N908" s="12"/>
      <c r="O908" s="12"/>
      <c r="P908" s="12"/>
      <c r="Q908" s="12"/>
      <c r="R908" s="12"/>
      <c r="S908" s="12"/>
      <c r="T908" s="12"/>
      <c r="U908" s="12"/>
      <c r="V908" s="12"/>
      <c r="W908" s="12"/>
      <c r="X908" s="12"/>
      <c r="Y908" s="12"/>
      <c r="Z908" s="12"/>
    </row>
    <row r="909" customFormat="false" ht="15.75" hidden="false" customHeight="true" outlineLevel="0" collapsed="false">
      <c r="A909" s="12"/>
      <c r="B909" s="12"/>
      <c r="C909" s="12"/>
      <c r="D909" s="12"/>
      <c r="E909" s="12"/>
      <c r="F909" s="12"/>
      <c r="G909" s="12"/>
      <c r="H909" s="12"/>
      <c r="I909" s="12"/>
      <c r="J909" s="12"/>
      <c r="K909" s="12"/>
      <c r="L909" s="12"/>
      <c r="M909" s="12"/>
      <c r="N909" s="12"/>
      <c r="O909" s="12"/>
      <c r="P909" s="12"/>
      <c r="Q909" s="12"/>
      <c r="R909" s="12"/>
      <c r="S909" s="12"/>
      <c r="T909" s="12"/>
      <c r="U909" s="12"/>
      <c r="V909" s="12"/>
      <c r="W909" s="12"/>
      <c r="X909" s="12"/>
      <c r="Y909" s="12"/>
      <c r="Z909" s="12"/>
    </row>
    <row r="910" customFormat="false" ht="15.75" hidden="false" customHeight="true" outlineLevel="0" collapsed="false">
      <c r="A910" s="12"/>
      <c r="B910" s="12"/>
      <c r="C910" s="12"/>
      <c r="D910" s="12"/>
      <c r="E910" s="12"/>
      <c r="F910" s="12"/>
      <c r="G910" s="12"/>
      <c r="H910" s="12"/>
      <c r="I910" s="12"/>
      <c r="J910" s="12"/>
      <c r="K910" s="12"/>
      <c r="L910" s="12"/>
      <c r="M910" s="12"/>
      <c r="N910" s="12"/>
      <c r="O910" s="12"/>
      <c r="P910" s="12"/>
      <c r="Q910" s="12"/>
      <c r="R910" s="12"/>
      <c r="S910" s="12"/>
      <c r="T910" s="12"/>
      <c r="U910" s="12"/>
      <c r="V910" s="12"/>
      <c r="W910" s="12"/>
      <c r="X910" s="12"/>
      <c r="Y910" s="12"/>
      <c r="Z910" s="12"/>
    </row>
    <row r="911" customFormat="false" ht="15.75" hidden="false" customHeight="true" outlineLevel="0" collapsed="false">
      <c r="A911" s="12"/>
      <c r="B911" s="12"/>
      <c r="C911" s="12"/>
      <c r="D911" s="12"/>
      <c r="E911" s="12"/>
      <c r="F911" s="12"/>
      <c r="G911" s="12"/>
      <c r="H911" s="12"/>
      <c r="I911" s="12"/>
      <c r="J911" s="12"/>
      <c r="K911" s="12"/>
      <c r="L911" s="12"/>
      <c r="M911" s="12"/>
      <c r="N911" s="12"/>
      <c r="O911" s="12"/>
      <c r="P911" s="12"/>
      <c r="Q911" s="12"/>
      <c r="R911" s="12"/>
      <c r="S911" s="12"/>
      <c r="T911" s="12"/>
      <c r="U911" s="12"/>
      <c r="V911" s="12"/>
      <c r="W911" s="12"/>
      <c r="X911" s="12"/>
      <c r="Y911" s="12"/>
      <c r="Z911" s="12"/>
    </row>
    <row r="912" customFormat="false" ht="15.75" hidden="false" customHeight="true" outlineLevel="0" collapsed="false">
      <c r="A912" s="12"/>
      <c r="B912" s="12"/>
      <c r="C912" s="12"/>
      <c r="D912" s="12"/>
      <c r="E912" s="12"/>
      <c r="F912" s="12"/>
      <c r="G912" s="12"/>
      <c r="H912" s="12"/>
      <c r="I912" s="12"/>
      <c r="J912" s="12"/>
      <c r="K912" s="12"/>
      <c r="L912" s="12"/>
      <c r="M912" s="12"/>
      <c r="N912" s="12"/>
      <c r="O912" s="12"/>
      <c r="P912" s="12"/>
      <c r="Q912" s="12"/>
      <c r="R912" s="12"/>
      <c r="S912" s="12"/>
      <c r="T912" s="12"/>
      <c r="U912" s="12"/>
      <c r="V912" s="12"/>
      <c r="W912" s="12"/>
      <c r="X912" s="12"/>
      <c r="Y912" s="12"/>
      <c r="Z912" s="12"/>
    </row>
    <row r="913" customFormat="false" ht="15.75" hidden="false" customHeight="true" outlineLevel="0" collapsed="false">
      <c r="A913" s="12"/>
      <c r="B913" s="12"/>
      <c r="C913" s="12"/>
      <c r="D913" s="12"/>
      <c r="E913" s="12"/>
      <c r="F913" s="12"/>
      <c r="G913" s="12"/>
      <c r="H913" s="12"/>
      <c r="I913" s="12"/>
      <c r="J913" s="12"/>
      <c r="K913" s="12"/>
      <c r="L913" s="12"/>
      <c r="M913" s="12"/>
      <c r="N913" s="12"/>
      <c r="O913" s="12"/>
      <c r="P913" s="12"/>
      <c r="Q913" s="12"/>
      <c r="R913" s="12"/>
      <c r="S913" s="12"/>
      <c r="T913" s="12"/>
      <c r="U913" s="12"/>
      <c r="V913" s="12"/>
      <c r="W913" s="12"/>
      <c r="X913" s="12"/>
      <c r="Y913" s="12"/>
      <c r="Z913" s="12"/>
    </row>
    <row r="914" customFormat="false" ht="15.75" hidden="false" customHeight="true" outlineLevel="0" collapsed="false">
      <c r="A914" s="12"/>
      <c r="B914" s="12"/>
      <c r="C914" s="12"/>
      <c r="D914" s="12"/>
      <c r="E914" s="12"/>
      <c r="F914" s="12"/>
      <c r="G914" s="12"/>
      <c r="H914" s="12"/>
      <c r="I914" s="12"/>
      <c r="J914" s="12"/>
      <c r="K914" s="12"/>
      <c r="L914" s="12"/>
      <c r="M914" s="12"/>
      <c r="N914" s="12"/>
      <c r="O914" s="12"/>
      <c r="P914" s="12"/>
      <c r="Q914" s="12"/>
      <c r="R914" s="12"/>
      <c r="S914" s="12"/>
      <c r="T914" s="12"/>
      <c r="U914" s="12"/>
      <c r="V914" s="12"/>
      <c r="W914" s="12"/>
      <c r="X914" s="12"/>
      <c r="Y914" s="12"/>
      <c r="Z914" s="12"/>
    </row>
    <row r="915" customFormat="false" ht="15.75" hidden="false" customHeight="true" outlineLevel="0" collapsed="false">
      <c r="A915" s="12"/>
      <c r="B915" s="12"/>
      <c r="C915" s="12"/>
      <c r="D915" s="12"/>
      <c r="E915" s="12"/>
      <c r="F915" s="12"/>
      <c r="G915" s="12"/>
      <c r="H915" s="12"/>
      <c r="I915" s="12"/>
      <c r="J915" s="12"/>
      <c r="K915" s="12"/>
      <c r="L915" s="12"/>
      <c r="M915" s="12"/>
      <c r="N915" s="12"/>
      <c r="O915" s="12"/>
      <c r="P915" s="12"/>
      <c r="Q915" s="12"/>
      <c r="R915" s="12"/>
      <c r="S915" s="12"/>
      <c r="T915" s="12"/>
      <c r="U915" s="12"/>
      <c r="V915" s="12"/>
      <c r="W915" s="12"/>
      <c r="X915" s="12"/>
      <c r="Y915" s="12"/>
      <c r="Z915" s="12"/>
    </row>
    <row r="916" customFormat="false" ht="15.75" hidden="false" customHeight="true" outlineLevel="0" collapsed="false">
      <c r="A916" s="12"/>
      <c r="B916" s="12"/>
      <c r="C916" s="12"/>
      <c r="D916" s="12"/>
      <c r="E916" s="12"/>
      <c r="F916" s="12"/>
      <c r="G916" s="12"/>
      <c r="H916" s="12"/>
      <c r="I916" s="12"/>
      <c r="J916" s="12"/>
      <c r="K916" s="12"/>
      <c r="L916" s="12"/>
      <c r="M916" s="12"/>
      <c r="N916" s="12"/>
      <c r="O916" s="12"/>
      <c r="P916" s="12"/>
      <c r="Q916" s="12"/>
      <c r="R916" s="12"/>
      <c r="S916" s="12"/>
      <c r="T916" s="12"/>
      <c r="U916" s="12"/>
      <c r="V916" s="12"/>
      <c r="W916" s="12"/>
      <c r="X916" s="12"/>
      <c r="Y916" s="12"/>
      <c r="Z916" s="12"/>
    </row>
    <row r="917" customFormat="false" ht="15.75" hidden="false" customHeight="true" outlineLevel="0" collapsed="false">
      <c r="A917" s="12"/>
      <c r="B917" s="12"/>
      <c r="C917" s="12"/>
      <c r="D917" s="12"/>
      <c r="E917" s="12"/>
      <c r="F917" s="12"/>
      <c r="G917" s="12"/>
      <c r="H917" s="12"/>
      <c r="I917" s="12"/>
      <c r="J917" s="12"/>
      <c r="K917" s="12"/>
      <c r="L917" s="12"/>
      <c r="M917" s="12"/>
      <c r="N917" s="12"/>
      <c r="O917" s="12"/>
      <c r="P917" s="12"/>
      <c r="Q917" s="12"/>
      <c r="R917" s="12"/>
      <c r="S917" s="12"/>
      <c r="T917" s="12"/>
      <c r="U917" s="12"/>
      <c r="V917" s="12"/>
      <c r="W917" s="12"/>
      <c r="X917" s="12"/>
      <c r="Y917" s="12"/>
      <c r="Z917" s="12"/>
    </row>
    <row r="918" customFormat="false" ht="15.75" hidden="false" customHeight="true" outlineLevel="0" collapsed="false">
      <c r="A918" s="12"/>
      <c r="B918" s="12"/>
      <c r="C918" s="12"/>
      <c r="D918" s="12"/>
      <c r="E918" s="12"/>
      <c r="F918" s="12"/>
      <c r="G918" s="12"/>
      <c r="H918" s="12"/>
      <c r="I918" s="12"/>
      <c r="J918" s="12"/>
      <c r="K918" s="12"/>
      <c r="L918" s="12"/>
      <c r="M918" s="12"/>
      <c r="N918" s="12"/>
      <c r="O918" s="12"/>
      <c r="P918" s="12"/>
      <c r="Q918" s="12"/>
      <c r="R918" s="12"/>
      <c r="S918" s="12"/>
      <c r="T918" s="12"/>
      <c r="U918" s="12"/>
      <c r="V918" s="12"/>
      <c r="W918" s="12"/>
      <c r="X918" s="12"/>
      <c r="Y918" s="12"/>
      <c r="Z918" s="12"/>
    </row>
    <row r="919" customFormat="false" ht="15.75" hidden="false" customHeight="true" outlineLevel="0" collapsed="false">
      <c r="A919" s="12"/>
      <c r="B919" s="12"/>
      <c r="C919" s="12"/>
      <c r="D919" s="12"/>
      <c r="E919" s="12"/>
      <c r="F919" s="12"/>
      <c r="G919" s="12"/>
      <c r="H919" s="12"/>
      <c r="I919" s="12"/>
      <c r="J919" s="12"/>
      <c r="K919" s="12"/>
      <c r="L919" s="12"/>
      <c r="M919" s="12"/>
      <c r="N919" s="12"/>
      <c r="O919" s="12"/>
      <c r="P919" s="12"/>
      <c r="Q919" s="12"/>
      <c r="R919" s="12"/>
      <c r="S919" s="12"/>
      <c r="T919" s="12"/>
      <c r="U919" s="12"/>
      <c r="V919" s="12"/>
      <c r="W919" s="12"/>
      <c r="X919" s="12"/>
      <c r="Y919" s="12"/>
      <c r="Z919" s="12"/>
    </row>
    <row r="920" customFormat="false" ht="15.75" hidden="false" customHeight="true" outlineLevel="0" collapsed="false">
      <c r="A920" s="12"/>
      <c r="B920" s="12"/>
      <c r="C920" s="12"/>
      <c r="D920" s="12"/>
      <c r="E920" s="12"/>
      <c r="F920" s="12"/>
      <c r="G920" s="12"/>
      <c r="H920" s="12"/>
      <c r="I920" s="12"/>
      <c r="J920" s="12"/>
      <c r="K920" s="12"/>
      <c r="L920" s="12"/>
      <c r="M920" s="12"/>
      <c r="N920" s="12"/>
      <c r="O920" s="12"/>
      <c r="P920" s="12"/>
      <c r="Q920" s="12"/>
      <c r="R920" s="12"/>
      <c r="S920" s="12"/>
      <c r="T920" s="12"/>
      <c r="U920" s="12"/>
      <c r="V920" s="12"/>
      <c r="W920" s="12"/>
      <c r="X920" s="12"/>
      <c r="Y920" s="12"/>
      <c r="Z920" s="12"/>
    </row>
    <row r="921" customFormat="false" ht="15.75" hidden="false" customHeight="true" outlineLevel="0" collapsed="false">
      <c r="A921" s="12"/>
      <c r="B921" s="12"/>
      <c r="C921" s="12"/>
      <c r="D921" s="12"/>
      <c r="E921" s="12"/>
      <c r="F921" s="12"/>
      <c r="G921" s="12"/>
      <c r="H921" s="12"/>
      <c r="I921" s="12"/>
      <c r="J921" s="12"/>
      <c r="K921" s="12"/>
      <c r="L921" s="12"/>
      <c r="M921" s="12"/>
      <c r="N921" s="12"/>
      <c r="O921" s="12"/>
      <c r="P921" s="12"/>
      <c r="Q921" s="12"/>
      <c r="R921" s="12"/>
      <c r="S921" s="12"/>
      <c r="T921" s="12"/>
      <c r="U921" s="12"/>
      <c r="V921" s="12"/>
      <c r="W921" s="12"/>
      <c r="X921" s="12"/>
      <c r="Y921" s="12"/>
      <c r="Z921" s="12"/>
    </row>
    <row r="922" customFormat="false" ht="15.75" hidden="false" customHeight="true" outlineLevel="0" collapsed="false">
      <c r="A922" s="12"/>
      <c r="B922" s="12"/>
      <c r="C922" s="12"/>
      <c r="D922" s="12"/>
      <c r="E922" s="12"/>
      <c r="F922" s="12"/>
      <c r="G922" s="12"/>
      <c r="H922" s="12"/>
      <c r="I922" s="12"/>
      <c r="J922" s="12"/>
      <c r="K922" s="12"/>
      <c r="L922" s="12"/>
      <c r="M922" s="12"/>
      <c r="N922" s="12"/>
      <c r="O922" s="12"/>
      <c r="P922" s="12"/>
      <c r="Q922" s="12"/>
      <c r="R922" s="12"/>
      <c r="S922" s="12"/>
      <c r="T922" s="12"/>
      <c r="U922" s="12"/>
      <c r="V922" s="12"/>
      <c r="W922" s="12"/>
      <c r="X922" s="12"/>
      <c r="Y922" s="12"/>
      <c r="Z922" s="12"/>
    </row>
    <row r="923" customFormat="false" ht="15.75" hidden="false" customHeight="true" outlineLevel="0" collapsed="false">
      <c r="A923" s="12"/>
      <c r="B923" s="12"/>
      <c r="C923" s="12"/>
      <c r="D923" s="12"/>
      <c r="E923" s="12"/>
      <c r="F923" s="12"/>
      <c r="G923" s="12"/>
      <c r="H923" s="12"/>
      <c r="I923" s="12"/>
      <c r="J923" s="12"/>
      <c r="K923" s="12"/>
      <c r="L923" s="12"/>
      <c r="M923" s="12"/>
      <c r="N923" s="12"/>
      <c r="O923" s="12"/>
      <c r="P923" s="12"/>
      <c r="Q923" s="12"/>
      <c r="R923" s="12"/>
      <c r="S923" s="12"/>
      <c r="T923" s="12"/>
      <c r="U923" s="12"/>
      <c r="V923" s="12"/>
      <c r="W923" s="12"/>
      <c r="X923" s="12"/>
      <c r="Y923" s="12"/>
      <c r="Z923" s="12"/>
    </row>
    <row r="924" customFormat="false" ht="15.75" hidden="false" customHeight="true" outlineLevel="0" collapsed="false">
      <c r="A924" s="12"/>
      <c r="B924" s="12"/>
      <c r="C924" s="12"/>
      <c r="D924" s="12"/>
      <c r="E924" s="12"/>
      <c r="F924" s="12"/>
      <c r="G924" s="12"/>
      <c r="H924" s="12"/>
      <c r="I924" s="12"/>
      <c r="J924" s="12"/>
      <c r="K924" s="12"/>
      <c r="L924" s="12"/>
      <c r="M924" s="12"/>
      <c r="N924" s="12"/>
      <c r="O924" s="12"/>
      <c r="P924" s="12"/>
      <c r="Q924" s="12"/>
      <c r="R924" s="12"/>
      <c r="S924" s="12"/>
      <c r="T924" s="12"/>
      <c r="U924" s="12"/>
      <c r="V924" s="12"/>
      <c r="W924" s="12"/>
      <c r="X924" s="12"/>
      <c r="Y924" s="12"/>
      <c r="Z924" s="12"/>
    </row>
    <row r="925" customFormat="false" ht="15.75" hidden="false" customHeight="true" outlineLevel="0" collapsed="false">
      <c r="A925" s="12"/>
      <c r="B925" s="12"/>
      <c r="C925" s="12"/>
      <c r="D925" s="12"/>
      <c r="E925" s="12"/>
      <c r="F925" s="12"/>
      <c r="G925" s="12"/>
      <c r="H925" s="12"/>
      <c r="I925" s="12"/>
      <c r="J925" s="12"/>
      <c r="K925" s="12"/>
      <c r="L925" s="12"/>
      <c r="M925" s="12"/>
      <c r="N925" s="12"/>
      <c r="O925" s="12"/>
      <c r="P925" s="12"/>
      <c r="Q925" s="12"/>
      <c r="R925" s="12"/>
      <c r="S925" s="12"/>
      <c r="T925" s="12"/>
      <c r="U925" s="12"/>
      <c r="V925" s="12"/>
      <c r="W925" s="12"/>
      <c r="X925" s="12"/>
      <c r="Y925" s="12"/>
      <c r="Z925" s="12"/>
    </row>
    <row r="926" customFormat="false" ht="15.75" hidden="false" customHeight="true" outlineLevel="0" collapsed="false">
      <c r="A926" s="12"/>
      <c r="B926" s="12"/>
      <c r="C926" s="12"/>
      <c r="D926" s="12"/>
      <c r="E926" s="12"/>
      <c r="F926" s="12"/>
      <c r="G926" s="12"/>
      <c r="H926" s="12"/>
      <c r="I926" s="12"/>
      <c r="J926" s="12"/>
      <c r="K926" s="12"/>
      <c r="L926" s="12"/>
      <c r="M926" s="12"/>
      <c r="N926" s="12"/>
      <c r="O926" s="12"/>
      <c r="P926" s="12"/>
      <c r="Q926" s="12"/>
      <c r="R926" s="12"/>
      <c r="S926" s="12"/>
      <c r="T926" s="12"/>
      <c r="U926" s="12"/>
      <c r="V926" s="12"/>
      <c r="W926" s="12"/>
      <c r="X926" s="12"/>
      <c r="Y926" s="12"/>
      <c r="Z926" s="12"/>
    </row>
    <row r="927" customFormat="false" ht="15.75" hidden="false" customHeight="true" outlineLevel="0" collapsed="false">
      <c r="A927" s="12"/>
      <c r="B927" s="12"/>
      <c r="C927" s="12"/>
      <c r="D927" s="12"/>
      <c r="E927" s="12"/>
      <c r="F927" s="12"/>
      <c r="G927" s="12"/>
      <c r="H927" s="12"/>
      <c r="I927" s="12"/>
      <c r="J927" s="12"/>
      <c r="K927" s="12"/>
      <c r="L927" s="12"/>
      <c r="M927" s="12"/>
      <c r="N927" s="12"/>
      <c r="O927" s="12"/>
      <c r="P927" s="12"/>
      <c r="Q927" s="12"/>
      <c r="R927" s="12"/>
      <c r="S927" s="12"/>
      <c r="T927" s="12"/>
      <c r="U927" s="12"/>
      <c r="V927" s="12"/>
      <c r="W927" s="12"/>
      <c r="X927" s="12"/>
      <c r="Y927" s="12"/>
      <c r="Z927" s="12"/>
    </row>
    <row r="928" customFormat="false" ht="15.75" hidden="false" customHeight="true" outlineLevel="0" collapsed="false">
      <c r="A928" s="12"/>
      <c r="B928" s="12"/>
      <c r="C928" s="12"/>
      <c r="D928" s="12"/>
      <c r="E928" s="12"/>
      <c r="F928" s="12"/>
      <c r="G928" s="12"/>
      <c r="H928" s="12"/>
      <c r="I928" s="12"/>
      <c r="J928" s="12"/>
      <c r="K928" s="12"/>
      <c r="L928" s="12"/>
      <c r="M928" s="12"/>
      <c r="N928" s="12"/>
      <c r="O928" s="12"/>
      <c r="P928" s="12"/>
      <c r="Q928" s="12"/>
      <c r="R928" s="12"/>
      <c r="S928" s="12"/>
      <c r="T928" s="12"/>
      <c r="U928" s="12"/>
      <c r="V928" s="12"/>
      <c r="W928" s="12"/>
      <c r="X928" s="12"/>
      <c r="Y928" s="12"/>
      <c r="Z928" s="12"/>
    </row>
    <row r="929" customFormat="false" ht="15.75" hidden="false" customHeight="true" outlineLevel="0" collapsed="false">
      <c r="A929" s="12"/>
      <c r="B929" s="12"/>
      <c r="C929" s="12"/>
      <c r="D929" s="12"/>
      <c r="E929" s="12"/>
      <c r="F929" s="12"/>
      <c r="G929" s="12"/>
      <c r="H929" s="12"/>
      <c r="I929" s="12"/>
      <c r="J929" s="12"/>
      <c r="K929" s="12"/>
      <c r="L929" s="12"/>
      <c r="M929" s="12"/>
      <c r="N929" s="12"/>
      <c r="O929" s="12"/>
      <c r="P929" s="12"/>
      <c r="Q929" s="12"/>
      <c r="R929" s="12"/>
      <c r="S929" s="12"/>
      <c r="T929" s="12"/>
      <c r="U929" s="12"/>
      <c r="V929" s="12"/>
      <c r="W929" s="12"/>
      <c r="X929" s="12"/>
      <c r="Y929" s="12"/>
      <c r="Z929" s="12"/>
    </row>
    <row r="930" customFormat="false" ht="15.75" hidden="false" customHeight="true" outlineLevel="0" collapsed="false">
      <c r="A930" s="12"/>
      <c r="B930" s="12"/>
      <c r="C930" s="12"/>
      <c r="D930" s="12"/>
      <c r="E930" s="12"/>
      <c r="F930" s="12"/>
      <c r="G930" s="12"/>
      <c r="H930" s="12"/>
      <c r="I930" s="12"/>
      <c r="J930" s="12"/>
      <c r="K930" s="12"/>
      <c r="L930" s="12"/>
      <c r="M930" s="12"/>
      <c r="N930" s="12"/>
      <c r="O930" s="12"/>
      <c r="P930" s="12"/>
      <c r="Q930" s="12"/>
      <c r="R930" s="12"/>
      <c r="S930" s="12"/>
      <c r="T930" s="12"/>
      <c r="U930" s="12"/>
      <c r="V930" s="12"/>
      <c r="W930" s="12"/>
      <c r="X930" s="12"/>
      <c r="Y930" s="12"/>
      <c r="Z930" s="12"/>
    </row>
    <row r="931" customFormat="false" ht="15.75" hidden="false" customHeight="true" outlineLevel="0" collapsed="false">
      <c r="A931" s="12"/>
      <c r="B931" s="12"/>
      <c r="C931" s="12"/>
      <c r="D931" s="12"/>
      <c r="E931" s="12"/>
      <c r="F931" s="12"/>
      <c r="G931" s="12"/>
      <c r="H931" s="12"/>
      <c r="I931" s="12"/>
      <c r="J931" s="12"/>
      <c r="K931" s="12"/>
      <c r="L931" s="12"/>
      <c r="M931" s="12"/>
      <c r="N931" s="12"/>
      <c r="O931" s="12"/>
      <c r="P931" s="12"/>
      <c r="Q931" s="12"/>
      <c r="R931" s="12"/>
      <c r="S931" s="12"/>
      <c r="T931" s="12"/>
      <c r="U931" s="12"/>
      <c r="V931" s="12"/>
      <c r="W931" s="12"/>
      <c r="X931" s="12"/>
      <c r="Y931" s="12"/>
      <c r="Z931" s="12"/>
    </row>
    <row r="932" customFormat="false" ht="15.75" hidden="false" customHeight="true" outlineLevel="0" collapsed="false">
      <c r="A932" s="12"/>
      <c r="B932" s="12"/>
      <c r="C932" s="12"/>
      <c r="D932" s="12"/>
      <c r="E932" s="12"/>
      <c r="F932" s="12"/>
      <c r="G932" s="12"/>
      <c r="H932" s="12"/>
      <c r="I932" s="12"/>
      <c r="J932" s="12"/>
      <c r="K932" s="12"/>
      <c r="L932" s="12"/>
      <c r="M932" s="12"/>
      <c r="N932" s="12"/>
      <c r="O932" s="12"/>
      <c r="P932" s="12"/>
      <c r="Q932" s="12"/>
      <c r="R932" s="12"/>
      <c r="S932" s="12"/>
      <c r="T932" s="12"/>
      <c r="U932" s="12"/>
      <c r="V932" s="12"/>
      <c r="W932" s="12"/>
      <c r="X932" s="12"/>
      <c r="Y932" s="12"/>
      <c r="Z932" s="12"/>
    </row>
    <row r="933" customFormat="false" ht="15.75" hidden="false" customHeight="true" outlineLevel="0" collapsed="false">
      <c r="A933" s="12"/>
      <c r="B933" s="12"/>
      <c r="C933" s="12"/>
      <c r="D933" s="12"/>
      <c r="E933" s="12"/>
      <c r="F933" s="12"/>
      <c r="G933" s="12"/>
      <c r="H933" s="12"/>
      <c r="I933" s="12"/>
      <c r="J933" s="12"/>
      <c r="K933" s="12"/>
      <c r="L933" s="12"/>
      <c r="M933" s="12"/>
      <c r="N933" s="12"/>
      <c r="O933" s="12"/>
      <c r="P933" s="12"/>
      <c r="Q933" s="12"/>
      <c r="R933" s="12"/>
      <c r="S933" s="12"/>
      <c r="T933" s="12"/>
      <c r="U933" s="12"/>
      <c r="V933" s="12"/>
      <c r="W933" s="12"/>
      <c r="X933" s="12"/>
      <c r="Y933" s="12"/>
      <c r="Z933" s="12"/>
    </row>
    <row r="934" customFormat="false" ht="15.75" hidden="false" customHeight="true" outlineLevel="0" collapsed="false">
      <c r="A934" s="12"/>
      <c r="B934" s="12"/>
      <c r="C934" s="12"/>
      <c r="D934" s="12"/>
      <c r="E934" s="12"/>
      <c r="F934" s="12"/>
      <c r="G934" s="12"/>
      <c r="H934" s="12"/>
      <c r="I934" s="12"/>
      <c r="J934" s="12"/>
      <c r="K934" s="12"/>
      <c r="L934" s="12"/>
      <c r="M934" s="12"/>
      <c r="N934" s="12"/>
      <c r="O934" s="12"/>
      <c r="P934" s="12"/>
      <c r="Q934" s="12"/>
      <c r="R934" s="12"/>
      <c r="S934" s="12"/>
      <c r="T934" s="12"/>
      <c r="U934" s="12"/>
      <c r="V934" s="12"/>
      <c r="W934" s="12"/>
      <c r="X934" s="12"/>
      <c r="Y934" s="12"/>
      <c r="Z934" s="12"/>
    </row>
    <row r="935" customFormat="false" ht="15.75" hidden="false" customHeight="true" outlineLevel="0" collapsed="false">
      <c r="A935" s="12"/>
      <c r="B935" s="12"/>
      <c r="C935" s="12"/>
      <c r="D935" s="12"/>
      <c r="E935" s="12"/>
      <c r="F935" s="12"/>
      <c r="G935" s="12"/>
      <c r="H935" s="12"/>
      <c r="I935" s="12"/>
      <c r="J935" s="12"/>
      <c r="K935" s="12"/>
      <c r="L935" s="12"/>
      <c r="M935" s="12"/>
      <c r="N935" s="12"/>
      <c r="O935" s="12"/>
      <c r="P935" s="12"/>
      <c r="Q935" s="12"/>
      <c r="R935" s="12"/>
      <c r="S935" s="12"/>
      <c r="T935" s="12"/>
      <c r="U935" s="12"/>
      <c r="V935" s="12"/>
      <c r="W935" s="12"/>
      <c r="X935" s="12"/>
      <c r="Y935" s="12"/>
      <c r="Z935" s="12"/>
    </row>
    <row r="936" customFormat="false" ht="15.75" hidden="false" customHeight="true" outlineLevel="0" collapsed="false">
      <c r="A936" s="12"/>
      <c r="B936" s="12"/>
      <c r="C936" s="12"/>
      <c r="D936" s="12"/>
      <c r="E936" s="12"/>
      <c r="F936" s="12"/>
      <c r="G936" s="12"/>
      <c r="H936" s="12"/>
      <c r="I936" s="12"/>
      <c r="J936" s="12"/>
      <c r="K936" s="12"/>
      <c r="L936" s="12"/>
      <c r="M936" s="12"/>
      <c r="N936" s="12"/>
      <c r="O936" s="12"/>
      <c r="P936" s="12"/>
      <c r="Q936" s="12"/>
      <c r="R936" s="12"/>
      <c r="S936" s="12"/>
      <c r="T936" s="12"/>
      <c r="U936" s="12"/>
      <c r="V936" s="12"/>
      <c r="W936" s="12"/>
      <c r="X936" s="12"/>
      <c r="Y936" s="12"/>
      <c r="Z936" s="12"/>
    </row>
    <row r="937" customFormat="false" ht="15.75" hidden="false" customHeight="true" outlineLevel="0" collapsed="false">
      <c r="A937" s="12"/>
      <c r="B937" s="12"/>
      <c r="C937" s="12"/>
      <c r="D937" s="12"/>
      <c r="E937" s="12"/>
      <c r="F937" s="12"/>
      <c r="G937" s="12"/>
      <c r="H937" s="12"/>
      <c r="I937" s="12"/>
      <c r="J937" s="12"/>
      <c r="K937" s="12"/>
      <c r="L937" s="12"/>
      <c r="M937" s="12"/>
      <c r="N937" s="12"/>
      <c r="O937" s="12"/>
      <c r="P937" s="12"/>
      <c r="Q937" s="12"/>
      <c r="R937" s="12"/>
      <c r="S937" s="12"/>
      <c r="T937" s="12"/>
      <c r="U937" s="12"/>
      <c r="V937" s="12"/>
      <c r="W937" s="12"/>
      <c r="X937" s="12"/>
      <c r="Y937" s="12"/>
      <c r="Z937" s="12"/>
    </row>
    <row r="938" customFormat="false" ht="15.75" hidden="false" customHeight="true" outlineLevel="0" collapsed="false">
      <c r="A938" s="12"/>
      <c r="B938" s="12"/>
      <c r="C938" s="12"/>
      <c r="D938" s="12"/>
      <c r="E938" s="12"/>
      <c r="F938" s="12"/>
      <c r="G938" s="12"/>
      <c r="H938" s="12"/>
      <c r="I938" s="12"/>
      <c r="J938" s="12"/>
      <c r="K938" s="12"/>
      <c r="L938" s="12"/>
      <c r="M938" s="12"/>
      <c r="N938" s="12"/>
      <c r="O938" s="12"/>
      <c r="P938" s="12"/>
      <c r="Q938" s="12"/>
      <c r="R938" s="12"/>
      <c r="S938" s="12"/>
      <c r="T938" s="12"/>
      <c r="U938" s="12"/>
      <c r="V938" s="12"/>
      <c r="W938" s="12"/>
      <c r="X938" s="12"/>
      <c r="Y938" s="12"/>
      <c r="Z938" s="12"/>
    </row>
    <row r="939" customFormat="false" ht="15.75" hidden="false" customHeight="true" outlineLevel="0" collapsed="false">
      <c r="A939" s="12"/>
      <c r="B939" s="12"/>
      <c r="C939" s="12"/>
      <c r="D939" s="12"/>
      <c r="E939" s="12"/>
      <c r="F939" s="12"/>
      <c r="G939" s="12"/>
      <c r="H939" s="12"/>
      <c r="I939" s="12"/>
      <c r="J939" s="12"/>
      <c r="K939" s="12"/>
      <c r="L939" s="12"/>
      <c r="M939" s="12"/>
      <c r="N939" s="12"/>
      <c r="O939" s="12"/>
      <c r="P939" s="12"/>
      <c r="Q939" s="12"/>
      <c r="R939" s="12"/>
      <c r="S939" s="12"/>
      <c r="T939" s="12"/>
      <c r="U939" s="12"/>
      <c r="V939" s="12"/>
      <c r="W939" s="12"/>
      <c r="X939" s="12"/>
      <c r="Y939" s="12"/>
      <c r="Z939" s="12"/>
    </row>
    <row r="940" customFormat="false" ht="15.75" hidden="false" customHeight="true" outlineLevel="0" collapsed="false">
      <c r="A940" s="12"/>
      <c r="B940" s="12"/>
      <c r="C940" s="12"/>
      <c r="D940" s="12"/>
      <c r="E940" s="12"/>
      <c r="F940" s="12"/>
      <c r="G940" s="12"/>
      <c r="H940" s="12"/>
      <c r="I940" s="12"/>
      <c r="J940" s="12"/>
      <c r="K940" s="12"/>
      <c r="L940" s="12"/>
      <c r="M940" s="12"/>
      <c r="N940" s="12"/>
      <c r="O940" s="12"/>
      <c r="P940" s="12"/>
      <c r="Q940" s="12"/>
      <c r="R940" s="12"/>
      <c r="S940" s="12"/>
      <c r="T940" s="12"/>
      <c r="U940" s="12"/>
      <c r="V940" s="12"/>
      <c r="W940" s="12"/>
      <c r="X940" s="12"/>
      <c r="Y940" s="12"/>
      <c r="Z940" s="12"/>
    </row>
    <row r="941" customFormat="false" ht="15.75" hidden="false" customHeight="true" outlineLevel="0" collapsed="false">
      <c r="A941" s="12"/>
      <c r="B941" s="12"/>
      <c r="C941" s="12"/>
      <c r="D941" s="12"/>
      <c r="E941" s="12"/>
      <c r="F941" s="12"/>
      <c r="G941" s="12"/>
      <c r="H941" s="12"/>
      <c r="I941" s="12"/>
      <c r="J941" s="12"/>
      <c r="K941" s="12"/>
      <c r="L941" s="12"/>
      <c r="M941" s="12"/>
      <c r="N941" s="12"/>
      <c r="O941" s="12"/>
      <c r="P941" s="12"/>
      <c r="Q941" s="12"/>
      <c r="R941" s="12"/>
      <c r="S941" s="12"/>
      <c r="T941" s="12"/>
      <c r="U941" s="12"/>
      <c r="V941" s="12"/>
      <c r="W941" s="12"/>
      <c r="X941" s="12"/>
      <c r="Y941" s="12"/>
      <c r="Z941" s="12"/>
    </row>
    <row r="942" customFormat="false" ht="15.75" hidden="false" customHeight="true" outlineLevel="0" collapsed="false">
      <c r="A942" s="12"/>
      <c r="B942" s="12"/>
      <c r="C942" s="12"/>
      <c r="D942" s="12"/>
      <c r="E942" s="12"/>
      <c r="F942" s="12"/>
      <c r="G942" s="12"/>
      <c r="H942" s="12"/>
      <c r="I942" s="12"/>
      <c r="J942" s="12"/>
      <c r="K942" s="12"/>
      <c r="L942" s="12"/>
      <c r="M942" s="12"/>
      <c r="N942" s="12"/>
      <c r="O942" s="12"/>
      <c r="P942" s="12"/>
      <c r="Q942" s="12"/>
      <c r="R942" s="12"/>
      <c r="S942" s="12"/>
      <c r="T942" s="12"/>
      <c r="U942" s="12"/>
      <c r="V942" s="12"/>
      <c r="W942" s="12"/>
      <c r="X942" s="12"/>
      <c r="Y942" s="12"/>
      <c r="Z942" s="12"/>
    </row>
    <row r="943" customFormat="false" ht="15.75" hidden="false" customHeight="true" outlineLevel="0" collapsed="false">
      <c r="A943" s="12"/>
      <c r="B943" s="12"/>
      <c r="C943" s="12"/>
      <c r="D943" s="12"/>
      <c r="E943" s="12"/>
      <c r="F943" s="12"/>
      <c r="G943" s="12"/>
      <c r="H943" s="12"/>
      <c r="I943" s="12"/>
      <c r="J943" s="12"/>
      <c r="K943" s="12"/>
      <c r="L943" s="12"/>
      <c r="M943" s="12"/>
      <c r="N943" s="12"/>
      <c r="O943" s="12"/>
      <c r="P943" s="12"/>
      <c r="Q943" s="12"/>
      <c r="R943" s="12"/>
      <c r="S943" s="12"/>
      <c r="T943" s="12"/>
      <c r="U943" s="12"/>
      <c r="V943" s="12"/>
      <c r="W943" s="12"/>
      <c r="X943" s="12"/>
      <c r="Y943" s="12"/>
      <c r="Z943" s="12"/>
    </row>
    <row r="944" customFormat="false" ht="15.75" hidden="false" customHeight="true" outlineLevel="0" collapsed="false">
      <c r="A944" s="12"/>
      <c r="B944" s="12"/>
      <c r="C944" s="12"/>
      <c r="D944" s="12"/>
      <c r="E944" s="12"/>
      <c r="F944" s="12"/>
      <c r="G944" s="12"/>
      <c r="H944" s="12"/>
      <c r="I944" s="12"/>
      <c r="J944" s="12"/>
      <c r="K944" s="12"/>
      <c r="L944" s="12"/>
      <c r="M944" s="12"/>
      <c r="N944" s="12"/>
      <c r="O944" s="12"/>
      <c r="P944" s="12"/>
      <c r="Q944" s="12"/>
      <c r="R944" s="12"/>
      <c r="S944" s="12"/>
      <c r="T944" s="12"/>
      <c r="U944" s="12"/>
      <c r="V944" s="12"/>
      <c r="W944" s="12"/>
      <c r="X944" s="12"/>
      <c r="Y944" s="12"/>
      <c r="Z944" s="12"/>
    </row>
    <row r="945" customFormat="false" ht="15.75" hidden="false" customHeight="true" outlineLevel="0" collapsed="false">
      <c r="A945" s="12"/>
      <c r="B945" s="12"/>
      <c r="C945" s="12"/>
      <c r="D945" s="12"/>
      <c r="E945" s="12"/>
      <c r="F945" s="12"/>
      <c r="G945" s="12"/>
      <c r="H945" s="12"/>
      <c r="I945" s="12"/>
      <c r="J945" s="12"/>
      <c r="K945" s="12"/>
      <c r="L945" s="12"/>
      <c r="M945" s="12"/>
      <c r="N945" s="12"/>
      <c r="O945" s="12"/>
      <c r="P945" s="12"/>
      <c r="Q945" s="12"/>
      <c r="R945" s="12"/>
      <c r="S945" s="12"/>
      <c r="T945" s="12"/>
      <c r="U945" s="12"/>
      <c r="V945" s="12"/>
      <c r="W945" s="12"/>
      <c r="X945" s="12"/>
      <c r="Y945" s="12"/>
      <c r="Z945" s="12"/>
    </row>
    <row r="946" customFormat="false" ht="15.75" hidden="false" customHeight="true" outlineLevel="0" collapsed="false">
      <c r="A946" s="12"/>
      <c r="B946" s="12"/>
      <c r="C946" s="12"/>
      <c r="D946" s="12"/>
      <c r="E946" s="12"/>
      <c r="F946" s="12"/>
      <c r="G946" s="12"/>
      <c r="H946" s="12"/>
      <c r="I946" s="12"/>
      <c r="J946" s="12"/>
      <c r="K946" s="12"/>
      <c r="L946" s="12"/>
      <c r="M946" s="12"/>
      <c r="N946" s="12"/>
      <c r="O946" s="12"/>
      <c r="P946" s="12"/>
      <c r="Q946" s="12"/>
      <c r="R946" s="12"/>
      <c r="S946" s="12"/>
      <c r="T946" s="12"/>
      <c r="U946" s="12"/>
      <c r="V946" s="12"/>
      <c r="W946" s="12"/>
      <c r="X946" s="12"/>
      <c r="Y946" s="12"/>
      <c r="Z946" s="12"/>
    </row>
    <row r="947" customFormat="false" ht="15.75" hidden="false" customHeight="true" outlineLevel="0" collapsed="false">
      <c r="A947" s="12"/>
      <c r="B947" s="12"/>
      <c r="C947" s="12"/>
      <c r="D947" s="12"/>
      <c r="E947" s="12"/>
      <c r="F947" s="12"/>
      <c r="G947" s="12"/>
      <c r="H947" s="12"/>
      <c r="I947" s="12"/>
      <c r="J947" s="12"/>
      <c r="K947" s="12"/>
      <c r="L947" s="12"/>
      <c r="M947" s="12"/>
      <c r="N947" s="12"/>
      <c r="O947" s="12"/>
      <c r="P947" s="12"/>
      <c r="Q947" s="12"/>
      <c r="R947" s="12"/>
      <c r="S947" s="12"/>
      <c r="T947" s="12"/>
      <c r="U947" s="12"/>
      <c r="V947" s="12"/>
      <c r="W947" s="12"/>
      <c r="X947" s="12"/>
      <c r="Y947" s="12"/>
      <c r="Z947" s="12"/>
    </row>
    <row r="948" customFormat="false" ht="15.75" hidden="false" customHeight="true" outlineLevel="0" collapsed="false">
      <c r="A948" s="12"/>
      <c r="B948" s="12"/>
      <c r="C948" s="12"/>
      <c r="D948" s="12"/>
      <c r="E948" s="12"/>
      <c r="F948" s="12"/>
      <c r="G948" s="12"/>
      <c r="H948" s="12"/>
      <c r="I948" s="12"/>
      <c r="J948" s="12"/>
      <c r="K948" s="12"/>
      <c r="L948" s="12"/>
      <c r="M948" s="12"/>
      <c r="N948" s="12"/>
      <c r="O948" s="12"/>
      <c r="P948" s="12"/>
      <c r="Q948" s="12"/>
      <c r="R948" s="12"/>
      <c r="S948" s="12"/>
      <c r="T948" s="12"/>
      <c r="U948" s="12"/>
      <c r="V948" s="12"/>
      <c r="W948" s="12"/>
      <c r="X948" s="12"/>
      <c r="Y948" s="12"/>
      <c r="Z948" s="12"/>
    </row>
    <row r="949" customFormat="false" ht="15.75" hidden="false" customHeight="true" outlineLevel="0" collapsed="false">
      <c r="A949" s="12"/>
      <c r="B949" s="12"/>
      <c r="C949" s="12"/>
      <c r="D949" s="12"/>
      <c r="E949" s="12"/>
      <c r="F949" s="12"/>
      <c r="G949" s="12"/>
      <c r="H949" s="12"/>
      <c r="I949" s="12"/>
      <c r="J949" s="12"/>
      <c r="K949" s="12"/>
      <c r="L949" s="12"/>
      <c r="M949" s="12"/>
      <c r="N949" s="12"/>
      <c r="O949" s="12"/>
      <c r="P949" s="12"/>
      <c r="Q949" s="12"/>
      <c r="R949" s="12"/>
      <c r="S949" s="12"/>
      <c r="T949" s="12"/>
      <c r="U949" s="12"/>
      <c r="V949" s="12"/>
      <c r="W949" s="12"/>
      <c r="X949" s="12"/>
      <c r="Y949" s="12"/>
      <c r="Z949" s="12"/>
    </row>
    <row r="950" customFormat="false" ht="15.75" hidden="false" customHeight="true" outlineLevel="0" collapsed="false">
      <c r="A950" s="12"/>
      <c r="B950" s="12"/>
      <c r="C950" s="12"/>
      <c r="D950" s="12"/>
      <c r="E950" s="12"/>
      <c r="F950" s="12"/>
      <c r="G950" s="12"/>
      <c r="H950" s="12"/>
      <c r="I950" s="12"/>
      <c r="J950" s="12"/>
      <c r="K950" s="12"/>
      <c r="L950" s="12"/>
      <c r="M950" s="12"/>
      <c r="N950" s="12"/>
      <c r="O950" s="12"/>
      <c r="P950" s="12"/>
      <c r="Q950" s="12"/>
      <c r="R950" s="12"/>
      <c r="S950" s="12"/>
      <c r="T950" s="12"/>
      <c r="U950" s="12"/>
      <c r="V950" s="12"/>
      <c r="W950" s="12"/>
      <c r="X950" s="12"/>
      <c r="Y950" s="12"/>
      <c r="Z950" s="12"/>
    </row>
    <row r="951" customFormat="false" ht="15.75" hidden="false" customHeight="true" outlineLevel="0" collapsed="false">
      <c r="A951" s="12"/>
      <c r="B951" s="12"/>
      <c r="C951" s="12"/>
      <c r="D951" s="12"/>
      <c r="E951" s="12"/>
      <c r="F951" s="12"/>
      <c r="G951" s="12"/>
      <c r="H951" s="12"/>
      <c r="I951" s="12"/>
      <c r="J951" s="12"/>
      <c r="K951" s="12"/>
      <c r="L951" s="12"/>
      <c r="M951" s="12"/>
      <c r="N951" s="12"/>
      <c r="O951" s="12"/>
      <c r="P951" s="12"/>
      <c r="Q951" s="12"/>
      <c r="R951" s="12"/>
      <c r="S951" s="12"/>
      <c r="T951" s="12"/>
      <c r="U951" s="12"/>
      <c r="V951" s="12"/>
      <c r="W951" s="12"/>
      <c r="X951" s="12"/>
      <c r="Y951" s="12"/>
      <c r="Z951" s="12"/>
    </row>
    <row r="952" customFormat="false" ht="15.75" hidden="false" customHeight="true" outlineLevel="0" collapsed="false">
      <c r="A952" s="12"/>
      <c r="B952" s="12"/>
      <c r="C952" s="12"/>
      <c r="D952" s="12"/>
      <c r="E952" s="12"/>
      <c r="F952" s="12"/>
      <c r="G952" s="12"/>
      <c r="H952" s="12"/>
      <c r="I952" s="12"/>
      <c r="J952" s="12"/>
      <c r="K952" s="12"/>
      <c r="L952" s="12"/>
      <c r="M952" s="12"/>
      <c r="N952" s="12"/>
      <c r="O952" s="12"/>
      <c r="P952" s="12"/>
      <c r="Q952" s="12"/>
      <c r="R952" s="12"/>
      <c r="S952" s="12"/>
      <c r="T952" s="12"/>
      <c r="U952" s="12"/>
      <c r="V952" s="12"/>
      <c r="W952" s="12"/>
      <c r="X952" s="12"/>
      <c r="Y952" s="12"/>
      <c r="Z952" s="12"/>
    </row>
    <row r="953" customFormat="false" ht="15.75" hidden="false" customHeight="true" outlineLevel="0" collapsed="false">
      <c r="A953" s="12"/>
      <c r="B953" s="12"/>
      <c r="C953" s="12"/>
      <c r="D953" s="12"/>
      <c r="E953" s="12"/>
      <c r="F953" s="12"/>
      <c r="G953" s="12"/>
      <c r="H953" s="12"/>
      <c r="I953" s="12"/>
      <c r="J953" s="12"/>
      <c r="K953" s="12"/>
      <c r="L953" s="12"/>
      <c r="M953" s="12"/>
      <c r="N953" s="12"/>
      <c r="O953" s="12"/>
      <c r="P953" s="12"/>
      <c r="Q953" s="12"/>
      <c r="R953" s="12"/>
      <c r="S953" s="12"/>
      <c r="T953" s="12"/>
      <c r="U953" s="12"/>
      <c r="V953" s="12"/>
      <c r="W953" s="12"/>
      <c r="X953" s="12"/>
      <c r="Y953" s="12"/>
      <c r="Z953" s="12"/>
    </row>
    <row r="954" customFormat="false" ht="15.75" hidden="false" customHeight="true" outlineLevel="0" collapsed="false">
      <c r="A954" s="12"/>
      <c r="B954" s="12"/>
      <c r="C954" s="12"/>
      <c r="D954" s="12"/>
      <c r="E954" s="12"/>
      <c r="F954" s="12"/>
      <c r="G954" s="12"/>
      <c r="H954" s="12"/>
      <c r="I954" s="12"/>
      <c r="J954" s="12"/>
      <c r="K954" s="12"/>
      <c r="L954" s="12"/>
      <c r="M954" s="12"/>
      <c r="N954" s="12"/>
      <c r="O954" s="12"/>
      <c r="P954" s="12"/>
      <c r="Q954" s="12"/>
      <c r="R954" s="12"/>
      <c r="S954" s="12"/>
      <c r="T954" s="12"/>
      <c r="U954" s="12"/>
      <c r="V954" s="12"/>
      <c r="W954" s="12"/>
      <c r="X954" s="12"/>
      <c r="Y954" s="12"/>
      <c r="Z954" s="12"/>
    </row>
    <row r="955" customFormat="false" ht="15.75" hidden="false" customHeight="true" outlineLevel="0" collapsed="false">
      <c r="A955" s="12"/>
      <c r="B955" s="12"/>
      <c r="C955" s="12"/>
      <c r="D955" s="12"/>
      <c r="E955" s="12"/>
      <c r="F955" s="12"/>
      <c r="G955" s="12"/>
      <c r="H955" s="12"/>
      <c r="I955" s="12"/>
      <c r="J955" s="12"/>
      <c r="K955" s="12"/>
      <c r="L955" s="12"/>
      <c r="M955" s="12"/>
      <c r="N955" s="12"/>
      <c r="O955" s="12"/>
      <c r="P955" s="12"/>
      <c r="Q955" s="12"/>
      <c r="R955" s="12"/>
      <c r="S955" s="12"/>
      <c r="T955" s="12"/>
      <c r="U955" s="12"/>
      <c r="V955" s="12"/>
      <c r="W955" s="12"/>
      <c r="X955" s="12"/>
      <c r="Y955" s="12"/>
      <c r="Z955" s="12"/>
    </row>
    <row r="956" customFormat="false" ht="15.75" hidden="false" customHeight="true" outlineLevel="0" collapsed="false">
      <c r="A956" s="12"/>
      <c r="B956" s="12"/>
      <c r="C956" s="12"/>
      <c r="D956" s="12"/>
      <c r="E956" s="12"/>
      <c r="F956" s="12"/>
      <c r="G956" s="12"/>
      <c r="H956" s="12"/>
      <c r="I956" s="12"/>
      <c r="J956" s="12"/>
      <c r="K956" s="12"/>
      <c r="L956" s="12"/>
      <c r="M956" s="12"/>
      <c r="N956" s="12"/>
      <c r="O956" s="12"/>
      <c r="P956" s="12"/>
      <c r="Q956" s="12"/>
      <c r="R956" s="12"/>
      <c r="S956" s="12"/>
      <c r="T956" s="12"/>
      <c r="U956" s="12"/>
      <c r="V956" s="12"/>
      <c r="W956" s="12"/>
      <c r="X956" s="12"/>
      <c r="Y956" s="12"/>
      <c r="Z956" s="12"/>
    </row>
    <row r="957" customFormat="false" ht="15.75" hidden="false" customHeight="true" outlineLevel="0" collapsed="false">
      <c r="A957" s="12"/>
      <c r="B957" s="12"/>
      <c r="C957" s="12"/>
      <c r="D957" s="12"/>
      <c r="E957" s="12"/>
      <c r="F957" s="12"/>
      <c r="G957" s="12"/>
      <c r="H957" s="12"/>
      <c r="I957" s="12"/>
      <c r="J957" s="12"/>
      <c r="K957" s="12"/>
      <c r="L957" s="12"/>
      <c r="M957" s="12"/>
      <c r="N957" s="12"/>
      <c r="O957" s="12"/>
      <c r="P957" s="12"/>
      <c r="Q957" s="12"/>
      <c r="R957" s="12"/>
      <c r="S957" s="12"/>
      <c r="T957" s="12"/>
      <c r="U957" s="12"/>
      <c r="V957" s="12"/>
      <c r="W957" s="12"/>
      <c r="X957" s="12"/>
      <c r="Y957" s="12"/>
      <c r="Z957" s="12"/>
    </row>
    <row r="958" customFormat="false" ht="15.75" hidden="false" customHeight="true" outlineLevel="0" collapsed="false">
      <c r="A958" s="12"/>
      <c r="B958" s="12"/>
      <c r="C958" s="12"/>
      <c r="D958" s="12"/>
      <c r="E958" s="12"/>
      <c r="F958" s="12"/>
      <c r="G958" s="12"/>
      <c r="H958" s="12"/>
      <c r="I958" s="12"/>
      <c r="J958" s="12"/>
      <c r="K958" s="12"/>
      <c r="L958" s="12"/>
      <c r="M958" s="12"/>
      <c r="N958" s="12"/>
      <c r="O958" s="12"/>
      <c r="P958" s="12"/>
      <c r="Q958" s="12"/>
      <c r="R958" s="12"/>
      <c r="S958" s="12"/>
      <c r="T958" s="12"/>
      <c r="U958" s="12"/>
      <c r="V958" s="12"/>
      <c r="W958" s="12"/>
      <c r="X958" s="12"/>
      <c r="Y958" s="12"/>
      <c r="Z958" s="12"/>
    </row>
    <row r="959" customFormat="false" ht="15.75" hidden="false" customHeight="true" outlineLevel="0" collapsed="false">
      <c r="A959" s="12"/>
      <c r="B959" s="12"/>
      <c r="C959" s="12"/>
      <c r="D959" s="12"/>
      <c r="E959" s="12"/>
      <c r="F959" s="12"/>
      <c r="G959" s="12"/>
      <c r="H959" s="12"/>
      <c r="I959" s="12"/>
      <c r="J959" s="12"/>
      <c r="K959" s="12"/>
      <c r="L959" s="12"/>
      <c r="M959" s="12"/>
      <c r="N959" s="12"/>
      <c r="O959" s="12"/>
      <c r="P959" s="12"/>
      <c r="Q959" s="12"/>
      <c r="R959" s="12"/>
      <c r="S959" s="12"/>
      <c r="T959" s="12"/>
      <c r="U959" s="12"/>
      <c r="V959" s="12"/>
      <c r="W959" s="12"/>
      <c r="X959" s="12"/>
      <c r="Y959" s="12"/>
      <c r="Z959" s="12"/>
    </row>
    <row r="960" customFormat="false" ht="15.75" hidden="false" customHeight="true" outlineLevel="0" collapsed="false">
      <c r="A960" s="12"/>
      <c r="B960" s="12"/>
      <c r="C960" s="12"/>
      <c r="D960" s="12"/>
      <c r="E960" s="12"/>
      <c r="F960" s="12"/>
      <c r="G960" s="12"/>
      <c r="H960" s="12"/>
      <c r="I960" s="12"/>
      <c r="J960" s="12"/>
      <c r="K960" s="12"/>
      <c r="L960" s="12"/>
      <c r="M960" s="12"/>
      <c r="N960" s="12"/>
      <c r="O960" s="12"/>
      <c r="P960" s="12"/>
      <c r="Q960" s="12"/>
      <c r="R960" s="12"/>
      <c r="S960" s="12"/>
      <c r="T960" s="12"/>
      <c r="U960" s="12"/>
      <c r="V960" s="12"/>
      <c r="W960" s="12"/>
      <c r="X960" s="12"/>
      <c r="Y960" s="12"/>
      <c r="Z960" s="12"/>
    </row>
    <row r="961" customFormat="false" ht="15.75" hidden="false" customHeight="true" outlineLevel="0" collapsed="false">
      <c r="A961" s="12"/>
      <c r="B961" s="12"/>
      <c r="C961" s="12"/>
      <c r="D961" s="12"/>
      <c r="E961" s="12"/>
      <c r="F961" s="12"/>
      <c r="G961" s="12"/>
      <c r="H961" s="12"/>
      <c r="I961" s="12"/>
      <c r="J961" s="12"/>
      <c r="K961" s="12"/>
      <c r="L961" s="12"/>
      <c r="M961" s="12"/>
      <c r="N961" s="12"/>
      <c r="O961" s="12"/>
      <c r="P961" s="12"/>
      <c r="Q961" s="12"/>
      <c r="R961" s="12"/>
      <c r="S961" s="12"/>
      <c r="T961" s="12"/>
      <c r="U961" s="12"/>
      <c r="V961" s="12"/>
      <c r="W961" s="12"/>
      <c r="X961" s="12"/>
      <c r="Y961" s="12"/>
      <c r="Z961" s="12"/>
    </row>
    <row r="962" customFormat="false" ht="15.75" hidden="false" customHeight="true" outlineLevel="0" collapsed="false">
      <c r="A962" s="12"/>
      <c r="B962" s="12"/>
      <c r="C962" s="12"/>
      <c r="D962" s="12"/>
      <c r="E962" s="12"/>
      <c r="F962" s="12"/>
      <c r="G962" s="12"/>
      <c r="H962" s="12"/>
      <c r="I962" s="12"/>
      <c r="J962" s="12"/>
      <c r="K962" s="12"/>
      <c r="L962" s="12"/>
      <c r="M962" s="12"/>
      <c r="N962" s="12"/>
      <c r="O962" s="12"/>
      <c r="P962" s="12"/>
      <c r="Q962" s="12"/>
      <c r="R962" s="12"/>
      <c r="S962" s="12"/>
      <c r="T962" s="12"/>
      <c r="U962" s="12"/>
      <c r="V962" s="12"/>
      <c r="W962" s="12"/>
      <c r="X962" s="12"/>
      <c r="Y962" s="12"/>
      <c r="Z962" s="12"/>
    </row>
    <row r="963" customFormat="false" ht="15.75" hidden="false" customHeight="true" outlineLevel="0" collapsed="false">
      <c r="A963" s="12"/>
      <c r="B963" s="12"/>
      <c r="C963" s="12"/>
      <c r="D963" s="12"/>
      <c r="E963" s="12"/>
      <c r="F963" s="12"/>
      <c r="G963" s="12"/>
      <c r="H963" s="12"/>
      <c r="I963" s="12"/>
      <c r="J963" s="12"/>
      <c r="K963" s="12"/>
      <c r="L963" s="12"/>
      <c r="M963" s="12"/>
      <c r="N963" s="12"/>
      <c r="O963" s="12"/>
      <c r="P963" s="12"/>
      <c r="Q963" s="12"/>
      <c r="R963" s="12"/>
      <c r="S963" s="12"/>
      <c r="T963" s="12"/>
      <c r="U963" s="12"/>
      <c r="V963" s="12"/>
      <c r="W963" s="12"/>
      <c r="X963" s="12"/>
      <c r="Y963" s="12"/>
      <c r="Z963" s="12"/>
    </row>
    <row r="964" customFormat="false" ht="15.75" hidden="false" customHeight="true" outlineLevel="0" collapsed="false">
      <c r="A964" s="12"/>
      <c r="B964" s="12"/>
      <c r="C964" s="12"/>
      <c r="D964" s="12"/>
      <c r="E964" s="12"/>
      <c r="F964" s="12"/>
      <c r="G964" s="12"/>
      <c r="H964" s="12"/>
      <c r="I964" s="12"/>
      <c r="J964" s="12"/>
      <c r="K964" s="12"/>
      <c r="L964" s="12"/>
      <c r="M964" s="12"/>
      <c r="N964" s="12"/>
      <c r="O964" s="12"/>
      <c r="P964" s="12"/>
      <c r="Q964" s="12"/>
      <c r="R964" s="12"/>
      <c r="S964" s="12"/>
      <c r="T964" s="12"/>
      <c r="U964" s="12"/>
      <c r="V964" s="12"/>
      <c r="W964" s="12"/>
      <c r="X964" s="12"/>
      <c r="Y964" s="12"/>
      <c r="Z964" s="12"/>
    </row>
    <row r="965" customFormat="false" ht="15.75" hidden="false" customHeight="true" outlineLevel="0" collapsed="false">
      <c r="A965" s="12"/>
      <c r="B965" s="12"/>
      <c r="C965" s="12"/>
      <c r="D965" s="12"/>
      <c r="E965" s="12"/>
      <c r="F965" s="12"/>
      <c r="G965" s="12"/>
      <c r="H965" s="12"/>
      <c r="I965" s="12"/>
      <c r="J965" s="12"/>
      <c r="K965" s="12"/>
      <c r="L965" s="12"/>
      <c r="M965" s="12"/>
      <c r="N965" s="12"/>
      <c r="O965" s="12"/>
      <c r="P965" s="12"/>
      <c r="Q965" s="12"/>
      <c r="R965" s="12"/>
      <c r="S965" s="12"/>
      <c r="T965" s="12"/>
      <c r="U965" s="12"/>
      <c r="V965" s="12"/>
      <c r="W965" s="12"/>
      <c r="X965" s="12"/>
      <c r="Y965" s="12"/>
      <c r="Z965" s="12"/>
    </row>
    <row r="966" customFormat="false" ht="15.75" hidden="false" customHeight="true" outlineLevel="0" collapsed="false">
      <c r="A966" s="12"/>
      <c r="B966" s="12"/>
      <c r="C966" s="12"/>
      <c r="D966" s="12"/>
      <c r="E966" s="12"/>
      <c r="F966" s="12"/>
      <c r="G966" s="12"/>
      <c r="H966" s="12"/>
      <c r="I966" s="12"/>
      <c r="J966" s="12"/>
      <c r="K966" s="12"/>
      <c r="L966" s="12"/>
      <c r="M966" s="12"/>
      <c r="N966" s="12"/>
      <c r="O966" s="12"/>
      <c r="P966" s="12"/>
      <c r="Q966" s="12"/>
      <c r="R966" s="12"/>
      <c r="S966" s="12"/>
      <c r="T966" s="12"/>
      <c r="U966" s="12"/>
      <c r="V966" s="12"/>
      <c r="W966" s="12"/>
      <c r="X966" s="12"/>
      <c r="Y966" s="12"/>
      <c r="Z966" s="12"/>
    </row>
    <row r="967" customFormat="false" ht="15.75" hidden="false" customHeight="true" outlineLevel="0" collapsed="false">
      <c r="A967" s="12"/>
      <c r="B967" s="12"/>
      <c r="C967" s="12"/>
      <c r="D967" s="12"/>
      <c r="E967" s="12"/>
      <c r="F967" s="12"/>
      <c r="G967" s="12"/>
      <c r="H967" s="12"/>
      <c r="I967" s="12"/>
      <c r="J967" s="12"/>
      <c r="K967" s="12"/>
      <c r="L967" s="12"/>
      <c r="M967" s="12"/>
      <c r="N967" s="12"/>
      <c r="O967" s="12"/>
      <c r="P967" s="12"/>
      <c r="Q967" s="12"/>
      <c r="R967" s="12"/>
      <c r="S967" s="12"/>
      <c r="T967" s="12"/>
      <c r="U967" s="12"/>
      <c r="V967" s="12"/>
      <c r="W967" s="12"/>
      <c r="X967" s="12"/>
      <c r="Y967" s="12"/>
      <c r="Z967" s="12"/>
    </row>
    <row r="968" customFormat="false" ht="15.75" hidden="false" customHeight="true" outlineLevel="0" collapsed="false">
      <c r="A968" s="12"/>
      <c r="B968" s="12"/>
      <c r="C968" s="12"/>
      <c r="D968" s="12"/>
      <c r="E968" s="12"/>
      <c r="F968" s="12"/>
      <c r="G968" s="12"/>
      <c r="H968" s="12"/>
      <c r="I968" s="12"/>
      <c r="J968" s="12"/>
      <c r="K968" s="12"/>
      <c r="L968" s="12"/>
      <c r="M968" s="12"/>
      <c r="N968" s="12"/>
      <c r="O968" s="12"/>
      <c r="P968" s="12"/>
      <c r="Q968" s="12"/>
      <c r="R968" s="12"/>
      <c r="S968" s="12"/>
      <c r="T968" s="12"/>
      <c r="U968" s="12"/>
      <c r="V968" s="12"/>
      <c r="W968" s="12"/>
      <c r="X968" s="12"/>
      <c r="Y968" s="12"/>
      <c r="Z968" s="12"/>
    </row>
    <row r="969" customFormat="false" ht="15.75" hidden="false" customHeight="true" outlineLevel="0" collapsed="false">
      <c r="A969" s="12"/>
      <c r="B969" s="12"/>
      <c r="C969" s="12"/>
      <c r="D969" s="12"/>
      <c r="E969" s="12"/>
      <c r="F969" s="12"/>
      <c r="G969" s="12"/>
      <c r="H969" s="12"/>
      <c r="I969" s="12"/>
      <c r="J969" s="12"/>
      <c r="K969" s="12"/>
      <c r="L969" s="12"/>
      <c r="M969" s="12"/>
      <c r="N969" s="12"/>
      <c r="O969" s="12"/>
      <c r="P969" s="12"/>
      <c r="Q969" s="12"/>
      <c r="R969" s="12"/>
      <c r="S969" s="12"/>
      <c r="T969" s="12"/>
      <c r="U969" s="12"/>
      <c r="V969" s="12"/>
      <c r="W969" s="12"/>
      <c r="X969" s="12"/>
      <c r="Y969" s="12"/>
      <c r="Z969" s="12"/>
    </row>
    <row r="970" customFormat="false" ht="15.75" hidden="false" customHeight="true" outlineLevel="0" collapsed="false">
      <c r="A970" s="12"/>
      <c r="B970" s="12"/>
      <c r="C970" s="12"/>
      <c r="D970" s="12"/>
      <c r="E970" s="12"/>
      <c r="F970" s="12"/>
      <c r="G970" s="12"/>
      <c r="H970" s="12"/>
      <c r="I970" s="12"/>
      <c r="J970" s="12"/>
      <c r="K970" s="12"/>
      <c r="L970" s="12"/>
      <c r="M970" s="12"/>
      <c r="N970" s="12"/>
      <c r="O970" s="12"/>
      <c r="P970" s="12"/>
      <c r="Q970" s="12"/>
      <c r="R970" s="12"/>
      <c r="S970" s="12"/>
      <c r="T970" s="12"/>
      <c r="U970" s="12"/>
      <c r="V970" s="12"/>
      <c r="W970" s="12"/>
      <c r="X970" s="12"/>
      <c r="Y970" s="12"/>
      <c r="Z970" s="12"/>
    </row>
    <row r="971" customFormat="false" ht="15.75" hidden="false" customHeight="true" outlineLevel="0" collapsed="false">
      <c r="A971" s="12"/>
      <c r="B971" s="12"/>
      <c r="C971" s="12"/>
      <c r="D971" s="12"/>
      <c r="E971" s="12"/>
      <c r="F971" s="12"/>
      <c r="G971" s="12"/>
      <c r="H971" s="12"/>
      <c r="I971" s="12"/>
      <c r="J971" s="12"/>
      <c r="K971" s="12"/>
      <c r="L971" s="12"/>
      <c r="M971" s="12"/>
      <c r="N971" s="12"/>
      <c r="O971" s="12"/>
      <c r="P971" s="12"/>
      <c r="Q971" s="12"/>
      <c r="R971" s="12"/>
      <c r="S971" s="12"/>
      <c r="T971" s="12"/>
      <c r="U971" s="12"/>
      <c r="V971" s="12"/>
      <c r="W971" s="12"/>
      <c r="X971" s="12"/>
      <c r="Y971" s="12"/>
      <c r="Z971" s="12"/>
    </row>
    <row r="972" customFormat="false" ht="15.75" hidden="false" customHeight="true" outlineLevel="0" collapsed="false">
      <c r="A972" s="12"/>
      <c r="B972" s="12"/>
      <c r="C972" s="12"/>
      <c r="D972" s="12"/>
      <c r="E972" s="12"/>
      <c r="F972" s="12"/>
      <c r="G972" s="12"/>
      <c r="H972" s="12"/>
      <c r="I972" s="12"/>
      <c r="J972" s="12"/>
      <c r="K972" s="12"/>
      <c r="L972" s="12"/>
      <c r="M972" s="12"/>
      <c r="N972" s="12"/>
      <c r="O972" s="12"/>
      <c r="P972" s="12"/>
      <c r="Q972" s="12"/>
      <c r="R972" s="12"/>
      <c r="S972" s="12"/>
      <c r="T972" s="12"/>
      <c r="U972" s="12"/>
      <c r="V972" s="12"/>
      <c r="W972" s="12"/>
      <c r="X972" s="12"/>
      <c r="Y972" s="12"/>
      <c r="Z972" s="12"/>
    </row>
    <row r="973" customFormat="false" ht="15.75" hidden="false" customHeight="true" outlineLevel="0" collapsed="false">
      <c r="A973" s="12"/>
      <c r="B973" s="12"/>
      <c r="C973" s="12"/>
      <c r="D973" s="12"/>
      <c r="E973" s="12"/>
      <c r="F973" s="12"/>
      <c r="G973" s="12"/>
      <c r="H973" s="12"/>
      <c r="I973" s="12"/>
      <c r="J973" s="12"/>
      <c r="K973" s="12"/>
      <c r="L973" s="12"/>
      <c r="M973" s="12"/>
      <c r="N973" s="12"/>
      <c r="O973" s="12"/>
      <c r="P973" s="12"/>
      <c r="Q973" s="12"/>
      <c r="R973" s="12"/>
      <c r="S973" s="12"/>
      <c r="T973" s="12"/>
      <c r="U973" s="12"/>
      <c r="V973" s="12"/>
      <c r="W973" s="12"/>
      <c r="X973" s="12"/>
      <c r="Y973" s="12"/>
      <c r="Z973" s="12"/>
    </row>
    <row r="974" customFormat="false" ht="15.75" hidden="false" customHeight="true" outlineLevel="0" collapsed="false">
      <c r="A974" s="12"/>
      <c r="B974" s="12"/>
      <c r="C974" s="12"/>
      <c r="D974" s="12"/>
      <c r="E974" s="12"/>
      <c r="F974" s="12"/>
      <c r="G974" s="12"/>
      <c r="H974" s="12"/>
      <c r="I974" s="12"/>
      <c r="J974" s="12"/>
      <c r="K974" s="12"/>
      <c r="L974" s="12"/>
      <c r="M974" s="12"/>
      <c r="N974" s="12"/>
      <c r="O974" s="12"/>
      <c r="P974" s="12"/>
      <c r="Q974" s="12"/>
      <c r="R974" s="12"/>
      <c r="S974" s="12"/>
      <c r="T974" s="12"/>
      <c r="U974" s="12"/>
      <c r="V974" s="12"/>
      <c r="W974" s="12"/>
      <c r="X974" s="12"/>
      <c r="Y974" s="12"/>
      <c r="Z974" s="12"/>
    </row>
    <row r="975" customFormat="false" ht="15.75" hidden="false" customHeight="true" outlineLevel="0" collapsed="false">
      <c r="A975" s="12"/>
      <c r="B975" s="12"/>
      <c r="C975" s="12"/>
      <c r="D975" s="12"/>
      <c r="E975" s="12"/>
      <c r="F975" s="12"/>
      <c r="G975" s="12"/>
      <c r="H975" s="12"/>
      <c r="I975" s="12"/>
      <c r="J975" s="12"/>
      <c r="K975" s="12"/>
      <c r="L975" s="12"/>
      <c r="M975" s="12"/>
      <c r="N975" s="12"/>
      <c r="O975" s="12"/>
      <c r="P975" s="12"/>
      <c r="Q975" s="12"/>
      <c r="R975" s="12"/>
      <c r="S975" s="12"/>
      <c r="T975" s="12"/>
      <c r="U975" s="12"/>
      <c r="V975" s="12"/>
      <c r="W975" s="12"/>
      <c r="X975" s="12"/>
      <c r="Y975" s="12"/>
      <c r="Z975" s="12"/>
    </row>
    <row r="976" customFormat="false" ht="15.75" hidden="false" customHeight="true" outlineLevel="0" collapsed="false">
      <c r="A976" s="12"/>
      <c r="B976" s="12"/>
      <c r="C976" s="12"/>
      <c r="D976" s="12"/>
      <c r="E976" s="12"/>
      <c r="F976" s="12"/>
      <c r="G976" s="12"/>
      <c r="H976" s="12"/>
      <c r="I976" s="12"/>
      <c r="J976" s="12"/>
      <c r="K976" s="12"/>
      <c r="L976" s="12"/>
      <c r="M976" s="12"/>
      <c r="N976" s="12"/>
      <c r="O976" s="12"/>
      <c r="P976" s="12"/>
      <c r="Q976" s="12"/>
      <c r="R976" s="12"/>
      <c r="S976" s="12"/>
      <c r="T976" s="12"/>
      <c r="U976" s="12"/>
      <c r="V976" s="12"/>
      <c r="W976" s="12"/>
      <c r="X976" s="12"/>
      <c r="Y976" s="12"/>
      <c r="Z976" s="12"/>
    </row>
    <row r="977" customFormat="false" ht="15.75" hidden="false" customHeight="true" outlineLevel="0" collapsed="false">
      <c r="A977" s="12"/>
      <c r="B977" s="12"/>
      <c r="C977" s="12"/>
      <c r="D977" s="12"/>
      <c r="E977" s="12"/>
      <c r="F977" s="12"/>
      <c r="G977" s="12"/>
      <c r="H977" s="12"/>
      <c r="I977" s="12"/>
      <c r="J977" s="12"/>
      <c r="K977" s="12"/>
      <c r="L977" s="12"/>
      <c r="M977" s="12"/>
      <c r="N977" s="12"/>
      <c r="O977" s="12"/>
      <c r="P977" s="12"/>
      <c r="Q977" s="12"/>
      <c r="R977" s="12"/>
      <c r="S977" s="12"/>
      <c r="T977" s="12"/>
      <c r="U977" s="12"/>
      <c r="V977" s="12"/>
      <c r="W977" s="12"/>
      <c r="X977" s="12"/>
      <c r="Y977" s="12"/>
      <c r="Z977" s="12"/>
    </row>
    <row r="978" customFormat="false" ht="15.75" hidden="false" customHeight="true" outlineLevel="0" collapsed="false">
      <c r="A978" s="12"/>
      <c r="B978" s="12"/>
      <c r="C978" s="12"/>
      <c r="D978" s="12"/>
      <c r="E978" s="12"/>
      <c r="F978" s="12"/>
      <c r="G978" s="12"/>
      <c r="H978" s="12"/>
      <c r="I978" s="12"/>
      <c r="J978" s="12"/>
      <c r="K978" s="12"/>
      <c r="L978" s="12"/>
      <c r="M978" s="12"/>
      <c r="N978" s="12"/>
      <c r="O978" s="12"/>
      <c r="P978" s="12"/>
      <c r="Q978" s="12"/>
      <c r="R978" s="12"/>
      <c r="S978" s="12"/>
      <c r="T978" s="12"/>
      <c r="U978" s="12"/>
      <c r="V978" s="12"/>
      <c r="W978" s="12"/>
      <c r="X978" s="12"/>
      <c r="Y978" s="12"/>
      <c r="Z978" s="12"/>
    </row>
    <row r="979" customFormat="false" ht="15.75" hidden="false" customHeight="true" outlineLevel="0" collapsed="false">
      <c r="A979" s="12"/>
      <c r="B979" s="12"/>
      <c r="C979" s="12"/>
      <c r="D979" s="12"/>
      <c r="E979" s="12"/>
      <c r="F979" s="12"/>
      <c r="G979" s="12"/>
      <c r="H979" s="12"/>
      <c r="I979" s="12"/>
      <c r="J979" s="12"/>
      <c r="K979" s="12"/>
      <c r="L979" s="12"/>
      <c r="M979" s="12"/>
      <c r="N979" s="12"/>
      <c r="O979" s="12"/>
      <c r="P979" s="12"/>
      <c r="Q979" s="12"/>
      <c r="R979" s="12"/>
      <c r="S979" s="12"/>
      <c r="T979" s="12"/>
      <c r="U979" s="12"/>
      <c r="V979" s="12"/>
      <c r="W979" s="12"/>
      <c r="X979" s="12"/>
      <c r="Y979" s="12"/>
      <c r="Z979" s="12"/>
    </row>
    <row r="980" customFormat="false" ht="15.75" hidden="false" customHeight="true" outlineLevel="0" collapsed="false">
      <c r="A980" s="12"/>
      <c r="B980" s="12"/>
      <c r="C980" s="12"/>
      <c r="D980" s="12"/>
      <c r="E980" s="12"/>
      <c r="F980" s="12"/>
      <c r="G980" s="12"/>
      <c r="H980" s="12"/>
      <c r="I980" s="12"/>
      <c r="J980" s="12"/>
      <c r="K980" s="12"/>
      <c r="L980" s="12"/>
      <c r="M980" s="12"/>
      <c r="N980" s="12"/>
      <c r="O980" s="12"/>
      <c r="P980" s="12"/>
      <c r="Q980" s="12"/>
      <c r="R980" s="12"/>
      <c r="S980" s="12"/>
      <c r="T980" s="12"/>
      <c r="U980" s="12"/>
      <c r="V980" s="12"/>
      <c r="W980" s="12"/>
      <c r="X980" s="12"/>
      <c r="Y980" s="12"/>
      <c r="Z980" s="12"/>
    </row>
    <row r="981" customFormat="false" ht="15.75" hidden="false" customHeight="true" outlineLevel="0" collapsed="false">
      <c r="A981" s="12"/>
      <c r="B981" s="12"/>
      <c r="C981" s="12"/>
      <c r="D981" s="12"/>
      <c r="E981" s="12"/>
      <c r="F981" s="12"/>
      <c r="G981" s="12"/>
      <c r="H981" s="12"/>
      <c r="I981" s="12"/>
      <c r="J981" s="12"/>
      <c r="K981" s="12"/>
      <c r="L981" s="12"/>
      <c r="M981" s="12"/>
      <c r="N981" s="12"/>
      <c r="O981" s="12"/>
      <c r="P981" s="12"/>
      <c r="Q981" s="12"/>
      <c r="R981" s="12"/>
      <c r="S981" s="12"/>
      <c r="T981" s="12"/>
      <c r="U981" s="12"/>
      <c r="V981" s="12"/>
      <c r="W981" s="12"/>
      <c r="X981" s="12"/>
      <c r="Y981" s="12"/>
      <c r="Z981" s="12"/>
    </row>
    <row r="982" customFormat="false" ht="15.75" hidden="false" customHeight="true" outlineLevel="0" collapsed="false">
      <c r="A982" s="12"/>
      <c r="B982" s="12"/>
      <c r="C982" s="12"/>
      <c r="D982" s="12"/>
      <c r="E982" s="12"/>
      <c r="F982" s="12"/>
      <c r="G982" s="12"/>
      <c r="H982" s="12"/>
      <c r="I982" s="12"/>
      <c r="J982" s="12"/>
      <c r="K982" s="12"/>
      <c r="L982" s="12"/>
      <c r="M982" s="12"/>
      <c r="N982" s="12"/>
      <c r="O982" s="12"/>
      <c r="P982" s="12"/>
      <c r="Q982" s="12"/>
      <c r="R982" s="12"/>
      <c r="S982" s="12"/>
      <c r="T982" s="12"/>
      <c r="U982" s="12"/>
      <c r="V982" s="12"/>
      <c r="W982" s="12"/>
      <c r="X982" s="12"/>
      <c r="Y982" s="12"/>
      <c r="Z982" s="12"/>
    </row>
    <row r="983" customFormat="false" ht="15.75" hidden="false" customHeight="true" outlineLevel="0" collapsed="false">
      <c r="A983" s="12"/>
      <c r="B983" s="12"/>
      <c r="C983" s="12"/>
      <c r="D983" s="12"/>
      <c r="E983" s="12"/>
      <c r="F983" s="12"/>
      <c r="G983" s="12"/>
      <c r="H983" s="12"/>
      <c r="I983" s="12"/>
      <c r="J983" s="12"/>
      <c r="K983" s="12"/>
      <c r="L983" s="12"/>
      <c r="M983" s="12"/>
      <c r="N983" s="12"/>
      <c r="O983" s="12"/>
      <c r="P983" s="12"/>
      <c r="Q983" s="12"/>
      <c r="R983" s="12"/>
      <c r="S983" s="12"/>
      <c r="T983" s="12"/>
      <c r="U983" s="12"/>
      <c r="V983" s="12"/>
      <c r="W983" s="12"/>
      <c r="X983" s="12"/>
      <c r="Y983" s="12"/>
      <c r="Z983" s="12"/>
    </row>
    <row r="984" customFormat="false" ht="15.75" hidden="false" customHeight="true" outlineLevel="0" collapsed="false">
      <c r="A984" s="12"/>
      <c r="B984" s="12"/>
      <c r="C984" s="12"/>
      <c r="D984" s="12"/>
      <c r="E984" s="12"/>
      <c r="F984" s="12"/>
      <c r="G984" s="12"/>
      <c r="H984" s="12"/>
      <c r="I984" s="12"/>
      <c r="J984" s="12"/>
      <c r="K984" s="12"/>
      <c r="L984" s="12"/>
      <c r="M984" s="12"/>
      <c r="N984" s="12"/>
      <c r="O984" s="12"/>
      <c r="P984" s="12"/>
      <c r="Q984" s="12"/>
      <c r="R984" s="12"/>
      <c r="S984" s="12"/>
      <c r="T984" s="12"/>
      <c r="U984" s="12"/>
      <c r="V984" s="12"/>
      <c r="W984" s="12"/>
      <c r="X984" s="12"/>
      <c r="Y984" s="12"/>
      <c r="Z984" s="12"/>
    </row>
    <row r="985" customFormat="false" ht="15.75" hidden="false" customHeight="true" outlineLevel="0" collapsed="false">
      <c r="A985" s="12"/>
      <c r="B985" s="12"/>
      <c r="C985" s="12"/>
      <c r="D985" s="12"/>
      <c r="E985" s="12"/>
      <c r="F985" s="12"/>
      <c r="G985" s="12"/>
      <c r="H985" s="12"/>
      <c r="I985" s="12"/>
      <c r="J985" s="12"/>
      <c r="K985" s="12"/>
      <c r="L985" s="12"/>
      <c r="M985" s="12"/>
      <c r="N985" s="12"/>
      <c r="O985" s="12"/>
      <c r="P985" s="12"/>
      <c r="Q985" s="12"/>
      <c r="R985" s="12"/>
      <c r="S985" s="12"/>
      <c r="T985" s="12"/>
      <c r="U985" s="12"/>
      <c r="V985" s="12"/>
      <c r="W985" s="12"/>
      <c r="X985" s="12"/>
      <c r="Y985" s="12"/>
      <c r="Z985" s="12"/>
    </row>
    <row r="986" customFormat="false" ht="15.75" hidden="false" customHeight="true" outlineLevel="0" collapsed="false">
      <c r="A986" s="12"/>
      <c r="B986" s="12"/>
      <c r="C986" s="12"/>
      <c r="D986" s="12"/>
      <c r="E986" s="12"/>
      <c r="F986" s="12"/>
      <c r="G986" s="12"/>
      <c r="H986" s="12"/>
      <c r="I986" s="12"/>
      <c r="J986" s="12"/>
      <c r="K986" s="12"/>
      <c r="L986" s="12"/>
      <c r="M986" s="12"/>
      <c r="N986" s="12"/>
      <c r="O986" s="12"/>
      <c r="P986" s="12"/>
      <c r="Q986" s="12"/>
      <c r="R986" s="12"/>
      <c r="S986" s="12"/>
      <c r="T986" s="12"/>
      <c r="U986" s="12"/>
      <c r="V986" s="12"/>
      <c r="W986" s="12"/>
      <c r="X986" s="12"/>
      <c r="Y986" s="12"/>
      <c r="Z986" s="12"/>
    </row>
    <row r="987" customFormat="false" ht="15.75" hidden="false" customHeight="true" outlineLevel="0" collapsed="false">
      <c r="A987" s="12"/>
      <c r="B987" s="12"/>
      <c r="C987" s="12"/>
      <c r="D987" s="12"/>
      <c r="E987" s="12"/>
      <c r="F987" s="12"/>
      <c r="G987" s="12"/>
      <c r="H987" s="12"/>
      <c r="I987" s="12"/>
      <c r="J987" s="12"/>
      <c r="K987" s="12"/>
      <c r="L987" s="12"/>
      <c r="M987" s="12"/>
      <c r="N987" s="12"/>
      <c r="O987" s="12"/>
      <c r="P987" s="12"/>
      <c r="Q987" s="12"/>
      <c r="R987" s="12"/>
      <c r="S987" s="12"/>
      <c r="T987" s="12"/>
      <c r="U987" s="12"/>
      <c r="V987" s="12"/>
      <c r="W987" s="12"/>
      <c r="X987" s="12"/>
      <c r="Y987" s="12"/>
      <c r="Z987" s="12"/>
    </row>
    <row r="988" customFormat="false" ht="15.75" hidden="false" customHeight="true" outlineLevel="0" collapsed="false">
      <c r="A988" s="12"/>
      <c r="B988" s="12"/>
      <c r="C988" s="12"/>
      <c r="D988" s="12"/>
      <c r="E988" s="12"/>
      <c r="F988" s="12"/>
      <c r="G988" s="12"/>
      <c r="H988" s="12"/>
      <c r="I988" s="12"/>
      <c r="J988" s="12"/>
      <c r="K988" s="12"/>
      <c r="L988" s="12"/>
      <c r="M988" s="12"/>
      <c r="N988" s="12"/>
      <c r="O988" s="12"/>
      <c r="P988" s="12"/>
      <c r="Q988" s="12"/>
      <c r="R988" s="12"/>
      <c r="S988" s="12"/>
      <c r="T988" s="12"/>
      <c r="U988" s="12"/>
      <c r="V988" s="12"/>
      <c r="W988" s="12"/>
      <c r="X988" s="12"/>
      <c r="Y988" s="12"/>
      <c r="Z988" s="12"/>
    </row>
    <row r="989" customFormat="false" ht="15.75" hidden="false" customHeight="true" outlineLevel="0" collapsed="false">
      <c r="A989" s="12"/>
      <c r="B989" s="12"/>
      <c r="C989" s="12"/>
      <c r="D989" s="12"/>
      <c r="E989" s="12"/>
      <c r="F989" s="12"/>
      <c r="G989" s="12"/>
      <c r="H989" s="12"/>
      <c r="I989" s="12"/>
      <c r="J989" s="12"/>
      <c r="K989" s="12"/>
      <c r="L989" s="12"/>
      <c r="M989" s="12"/>
      <c r="N989" s="12"/>
      <c r="O989" s="12"/>
      <c r="P989" s="12"/>
      <c r="Q989" s="12"/>
      <c r="R989" s="12"/>
      <c r="S989" s="12"/>
      <c r="T989" s="12"/>
      <c r="U989" s="12"/>
      <c r="V989" s="12"/>
      <c r="W989" s="12"/>
      <c r="X989" s="12"/>
      <c r="Y989" s="12"/>
      <c r="Z989" s="12"/>
    </row>
    <row r="990" customFormat="false" ht="15.75" hidden="false" customHeight="true" outlineLevel="0" collapsed="false">
      <c r="A990" s="12"/>
      <c r="B990" s="12"/>
      <c r="C990" s="12"/>
      <c r="D990" s="12"/>
      <c r="E990" s="12"/>
      <c r="F990" s="12"/>
      <c r="G990" s="12"/>
      <c r="H990" s="12"/>
      <c r="I990" s="12"/>
      <c r="J990" s="12"/>
      <c r="K990" s="12"/>
      <c r="L990" s="12"/>
      <c r="M990" s="12"/>
      <c r="N990" s="12"/>
      <c r="O990" s="12"/>
      <c r="P990" s="12"/>
      <c r="Q990" s="12"/>
      <c r="R990" s="12"/>
      <c r="S990" s="12"/>
      <c r="T990" s="12"/>
      <c r="U990" s="12"/>
      <c r="V990" s="12"/>
      <c r="W990" s="12"/>
      <c r="X990" s="12"/>
      <c r="Y990" s="12"/>
      <c r="Z990" s="12"/>
    </row>
    <row r="991" customFormat="false" ht="15.75" hidden="false" customHeight="true" outlineLevel="0" collapsed="false">
      <c r="A991" s="12"/>
      <c r="B991" s="12"/>
      <c r="C991" s="12"/>
      <c r="D991" s="12"/>
      <c r="E991" s="12"/>
      <c r="F991" s="12"/>
      <c r="G991" s="12"/>
      <c r="H991" s="12"/>
      <c r="I991" s="12"/>
      <c r="J991" s="12"/>
      <c r="K991" s="12"/>
      <c r="L991" s="12"/>
      <c r="M991" s="12"/>
      <c r="N991" s="12"/>
      <c r="O991" s="12"/>
      <c r="P991" s="12"/>
      <c r="Q991" s="12"/>
      <c r="R991" s="12"/>
      <c r="S991" s="12"/>
      <c r="T991" s="12"/>
      <c r="U991" s="12"/>
      <c r="V991" s="12"/>
      <c r="W991" s="12"/>
      <c r="X991" s="12"/>
      <c r="Y991" s="12"/>
      <c r="Z991" s="12"/>
    </row>
    <row r="992" customFormat="false" ht="15.75" hidden="false" customHeight="true" outlineLevel="0" collapsed="false">
      <c r="A992" s="12"/>
      <c r="B992" s="12"/>
      <c r="C992" s="12"/>
      <c r="D992" s="12"/>
      <c r="E992" s="12"/>
      <c r="F992" s="12"/>
      <c r="G992" s="12"/>
      <c r="H992" s="12"/>
      <c r="I992" s="12"/>
      <c r="J992" s="12"/>
      <c r="K992" s="12"/>
      <c r="L992" s="12"/>
      <c r="M992" s="12"/>
      <c r="N992" s="12"/>
      <c r="O992" s="12"/>
      <c r="P992" s="12"/>
      <c r="Q992" s="12"/>
      <c r="R992" s="12"/>
      <c r="S992" s="12"/>
      <c r="T992" s="12"/>
      <c r="U992" s="12"/>
      <c r="V992" s="12"/>
      <c r="W992" s="12"/>
      <c r="X992" s="12"/>
      <c r="Y992" s="12"/>
      <c r="Z992" s="12"/>
    </row>
    <row r="993" customFormat="false" ht="15.75" hidden="false" customHeight="true" outlineLevel="0" collapsed="false">
      <c r="A993" s="12"/>
      <c r="B993" s="12"/>
      <c r="C993" s="12"/>
      <c r="D993" s="12"/>
      <c r="E993" s="12"/>
      <c r="F993" s="12"/>
      <c r="G993" s="12"/>
      <c r="H993" s="12"/>
      <c r="I993" s="12"/>
      <c r="J993" s="12"/>
      <c r="K993" s="12"/>
      <c r="L993" s="12"/>
      <c r="M993" s="12"/>
      <c r="N993" s="12"/>
      <c r="O993" s="12"/>
      <c r="P993" s="12"/>
      <c r="Q993" s="12"/>
      <c r="R993" s="12"/>
      <c r="S993" s="12"/>
      <c r="T993" s="12"/>
      <c r="U993" s="12"/>
      <c r="V993" s="12"/>
      <c r="W993" s="12"/>
      <c r="X993" s="12"/>
      <c r="Y993" s="12"/>
      <c r="Z993" s="12"/>
    </row>
    <row r="994" customFormat="false" ht="15.75" hidden="false" customHeight="true" outlineLevel="0" collapsed="false">
      <c r="A994" s="12"/>
      <c r="B994" s="12"/>
      <c r="C994" s="12"/>
      <c r="D994" s="12"/>
      <c r="E994" s="12"/>
      <c r="F994" s="12"/>
      <c r="G994" s="12"/>
      <c r="H994" s="12"/>
      <c r="I994" s="12"/>
      <c r="J994" s="12"/>
      <c r="K994" s="12"/>
      <c r="L994" s="12"/>
      <c r="M994" s="12"/>
      <c r="N994" s="12"/>
      <c r="O994" s="12"/>
      <c r="P994" s="12"/>
      <c r="Q994" s="12"/>
      <c r="R994" s="12"/>
      <c r="S994" s="12"/>
      <c r="T994" s="12"/>
      <c r="U994" s="12"/>
      <c r="V994" s="12"/>
      <c r="W994" s="12"/>
      <c r="X994" s="12"/>
      <c r="Y994" s="12"/>
      <c r="Z994" s="12"/>
    </row>
    <row r="995" customFormat="false" ht="15.75" hidden="false" customHeight="true" outlineLevel="0" collapsed="false">
      <c r="A995" s="12"/>
      <c r="B995" s="12"/>
      <c r="C995" s="12"/>
      <c r="D995" s="12"/>
      <c r="E995" s="12"/>
      <c r="F995" s="12"/>
      <c r="G995" s="12"/>
      <c r="H995" s="12"/>
      <c r="I995" s="12"/>
      <c r="J995" s="12"/>
      <c r="K995" s="12"/>
      <c r="L995" s="12"/>
      <c r="M995" s="12"/>
      <c r="N995" s="12"/>
      <c r="O995" s="12"/>
      <c r="P995" s="12"/>
      <c r="Q995" s="12"/>
      <c r="R995" s="12"/>
      <c r="S995" s="12"/>
      <c r="T995" s="12"/>
      <c r="U995" s="12"/>
      <c r="V995" s="12"/>
      <c r="W995" s="12"/>
      <c r="X995" s="12"/>
      <c r="Y995" s="12"/>
      <c r="Z995" s="12"/>
    </row>
    <row r="996" customFormat="false" ht="15.75" hidden="false" customHeight="true" outlineLevel="0" collapsed="false">
      <c r="A996" s="12"/>
      <c r="B996" s="12"/>
      <c r="C996" s="12"/>
      <c r="D996" s="12"/>
      <c r="E996" s="12"/>
      <c r="F996" s="12"/>
      <c r="G996" s="12"/>
      <c r="H996" s="12"/>
      <c r="I996" s="12"/>
      <c r="J996" s="12"/>
      <c r="K996" s="12"/>
      <c r="L996" s="12"/>
      <c r="M996" s="12"/>
      <c r="N996" s="12"/>
      <c r="O996" s="12"/>
      <c r="P996" s="12"/>
      <c r="Q996" s="12"/>
      <c r="R996" s="12"/>
      <c r="S996" s="12"/>
      <c r="T996" s="12"/>
      <c r="U996" s="12"/>
      <c r="V996" s="12"/>
      <c r="W996" s="12"/>
      <c r="X996" s="12"/>
      <c r="Y996" s="12"/>
      <c r="Z996" s="12"/>
    </row>
    <row r="997" customFormat="false" ht="15.75" hidden="false" customHeight="true" outlineLevel="0" collapsed="false">
      <c r="A997" s="12"/>
      <c r="B997" s="12"/>
      <c r="C997" s="12"/>
      <c r="D997" s="12"/>
      <c r="E997" s="12"/>
      <c r="F997" s="12"/>
      <c r="G997" s="12"/>
      <c r="H997" s="12"/>
      <c r="I997" s="12"/>
      <c r="J997" s="12"/>
      <c r="K997" s="12"/>
      <c r="L997" s="12"/>
      <c r="M997" s="12"/>
      <c r="N997" s="12"/>
      <c r="O997" s="12"/>
      <c r="P997" s="12"/>
      <c r="Q997" s="12"/>
      <c r="R997" s="12"/>
      <c r="S997" s="12"/>
      <c r="T997" s="12"/>
      <c r="U997" s="12"/>
      <c r="V997" s="12"/>
      <c r="W997" s="12"/>
      <c r="X997" s="12"/>
      <c r="Y997" s="12"/>
      <c r="Z997" s="12"/>
    </row>
    <row r="998" customFormat="false" ht="15.75" hidden="false" customHeight="true" outlineLevel="0" collapsed="false">
      <c r="A998" s="12"/>
      <c r="B998" s="12"/>
      <c r="C998" s="12"/>
      <c r="D998" s="12"/>
      <c r="E998" s="12"/>
      <c r="F998" s="12"/>
      <c r="G998" s="12"/>
      <c r="H998" s="12"/>
      <c r="I998" s="12"/>
      <c r="J998" s="12"/>
      <c r="K998" s="12"/>
      <c r="L998" s="12"/>
      <c r="M998" s="12"/>
      <c r="N998" s="12"/>
      <c r="O998" s="12"/>
      <c r="P998" s="12"/>
      <c r="Q998" s="12"/>
      <c r="R998" s="12"/>
      <c r="S998" s="12"/>
      <c r="T998" s="12"/>
      <c r="U998" s="12"/>
      <c r="V998" s="12"/>
      <c r="W998" s="12"/>
      <c r="X998" s="12"/>
      <c r="Y998" s="12"/>
      <c r="Z998" s="12"/>
    </row>
    <row r="999" customFormat="false" ht="15.75" hidden="false" customHeight="true" outlineLevel="0" collapsed="false">
      <c r="A999" s="12"/>
      <c r="B999" s="12"/>
      <c r="C999" s="12"/>
      <c r="D999" s="12"/>
      <c r="E999" s="12"/>
      <c r="F999" s="12"/>
      <c r="G999" s="12"/>
      <c r="H999" s="12"/>
      <c r="I999" s="12"/>
      <c r="J999" s="12"/>
      <c r="K999" s="12"/>
      <c r="L999" s="12"/>
      <c r="M999" s="12"/>
      <c r="N999" s="12"/>
      <c r="O999" s="12"/>
      <c r="P999" s="12"/>
      <c r="Q999" s="12"/>
      <c r="R999" s="12"/>
      <c r="S999" s="12"/>
      <c r="T999" s="12"/>
      <c r="U999" s="12"/>
      <c r="V999" s="12"/>
      <c r="W999" s="12"/>
      <c r="X999" s="12"/>
      <c r="Y999" s="12"/>
      <c r="Z999" s="12"/>
    </row>
    <row r="1000" customFormat="false" ht="15.75" hidden="false" customHeight="true" outlineLevel="0" collapsed="false">
      <c r="A1000" s="12"/>
      <c r="B1000" s="12"/>
      <c r="C1000" s="12"/>
      <c r="D1000" s="12"/>
      <c r="E1000" s="12"/>
      <c r="F1000" s="12"/>
      <c r="G1000" s="12"/>
      <c r="H1000" s="12"/>
      <c r="I1000" s="12"/>
      <c r="J1000" s="12"/>
      <c r="K1000" s="12"/>
      <c r="L1000" s="12"/>
      <c r="M1000" s="12"/>
      <c r="N1000" s="12"/>
      <c r="O1000" s="12"/>
      <c r="P1000" s="12"/>
      <c r="Q1000" s="12"/>
      <c r="R1000" s="12"/>
      <c r="S1000" s="12"/>
      <c r="T1000" s="12"/>
      <c r="U1000" s="12"/>
      <c r="V1000" s="12"/>
      <c r="W1000" s="12"/>
      <c r="X1000" s="12"/>
      <c r="Y1000" s="12"/>
      <c r="Z1000" s="12"/>
    </row>
  </sheetData>
  <printOptions headings="false" gridLines="false" gridLinesSet="true" horizontalCentered="false" verticalCentered="false"/>
  <pageMargins left="0.502777777777778" right="0.25" top="0.75" bottom="0.75" header="0.511811023622047" footer="0.511811023622047"/>
  <pageSetup paperSize="9" scale="100" fitToWidth="0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5703125" defaultRowHeight="15" zeroHeight="false" outlineLevelRow="0" outlineLevelCol="0"/>
  <cols>
    <col collapsed="false" customWidth="true" hidden="false" outlineLevel="0" max="1" min="1" style="1" width="12.14"/>
    <col collapsed="false" customWidth="true" hidden="false" outlineLevel="0" max="2" min="2" style="1" width="18.57"/>
    <col collapsed="false" customWidth="true" hidden="false" outlineLevel="0" max="3" min="3" style="1" width="31.42"/>
    <col collapsed="false" customWidth="true" hidden="false" outlineLevel="0" max="4" min="4" style="1" width="20.57"/>
    <col collapsed="false" customWidth="true" hidden="false" outlineLevel="0" max="5" min="5" style="1" width="20.85"/>
    <col collapsed="false" customWidth="true" hidden="false" outlineLevel="0" max="6" min="6" style="1" width="9.14"/>
    <col collapsed="false" customWidth="true" hidden="false" outlineLevel="0" max="26" min="7" style="1" width="8.57"/>
  </cols>
  <sheetData>
    <row r="1" customFormat="false" ht="39.75" hidden="false" customHeight="true" outlineLevel="0" collapsed="false">
      <c r="A1" s="21" t="s">
        <v>95</v>
      </c>
      <c r="B1" s="22" t="s">
        <v>96</v>
      </c>
      <c r="C1" s="22" t="s">
        <v>97</v>
      </c>
      <c r="D1" s="22" t="s">
        <v>8</v>
      </c>
      <c r="E1" s="24" t="s">
        <v>98</v>
      </c>
      <c r="F1" s="25"/>
      <c r="G1" s="25"/>
      <c r="H1" s="25"/>
      <c r="I1" s="25"/>
      <c r="J1" s="25"/>
      <c r="K1" s="25"/>
      <c r="L1" s="25"/>
      <c r="M1" s="25"/>
      <c r="N1" s="25"/>
      <c r="O1" s="25"/>
      <c r="P1" s="25"/>
      <c r="Q1" s="25"/>
      <c r="R1" s="25"/>
      <c r="S1" s="25"/>
      <c r="T1" s="25"/>
      <c r="U1" s="25"/>
      <c r="V1" s="25"/>
      <c r="W1" s="25"/>
      <c r="X1" s="25"/>
      <c r="Y1" s="25"/>
      <c r="Z1" s="25"/>
    </row>
    <row r="2" customFormat="false" ht="39.75" hidden="false" customHeight="true" outlineLevel="0" collapsed="false">
      <c r="A2" s="26" t="n">
        <v>0</v>
      </c>
      <c r="B2" s="60" t="n">
        <f aca="false">(26*A2-5*A2^2)/24</f>
        <v>0</v>
      </c>
      <c r="C2" s="27" t="str">
        <f aca="false">B2&amp;":1"</f>
        <v>0:1</v>
      </c>
      <c r="D2" s="27" t="s">
        <v>99</v>
      </c>
      <c r="E2" s="39" t="s">
        <v>31</v>
      </c>
      <c r="F2" s="25"/>
      <c r="G2" s="25"/>
      <c r="H2" s="25"/>
      <c r="I2" s="25"/>
      <c r="J2" s="25"/>
      <c r="K2" s="25"/>
      <c r="L2" s="25"/>
      <c r="M2" s="25"/>
      <c r="N2" s="25"/>
      <c r="O2" s="25"/>
      <c r="P2" s="25"/>
      <c r="Q2" s="25"/>
      <c r="R2" s="25"/>
      <c r="S2" s="25"/>
      <c r="T2" s="25"/>
      <c r="U2" s="25"/>
      <c r="V2" s="25"/>
      <c r="W2" s="25"/>
      <c r="X2" s="25"/>
      <c r="Y2" s="25"/>
      <c r="Z2" s="25"/>
    </row>
    <row r="3" customFormat="false" ht="39.75" hidden="false" customHeight="true" outlineLevel="0" collapsed="false">
      <c r="A3" s="26" t="n">
        <v>2</v>
      </c>
      <c r="B3" s="60" t="n">
        <f aca="false">(26*A3-5*A3^2)/24</f>
        <v>1.33333333333333</v>
      </c>
      <c r="C3" s="27" t="str">
        <f aca="false">B3&amp;":1"</f>
        <v>1.33333333333333:1</v>
      </c>
      <c r="D3" s="27" t="s">
        <v>100</v>
      </c>
      <c r="E3" s="39" t="s">
        <v>39</v>
      </c>
      <c r="F3" s="25"/>
      <c r="G3" s="25"/>
      <c r="H3" s="25"/>
      <c r="I3" s="25"/>
      <c r="J3" s="25"/>
      <c r="K3" s="25"/>
      <c r="L3" s="25"/>
      <c r="M3" s="25"/>
      <c r="N3" s="25"/>
      <c r="O3" s="25"/>
      <c r="P3" s="25"/>
      <c r="Q3" s="25"/>
      <c r="R3" s="25"/>
      <c r="S3" s="25"/>
      <c r="T3" s="25"/>
      <c r="U3" s="25"/>
      <c r="V3" s="25"/>
      <c r="W3" s="25"/>
      <c r="X3" s="25"/>
      <c r="Y3" s="25"/>
      <c r="Z3" s="25"/>
    </row>
    <row r="4" customFormat="false" ht="39.75" hidden="false" customHeight="true" outlineLevel="0" collapsed="false">
      <c r="A4" s="26" t="n">
        <v>4</v>
      </c>
      <c r="B4" s="60" t="n">
        <f aca="false">(26*A4-5*A4^2)/24</f>
        <v>1</v>
      </c>
      <c r="C4" s="27" t="str">
        <f aca="false">B4&amp;":1"</f>
        <v>1:1</v>
      </c>
      <c r="D4" s="27" t="s">
        <v>101</v>
      </c>
      <c r="E4" s="39" t="s">
        <v>33</v>
      </c>
      <c r="F4" s="25"/>
      <c r="G4" s="25"/>
      <c r="H4" s="25"/>
      <c r="I4" s="25"/>
      <c r="J4" s="25"/>
      <c r="K4" s="25"/>
      <c r="L4" s="25"/>
      <c r="M4" s="25"/>
      <c r="N4" s="25"/>
      <c r="O4" s="25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</row>
    <row r="5" customFormat="false" ht="39.75" hidden="false" customHeight="true" outlineLevel="0" collapsed="false">
      <c r="A5" s="26" t="n">
        <v>6</v>
      </c>
      <c r="B5" s="60" t="n">
        <f aca="false">(26*A5-5*A5^2)/24</f>
        <v>-1</v>
      </c>
      <c r="C5" s="27" t="str">
        <f aca="false">B5&amp;":1"</f>
        <v>-1:1</v>
      </c>
      <c r="D5" s="27" t="s">
        <v>102</v>
      </c>
      <c r="E5" s="39" t="s">
        <v>103</v>
      </c>
      <c r="F5" s="25"/>
      <c r="G5" s="25"/>
      <c r="H5" s="25"/>
      <c r="I5" s="25"/>
      <c r="J5" s="25"/>
      <c r="K5" s="25"/>
      <c r="L5" s="25"/>
      <c r="M5" s="25"/>
      <c r="N5" s="25"/>
      <c r="O5" s="25"/>
      <c r="P5" s="25"/>
      <c r="Q5" s="25"/>
      <c r="R5" s="25"/>
      <c r="S5" s="25"/>
      <c r="T5" s="25"/>
      <c r="U5" s="25"/>
      <c r="V5" s="25"/>
      <c r="W5" s="25"/>
      <c r="X5" s="25"/>
      <c r="Y5" s="25"/>
      <c r="Z5" s="25"/>
    </row>
    <row r="6" customFormat="false" ht="39.75" hidden="false" customHeight="true" outlineLevel="0" collapsed="false">
      <c r="A6" s="40" t="n">
        <v>8</v>
      </c>
      <c r="B6" s="61" t="n">
        <f aca="false">(26*A6-5*A6^2)/24</f>
        <v>-4.66666666666667</v>
      </c>
      <c r="C6" s="32" t="str">
        <f aca="false">B6&amp;":1"</f>
        <v>-4.66666666666667:1</v>
      </c>
      <c r="D6" s="32" t="s">
        <v>104</v>
      </c>
      <c r="E6" s="41" t="s">
        <v>105</v>
      </c>
      <c r="F6" s="25"/>
      <c r="G6" s="25"/>
      <c r="H6" s="25"/>
      <c r="I6" s="25"/>
      <c r="J6" s="25"/>
      <c r="K6" s="25"/>
      <c r="L6" s="25"/>
      <c r="M6" s="25"/>
      <c r="N6" s="25"/>
      <c r="O6" s="25"/>
      <c r="P6" s="25"/>
      <c r="Q6" s="25"/>
      <c r="R6" s="25"/>
      <c r="S6" s="25"/>
      <c r="T6" s="25"/>
      <c r="U6" s="25"/>
      <c r="V6" s="25"/>
      <c r="W6" s="25"/>
      <c r="X6" s="25"/>
      <c r="Y6" s="25"/>
      <c r="Z6" s="25"/>
    </row>
    <row r="7" customFormat="false" ht="18.75" hidden="false" customHeight="true" outlineLevel="0" collapsed="false">
      <c r="A7" s="25"/>
      <c r="B7" s="25"/>
      <c r="C7" s="25"/>
      <c r="D7" s="25"/>
      <c r="E7" s="25"/>
      <c r="F7" s="25"/>
      <c r="G7" s="25"/>
      <c r="H7" s="25"/>
      <c r="I7" s="25"/>
      <c r="J7" s="25"/>
      <c r="K7" s="25"/>
      <c r="L7" s="25"/>
      <c r="M7" s="25"/>
      <c r="N7" s="25"/>
      <c r="O7" s="25"/>
      <c r="P7" s="25"/>
      <c r="Q7" s="25"/>
      <c r="R7" s="25"/>
      <c r="S7" s="25"/>
      <c r="T7" s="25"/>
      <c r="U7" s="25"/>
      <c r="V7" s="25"/>
      <c r="W7" s="25"/>
      <c r="X7" s="25"/>
      <c r="Y7" s="25"/>
      <c r="Z7" s="25"/>
    </row>
    <row r="8" customFormat="false" ht="21.75" hidden="false" customHeight="true" outlineLevel="0" collapsed="false">
      <c r="A8" s="62" t="s">
        <v>106</v>
      </c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5"/>
      <c r="Q8" s="25"/>
      <c r="R8" s="25"/>
      <c r="S8" s="25"/>
      <c r="T8" s="25"/>
      <c r="U8" s="25"/>
      <c r="V8" s="25"/>
      <c r="W8" s="25"/>
      <c r="X8" s="25"/>
      <c r="Y8" s="25"/>
      <c r="Z8" s="25"/>
    </row>
    <row r="9" customFormat="false" ht="26.25" hidden="false" customHeight="true" outlineLevel="0" collapsed="false">
      <c r="A9" s="63" t="s">
        <v>107</v>
      </c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5"/>
      <c r="Q9" s="25"/>
      <c r="R9" s="25"/>
      <c r="S9" s="25"/>
      <c r="T9" s="25"/>
      <c r="U9" s="25"/>
      <c r="V9" s="25"/>
      <c r="W9" s="25"/>
      <c r="X9" s="25"/>
      <c r="Y9" s="25"/>
      <c r="Z9" s="25"/>
    </row>
    <row r="10" customFormat="false" ht="21.75" hidden="false" customHeight="true" outlineLevel="0" collapsed="false">
      <c r="A10" s="63" t="s">
        <v>108</v>
      </c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5"/>
      <c r="Q10" s="25"/>
      <c r="R10" s="25"/>
      <c r="S10" s="25"/>
      <c r="T10" s="25"/>
      <c r="U10" s="25"/>
      <c r="V10" s="25"/>
      <c r="W10" s="25"/>
      <c r="X10" s="25"/>
      <c r="Y10" s="25"/>
      <c r="Z10" s="25"/>
    </row>
    <row r="11" customFormat="false" ht="39.75" hidden="false" customHeight="true" outlineLevel="0" collapsed="false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5"/>
      <c r="Q11" s="25"/>
      <c r="R11" s="25"/>
      <c r="S11" s="25"/>
      <c r="T11" s="25"/>
      <c r="U11" s="25"/>
      <c r="V11" s="25"/>
      <c r="W11" s="25"/>
      <c r="X11" s="25"/>
      <c r="Y11" s="25"/>
      <c r="Z11" s="25"/>
    </row>
    <row r="12" customFormat="false" ht="39.75" hidden="false" customHeight="true" outlineLevel="0" collapsed="false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5"/>
      <c r="Q12" s="25"/>
      <c r="R12" s="25"/>
      <c r="S12" s="25"/>
      <c r="T12" s="25"/>
      <c r="U12" s="25"/>
      <c r="V12" s="25"/>
      <c r="W12" s="25"/>
      <c r="X12" s="25"/>
      <c r="Y12" s="25"/>
      <c r="Z12" s="25"/>
    </row>
    <row r="13" customFormat="false" ht="39.75" hidden="false" customHeight="true" outlineLevel="0" collapsed="false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5"/>
      <c r="Q13" s="25"/>
      <c r="R13" s="25"/>
      <c r="S13" s="25"/>
      <c r="T13" s="25"/>
      <c r="U13" s="25"/>
      <c r="V13" s="25"/>
      <c r="W13" s="25"/>
      <c r="X13" s="25"/>
      <c r="Y13" s="25"/>
      <c r="Z13" s="25"/>
    </row>
    <row r="14" customFormat="false" ht="39.75" hidden="false" customHeight="true" outlineLevel="0" collapsed="false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5"/>
      <c r="Q14" s="25"/>
      <c r="R14" s="25"/>
      <c r="S14" s="25"/>
      <c r="T14" s="25"/>
      <c r="U14" s="25"/>
      <c r="V14" s="25"/>
      <c r="W14" s="25"/>
      <c r="X14" s="25"/>
      <c r="Y14" s="25"/>
      <c r="Z14" s="25"/>
    </row>
    <row r="15" customFormat="false" ht="39.75" hidden="false" customHeight="true" outlineLevel="0" collapsed="false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5"/>
      <c r="Q15" s="25"/>
      <c r="R15" s="25"/>
      <c r="S15" s="25"/>
      <c r="T15" s="25"/>
      <c r="U15" s="25"/>
      <c r="V15" s="25"/>
      <c r="W15" s="25"/>
      <c r="X15" s="25"/>
      <c r="Y15" s="25"/>
      <c r="Z15" s="25"/>
    </row>
    <row r="16" customFormat="false" ht="39.75" hidden="false" customHeight="true" outlineLevel="0" collapsed="false">
      <c r="A16" s="25"/>
      <c r="B16" s="25"/>
      <c r="C16" s="25"/>
      <c r="D16" s="25"/>
      <c r="E16" s="25"/>
      <c r="F16" s="25"/>
      <c r="G16" s="25"/>
      <c r="H16" s="25"/>
      <c r="I16" s="25"/>
      <c r="J16" s="25"/>
      <c r="K16" s="25"/>
      <c r="L16" s="25"/>
      <c r="M16" s="25"/>
      <c r="N16" s="25"/>
      <c r="O16" s="25"/>
      <c r="P16" s="25"/>
      <c r="Q16" s="25"/>
      <c r="R16" s="25"/>
      <c r="S16" s="25"/>
      <c r="T16" s="25"/>
      <c r="U16" s="25"/>
      <c r="V16" s="25"/>
      <c r="W16" s="25"/>
      <c r="X16" s="25"/>
      <c r="Y16" s="25"/>
      <c r="Z16" s="25"/>
    </row>
    <row r="17" customFormat="false" ht="39.75" hidden="false" customHeight="true" outlineLevel="0" collapsed="false">
      <c r="A17" s="25"/>
      <c r="B17" s="25"/>
      <c r="C17" s="25"/>
      <c r="D17" s="25"/>
      <c r="E17" s="25"/>
      <c r="F17" s="25"/>
      <c r="G17" s="25"/>
      <c r="H17" s="25"/>
      <c r="I17" s="25"/>
      <c r="J17" s="25"/>
      <c r="K17" s="25"/>
      <c r="L17" s="25"/>
      <c r="M17" s="25"/>
      <c r="N17" s="25"/>
      <c r="O17" s="25"/>
      <c r="P17" s="25"/>
      <c r="Q17" s="25"/>
      <c r="R17" s="25"/>
      <c r="S17" s="25"/>
      <c r="T17" s="25"/>
      <c r="U17" s="25"/>
      <c r="V17" s="25"/>
      <c r="W17" s="25"/>
      <c r="X17" s="25"/>
      <c r="Y17" s="25"/>
      <c r="Z17" s="25"/>
    </row>
    <row r="18" customFormat="false" ht="39.75" hidden="false" customHeight="true" outlineLevel="0" collapsed="false">
      <c r="A18" s="25"/>
      <c r="B18" s="25"/>
      <c r="C18" s="25"/>
      <c r="D18" s="25"/>
      <c r="E18" s="25"/>
      <c r="F18" s="25"/>
      <c r="G18" s="25"/>
      <c r="H18" s="25"/>
      <c r="I18" s="25"/>
      <c r="J18" s="25"/>
      <c r="K18" s="25"/>
      <c r="L18" s="25"/>
      <c r="M18" s="25"/>
      <c r="N18" s="25"/>
      <c r="O18" s="25"/>
      <c r="P18" s="25"/>
      <c r="Q18" s="25"/>
      <c r="R18" s="25"/>
      <c r="S18" s="25"/>
      <c r="T18" s="25"/>
      <c r="U18" s="25"/>
      <c r="V18" s="25"/>
      <c r="W18" s="25"/>
      <c r="X18" s="25"/>
      <c r="Y18" s="25"/>
      <c r="Z18" s="25"/>
    </row>
    <row r="19" customFormat="false" ht="39.75" hidden="false" customHeight="true" outlineLevel="0" collapsed="false">
      <c r="A19" s="25"/>
      <c r="B19" s="25"/>
      <c r="C19" s="25"/>
      <c r="D19" s="25"/>
      <c r="E19" s="25"/>
      <c r="F19" s="25"/>
      <c r="G19" s="25"/>
      <c r="H19" s="25"/>
      <c r="I19" s="25"/>
      <c r="J19" s="25"/>
      <c r="K19" s="25"/>
      <c r="L19" s="25"/>
      <c r="M19" s="25"/>
      <c r="N19" s="25"/>
      <c r="O19" s="25"/>
      <c r="P19" s="25"/>
      <c r="Q19" s="25"/>
      <c r="R19" s="25"/>
      <c r="S19" s="25"/>
      <c r="T19" s="25"/>
      <c r="U19" s="25"/>
      <c r="V19" s="25"/>
      <c r="W19" s="25"/>
      <c r="X19" s="25"/>
      <c r="Y19" s="25"/>
      <c r="Z19" s="25"/>
    </row>
    <row r="20" customFormat="false" ht="39.75" hidden="false" customHeight="true" outlineLevel="0" collapsed="false">
      <c r="A20" s="25"/>
      <c r="B20" s="25"/>
      <c r="C20" s="25"/>
      <c r="D20" s="25"/>
      <c r="E20" s="25"/>
      <c r="F20" s="25"/>
      <c r="G20" s="25"/>
      <c r="H20" s="25"/>
      <c r="I20" s="25"/>
      <c r="J20" s="25"/>
      <c r="K20" s="25"/>
      <c r="L20" s="25"/>
      <c r="M20" s="25"/>
      <c r="N20" s="25"/>
      <c r="O20" s="25"/>
      <c r="P20" s="25"/>
      <c r="Q20" s="25"/>
      <c r="R20" s="25"/>
      <c r="S20" s="25"/>
      <c r="T20" s="25"/>
      <c r="U20" s="25"/>
      <c r="V20" s="25"/>
      <c r="W20" s="25"/>
      <c r="X20" s="25"/>
      <c r="Y20" s="25"/>
      <c r="Z20" s="25"/>
    </row>
    <row r="21" customFormat="false" ht="39.75" hidden="false" customHeight="true" outlineLevel="0" collapsed="false">
      <c r="A21" s="25"/>
      <c r="B21" s="25"/>
      <c r="C21" s="25"/>
      <c r="D21" s="25"/>
      <c r="E21" s="25"/>
      <c r="F21" s="25"/>
      <c r="G21" s="25"/>
      <c r="H21" s="25"/>
      <c r="I21" s="25"/>
      <c r="J21" s="25"/>
      <c r="K21" s="25"/>
      <c r="L21" s="25"/>
      <c r="M21" s="25"/>
      <c r="N21" s="25"/>
      <c r="O21" s="25"/>
      <c r="P21" s="25"/>
      <c r="Q21" s="25"/>
      <c r="R21" s="25"/>
      <c r="S21" s="25"/>
      <c r="T21" s="25"/>
      <c r="U21" s="25"/>
      <c r="V21" s="25"/>
      <c r="W21" s="25"/>
      <c r="X21" s="25"/>
      <c r="Y21" s="25"/>
      <c r="Z21" s="25"/>
    </row>
    <row r="22" customFormat="false" ht="39.75" hidden="false" customHeight="true" outlineLevel="0" collapsed="false">
      <c r="A22" s="25"/>
      <c r="B22" s="25"/>
      <c r="C22" s="25"/>
      <c r="D22" s="25"/>
      <c r="E22" s="25"/>
      <c r="F22" s="25"/>
      <c r="G22" s="25"/>
      <c r="H22" s="25"/>
      <c r="I22" s="25"/>
      <c r="J22" s="25"/>
      <c r="K22" s="25"/>
      <c r="L22" s="25"/>
      <c r="M22" s="25"/>
      <c r="N22" s="25"/>
      <c r="O22" s="25"/>
      <c r="P22" s="25"/>
      <c r="Q22" s="25"/>
      <c r="R22" s="25"/>
      <c r="S22" s="25"/>
      <c r="T22" s="25"/>
      <c r="U22" s="25"/>
      <c r="V22" s="25"/>
      <c r="W22" s="25"/>
      <c r="X22" s="25"/>
      <c r="Y22" s="25"/>
      <c r="Z22" s="25"/>
    </row>
    <row r="23" customFormat="false" ht="39.75" hidden="false" customHeight="true" outlineLevel="0" collapsed="false">
      <c r="A23" s="25"/>
      <c r="B23" s="25"/>
      <c r="C23" s="25"/>
      <c r="D23" s="25"/>
      <c r="E23" s="25"/>
      <c r="F23" s="25"/>
      <c r="G23" s="25"/>
      <c r="H23" s="25"/>
      <c r="I23" s="25"/>
      <c r="J23" s="25"/>
      <c r="K23" s="25"/>
      <c r="L23" s="25"/>
      <c r="M23" s="25"/>
      <c r="N23" s="25"/>
      <c r="O23" s="25"/>
      <c r="P23" s="25"/>
      <c r="Q23" s="25"/>
      <c r="R23" s="25"/>
      <c r="S23" s="25"/>
      <c r="T23" s="25"/>
      <c r="U23" s="25"/>
      <c r="V23" s="25"/>
      <c r="W23" s="25"/>
      <c r="X23" s="25"/>
      <c r="Y23" s="25"/>
      <c r="Z23" s="25"/>
    </row>
    <row r="24" customFormat="false" ht="39.75" hidden="false" customHeight="true" outlineLevel="0" collapsed="false">
      <c r="A24" s="25"/>
      <c r="B24" s="25"/>
      <c r="C24" s="25"/>
      <c r="D24" s="25"/>
      <c r="E24" s="25"/>
      <c r="F24" s="25"/>
      <c r="G24" s="25"/>
      <c r="H24" s="25"/>
      <c r="I24" s="25"/>
      <c r="J24" s="25"/>
      <c r="K24" s="25"/>
      <c r="L24" s="25"/>
      <c r="M24" s="25"/>
      <c r="N24" s="25"/>
      <c r="O24" s="25"/>
      <c r="P24" s="25"/>
      <c r="Q24" s="25"/>
      <c r="R24" s="25"/>
      <c r="S24" s="25"/>
      <c r="T24" s="25"/>
      <c r="U24" s="25"/>
      <c r="V24" s="25"/>
      <c r="W24" s="25"/>
      <c r="X24" s="25"/>
      <c r="Y24" s="25"/>
      <c r="Z24" s="25"/>
    </row>
    <row r="25" customFormat="false" ht="39.75" hidden="false" customHeight="true" outlineLevel="0" collapsed="false">
      <c r="A25" s="25"/>
      <c r="B25" s="25"/>
      <c r="C25" s="25"/>
      <c r="D25" s="25"/>
      <c r="E25" s="25"/>
      <c r="F25" s="25"/>
      <c r="G25" s="25"/>
      <c r="H25" s="25"/>
      <c r="I25" s="25"/>
      <c r="J25" s="25"/>
      <c r="K25" s="25"/>
      <c r="L25" s="25"/>
      <c r="M25" s="25"/>
      <c r="N25" s="25"/>
      <c r="O25" s="25"/>
      <c r="P25" s="25"/>
      <c r="Q25" s="25"/>
      <c r="R25" s="25"/>
      <c r="S25" s="25"/>
      <c r="T25" s="25"/>
      <c r="U25" s="25"/>
      <c r="V25" s="25"/>
      <c r="W25" s="25"/>
      <c r="X25" s="25"/>
      <c r="Y25" s="25"/>
      <c r="Z25" s="25"/>
    </row>
    <row r="26" customFormat="false" ht="39.75" hidden="false" customHeight="true" outlineLevel="0" collapsed="false">
      <c r="A26" s="25"/>
      <c r="B26" s="25"/>
      <c r="C26" s="25"/>
      <c r="D26" s="25"/>
      <c r="E26" s="25"/>
      <c r="F26" s="25"/>
      <c r="G26" s="25"/>
      <c r="H26" s="25"/>
      <c r="I26" s="25"/>
      <c r="J26" s="25"/>
      <c r="K26" s="25"/>
      <c r="L26" s="25"/>
      <c r="M26" s="25"/>
      <c r="N26" s="25"/>
      <c r="O26" s="25"/>
      <c r="P26" s="25"/>
      <c r="Q26" s="25"/>
      <c r="R26" s="25"/>
      <c r="S26" s="25"/>
      <c r="T26" s="25"/>
      <c r="U26" s="25"/>
      <c r="V26" s="25"/>
      <c r="W26" s="25"/>
      <c r="X26" s="25"/>
      <c r="Y26" s="25"/>
      <c r="Z26" s="25"/>
    </row>
    <row r="27" customFormat="false" ht="39.75" hidden="false" customHeight="true" outlineLevel="0" collapsed="false">
      <c r="A27" s="25"/>
      <c r="B27" s="25"/>
      <c r="C27" s="25"/>
      <c r="D27" s="25"/>
      <c r="E27" s="25"/>
      <c r="F27" s="25"/>
      <c r="G27" s="25"/>
      <c r="H27" s="25"/>
      <c r="I27" s="25"/>
      <c r="J27" s="25"/>
      <c r="K27" s="25"/>
      <c r="L27" s="25"/>
      <c r="M27" s="25"/>
      <c r="N27" s="25"/>
      <c r="O27" s="25"/>
      <c r="P27" s="25"/>
      <c r="Q27" s="25"/>
      <c r="R27" s="25"/>
      <c r="S27" s="25"/>
      <c r="T27" s="25"/>
      <c r="U27" s="25"/>
      <c r="V27" s="25"/>
      <c r="W27" s="25"/>
      <c r="X27" s="25"/>
      <c r="Y27" s="25"/>
      <c r="Z27" s="25"/>
    </row>
    <row r="28" customFormat="false" ht="39.75" hidden="false" customHeight="true" outlineLevel="0" collapsed="false">
      <c r="A28" s="25"/>
      <c r="B28" s="25"/>
      <c r="C28" s="25"/>
      <c r="D28" s="25"/>
      <c r="E28" s="25"/>
      <c r="F28" s="25"/>
      <c r="G28" s="25"/>
      <c r="H28" s="25"/>
      <c r="I28" s="25"/>
      <c r="J28" s="25"/>
      <c r="K28" s="25"/>
      <c r="L28" s="25"/>
      <c r="M28" s="25"/>
      <c r="N28" s="25"/>
      <c r="O28" s="25"/>
      <c r="P28" s="25"/>
      <c r="Q28" s="25"/>
      <c r="R28" s="25"/>
      <c r="S28" s="25"/>
      <c r="T28" s="25"/>
      <c r="U28" s="25"/>
      <c r="V28" s="25"/>
      <c r="W28" s="25"/>
      <c r="X28" s="25"/>
      <c r="Y28" s="25"/>
      <c r="Z28" s="25"/>
    </row>
    <row r="29" customFormat="false" ht="39.75" hidden="false" customHeight="true" outlineLevel="0" collapsed="false">
      <c r="A29" s="25"/>
      <c r="B29" s="25"/>
      <c r="C29" s="25"/>
      <c r="D29" s="25"/>
      <c r="E29" s="25"/>
      <c r="F29" s="25"/>
      <c r="G29" s="25"/>
      <c r="H29" s="25"/>
      <c r="I29" s="25"/>
      <c r="J29" s="25"/>
      <c r="K29" s="25"/>
      <c r="L29" s="25"/>
      <c r="M29" s="25"/>
      <c r="N29" s="25"/>
      <c r="O29" s="25"/>
      <c r="P29" s="25"/>
      <c r="Q29" s="25"/>
      <c r="R29" s="25"/>
      <c r="S29" s="25"/>
      <c r="T29" s="25"/>
      <c r="U29" s="25"/>
      <c r="V29" s="25"/>
      <c r="W29" s="25"/>
      <c r="X29" s="25"/>
      <c r="Y29" s="25"/>
      <c r="Z29" s="25"/>
    </row>
    <row r="30" customFormat="false" ht="39.75" hidden="false" customHeight="true" outlineLevel="0" collapsed="false">
      <c r="A30" s="25"/>
      <c r="B30" s="25"/>
      <c r="C30" s="25"/>
      <c r="D30" s="25"/>
      <c r="E30" s="25"/>
      <c r="F30" s="25"/>
      <c r="G30" s="25"/>
      <c r="H30" s="25"/>
      <c r="I30" s="25"/>
      <c r="J30" s="25"/>
      <c r="K30" s="25"/>
      <c r="L30" s="25"/>
      <c r="M30" s="25"/>
      <c r="N30" s="25"/>
      <c r="O30" s="25"/>
      <c r="P30" s="25"/>
      <c r="Q30" s="25"/>
      <c r="R30" s="25"/>
      <c r="S30" s="25"/>
      <c r="T30" s="25"/>
      <c r="U30" s="25"/>
      <c r="V30" s="25"/>
      <c r="W30" s="25"/>
      <c r="X30" s="25"/>
      <c r="Y30" s="25"/>
      <c r="Z30" s="25"/>
    </row>
    <row r="31" customFormat="false" ht="39.75" hidden="false" customHeight="true" outlineLevel="0" collapsed="false">
      <c r="A31" s="25"/>
      <c r="B31" s="25"/>
      <c r="C31" s="25"/>
      <c r="D31" s="25"/>
      <c r="E31" s="25"/>
      <c r="F31" s="25"/>
      <c r="G31" s="25"/>
      <c r="H31" s="25"/>
      <c r="I31" s="25"/>
      <c r="J31" s="25"/>
      <c r="K31" s="25"/>
      <c r="L31" s="25"/>
      <c r="M31" s="25"/>
      <c r="N31" s="25"/>
      <c r="O31" s="25"/>
      <c r="P31" s="25"/>
      <c r="Q31" s="25"/>
      <c r="R31" s="25"/>
      <c r="S31" s="25"/>
      <c r="T31" s="25"/>
      <c r="U31" s="25"/>
      <c r="V31" s="25"/>
      <c r="W31" s="25"/>
      <c r="X31" s="25"/>
      <c r="Y31" s="25"/>
      <c r="Z31" s="25"/>
    </row>
    <row r="32" customFormat="false" ht="39.75" hidden="false" customHeight="true" outlineLevel="0" collapsed="false">
      <c r="A32" s="25"/>
      <c r="B32" s="25"/>
      <c r="C32" s="25"/>
      <c r="D32" s="25"/>
      <c r="E32" s="25"/>
      <c r="F32" s="25"/>
      <c r="G32" s="25"/>
      <c r="H32" s="25"/>
      <c r="I32" s="25"/>
      <c r="J32" s="25"/>
      <c r="K32" s="25"/>
      <c r="L32" s="25"/>
      <c r="M32" s="25"/>
      <c r="N32" s="25"/>
      <c r="O32" s="25"/>
      <c r="P32" s="25"/>
      <c r="Q32" s="25"/>
      <c r="R32" s="25"/>
      <c r="S32" s="25"/>
      <c r="T32" s="25"/>
      <c r="U32" s="25"/>
      <c r="V32" s="25"/>
      <c r="W32" s="25"/>
      <c r="X32" s="25"/>
      <c r="Y32" s="25"/>
      <c r="Z32" s="25"/>
    </row>
    <row r="33" customFormat="false" ht="39.75" hidden="false" customHeight="true" outlineLevel="0" collapsed="false">
      <c r="A33" s="25"/>
      <c r="B33" s="25"/>
      <c r="C33" s="25"/>
      <c r="D33" s="25"/>
      <c r="E33" s="25"/>
      <c r="F33" s="25"/>
      <c r="G33" s="25"/>
      <c r="H33" s="25"/>
      <c r="I33" s="25"/>
      <c r="J33" s="25"/>
      <c r="K33" s="25"/>
      <c r="L33" s="25"/>
      <c r="M33" s="25"/>
      <c r="N33" s="25"/>
      <c r="O33" s="25"/>
      <c r="P33" s="25"/>
      <c r="Q33" s="25"/>
      <c r="R33" s="25"/>
      <c r="S33" s="25"/>
      <c r="T33" s="25"/>
      <c r="U33" s="25"/>
      <c r="V33" s="25"/>
      <c r="W33" s="25"/>
      <c r="X33" s="25"/>
      <c r="Y33" s="25"/>
      <c r="Z33" s="25"/>
    </row>
    <row r="34" customFormat="false" ht="39.75" hidden="false" customHeight="true" outlineLevel="0" collapsed="false">
      <c r="A34" s="25"/>
      <c r="B34" s="25"/>
      <c r="C34" s="25"/>
      <c r="D34" s="25"/>
      <c r="E34" s="25"/>
      <c r="F34" s="25"/>
      <c r="G34" s="25"/>
      <c r="H34" s="25"/>
      <c r="I34" s="25"/>
      <c r="J34" s="25"/>
      <c r="K34" s="25"/>
      <c r="L34" s="25"/>
      <c r="M34" s="25"/>
      <c r="N34" s="25"/>
      <c r="O34" s="25"/>
      <c r="P34" s="25"/>
      <c r="Q34" s="25"/>
      <c r="R34" s="25"/>
      <c r="S34" s="25"/>
      <c r="T34" s="25"/>
      <c r="U34" s="25"/>
      <c r="V34" s="25"/>
      <c r="W34" s="25"/>
      <c r="X34" s="25"/>
      <c r="Y34" s="25"/>
      <c r="Z34" s="25"/>
    </row>
    <row r="35" customFormat="false" ht="39.75" hidden="false" customHeight="true" outlineLevel="0" collapsed="false">
      <c r="A35" s="25"/>
      <c r="B35" s="25"/>
      <c r="C35" s="25"/>
      <c r="D35" s="25"/>
      <c r="E35" s="25"/>
      <c r="F35" s="25"/>
      <c r="G35" s="25"/>
      <c r="H35" s="25"/>
      <c r="I35" s="25"/>
      <c r="J35" s="25"/>
      <c r="K35" s="25"/>
      <c r="L35" s="25"/>
      <c r="M35" s="25"/>
      <c r="N35" s="25"/>
      <c r="O35" s="25"/>
      <c r="P35" s="25"/>
      <c r="Q35" s="25"/>
      <c r="R35" s="25"/>
      <c r="S35" s="25"/>
      <c r="T35" s="25"/>
      <c r="U35" s="25"/>
      <c r="V35" s="25"/>
      <c r="W35" s="25"/>
      <c r="X35" s="25"/>
      <c r="Y35" s="25"/>
      <c r="Z35" s="25"/>
    </row>
    <row r="36" customFormat="false" ht="39.75" hidden="false" customHeight="true" outlineLevel="0" collapsed="false">
      <c r="A36" s="25"/>
      <c r="B36" s="25"/>
      <c r="C36" s="25"/>
      <c r="D36" s="25"/>
      <c r="E36" s="25"/>
      <c r="F36" s="25"/>
      <c r="G36" s="25"/>
      <c r="H36" s="25"/>
      <c r="I36" s="25"/>
      <c r="J36" s="25"/>
      <c r="K36" s="25"/>
      <c r="L36" s="25"/>
      <c r="M36" s="25"/>
      <c r="N36" s="25"/>
      <c r="O36" s="25"/>
      <c r="P36" s="25"/>
      <c r="Q36" s="25"/>
      <c r="R36" s="25"/>
      <c r="S36" s="25"/>
      <c r="T36" s="25"/>
      <c r="U36" s="25"/>
      <c r="V36" s="25"/>
      <c r="W36" s="25"/>
      <c r="X36" s="25"/>
      <c r="Y36" s="25"/>
      <c r="Z36" s="25"/>
    </row>
    <row r="37" customFormat="false" ht="39.75" hidden="false" customHeight="true" outlineLevel="0" collapsed="false">
      <c r="A37" s="25"/>
      <c r="B37" s="25"/>
      <c r="C37" s="25"/>
      <c r="D37" s="25"/>
      <c r="E37" s="25"/>
      <c r="F37" s="25"/>
      <c r="G37" s="25"/>
      <c r="H37" s="25"/>
      <c r="I37" s="25"/>
      <c r="J37" s="25"/>
      <c r="K37" s="25"/>
      <c r="L37" s="25"/>
      <c r="M37" s="25"/>
      <c r="N37" s="25"/>
      <c r="O37" s="25"/>
      <c r="P37" s="25"/>
      <c r="Q37" s="25"/>
      <c r="R37" s="25"/>
      <c r="S37" s="25"/>
      <c r="T37" s="25"/>
      <c r="U37" s="25"/>
      <c r="V37" s="25"/>
      <c r="W37" s="25"/>
      <c r="X37" s="25"/>
      <c r="Y37" s="25"/>
      <c r="Z37" s="25"/>
    </row>
    <row r="38" customFormat="false" ht="39.75" hidden="false" customHeight="true" outlineLevel="0" collapsed="false">
      <c r="A38" s="25"/>
      <c r="B38" s="25"/>
      <c r="C38" s="25"/>
      <c r="D38" s="25"/>
      <c r="E38" s="25"/>
      <c r="F38" s="25"/>
      <c r="G38" s="25"/>
      <c r="H38" s="25"/>
      <c r="I38" s="25"/>
      <c r="J38" s="25"/>
      <c r="K38" s="25"/>
      <c r="L38" s="25"/>
      <c r="M38" s="25"/>
      <c r="N38" s="25"/>
      <c r="O38" s="25"/>
      <c r="P38" s="25"/>
      <c r="Q38" s="25"/>
      <c r="R38" s="25"/>
      <c r="S38" s="25"/>
      <c r="T38" s="25"/>
      <c r="U38" s="25"/>
      <c r="V38" s="25"/>
      <c r="W38" s="25"/>
      <c r="X38" s="25"/>
      <c r="Y38" s="25"/>
      <c r="Z38" s="25"/>
    </row>
    <row r="39" customFormat="false" ht="39.75" hidden="false" customHeight="true" outlineLevel="0" collapsed="false">
      <c r="A39" s="25"/>
      <c r="B39" s="25"/>
      <c r="C39" s="25"/>
      <c r="D39" s="25"/>
      <c r="E39" s="25"/>
      <c r="F39" s="25"/>
      <c r="G39" s="25"/>
      <c r="H39" s="25"/>
      <c r="I39" s="25"/>
      <c r="J39" s="25"/>
      <c r="K39" s="25"/>
      <c r="L39" s="25"/>
      <c r="M39" s="25"/>
      <c r="N39" s="25"/>
      <c r="O39" s="25"/>
      <c r="P39" s="25"/>
      <c r="Q39" s="25"/>
      <c r="R39" s="25"/>
      <c r="S39" s="25"/>
      <c r="T39" s="25"/>
      <c r="U39" s="25"/>
      <c r="V39" s="25"/>
      <c r="W39" s="25"/>
      <c r="X39" s="25"/>
      <c r="Y39" s="25"/>
      <c r="Z39" s="25"/>
    </row>
    <row r="40" customFormat="false" ht="39.75" hidden="false" customHeight="true" outlineLevel="0" collapsed="false">
      <c r="A40" s="25"/>
      <c r="B40" s="25"/>
      <c r="C40" s="25"/>
      <c r="D40" s="25"/>
      <c r="E40" s="25"/>
      <c r="F40" s="25"/>
      <c r="G40" s="25"/>
      <c r="H40" s="25"/>
      <c r="I40" s="25"/>
      <c r="J40" s="25"/>
      <c r="K40" s="25"/>
      <c r="L40" s="25"/>
      <c r="M40" s="25"/>
      <c r="N40" s="25"/>
      <c r="O40" s="25"/>
      <c r="P40" s="25"/>
      <c r="Q40" s="25"/>
      <c r="R40" s="25"/>
      <c r="S40" s="25"/>
      <c r="T40" s="25"/>
      <c r="U40" s="25"/>
      <c r="V40" s="25"/>
      <c r="W40" s="25"/>
      <c r="X40" s="25"/>
      <c r="Y40" s="25"/>
      <c r="Z40" s="25"/>
    </row>
    <row r="41" customFormat="false" ht="39.75" hidden="false" customHeight="true" outlineLevel="0" collapsed="false">
      <c r="A41" s="25"/>
      <c r="B41" s="25"/>
      <c r="C41" s="25"/>
      <c r="D41" s="25"/>
      <c r="E41" s="25"/>
      <c r="F41" s="25"/>
      <c r="G41" s="25"/>
      <c r="H41" s="25"/>
      <c r="I41" s="25"/>
      <c r="J41" s="25"/>
      <c r="K41" s="25"/>
      <c r="L41" s="25"/>
      <c r="M41" s="25"/>
      <c r="N41" s="25"/>
      <c r="O41" s="25"/>
      <c r="P41" s="25"/>
      <c r="Q41" s="25"/>
      <c r="R41" s="25"/>
      <c r="S41" s="25"/>
      <c r="T41" s="25"/>
      <c r="U41" s="25"/>
      <c r="V41" s="25"/>
      <c r="W41" s="25"/>
      <c r="X41" s="25"/>
      <c r="Y41" s="25"/>
      <c r="Z41" s="25"/>
    </row>
    <row r="42" customFormat="false" ht="39.75" hidden="false" customHeight="true" outlineLevel="0" collapsed="false">
      <c r="A42" s="25"/>
      <c r="B42" s="25"/>
      <c r="C42" s="25"/>
      <c r="D42" s="25"/>
      <c r="E42" s="25"/>
      <c r="F42" s="25"/>
      <c r="G42" s="25"/>
      <c r="H42" s="25"/>
      <c r="I42" s="25"/>
      <c r="J42" s="25"/>
      <c r="K42" s="25"/>
      <c r="L42" s="25"/>
      <c r="M42" s="25"/>
      <c r="N42" s="25"/>
      <c r="O42" s="25"/>
      <c r="P42" s="25"/>
      <c r="Q42" s="25"/>
      <c r="R42" s="25"/>
      <c r="S42" s="25"/>
      <c r="T42" s="25"/>
      <c r="U42" s="25"/>
      <c r="V42" s="25"/>
      <c r="W42" s="25"/>
      <c r="X42" s="25"/>
      <c r="Y42" s="25"/>
      <c r="Z42" s="25"/>
    </row>
    <row r="43" customFormat="false" ht="39.75" hidden="false" customHeight="true" outlineLevel="0" collapsed="false">
      <c r="A43" s="25"/>
      <c r="B43" s="25"/>
      <c r="C43" s="25"/>
      <c r="D43" s="25"/>
      <c r="E43" s="25"/>
      <c r="F43" s="25"/>
      <c r="G43" s="25"/>
      <c r="H43" s="25"/>
      <c r="I43" s="25"/>
      <c r="J43" s="25"/>
      <c r="K43" s="25"/>
      <c r="L43" s="25"/>
      <c r="M43" s="25"/>
      <c r="N43" s="25"/>
      <c r="O43" s="25"/>
      <c r="P43" s="25"/>
      <c r="Q43" s="25"/>
      <c r="R43" s="25"/>
      <c r="S43" s="25"/>
      <c r="T43" s="25"/>
      <c r="U43" s="25"/>
      <c r="V43" s="25"/>
      <c r="W43" s="25"/>
      <c r="X43" s="25"/>
      <c r="Y43" s="25"/>
      <c r="Z43" s="25"/>
    </row>
    <row r="44" customFormat="false" ht="39.75" hidden="false" customHeight="true" outlineLevel="0" collapsed="false">
      <c r="A44" s="25"/>
      <c r="B44" s="25"/>
      <c r="C44" s="25"/>
      <c r="D44" s="25"/>
      <c r="E44" s="25"/>
      <c r="F44" s="25"/>
      <c r="G44" s="25"/>
      <c r="H44" s="25"/>
      <c r="I44" s="25"/>
      <c r="J44" s="25"/>
      <c r="K44" s="25"/>
      <c r="L44" s="25"/>
      <c r="M44" s="25"/>
      <c r="N44" s="25"/>
      <c r="O44" s="25"/>
      <c r="P44" s="25"/>
      <c r="Q44" s="25"/>
      <c r="R44" s="25"/>
      <c r="S44" s="25"/>
      <c r="T44" s="25"/>
      <c r="U44" s="25"/>
      <c r="V44" s="25"/>
      <c r="W44" s="25"/>
      <c r="X44" s="25"/>
      <c r="Y44" s="25"/>
      <c r="Z44" s="25"/>
    </row>
    <row r="45" customFormat="false" ht="39.75" hidden="false" customHeight="true" outlineLevel="0" collapsed="false">
      <c r="A45" s="25"/>
      <c r="B45" s="25"/>
      <c r="C45" s="25"/>
      <c r="D45" s="25"/>
      <c r="E45" s="25"/>
      <c r="F45" s="25"/>
      <c r="G45" s="25"/>
      <c r="H45" s="25"/>
      <c r="I45" s="25"/>
      <c r="J45" s="25"/>
      <c r="K45" s="25"/>
      <c r="L45" s="25"/>
      <c r="M45" s="25"/>
      <c r="N45" s="25"/>
      <c r="O45" s="25"/>
      <c r="P45" s="25"/>
      <c r="Q45" s="25"/>
      <c r="R45" s="25"/>
      <c r="S45" s="25"/>
      <c r="T45" s="25"/>
      <c r="U45" s="25"/>
      <c r="V45" s="25"/>
      <c r="W45" s="25"/>
      <c r="X45" s="25"/>
      <c r="Y45" s="25"/>
      <c r="Z45" s="25"/>
    </row>
    <row r="46" customFormat="false" ht="39.75" hidden="false" customHeight="true" outlineLevel="0" collapsed="false">
      <c r="A46" s="25"/>
      <c r="B46" s="25"/>
      <c r="C46" s="25"/>
      <c r="D46" s="25"/>
      <c r="E46" s="25"/>
      <c r="F46" s="25"/>
      <c r="G46" s="25"/>
      <c r="H46" s="25"/>
      <c r="I46" s="25"/>
      <c r="J46" s="25"/>
      <c r="K46" s="25"/>
      <c r="L46" s="25"/>
      <c r="M46" s="25"/>
      <c r="N46" s="25"/>
      <c r="O46" s="25"/>
      <c r="P46" s="25"/>
      <c r="Q46" s="25"/>
      <c r="R46" s="25"/>
      <c r="S46" s="25"/>
      <c r="T46" s="25"/>
      <c r="U46" s="25"/>
      <c r="V46" s="25"/>
      <c r="W46" s="25"/>
      <c r="X46" s="25"/>
      <c r="Y46" s="25"/>
      <c r="Z46" s="25"/>
    </row>
    <row r="47" customFormat="false" ht="39.75" hidden="false" customHeight="true" outlineLevel="0" collapsed="false">
      <c r="A47" s="25"/>
      <c r="B47" s="25"/>
      <c r="C47" s="25"/>
      <c r="D47" s="25"/>
      <c r="E47" s="25"/>
      <c r="F47" s="25"/>
      <c r="G47" s="25"/>
      <c r="H47" s="25"/>
      <c r="I47" s="25"/>
      <c r="J47" s="25"/>
      <c r="K47" s="25"/>
      <c r="L47" s="25"/>
      <c r="M47" s="25"/>
      <c r="N47" s="25"/>
      <c r="O47" s="25"/>
      <c r="P47" s="25"/>
      <c r="Q47" s="25"/>
      <c r="R47" s="25"/>
      <c r="S47" s="25"/>
      <c r="T47" s="25"/>
      <c r="U47" s="25"/>
      <c r="V47" s="25"/>
      <c r="W47" s="25"/>
      <c r="X47" s="25"/>
      <c r="Y47" s="25"/>
      <c r="Z47" s="25"/>
    </row>
    <row r="48" customFormat="false" ht="39.75" hidden="false" customHeight="true" outlineLevel="0" collapsed="false">
      <c r="A48" s="25"/>
      <c r="B48" s="25"/>
      <c r="C48" s="25"/>
      <c r="D48" s="25"/>
      <c r="E48" s="25"/>
      <c r="F48" s="25"/>
      <c r="G48" s="25"/>
      <c r="H48" s="25"/>
      <c r="I48" s="25"/>
      <c r="J48" s="25"/>
      <c r="K48" s="25"/>
      <c r="L48" s="25"/>
      <c r="M48" s="25"/>
      <c r="N48" s="25"/>
      <c r="O48" s="25"/>
      <c r="P48" s="25"/>
      <c r="Q48" s="25"/>
      <c r="R48" s="25"/>
      <c r="S48" s="25"/>
      <c r="T48" s="25"/>
      <c r="U48" s="25"/>
      <c r="V48" s="25"/>
      <c r="W48" s="25"/>
      <c r="X48" s="25"/>
      <c r="Y48" s="25"/>
      <c r="Z48" s="25"/>
    </row>
    <row r="49" customFormat="false" ht="39.75" hidden="false" customHeight="true" outlineLevel="0" collapsed="false">
      <c r="A49" s="25"/>
      <c r="B49" s="25"/>
      <c r="C49" s="25"/>
      <c r="D49" s="25"/>
      <c r="E49" s="25"/>
      <c r="F49" s="25"/>
      <c r="G49" s="25"/>
      <c r="H49" s="25"/>
      <c r="I49" s="25"/>
      <c r="J49" s="25"/>
      <c r="K49" s="25"/>
      <c r="L49" s="25"/>
      <c r="M49" s="25"/>
      <c r="N49" s="25"/>
      <c r="O49" s="25"/>
      <c r="P49" s="25"/>
      <c r="Q49" s="25"/>
      <c r="R49" s="25"/>
      <c r="S49" s="25"/>
      <c r="T49" s="25"/>
      <c r="U49" s="25"/>
      <c r="V49" s="25"/>
      <c r="W49" s="25"/>
      <c r="X49" s="25"/>
      <c r="Y49" s="25"/>
      <c r="Z49" s="25"/>
    </row>
    <row r="50" customFormat="false" ht="39.75" hidden="false" customHeight="true" outlineLevel="0" collapsed="false">
      <c r="A50" s="25"/>
      <c r="B50" s="25"/>
      <c r="C50" s="25"/>
      <c r="D50" s="25"/>
      <c r="E50" s="25"/>
      <c r="F50" s="25"/>
      <c r="G50" s="25"/>
      <c r="H50" s="25"/>
      <c r="I50" s="25"/>
      <c r="J50" s="25"/>
      <c r="K50" s="25"/>
      <c r="L50" s="25"/>
      <c r="M50" s="25"/>
      <c r="N50" s="25"/>
      <c r="O50" s="25"/>
      <c r="P50" s="25"/>
      <c r="Q50" s="25"/>
      <c r="R50" s="25"/>
      <c r="S50" s="25"/>
      <c r="T50" s="25"/>
      <c r="U50" s="25"/>
      <c r="V50" s="25"/>
      <c r="W50" s="25"/>
      <c r="X50" s="25"/>
      <c r="Y50" s="25"/>
      <c r="Z50" s="25"/>
    </row>
    <row r="51" customFormat="false" ht="39.75" hidden="false" customHeight="true" outlineLevel="0" collapsed="false">
      <c r="A51" s="25"/>
      <c r="B51" s="25"/>
      <c r="C51" s="25"/>
      <c r="D51" s="25"/>
      <c r="E51" s="25"/>
      <c r="F51" s="25"/>
      <c r="G51" s="25"/>
      <c r="H51" s="25"/>
      <c r="I51" s="25"/>
      <c r="J51" s="25"/>
      <c r="K51" s="25"/>
      <c r="L51" s="25"/>
      <c r="M51" s="25"/>
      <c r="N51" s="25"/>
      <c r="O51" s="25"/>
      <c r="P51" s="25"/>
      <c r="Q51" s="25"/>
      <c r="R51" s="25"/>
      <c r="S51" s="25"/>
      <c r="T51" s="25"/>
      <c r="U51" s="25"/>
      <c r="V51" s="25"/>
      <c r="W51" s="25"/>
      <c r="X51" s="25"/>
      <c r="Y51" s="25"/>
      <c r="Z51" s="25"/>
    </row>
    <row r="52" customFormat="false" ht="39.75" hidden="false" customHeight="true" outlineLevel="0" collapsed="false">
      <c r="A52" s="25"/>
      <c r="B52" s="25"/>
      <c r="C52" s="25"/>
      <c r="D52" s="25"/>
      <c r="E52" s="25"/>
      <c r="F52" s="25"/>
      <c r="G52" s="25"/>
      <c r="H52" s="25"/>
      <c r="I52" s="25"/>
      <c r="J52" s="25"/>
      <c r="K52" s="25"/>
      <c r="L52" s="25"/>
      <c r="M52" s="25"/>
      <c r="N52" s="25"/>
      <c r="O52" s="25"/>
      <c r="P52" s="25"/>
      <c r="Q52" s="25"/>
      <c r="R52" s="25"/>
      <c r="S52" s="25"/>
      <c r="T52" s="25"/>
      <c r="U52" s="25"/>
      <c r="V52" s="25"/>
      <c r="W52" s="25"/>
      <c r="X52" s="25"/>
      <c r="Y52" s="25"/>
      <c r="Z52" s="25"/>
    </row>
    <row r="53" customFormat="false" ht="39.75" hidden="false" customHeight="true" outlineLevel="0" collapsed="false">
      <c r="A53" s="25"/>
      <c r="B53" s="25"/>
      <c r="C53" s="25"/>
      <c r="D53" s="25"/>
      <c r="E53" s="25"/>
      <c r="F53" s="25"/>
      <c r="G53" s="25"/>
      <c r="H53" s="25"/>
      <c r="I53" s="25"/>
      <c r="J53" s="25"/>
      <c r="K53" s="25"/>
      <c r="L53" s="25"/>
      <c r="M53" s="25"/>
      <c r="N53" s="25"/>
      <c r="O53" s="25"/>
      <c r="P53" s="25"/>
      <c r="Q53" s="25"/>
      <c r="R53" s="25"/>
      <c r="S53" s="25"/>
      <c r="T53" s="25"/>
      <c r="U53" s="25"/>
      <c r="V53" s="25"/>
      <c r="W53" s="25"/>
      <c r="X53" s="25"/>
      <c r="Y53" s="25"/>
      <c r="Z53" s="25"/>
    </row>
    <row r="54" customFormat="false" ht="39.75" hidden="false" customHeight="true" outlineLevel="0" collapsed="false">
      <c r="A54" s="25"/>
      <c r="B54" s="25"/>
      <c r="C54" s="25"/>
      <c r="D54" s="25"/>
      <c r="E54" s="25"/>
      <c r="F54" s="25"/>
      <c r="G54" s="25"/>
      <c r="H54" s="25"/>
      <c r="I54" s="25"/>
      <c r="J54" s="25"/>
      <c r="K54" s="25"/>
      <c r="L54" s="25"/>
      <c r="M54" s="25"/>
      <c r="N54" s="25"/>
      <c r="O54" s="25"/>
      <c r="P54" s="25"/>
      <c r="Q54" s="25"/>
      <c r="R54" s="25"/>
      <c r="S54" s="25"/>
      <c r="T54" s="25"/>
      <c r="U54" s="25"/>
      <c r="V54" s="25"/>
      <c r="W54" s="25"/>
      <c r="X54" s="25"/>
      <c r="Y54" s="25"/>
      <c r="Z54" s="25"/>
    </row>
    <row r="55" customFormat="false" ht="39.75" hidden="false" customHeight="true" outlineLevel="0" collapsed="false">
      <c r="A55" s="25"/>
      <c r="B55" s="25"/>
      <c r="C55" s="25"/>
      <c r="D55" s="25"/>
      <c r="E55" s="25"/>
      <c r="F55" s="25"/>
      <c r="G55" s="25"/>
      <c r="H55" s="25"/>
      <c r="I55" s="25"/>
      <c r="J55" s="25"/>
      <c r="K55" s="25"/>
      <c r="L55" s="25"/>
      <c r="M55" s="25"/>
      <c r="N55" s="25"/>
      <c r="O55" s="25"/>
      <c r="P55" s="25"/>
      <c r="Q55" s="25"/>
      <c r="R55" s="25"/>
      <c r="S55" s="25"/>
      <c r="T55" s="25"/>
      <c r="U55" s="25"/>
      <c r="V55" s="25"/>
      <c r="W55" s="25"/>
      <c r="X55" s="25"/>
      <c r="Y55" s="25"/>
      <c r="Z55" s="25"/>
    </row>
    <row r="56" customFormat="false" ht="39.75" hidden="false" customHeight="true" outlineLevel="0" collapsed="false">
      <c r="A56" s="25"/>
      <c r="B56" s="25"/>
      <c r="C56" s="25"/>
      <c r="D56" s="25"/>
      <c r="E56" s="25"/>
      <c r="F56" s="25"/>
      <c r="G56" s="25"/>
      <c r="H56" s="25"/>
      <c r="I56" s="25"/>
      <c r="J56" s="25"/>
      <c r="K56" s="25"/>
      <c r="L56" s="25"/>
      <c r="M56" s="25"/>
      <c r="N56" s="25"/>
      <c r="O56" s="25"/>
      <c r="P56" s="25"/>
      <c r="Q56" s="25"/>
      <c r="R56" s="25"/>
      <c r="S56" s="25"/>
      <c r="T56" s="25"/>
      <c r="U56" s="25"/>
      <c r="V56" s="25"/>
      <c r="W56" s="25"/>
      <c r="X56" s="25"/>
      <c r="Y56" s="25"/>
      <c r="Z56" s="25"/>
    </row>
    <row r="57" customFormat="false" ht="39.75" hidden="false" customHeight="true" outlineLevel="0" collapsed="false">
      <c r="A57" s="25"/>
      <c r="B57" s="25"/>
      <c r="C57" s="25"/>
      <c r="D57" s="25"/>
      <c r="E57" s="25"/>
      <c r="F57" s="25"/>
      <c r="G57" s="25"/>
      <c r="H57" s="25"/>
      <c r="I57" s="25"/>
      <c r="J57" s="25"/>
      <c r="K57" s="25"/>
      <c r="L57" s="25"/>
      <c r="M57" s="25"/>
      <c r="N57" s="25"/>
      <c r="O57" s="25"/>
      <c r="P57" s="25"/>
      <c r="Q57" s="25"/>
      <c r="R57" s="25"/>
      <c r="S57" s="25"/>
      <c r="T57" s="25"/>
      <c r="U57" s="25"/>
      <c r="V57" s="25"/>
      <c r="W57" s="25"/>
      <c r="X57" s="25"/>
      <c r="Y57" s="25"/>
      <c r="Z57" s="25"/>
    </row>
    <row r="58" customFormat="false" ht="39.75" hidden="false" customHeight="true" outlineLevel="0" collapsed="false">
      <c r="A58" s="25"/>
      <c r="B58" s="25"/>
      <c r="C58" s="25"/>
      <c r="D58" s="25"/>
      <c r="E58" s="25"/>
      <c r="F58" s="25"/>
      <c r="G58" s="25"/>
      <c r="H58" s="25"/>
      <c r="I58" s="25"/>
      <c r="J58" s="25"/>
      <c r="K58" s="25"/>
      <c r="L58" s="25"/>
      <c r="M58" s="25"/>
      <c r="N58" s="25"/>
      <c r="O58" s="25"/>
      <c r="P58" s="25"/>
      <c r="Q58" s="25"/>
      <c r="R58" s="25"/>
      <c r="S58" s="25"/>
      <c r="T58" s="25"/>
      <c r="U58" s="25"/>
      <c r="V58" s="25"/>
      <c r="W58" s="25"/>
      <c r="X58" s="25"/>
      <c r="Y58" s="25"/>
      <c r="Z58" s="25"/>
    </row>
    <row r="59" customFormat="false" ht="39.75" hidden="false" customHeight="true" outlineLevel="0" collapsed="false">
      <c r="A59" s="25"/>
      <c r="B59" s="25"/>
      <c r="C59" s="25"/>
      <c r="D59" s="25"/>
      <c r="E59" s="25"/>
      <c r="F59" s="25"/>
      <c r="G59" s="25"/>
      <c r="H59" s="25"/>
      <c r="I59" s="25"/>
      <c r="J59" s="25"/>
      <c r="K59" s="25"/>
      <c r="L59" s="25"/>
      <c r="M59" s="25"/>
      <c r="N59" s="25"/>
      <c r="O59" s="25"/>
      <c r="P59" s="25"/>
      <c r="Q59" s="25"/>
      <c r="R59" s="25"/>
      <c r="S59" s="25"/>
      <c r="T59" s="25"/>
      <c r="U59" s="25"/>
      <c r="V59" s="25"/>
      <c r="W59" s="25"/>
      <c r="X59" s="25"/>
      <c r="Y59" s="25"/>
      <c r="Z59" s="25"/>
    </row>
    <row r="60" customFormat="false" ht="39.75" hidden="false" customHeight="true" outlineLevel="0" collapsed="false">
      <c r="A60" s="25"/>
      <c r="B60" s="25"/>
      <c r="C60" s="25"/>
      <c r="D60" s="25"/>
      <c r="E60" s="25"/>
      <c r="F60" s="25"/>
      <c r="G60" s="25"/>
      <c r="H60" s="25"/>
      <c r="I60" s="25"/>
      <c r="J60" s="25"/>
      <c r="K60" s="25"/>
      <c r="L60" s="25"/>
      <c r="M60" s="25"/>
      <c r="N60" s="25"/>
      <c r="O60" s="25"/>
      <c r="P60" s="25"/>
      <c r="Q60" s="25"/>
      <c r="R60" s="25"/>
      <c r="S60" s="25"/>
      <c r="T60" s="25"/>
      <c r="U60" s="25"/>
      <c r="V60" s="25"/>
      <c r="W60" s="25"/>
      <c r="X60" s="25"/>
      <c r="Y60" s="25"/>
      <c r="Z60" s="25"/>
    </row>
    <row r="61" customFormat="false" ht="39.75" hidden="false" customHeight="true" outlineLevel="0" collapsed="false">
      <c r="A61" s="25"/>
      <c r="B61" s="25"/>
      <c r="C61" s="25"/>
      <c r="D61" s="25"/>
      <c r="E61" s="25"/>
      <c r="F61" s="25"/>
      <c r="G61" s="25"/>
      <c r="H61" s="25"/>
      <c r="I61" s="25"/>
      <c r="J61" s="25"/>
      <c r="K61" s="25"/>
      <c r="L61" s="25"/>
      <c r="M61" s="25"/>
      <c r="N61" s="25"/>
      <c r="O61" s="25"/>
      <c r="P61" s="25"/>
      <c r="Q61" s="25"/>
      <c r="R61" s="25"/>
      <c r="S61" s="25"/>
      <c r="T61" s="25"/>
      <c r="U61" s="25"/>
      <c r="V61" s="25"/>
      <c r="W61" s="25"/>
      <c r="X61" s="25"/>
      <c r="Y61" s="25"/>
      <c r="Z61" s="25"/>
    </row>
    <row r="62" customFormat="false" ht="39.75" hidden="false" customHeight="true" outlineLevel="0" collapsed="false">
      <c r="A62" s="25"/>
      <c r="B62" s="25"/>
      <c r="C62" s="25"/>
      <c r="D62" s="25"/>
      <c r="E62" s="25"/>
      <c r="F62" s="25"/>
      <c r="G62" s="25"/>
      <c r="H62" s="25"/>
      <c r="I62" s="25"/>
      <c r="J62" s="25"/>
      <c r="K62" s="25"/>
      <c r="L62" s="25"/>
      <c r="M62" s="25"/>
      <c r="N62" s="25"/>
      <c r="O62" s="25"/>
      <c r="P62" s="25"/>
      <c r="Q62" s="25"/>
      <c r="R62" s="25"/>
      <c r="S62" s="25"/>
      <c r="T62" s="25"/>
      <c r="U62" s="25"/>
      <c r="V62" s="25"/>
      <c r="W62" s="25"/>
      <c r="X62" s="25"/>
      <c r="Y62" s="25"/>
      <c r="Z62" s="25"/>
    </row>
    <row r="63" customFormat="false" ht="39.75" hidden="false" customHeight="true" outlineLevel="0" collapsed="false">
      <c r="A63" s="25"/>
      <c r="B63" s="25"/>
      <c r="C63" s="25"/>
      <c r="D63" s="25"/>
      <c r="E63" s="25"/>
      <c r="F63" s="25"/>
      <c r="G63" s="25"/>
      <c r="H63" s="25"/>
      <c r="I63" s="25"/>
      <c r="J63" s="25"/>
      <c r="K63" s="25"/>
      <c r="L63" s="25"/>
      <c r="M63" s="25"/>
      <c r="N63" s="25"/>
      <c r="O63" s="25"/>
      <c r="P63" s="25"/>
      <c r="Q63" s="25"/>
      <c r="R63" s="25"/>
      <c r="S63" s="25"/>
      <c r="T63" s="25"/>
      <c r="U63" s="25"/>
      <c r="V63" s="25"/>
      <c r="W63" s="25"/>
      <c r="X63" s="25"/>
      <c r="Y63" s="25"/>
      <c r="Z63" s="25"/>
    </row>
    <row r="64" customFormat="false" ht="39.75" hidden="false" customHeight="true" outlineLevel="0" collapsed="false">
      <c r="A64" s="25"/>
      <c r="B64" s="25"/>
      <c r="C64" s="25"/>
      <c r="D64" s="25"/>
      <c r="E64" s="25"/>
      <c r="F64" s="25"/>
      <c r="G64" s="25"/>
      <c r="H64" s="25"/>
      <c r="I64" s="25"/>
      <c r="J64" s="25"/>
      <c r="K64" s="25"/>
      <c r="L64" s="25"/>
      <c r="M64" s="25"/>
      <c r="N64" s="25"/>
      <c r="O64" s="25"/>
      <c r="P64" s="25"/>
      <c r="Q64" s="25"/>
      <c r="R64" s="25"/>
      <c r="S64" s="25"/>
      <c r="T64" s="25"/>
      <c r="U64" s="25"/>
      <c r="V64" s="25"/>
      <c r="W64" s="25"/>
      <c r="X64" s="25"/>
      <c r="Y64" s="25"/>
      <c r="Z64" s="25"/>
    </row>
    <row r="65" customFormat="false" ht="39.75" hidden="false" customHeight="true" outlineLevel="0" collapsed="false">
      <c r="A65" s="25"/>
      <c r="B65" s="25"/>
      <c r="C65" s="25"/>
      <c r="D65" s="25"/>
      <c r="E65" s="25"/>
      <c r="F65" s="25"/>
      <c r="G65" s="25"/>
      <c r="H65" s="25"/>
      <c r="I65" s="25"/>
      <c r="J65" s="25"/>
      <c r="K65" s="25"/>
      <c r="L65" s="25"/>
      <c r="M65" s="25"/>
      <c r="N65" s="25"/>
      <c r="O65" s="25"/>
      <c r="P65" s="25"/>
      <c r="Q65" s="25"/>
      <c r="R65" s="25"/>
      <c r="S65" s="25"/>
      <c r="T65" s="25"/>
      <c r="U65" s="25"/>
      <c r="V65" s="25"/>
      <c r="W65" s="25"/>
      <c r="X65" s="25"/>
      <c r="Y65" s="25"/>
      <c r="Z65" s="25"/>
    </row>
    <row r="66" customFormat="false" ht="39.75" hidden="false" customHeight="true" outlineLevel="0" collapsed="false">
      <c r="A66" s="25"/>
      <c r="B66" s="25"/>
      <c r="C66" s="25"/>
      <c r="D66" s="25"/>
      <c r="E66" s="25"/>
      <c r="F66" s="25"/>
      <c r="G66" s="25"/>
      <c r="H66" s="25"/>
      <c r="I66" s="25"/>
      <c r="J66" s="25"/>
      <c r="K66" s="25"/>
      <c r="L66" s="25"/>
      <c r="M66" s="25"/>
      <c r="N66" s="25"/>
      <c r="O66" s="25"/>
      <c r="P66" s="25"/>
      <c r="Q66" s="25"/>
      <c r="R66" s="25"/>
      <c r="S66" s="25"/>
      <c r="T66" s="25"/>
      <c r="U66" s="25"/>
      <c r="V66" s="25"/>
      <c r="W66" s="25"/>
      <c r="X66" s="25"/>
      <c r="Y66" s="25"/>
      <c r="Z66" s="25"/>
    </row>
    <row r="67" customFormat="false" ht="39.75" hidden="false" customHeight="true" outlineLevel="0" collapsed="false">
      <c r="A67" s="25"/>
      <c r="B67" s="25"/>
      <c r="C67" s="25"/>
      <c r="D67" s="25"/>
      <c r="E67" s="25"/>
      <c r="F67" s="25"/>
      <c r="G67" s="25"/>
      <c r="H67" s="25"/>
      <c r="I67" s="25"/>
      <c r="J67" s="25"/>
      <c r="K67" s="25"/>
      <c r="L67" s="25"/>
      <c r="M67" s="25"/>
      <c r="N67" s="25"/>
      <c r="O67" s="25"/>
      <c r="P67" s="25"/>
      <c r="Q67" s="25"/>
      <c r="R67" s="25"/>
      <c r="S67" s="25"/>
      <c r="T67" s="25"/>
      <c r="U67" s="25"/>
      <c r="V67" s="25"/>
      <c r="W67" s="25"/>
      <c r="X67" s="25"/>
      <c r="Y67" s="25"/>
      <c r="Z67" s="25"/>
    </row>
    <row r="68" customFormat="false" ht="39.75" hidden="false" customHeight="true" outlineLevel="0" collapsed="false">
      <c r="A68" s="25"/>
      <c r="B68" s="25"/>
      <c r="C68" s="25"/>
      <c r="D68" s="25"/>
      <c r="E68" s="25"/>
      <c r="F68" s="25"/>
      <c r="G68" s="25"/>
      <c r="H68" s="25"/>
      <c r="I68" s="25"/>
      <c r="J68" s="25"/>
      <c r="K68" s="25"/>
      <c r="L68" s="25"/>
      <c r="M68" s="25"/>
      <c r="N68" s="25"/>
      <c r="O68" s="25"/>
      <c r="P68" s="25"/>
      <c r="Q68" s="25"/>
      <c r="R68" s="25"/>
      <c r="S68" s="25"/>
      <c r="T68" s="25"/>
      <c r="U68" s="25"/>
      <c r="V68" s="25"/>
      <c r="W68" s="25"/>
      <c r="X68" s="25"/>
      <c r="Y68" s="25"/>
      <c r="Z68" s="25"/>
    </row>
    <row r="69" customFormat="false" ht="39.75" hidden="false" customHeight="true" outlineLevel="0" collapsed="false">
      <c r="A69" s="25"/>
      <c r="B69" s="25"/>
      <c r="C69" s="25"/>
      <c r="D69" s="25"/>
      <c r="E69" s="25"/>
      <c r="F69" s="25"/>
      <c r="G69" s="25"/>
      <c r="H69" s="25"/>
      <c r="I69" s="25"/>
      <c r="J69" s="25"/>
      <c r="K69" s="25"/>
      <c r="L69" s="25"/>
      <c r="M69" s="25"/>
      <c r="N69" s="25"/>
      <c r="O69" s="25"/>
      <c r="P69" s="25"/>
      <c r="Q69" s="25"/>
      <c r="R69" s="25"/>
      <c r="S69" s="25"/>
      <c r="T69" s="25"/>
      <c r="U69" s="25"/>
      <c r="V69" s="25"/>
      <c r="W69" s="25"/>
      <c r="X69" s="25"/>
      <c r="Y69" s="25"/>
      <c r="Z69" s="25"/>
    </row>
    <row r="70" customFormat="false" ht="39.75" hidden="false" customHeight="true" outlineLevel="0" collapsed="false">
      <c r="A70" s="25"/>
      <c r="B70" s="25"/>
      <c r="C70" s="25"/>
      <c r="D70" s="25"/>
      <c r="E70" s="25"/>
      <c r="F70" s="25"/>
      <c r="G70" s="25"/>
      <c r="H70" s="25"/>
      <c r="I70" s="25"/>
      <c r="J70" s="25"/>
      <c r="K70" s="25"/>
      <c r="L70" s="25"/>
      <c r="M70" s="25"/>
      <c r="N70" s="25"/>
      <c r="O70" s="25"/>
      <c r="P70" s="25"/>
      <c r="Q70" s="25"/>
      <c r="R70" s="25"/>
      <c r="S70" s="25"/>
      <c r="T70" s="25"/>
      <c r="U70" s="25"/>
      <c r="V70" s="25"/>
      <c r="W70" s="25"/>
      <c r="X70" s="25"/>
      <c r="Y70" s="25"/>
      <c r="Z70" s="25"/>
    </row>
    <row r="71" customFormat="false" ht="39.75" hidden="false" customHeight="true" outlineLevel="0" collapsed="false">
      <c r="A71" s="25"/>
      <c r="B71" s="25"/>
      <c r="C71" s="25"/>
      <c r="D71" s="25"/>
      <c r="E71" s="25"/>
      <c r="F71" s="25"/>
      <c r="G71" s="25"/>
      <c r="H71" s="25"/>
      <c r="I71" s="25"/>
      <c r="J71" s="25"/>
      <c r="K71" s="25"/>
      <c r="L71" s="25"/>
      <c r="M71" s="25"/>
      <c r="N71" s="25"/>
      <c r="O71" s="25"/>
      <c r="P71" s="25"/>
      <c r="Q71" s="25"/>
      <c r="R71" s="25"/>
      <c r="S71" s="25"/>
      <c r="T71" s="25"/>
      <c r="U71" s="25"/>
      <c r="V71" s="25"/>
      <c r="W71" s="25"/>
      <c r="X71" s="25"/>
      <c r="Y71" s="25"/>
      <c r="Z71" s="25"/>
    </row>
    <row r="72" customFormat="false" ht="39.75" hidden="false" customHeight="true" outlineLevel="0" collapsed="false">
      <c r="A72" s="25"/>
      <c r="B72" s="25"/>
      <c r="C72" s="25"/>
      <c r="D72" s="25"/>
      <c r="E72" s="25"/>
      <c r="F72" s="25"/>
      <c r="G72" s="25"/>
      <c r="H72" s="25"/>
      <c r="I72" s="25"/>
      <c r="J72" s="25"/>
      <c r="K72" s="25"/>
      <c r="L72" s="25"/>
      <c r="M72" s="25"/>
      <c r="N72" s="25"/>
      <c r="O72" s="25"/>
      <c r="P72" s="25"/>
      <c r="Q72" s="25"/>
      <c r="R72" s="25"/>
      <c r="S72" s="25"/>
      <c r="T72" s="25"/>
      <c r="U72" s="25"/>
      <c r="V72" s="25"/>
      <c r="W72" s="25"/>
      <c r="X72" s="25"/>
      <c r="Y72" s="25"/>
      <c r="Z72" s="25"/>
    </row>
    <row r="73" customFormat="false" ht="39.75" hidden="false" customHeight="true" outlineLevel="0" collapsed="false">
      <c r="A73" s="25"/>
      <c r="B73" s="25"/>
      <c r="C73" s="25"/>
      <c r="D73" s="25"/>
      <c r="E73" s="25"/>
      <c r="F73" s="25"/>
      <c r="G73" s="25"/>
      <c r="H73" s="25"/>
      <c r="I73" s="25"/>
      <c r="J73" s="25"/>
      <c r="K73" s="25"/>
      <c r="L73" s="25"/>
      <c r="M73" s="25"/>
      <c r="N73" s="25"/>
      <c r="O73" s="25"/>
      <c r="P73" s="25"/>
      <c r="Q73" s="25"/>
      <c r="R73" s="25"/>
      <c r="S73" s="25"/>
      <c r="T73" s="25"/>
      <c r="U73" s="25"/>
      <c r="V73" s="25"/>
      <c r="W73" s="25"/>
      <c r="X73" s="25"/>
      <c r="Y73" s="25"/>
      <c r="Z73" s="25"/>
    </row>
    <row r="74" customFormat="false" ht="39.75" hidden="false" customHeight="true" outlineLevel="0" collapsed="false">
      <c r="A74" s="25"/>
      <c r="B74" s="25"/>
      <c r="C74" s="25"/>
      <c r="D74" s="25"/>
      <c r="E74" s="25"/>
      <c r="F74" s="25"/>
      <c r="G74" s="25"/>
      <c r="H74" s="25"/>
      <c r="I74" s="25"/>
      <c r="J74" s="25"/>
      <c r="K74" s="25"/>
      <c r="L74" s="25"/>
      <c r="M74" s="25"/>
      <c r="N74" s="25"/>
      <c r="O74" s="25"/>
      <c r="P74" s="25"/>
      <c r="Q74" s="25"/>
      <c r="R74" s="25"/>
      <c r="S74" s="25"/>
      <c r="T74" s="25"/>
      <c r="U74" s="25"/>
      <c r="V74" s="25"/>
      <c r="W74" s="25"/>
      <c r="X74" s="25"/>
      <c r="Y74" s="25"/>
      <c r="Z74" s="25"/>
    </row>
    <row r="75" customFormat="false" ht="39.75" hidden="false" customHeight="true" outlineLevel="0" collapsed="false">
      <c r="A75" s="25"/>
      <c r="B75" s="25"/>
      <c r="C75" s="25"/>
      <c r="D75" s="25"/>
      <c r="E75" s="25"/>
      <c r="F75" s="25"/>
      <c r="G75" s="25"/>
      <c r="H75" s="25"/>
      <c r="I75" s="25"/>
      <c r="J75" s="25"/>
      <c r="K75" s="25"/>
      <c r="L75" s="25"/>
      <c r="M75" s="25"/>
      <c r="N75" s="25"/>
      <c r="O75" s="25"/>
      <c r="P75" s="25"/>
      <c r="Q75" s="25"/>
      <c r="R75" s="25"/>
      <c r="S75" s="25"/>
      <c r="T75" s="25"/>
      <c r="U75" s="25"/>
      <c r="V75" s="25"/>
      <c r="W75" s="25"/>
      <c r="X75" s="25"/>
      <c r="Y75" s="25"/>
      <c r="Z75" s="25"/>
    </row>
    <row r="76" customFormat="false" ht="39.75" hidden="false" customHeight="true" outlineLevel="0" collapsed="false">
      <c r="A76" s="25"/>
      <c r="B76" s="25"/>
      <c r="C76" s="25"/>
      <c r="D76" s="25"/>
      <c r="E76" s="25"/>
      <c r="F76" s="25"/>
      <c r="G76" s="25"/>
      <c r="H76" s="25"/>
      <c r="I76" s="25"/>
      <c r="J76" s="25"/>
      <c r="K76" s="25"/>
      <c r="L76" s="25"/>
      <c r="M76" s="25"/>
      <c r="N76" s="25"/>
      <c r="O76" s="25"/>
      <c r="P76" s="25"/>
      <c r="Q76" s="25"/>
      <c r="R76" s="25"/>
      <c r="S76" s="25"/>
      <c r="T76" s="25"/>
      <c r="U76" s="25"/>
      <c r="V76" s="25"/>
      <c r="W76" s="25"/>
      <c r="X76" s="25"/>
      <c r="Y76" s="25"/>
      <c r="Z76" s="25"/>
    </row>
    <row r="77" customFormat="false" ht="39.75" hidden="false" customHeight="true" outlineLevel="0" collapsed="false">
      <c r="A77" s="25"/>
      <c r="B77" s="25"/>
      <c r="C77" s="25"/>
      <c r="D77" s="25"/>
      <c r="E77" s="25"/>
      <c r="F77" s="25"/>
      <c r="G77" s="25"/>
      <c r="H77" s="25"/>
      <c r="I77" s="25"/>
      <c r="J77" s="25"/>
      <c r="K77" s="25"/>
      <c r="L77" s="25"/>
      <c r="M77" s="25"/>
      <c r="N77" s="25"/>
      <c r="O77" s="25"/>
      <c r="P77" s="25"/>
      <c r="Q77" s="25"/>
      <c r="R77" s="25"/>
      <c r="S77" s="25"/>
      <c r="T77" s="25"/>
      <c r="U77" s="25"/>
      <c r="V77" s="25"/>
      <c r="W77" s="25"/>
      <c r="X77" s="25"/>
      <c r="Y77" s="25"/>
      <c r="Z77" s="25"/>
    </row>
    <row r="78" customFormat="false" ht="39.75" hidden="false" customHeight="true" outlineLevel="0" collapsed="false">
      <c r="A78" s="25"/>
      <c r="B78" s="25"/>
      <c r="C78" s="25"/>
      <c r="D78" s="25"/>
      <c r="E78" s="25"/>
      <c r="F78" s="25"/>
      <c r="G78" s="25"/>
      <c r="H78" s="25"/>
      <c r="I78" s="25"/>
      <c r="J78" s="25"/>
      <c r="K78" s="25"/>
      <c r="L78" s="25"/>
      <c r="M78" s="25"/>
      <c r="N78" s="25"/>
      <c r="O78" s="25"/>
      <c r="P78" s="25"/>
      <c r="Q78" s="25"/>
      <c r="R78" s="25"/>
      <c r="S78" s="25"/>
      <c r="T78" s="25"/>
      <c r="U78" s="25"/>
      <c r="V78" s="25"/>
      <c r="W78" s="25"/>
      <c r="X78" s="25"/>
      <c r="Y78" s="25"/>
      <c r="Z78" s="25"/>
    </row>
    <row r="79" customFormat="false" ht="39.75" hidden="false" customHeight="true" outlineLevel="0" collapsed="false">
      <c r="A79" s="25"/>
      <c r="B79" s="25"/>
      <c r="C79" s="25"/>
      <c r="D79" s="25"/>
      <c r="E79" s="25"/>
      <c r="F79" s="25"/>
      <c r="G79" s="25"/>
      <c r="H79" s="25"/>
      <c r="I79" s="25"/>
      <c r="J79" s="25"/>
      <c r="K79" s="25"/>
      <c r="L79" s="25"/>
      <c r="M79" s="25"/>
      <c r="N79" s="25"/>
      <c r="O79" s="25"/>
      <c r="P79" s="25"/>
      <c r="Q79" s="25"/>
      <c r="R79" s="25"/>
      <c r="S79" s="25"/>
      <c r="T79" s="25"/>
      <c r="U79" s="25"/>
      <c r="V79" s="25"/>
      <c r="W79" s="25"/>
      <c r="X79" s="25"/>
      <c r="Y79" s="25"/>
      <c r="Z79" s="25"/>
    </row>
    <row r="80" customFormat="false" ht="39.75" hidden="false" customHeight="true" outlineLevel="0" collapsed="false">
      <c r="A80" s="25"/>
      <c r="B80" s="25"/>
      <c r="C80" s="25"/>
      <c r="D80" s="25"/>
      <c r="E80" s="25"/>
      <c r="F80" s="25"/>
      <c r="G80" s="25"/>
      <c r="H80" s="25"/>
      <c r="I80" s="25"/>
      <c r="J80" s="25"/>
      <c r="K80" s="25"/>
      <c r="L80" s="25"/>
      <c r="M80" s="25"/>
      <c r="N80" s="25"/>
      <c r="O80" s="25"/>
      <c r="P80" s="25"/>
      <c r="Q80" s="25"/>
      <c r="R80" s="25"/>
      <c r="S80" s="25"/>
      <c r="T80" s="25"/>
      <c r="U80" s="25"/>
      <c r="V80" s="25"/>
      <c r="W80" s="25"/>
      <c r="X80" s="25"/>
      <c r="Y80" s="25"/>
      <c r="Z80" s="25"/>
    </row>
    <row r="81" customFormat="false" ht="39.75" hidden="false" customHeight="true" outlineLevel="0" collapsed="false">
      <c r="A81" s="25"/>
      <c r="B81" s="25"/>
      <c r="C81" s="25"/>
      <c r="D81" s="25"/>
      <c r="E81" s="25"/>
      <c r="F81" s="25"/>
      <c r="G81" s="25"/>
      <c r="H81" s="25"/>
      <c r="I81" s="25"/>
      <c r="J81" s="25"/>
      <c r="K81" s="25"/>
      <c r="L81" s="25"/>
      <c r="M81" s="25"/>
      <c r="N81" s="25"/>
      <c r="O81" s="25"/>
      <c r="P81" s="25"/>
      <c r="Q81" s="25"/>
      <c r="R81" s="25"/>
      <c r="S81" s="25"/>
      <c r="T81" s="25"/>
      <c r="U81" s="25"/>
      <c r="V81" s="25"/>
      <c r="W81" s="25"/>
      <c r="X81" s="25"/>
      <c r="Y81" s="25"/>
      <c r="Z81" s="25"/>
    </row>
    <row r="82" customFormat="false" ht="39.75" hidden="false" customHeight="true" outlineLevel="0" collapsed="false">
      <c r="A82" s="25"/>
      <c r="B82" s="25"/>
      <c r="C82" s="25"/>
      <c r="D82" s="25"/>
      <c r="E82" s="25"/>
      <c r="F82" s="25"/>
      <c r="G82" s="25"/>
      <c r="H82" s="25"/>
      <c r="I82" s="25"/>
      <c r="J82" s="25"/>
      <c r="K82" s="25"/>
      <c r="L82" s="25"/>
      <c r="M82" s="25"/>
      <c r="N82" s="25"/>
      <c r="O82" s="25"/>
      <c r="P82" s="25"/>
      <c r="Q82" s="25"/>
      <c r="R82" s="25"/>
      <c r="S82" s="25"/>
      <c r="T82" s="25"/>
      <c r="U82" s="25"/>
      <c r="V82" s="25"/>
      <c r="W82" s="25"/>
      <c r="X82" s="25"/>
      <c r="Y82" s="25"/>
      <c r="Z82" s="25"/>
    </row>
    <row r="83" customFormat="false" ht="39.75" hidden="false" customHeight="true" outlineLevel="0" collapsed="false">
      <c r="A83" s="25"/>
      <c r="B83" s="25"/>
      <c r="C83" s="25"/>
      <c r="D83" s="25"/>
      <c r="E83" s="25"/>
      <c r="F83" s="25"/>
      <c r="G83" s="25"/>
      <c r="H83" s="25"/>
      <c r="I83" s="25"/>
      <c r="J83" s="25"/>
      <c r="K83" s="25"/>
      <c r="L83" s="25"/>
      <c r="M83" s="25"/>
      <c r="N83" s="25"/>
      <c r="O83" s="25"/>
      <c r="P83" s="25"/>
      <c r="Q83" s="25"/>
      <c r="R83" s="25"/>
      <c r="S83" s="25"/>
      <c r="T83" s="25"/>
      <c r="U83" s="25"/>
      <c r="V83" s="25"/>
      <c r="W83" s="25"/>
      <c r="X83" s="25"/>
      <c r="Y83" s="25"/>
      <c r="Z83" s="25"/>
    </row>
    <row r="84" customFormat="false" ht="39.75" hidden="false" customHeight="true" outlineLevel="0" collapsed="false">
      <c r="A84" s="25"/>
      <c r="B84" s="25"/>
      <c r="C84" s="25"/>
      <c r="D84" s="25"/>
      <c r="E84" s="25"/>
      <c r="F84" s="25"/>
      <c r="G84" s="25"/>
      <c r="H84" s="25"/>
      <c r="I84" s="25"/>
      <c r="J84" s="25"/>
      <c r="K84" s="25"/>
      <c r="L84" s="25"/>
      <c r="M84" s="25"/>
      <c r="N84" s="25"/>
      <c r="O84" s="25"/>
      <c r="P84" s="25"/>
      <c r="Q84" s="25"/>
      <c r="R84" s="25"/>
      <c r="S84" s="25"/>
      <c r="T84" s="25"/>
      <c r="U84" s="25"/>
      <c r="V84" s="25"/>
      <c r="W84" s="25"/>
      <c r="X84" s="25"/>
      <c r="Y84" s="25"/>
      <c r="Z84" s="25"/>
    </row>
    <row r="85" customFormat="false" ht="39.75" hidden="false" customHeight="true" outlineLevel="0" collapsed="false">
      <c r="A85" s="25"/>
      <c r="B85" s="25"/>
      <c r="C85" s="25"/>
      <c r="D85" s="25"/>
      <c r="E85" s="25"/>
      <c r="F85" s="25"/>
      <c r="G85" s="25"/>
      <c r="H85" s="25"/>
      <c r="I85" s="25"/>
      <c r="J85" s="25"/>
      <c r="K85" s="25"/>
      <c r="L85" s="25"/>
      <c r="M85" s="25"/>
      <c r="N85" s="25"/>
      <c r="O85" s="25"/>
      <c r="P85" s="25"/>
      <c r="Q85" s="25"/>
      <c r="R85" s="25"/>
      <c r="S85" s="25"/>
      <c r="T85" s="25"/>
      <c r="U85" s="25"/>
      <c r="V85" s="25"/>
      <c r="W85" s="25"/>
      <c r="X85" s="25"/>
      <c r="Y85" s="25"/>
      <c r="Z85" s="25"/>
    </row>
    <row r="86" customFormat="false" ht="39.75" hidden="false" customHeight="true" outlineLevel="0" collapsed="false">
      <c r="A86" s="25"/>
      <c r="B86" s="25"/>
      <c r="C86" s="25"/>
      <c r="D86" s="25"/>
      <c r="E86" s="25"/>
      <c r="F86" s="25"/>
      <c r="G86" s="25"/>
      <c r="H86" s="25"/>
      <c r="I86" s="25"/>
      <c r="J86" s="25"/>
      <c r="K86" s="25"/>
      <c r="L86" s="25"/>
      <c r="M86" s="25"/>
      <c r="N86" s="25"/>
      <c r="O86" s="25"/>
      <c r="P86" s="25"/>
      <c r="Q86" s="25"/>
      <c r="R86" s="25"/>
      <c r="S86" s="25"/>
      <c r="T86" s="25"/>
      <c r="U86" s="25"/>
      <c r="V86" s="25"/>
      <c r="W86" s="25"/>
      <c r="X86" s="25"/>
      <c r="Y86" s="25"/>
      <c r="Z86" s="25"/>
    </row>
    <row r="87" customFormat="false" ht="39.75" hidden="false" customHeight="true" outlineLevel="0" collapsed="false">
      <c r="A87" s="25"/>
      <c r="B87" s="25"/>
      <c r="C87" s="25"/>
      <c r="D87" s="25"/>
      <c r="E87" s="25"/>
      <c r="F87" s="25"/>
      <c r="G87" s="25"/>
      <c r="H87" s="25"/>
      <c r="I87" s="25"/>
      <c r="J87" s="25"/>
      <c r="K87" s="25"/>
      <c r="L87" s="25"/>
      <c r="M87" s="25"/>
      <c r="N87" s="25"/>
      <c r="O87" s="25"/>
      <c r="P87" s="25"/>
      <c r="Q87" s="25"/>
      <c r="R87" s="25"/>
      <c r="S87" s="25"/>
      <c r="T87" s="25"/>
      <c r="U87" s="25"/>
      <c r="V87" s="25"/>
      <c r="W87" s="25"/>
      <c r="X87" s="25"/>
      <c r="Y87" s="25"/>
      <c r="Z87" s="25"/>
    </row>
    <row r="88" customFormat="false" ht="39.75" hidden="false" customHeight="true" outlineLevel="0" collapsed="false">
      <c r="A88" s="25"/>
      <c r="B88" s="25"/>
      <c r="C88" s="25"/>
      <c r="D88" s="25"/>
      <c r="E88" s="25"/>
      <c r="F88" s="25"/>
      <c r="G88" s="25"/>
      <c r="H88" s="25"/>
      <c r="I88" s="25"/>
      <c r="J88" s="25"/>
      <c r="K88" s="25"/>
      <c r="L88" s="25"/>
      <c r="M88" s="25"/>
      <c r="N88" s="25"/>
      <c r="O88" s="25"/>
      <c r="P88" s="25"/>
      <c r="Q88" s="25"/>
      <c r="R88" s="25"/>
      <c r="S88" s="25"/>
      <c r="T88" s="25"/>
      <c r="U88" s="25"/>
      <c r="V88" s="25"/>
      <c r="W88" s="25"/>
      <c r="X88" s="25"/>
      <c r="Y88" s="25"/>
      <c r="Z88" s="25"/>
    </row>
    <row r="89" customFormat="false" ht="39.75" hidden="false" customHeight="true" outlineLevel="0" collapsed="false">
      <c r="A89" s="25"/>
      <c r="B89" s="25"/>
      <c r="C89" s="25"/>
      <c r="D89" s="25"/>
      <c r="E89" s="25"/>
      <c r="F89" s="25"/>
      <c r="G89" s="25"/>
      <c r="H89" s="25"/>
      <c r="I89" s="25"/>
      <c r="J89" s="25"/>
      <c r="K89" s="25"/>
      <c r="L89" s="25"/>
      <c r="M89" s="25"/>
      <c r="N89" s="25"/>
      <c r="O89" s="25"/>
      <c r="P89" s="25"/>
      <c r="Q89" s="25"/>
      <c r="R89" s="25"/>
      <c r="S89" s="25"/>
      <c r="T89" s="25"/>
      <c r="U89" s="25"/>
      <c r="V89" s="25"/>
      <c r="W89" s="25"/>
      <c r="X89" s="25"/>
      <c r="Y89" s="25"/>
      <c r="Z89" s="25"/>
    </row>
    <row r="90" customFormat="false" ht="39.75" hidden="false" customHeight="true" outlineLevel="0" collapsed="false">
      <c r="A90" s="25"/>
      <c r="B90" s="25"/>
      <c r="C90" s="25"/>
      <c r="D90" s="25"/>
      <c r="E90" s="25"/>
      <c r="F90" s="25"/>
      <c r="G90" s="25"/>
      <c r="H90" s="25"/>
      <c r="I90" s="25"/>
      <c r="J90" s="25"/>
      <c r="K90" s="25"/>
      <c r="L90" s="25"/>
      <c r="M90" s="25"/>
      <c r="N90" s="25"/>
      <c r="O90" s="25"/>
      <c r="P90" s="25"/>
      <c r="Q90" s="25"/>
      <c r="R90" s="25"/>
      <c r="S90" s="25"/>
      <c r="T90" s="25"/>
      <c r="U90" s="25"/>
      <c r="V90" s="25"/>
      <c r="W90" s="25"/>
      <c r="X90" s="25"/>
      <c r="Y90" s="25"/>
      <c r="Z90" s="25"/>
    </row>
    <row r="91" customFormat="false" ht="39.75" hidden="false" customHeight="true" outlineLevel="0" collapsed="false">
      <c r="A91" s="25"/>
      <c r="B91" s="25"/>
      <c r="C91" s="25"/>
      <c r="D91" s="25"/>
      <c r="E91" s="25"/>
      <c r="F91" s="25"/>
      <c r="G91" s="25"/>
      <c r="H91" s="25"/>
      <c r="I91" s="25"/>
      <c r="J91" s="25"/>
      <c r="K91" s="25"/>
      <c r="L91" s="25"/>
      <c r="M91" s="25"/>
      <c r="N91" s="25"/>
      <c r="O91" s="25"/>
      <c r="P91" s="25"/>
      <c r="Q91" s="25"/>
      <c r="R91" s="25"/>
      <c r="S91" s="25"/>
      <c r="T91" s="25"/>
      <c r="U91" s="25"/>
      <c r="V91" s="25"/>
      <c r="W91" s="25"/>
      <c r="X91" s="25"/>
      <c r="Y91" s="25"/>
      <c r="Z91" s="25"/>
    </row>
    <row r="92" customFormat="false" ht="39.75" hidden="false" customHeight="true" outlineLevel="0" collapsed="false">
      <c r="A92" s="25"/>
      <c r="B92" s="25"/>
      <c r="C92" s="25"/>
      <c r="D92" s="25"/>
      <c r="E92" s="25"/>
      <c r="F92" s="25"/>
      <c r="G92" s="25"/>
      <c r="H92" s="25"/>
      <c r="I92" s="25"/>
      <c r="J92" s="25"/>
      <c r="K92" s="25"/>
      <c r="L92" s="25"/>
      <c r="M92" s="25"/>
      <c r="N92" s="25"/>
      <c r="O92" s="25"/>
      <c r="P92" s="25"/>
      <c r="Q92" s="25"/>
      <c r="R92" s="25"/>
      <c r="S92" s="25"/>
      <c r="T92" s="25"/>
      <c r="U92" s="25"/>
      <c r="V92" s="25"/>
      <c r="W92" s="25"/>
      <c r="X92" s="25"/>
      <c r="Y92" s="25"/>
      <c r="Z92" s="25"/>
    </row>
    <row r="93" customFormat="false" ht="39.75" hidden="false" customHeight="true" outlineLevel="0" collapsed="false">
      <c r="A93" s="25"/>
      <c r="B93" s="25"/>
      <c r="C93" s="25"/>
      <c r="D93" s="25"/>
      <c r="E93" s="25"/>
      <c r="F93" s="25"/>
      <c r="G93" s="25"/>
      <c r="H93" s="25"/>
      <c r="I93" s="25"/>
      <c r="J93" s="25"/>
      <c r="K93" s="25"/>
      <c r="L93" s="25"/>
      <c r="M93" s="25"/>
      <c r="N93" s="25"/>
      <c r="O93" s="25"/>
      <c r="P93" s="25"/>
      <c r="Q93" s="25"/>
      <c r="R93" s="25"/>
      <c r="S93" s="25"/>
      <c r="T93" s="25"/>
      <c r="U93" s="25"/>
      <c r="V93" s="25"/>
      <c r="W93" s="25"/>
      <c r="X93" s="25"/>
      <c r="Y93" s="25"/>
      <c r="Z93" s="25"/>
    </row>
    <row r="94" customFormat="false" ht="39.75" hidden="false" customHeight="true" outlineLevel="0" collapsed="false">
      <c r="A94" s="25"/>
      <c r="B94" s="25"/>
      <c r="C94" s="25"/>
      <c r="D94" s="25"/>
      <c r="E94" s="25"/>
      <c r="F94" s="25"/>
      <c r="G94" s="25"/>
      <c r="H94" s="25"/>
      <c r="I94" s="25"/>
      <c r="J94" s="25"/>
      <c r="K94" s="25"/>
      <c r="L94" s="25"/>
      <c r="M94" s="25"/>
      <c r="N94" s="25"/>
      <c r="O94" s="25"/>
      <c r="P94" s="25"/>
      <c r="Q94" s="25"/>
      <c r="R94" s="25"/>
      <c r="S94" s="25"/>
      <c r="T94" s="25"/>
      <c r="U94" s="25"/>
      <c r="V94" s="25"/>
      <c r="W94" s="25"/>
      <c r="X94" s="25"/>
      <c r="Y94" s="25"/>
      <c r="Z94" s="25"/>
    </row>
    <row r="95" customFormat="false" ht="39.75" hidden="false" customHeight="true" outlineLevel="0" collapsed="false">
      <c r="A95" s="25"/>
      <c r="B95" s="25"/>
      <c r="C95" s="25"/>
      <c r="D95" s="25"/>
      <c r="E95" s="25"/>
      <c r="F95" s="25"/>
      <c r="G95" s="25"/>
      <c r="H95" s="25"/>
      <c r="I95" s="25"/>
      <c r="J95" s="25"/>
      <c r="K95" s="25"/>
      <c r="L95" s="25"/>
      <c r="M95" s="25"/>
      <c r="N95" s="25"/>
      <c r="O95" s="25"/>
      <c r="P95" s="25"/>
      <c r="Q95" s="25"/>
      <c r="R95" s="25"/>
      <c r="S95" s="25"/>
      <c r="T95" s="25"/>
      <c r="U95" s="25"/>
      <c r="V95" s="25"/>
      <c r="W95" s="25"/>
      <c r="X95" s="25"/>
      <c r="Y95" s="25"/>
      <c r="Z95" s="25"/>
    </row>
    <row r="96" customFormat="false" ht="39.75" hidden="false" customHeight="true" outlineLevel="0" collapsed="false">
      <c r="A96" s="25"/>
      <c r="B96" s="25"/>
      <c r="C96" s="25"/>
      <c r="D96" s="25"/>
      <c r="E96" s="25"/>
      <c r="F96" s="25"/>
      <c r="G96" s="25"/>
      <c r="H96" s="25"/>
      <c r="I96" s="25"/>
      <c r="J96" s="25"/>
      <c r="K96" s="25"/>
      <c r="L96" s="25"/>
      <c r="M96" s="25"/>
      <c r="N96" s="25"/>
      <c r="O96" s="25"/>
      <c r="P96" s="25"/>
      <c r="Q96" s="25"/>
      <c r="R96" s="25"/>
      <c r="S96" s="25"/>
      <c r="T96" s="25"/>
      <c r="U96" s="25"/>
      <c r="V96" s="25"/>
      <c r="W96" s="25"/>
      <c r="X96" s="25"/>
      <c r="Y96" s="25"/>
      <c r="Z96" s="25"/>
    </row>
    <row r="97" customFormat="false" ht="39.75" hidden="false" customHeight="true" outlineLevel="0" collapsed="false">
      <c r="A97" s="25"/>
      <c r="B97" s="25"/>
      <c r="C97" s="25"/>
      <c r="D97" s="25"/>
      <c r="E97" s="25"/>
      <c r="F97" s="25"/>
      <c r="G97" s="25"/>
      <c r="H97" s="25"/>
      <c r="I97" s="25"/>
      <c r="J97" s="25"/>
      <c r="K97" s="25"/>
      <c r="L97" s="25"/>
      <c r="M97" s="25"/>
      <c r="N97" s="25"/>
      <c r="O97" s="25"/>
      <c r="P97" s="25"/>
      <c r="Q97" s="25"/>
      <c r="R97" s="25"/>
      <c r="S97" s="25"/>
      <c r="T97" s="25"/>
      <c r="U97" s="25"/>
      <c r="V97" s="25"/>
      <c r="W97" s="25"/>
      <c r="X97" s="25"/>
      <c r="Y97" s="25"/>
      <c r="Z97" s="25"/>
    </row>
    <row r="98" customFormat="false" ht="39.75" hidden="false" customHeight="true" outlineLevel="0" collapsed="false">
      <c r="A98" s="25"/>
      <c r="B98" s="25"/>
      <c r="C98" s="25"/>
      <c r="D98" s="25"/>
      <c r="E98" s="25"/>
      <c r="F98" s="25"/>
      <c r="G98" s="25"/>
      <c r="H98" s="25"/>
      <c r="I98" s="25"/>
      <c r="J98" s="25"/>
      <c r="K98" s="25"/>
      <c r="L98" s="25"/>
      <c r="M98" s="25"/>
      <c r="N98" s="25"/>
      <c r="O98" s="25"/>
      <c r="P98" s="25"/>
      <c r="Q98" s="25"/>
      <c r="R98" s="25"/>
      <c r="S98" s="25"/>
      <c r="T98" s="25"/>
      <c r="U98" s="25"/>
      <c r="V98" s="25"/>
      <c r="W98" s="25"/>
      <c r="X98" s="25"/>
      <c r="Y98" s="25"/>
      <c r="Z98" s="25"/>
    </row>
    <row r="99" customFormat="false" ht="39.75" hidden="false" customHeight="true" outlineLevel="0" collapsed="false">
      <c r="A99" s="25"/>
      <c r="B99" s="25"/>
      <c r="C99" s="25"/>
      <c r="D99" s="25"/>
      <c r="E99" s="25"/>
      <c r="F99" s="25"/>
      <c r="G99" s="25"/>
      <c r="H99" s="25"/>
      <c r="I99" s="25"/>
      <c r="J99" s="25"/>
      <c r="K99" s="25"/>
      <c r="L99" s="25"/>
      <c r="M99" s="25"/>
      <c r="N99" s="25"/>
      <c r="O99" s="25"/>
      <c r="P99" s="25"/>
      <c r="Q99" s="25"/>
      <c r="R99" s="25"/>
      <c r="S99" s="25"/>
      <c r="T99" s="25"/>
      <c r="U99" s="25"/>
      <c r="V99" s="25"/>
      <c r="W99" s="25"/>
      <c r="X99" s="25"/>
      <c r="Y99" s="25"/>
      <c r="Z99" s="25"/>
    </row>
    <row r="100" customFormat="false" ht="39.75" hidden="false" customHeight="true" outlineLevel="0" collapsed="false">
      <c r="A100" s="25"/>
      <c r="B100" s="25"/>
      <c r="C100" s="25"/>
      <c r="D100" s="25"/>
      <c r="E100" s="25"/>
      <c r="F100" s="25"/>
      <c r="G100" s="25"/>
      <c r="H100" s="25"/>
      <c r="I100" s="25"/>
      <c r="J100" s="25"/>
      <c r="K100" s="25"/>
      <c r="L100" s="25"/>
      <c r="M100" s="25"/>
      <c r="N100" s="25"/>
      <c r="O100" s="25"/>
      <c r="P100" s="25"/>
      <c r="Q100" s="25"/>
      <c r="R100" s="25"/>
      <c r="S100" s="25"/>
      <c r="T100" s="25"/>
      <c r="U100" s="25"/>
      <c r="V100" s="25"/>
      <c r="W100" s="25"/>
      <c r="X100" s="25"/>
      <c r="Y100" s="25"/>
      <c r="Z100" s="25"/>
    </row>
    <row r="101" customFormat="false" ht="39.75" hidden="false" customHeight="true" outlineLevel="0" collapsed="false">
      <c r="A101" s="25"/>
      <c r="B101" s="25"/>
      <c r="C101" s="25"/>
      <c r="D101" s="25"/>
      <c r="E101" s="25"/>
      <c r="F101" s="25"/>
      <c r="G101" s="25"/>
      <c r="H101" s="25"/>
      <c r="I101" s="25"/>
      <c r="J101" s="25"/>
      <c r="K101" s="25"/>
      <c r="L101" s="25"/>
      <c r="M101" s="25"/>
      <c r="N101" s="25"/>
      <c r="O101" s="25"/>
      <c r="P101" s="25"/>
      <c r="Q101" s="25"/>
      <c r="R101" s="25"/>
      <c r="S101" s="25"/>
      <c r="T101" s="25"/>
      <c r="U101" s="25"/>
      <c r="V101" s="25"/>
      <c r="W101" s="25"/>
      <c r="X101" s="25"/>
      <c r="Y101" s="25"/>
      <c r="Z101" s="25"/>
    </row>
    <row r="102" customFormat="false" ht="39.75" hidden="false" customHeight="true" outlineLevel="0" collapsed="false">
      <c r="A102" s="25"/>
      <c r="B102" s="25"/>
      <c r="C102" s="25"/>
      <c r="D102" s="25"/>
      <c r="E102" s="25"/>
      <c r="F102" s="25"/>
      <c r="G102" s="25"/>
      <c r="H102" s="25"/>
      <c r="I102" s="25"/>
      <c r="J102" s="25"/>
      <c r="K102" s="25"/>
      <c r="L102" s="25"/>
      <c r="M102" s="25"/>
      <c r="N102" s="25"/>
      <c r="O102" s="25"/>
      <c r="P102" s="25"/>
      <c r="Q102" s="25"/>
      <c r="R102" s="25"/>
      <c r="S102" s="25"/>
      <c r="T102" s="25"/>
      <c r="U102" s="25"/>
      <c r="V102" s="25"/>
      <c r="W102" s="25"/>
      <c r="X102" s="25"/>
      <c r="Y102" s="25"/>
      <c r="Z102" s="25"/>
    </row>
    <row r="103" customFormat="false" ht="39.75" hidden="false" customHeight="true" outlineLevel="0" collapsed="false">
      <c r="A103" s="25"/>
      <c r="B103" s="25"/>
      <c r="C103" s="25"/>
      <c r="D103" s="25"/>
      <c r="E103" s="25"/>
      <c r="F103" s="25"/>
      <c r="G103" s="25"/>
      <c r="H103" s="25"/>
      <c r="I103" s="25"/>
      <c r="J103" s="25"/>
      <c r="K103" s="25"/>
      <c r="L103" s="25"/>
      <c r="M103" s="25"/>
      <c r="N103" s="25"/>
      <c r="O103" s="25"/>
      <c r="P103" s="25"/>
      <c r="Q103" s="25"/>
      <c r="R103" s="25"/>
      <c r="S103" s="25"/>
      <c r="T103" s="25"/>
      <c r="U103" s="25"/>
      <c r="V103" s="25"/>
      <c r="W103" s="25"/>
      <c r="X103" s="25"/>
      <c r="Y103" s="25"/>
      <c r="Z103" s="25"/>
    </row>
    <row r="104" customFormat="false" ht="39.75" hidden="false" customHeight="true" outlineLevel="0" collapsed="false">
      <c r="A104" s="25"/>
      <c r="B104" s="25"/>
      <c r="C104" s="25"/>
      <c r="D104" s="25"/>
      <c r="E104" s="25"/>
      <c r="F104" s="25"/>
      <c r="G104" s="25"/>
      <c r="H104" s="25"/>
      <c r="I104" s="25"/>
      <c r="J104" s="25"/>
      <c r="K104" s="25"/>
      <c r="L104" s="25"/>
      <c r="M104" s="25"/>
      <c r="N104" s="25"/>
      <c r="O104" s="25"/>
      <c r="P104" s="25"/>
      <c r="Q104" s="25"/>
      <c r="R104" s="25"/>
      <c r="S104" s="25"/>
      <c r="T104" s="25"/>
      <c r="U104" s="25"/>
      <c r="V104" s="25"/>
      <c r="W104" s="25"/>
      <c r="X104" s="25"/>
      <c r="Y104" s="25"/>
      <c r="Z104" s="25"/>
    </row>
    <row r="105" customFormat="false" ht="39.75" hidden="false" customHeight="true" outlineLevel="0" collapsed="false">
      <c r="A105" s="25"/>
      <c r="B105" s="25"/>
      <c r="C105" s="25"/>
      <c r="D105" s="25"/>
      <c r="E105" s="25"/>
      <c r="F105" s="25"/>
      <c r="G105" s="25"/>
      <c r="H105" s="25"/>
      <c r="I105" s="25"/>
      <c r="J105" s="25"/>
      <c r="K105" s="25"/>
      <c r="L105" s="25"/>
      <c r="M105" s="25"/>
      <c r="N105" s="25"/>
      <c r="O105" s="25"/>
      <c r="P105" s="25"/>
      <c r="Q105" s="25"/>
      <c r="R105" s="25"/>
      <c r="S105" s="25"/>
      <c r="T105" s="25"/>
      <c r="U105" s="25"/>
      <c r="V105" s="25"/>
      <c r="W105" s="25"/>
      <c r="X105" s="25"/>
      <c r="Y105" s="25"/>
      <c r="Z105" s="25"/>
    </row>
    <row r="106" customFormat="false" ht="39.75" hidden="false" customHeight="true" outlineLevel="0" collapsed="false">
      <c r="A106" s="25"/>
      <c r="B106" s="25"/>
      <c r="C106" s="25"/>
      <c r="D106" s="25"/>
      <c r="E106" s="25"/>
      <c r="F106" s="25"/>
      <c r="G106" s="25"/>
      <c r="H106" s="25"/>
      <c r="I106" s="25"/>
      <c r="J106" s="25"/>
      <c r="K106" s="25"/>
      <c r="L106" s="25"/>
      <c r="M106" s="25"/>
      <c r="N106" s="25"/>
      <c r="O106" s="25"/>
      <c r="P106" s="25"/>
      <c r="Q106" s="25"/>
      <c r="R106" s="25"/>
      <c r="S106" s="25"/>
      <c r="T106" s="25"/>
      <c r="U106" s="25"/>
      <c r="V106" s="25"/>
      <c r="W106" s="25"/>
      <c r="X106" s="25"/>
      <c r="Y106" s="25"/>
      <c r="Z106" s="25"/>
    </row>
    <row r="107" customFormat="false" ht="39.75" hidden="false" customHeight="true" outlineLevel="0" collapsed="false">
      <c r="A107" s="25"/>
      <c r="B107" s="25"/>
      <c r="C107" s="25"/>
      <c r="D107" s="25"/>
      <c r="E107" s="25"/>
      <c r="F107" s="25"/>
      <c r="G107" s="25"/>
      <c r="H107" s="25"/>
      <c r="I107" s="25"/>
      <c r="J107" s="25"/>
      <c r="K107" s="25"/>
      <c r="L107" s="25"/>
      <c r="M107" s="25"/>
      <c r="N107" s="25"/>
      <c r="O107" s="25"/>
      <c r="P107" s="25"/>
      <c r="Q107" s="25"/>
      <c r="R107" s="25"/>
      <c r="S107" s="25"/>
      <c r="T107" s="25"/>
      <c r="U107" s="25"/>
      <c r="V107" s="25"/>
      <c r="W107" s="25"/>
      <c r="X107" s="25"/>
      <c r="Y107" s="25"/>
      <c r="Z107" s="25"/>
    </row>
    <row r="108" customFormat="false" ht="39.75" hidden="false" customHeight="true" outlineLevel="0" collapsed="false">
      <c r="A108" s="25"/>
      <c r="B108" s="25"/>
      <c r="C108" s="25"/>
      <c r="D108" s="25"/>
      <c r="E108" s="25"/>
      <c r="F108" s="25"/>
      <c r="G108" s="25"/>
      <c r="H108" s="25"/>
      <c r="I108" s="25"/>
      <c r="J108" s="25"/>
      <c r="K108" s="25"/>
      <c r="L108" s="25"/>
      <c r="M108" s="25"/>
      <c r="N108" s="25"/>
      <c r="O108" s="25"/>
      <c r="P108" s="25"/>
      <c r="Q108" s="25"/>
      <c r="R108" s="25"/>
      <c r="S108" s="25"/>
      <c r="T108" s="25"/>
      <c r="U108" s="25"/>
      <c r="V108" s="25"/>
      <c r="W108" s="25"/>
      <c r="X108" s="25"/>
      <c r="Y108" s="25"/>
      <c r="Z108" s="25"/>
    </row>
    <row r="109" customFormat="false" ht="39.75" hidden="false" customHeight="true" outlineLevel="0" collapsed="false">
      <c r="A109" s="25"/>
      <c r="B109" s="25"/>
      <c r="C109" s="25"/>
      <c r="D109" s="25"/>
      <c r="E109" s="25"/>
      <c r="F109" s="25"/>
      <c r="G109" s="25"/>
      <c r="H109" s="25"/>
      <c r="I109" s="25"/>
      <c r="J109" s="25"/>
      <c r="K109" s="25"/>
      <c r="L109" s="25"/>
      <c r="M109" s="25"/>
      <c r="N109" s="25"/>
      <c r="O109" s="25"/>
      <c r="P109" s="25"/>
      <c r="Q109" s="25"/>
      <c r="R109" s="25"/>
      <c r="S109" s="25"/>
      <c r="T109" s="25"/>
      <c r="U109" s="25"/>
      <c r="V109" s="25"/>
      <c r="W109" s="25"/>
      <c r="X109" s="25"/>
      <c r="Y109" s="25"/>
      <c r="Z109" s="25"/>
    </row>
    <row r="110" customFormat="false" ht="39.75" hidden="false" customHeight="true" outlineLevel="0" collapsed="false">
      <c r="A110" s="25"/>
      <c r="B110" s="25"/>
      <c r="C110" s="25"/>
      <c r="D110" s="25"/>
      <c r="E110" s="25"/>
      <c r="F110" s="25"/>
      <c r="G110" s="25"/>
      <c r="H110" s="25"/>
      <c r="I110" s="25"/>
      <c r="J110" s="25"/>
      <c r="K110" s="25"/>
      <c r="L110" s="25"/>
      <c r="M110" s="25"/>
      <c r="N110" s="25"/>
      <c r="O110" s="25"/>
      <c r="P110" s="25"/>
      <c r="Q110" s="25"/>
      <c r="R110" s="25"/>
      <c r="S110" s="25"/>
      <c r="T110" s="25"/>
      <c r="U110" s="25"/>
      <c r="V110" s="25"/>
      <c r="W110" s="25"/>
      <c r="X110" s="25"/>
      <c r="Y110" s="25"/>
      <c r="Z110" s="25"/>
    </row>
    <row r="111" customFormat="false" ht="39.75" hidden="false" customHeight="true" outlineLevel="0" collapsed="false">
      <c r="A111" s="25"/>
      <c r="B111" s="25"/>
      <c r="C111" s="25"/>
      <c r="D111" s="25"/>
      <c r="E111" s="25"/>
      <c r="F111" s="25"/>
      <c r="G111" s="25"/>
      <c r="H111" s="25"/>
      <c r="I111" s="25"/>
      <c r="J111" s="25"/>
      <c r="K111" s="25"/>
      <c r="L111" s="25"/>
      <c r="M111" s="25"/>
      <c r="N111" s="25"/>
      <c r="O111" s="25"/>
      <c r="P111" s="25"/>
      <c r="Q111" s="25"/>
      <c r="R111" s="25"/>
      <c r="S111" s="25"/>
      <c r="T111" s="25"/>
      <c r="U111" s="25"/>
      <c r="V111" s="25"/>
      <c r="W111" s="25"/>
      <c r="X111" s="25"/>
      <c r="Y111" s="25"/>
      <c r="Z111" s="25"/>
    </row>
    <row r="112" customFormat="false" ht="39.75" hidden="false" customHeight="true" outlineLevel="0" collapsed="false">
      <c r="A112" s="25"/>
      <c r="B112" s="25"/>
      <c r="C112" s="25"/>
      <c r="D112" s="25"/>
      <c r="E112" s="25"/>
      <c r="F112" s="25"/>
      <c r="G112" s="25"/>
      <c r="H112" s="25"/>
      <c r="I112" s="25"/>
      <c r="J112" s="25"/>
      <c r="K112" s="25"/>
      <c r="L112" s="25"/>
      <c r="M112" s="25"/>
      <c r="N112" s="25"/>
      <c r="O112" s="25"/>
      <c r="P112" s="25"/>
      <c r="Q112" s="25"/>
      <c r="R112" s="25"/>
      <c r="S112" s="25"/>
      <c r="T112" s="25"/>
      <c r="U112" s="25"/>
      <c r="V112" s="25"/>
      <c r="W112" s="25"/>
      <c r="X112" s="25"/>
      <c r="Y112" s="25"/>
      <c r="Z112" s="25"/>
    </row>
    <row r="113" customFormat="false" ht="39.75" hidden="false" customHeight="true" outlineLevel="0" collapsed="false">
      <c r="A113" s="25"/>
      <c r="B113" s="25"/>
      <c r="C113" s="25"/>
      <c r="D113" s="25"/>
      <c r="E113" s="25"/>
      <c r="F113" s="25"/>
      <c r="G113" s="25"/>
      <c r="H113" s="25"/>
      <c r="I113" s="25"/>
      <c r="J113" s="25"/>
      <c r="K113" s="25"/>
      <c r="L113" s="25"/>
      <c r="M113" s="25"/>
      <c r="N113" s="25"/>
      <c r="O113" s="25"/>
      <c r="P113" s="25"/>
      <c r="Q113" s="25"/>
      <c r="R113" s="25"/>
      <c r="S113" s="25"/>
      <c r="T113" s="25"/>
      <c r="U113" s="25"/>
      <c r="V113" s="25"/>
      <c r="W113" s="25"/>
      <c r="X113" s="25"/>
      <c r="Y113" s="25"/>
      <c r="Z113" s="25"/>
    </row>
    <row r="114" customFormat="false" ht="39.75" hidden="false" customHeight="true" outlineLevel="0" collapsed="false">
      <c r="A114" s="25"/>
      <c r="B114" s="25"/>
      <c r="C114" s="25"/>
      <c r="D114" s="25"/>
      <c r="E114" s="25"/>
      <c r="F114" s="25"/>
      <c r="G114" s="25"/>
      <c r="H114" s="25"/>
      <c r="I114" s="25"/>
      <c r="J114" s="25"/>
      <c r="K114" s="25"/>
      <c r="L114" s="25"/>
      <c r="M114" s="25"/>
      <c r="N114" s="25"/>
      <c r="O114" s="25"/>
      <c r="P114" s="25"/>
      <c r="Q114" s="25"/>
      <c r="R114" s="25"/>
      <c r="S114" s="25"/>
      <c r="T114" s="25"/>
      <c r="U114" s="25"/>
      <c r="V114" s="25"/>
      <c r="W114" s="25"/>
      <c r="X114" s="25"/>
      <c r="Y114" s="25"/>
      <c r="Z114" s="25"/>
    </row>
    <row r="115" customFormat="false" ht="39.75" hidden="false" customHeight="true" outlineLevel="0" collapsed="false">
      <c r="A115" s="25"/>
      <c r="B115" s="25"/>
      <c r="C115" s="25"/>
      <c r="D115" s="25"/>
      <c r="E115" s="25"/>
      <c r="F115" s="25"/>
      <c r="G115" s="25"/>
      <c r="H115" s="25"/>
      <c r="I115" s="25"/>
      <c r="J115" s="25"/>
      <c r="K115" s="25"/>
      <c r="L115" s="25"/>
      <c r="M115" s="25"/>
      <c r="N115" s="25"/>
      <c r="O115" s="25"/>
      <c r="P115" s="25"/>
      <c r="Q115" s="25"/>
      <c r="R115" s="25"/>
      <c r="S115" s="25"/>
      <c r="T115" s="25"/>
      <c r="U115" s="25"/>
      <c r="V115" s="25"/>
      <c r="W115" s="25"/>
      <c r="X115" s="25"/>
      <c r="Y115" s="25"/>
      <c r="Z115" s="25"/>
    </row>
    <row r="116" customFormat="false" ht="39.75" hidden="false" customHeight="true" outlineLevel="0" collapsed="false">
      <c r="A116" s="25"/>
      <c r="B116" s="25"/>
      <c r="C116" s="25"/>
      <c r="D116" s="25"/>
      <c r="E116" s="25"/>
      <c r="F116" s="25"/>
      <c r="G116" s="25"/>
      <c r="H116" s="25"/>
      <c r="I116" s="25"/>
      <c r="J116" s="25"/>
      <c r="K116" s="25"/>
      <c r="L116" s="25"/>
      <c r="M116" s="25"/>
      <c r="N116" s="25"/>
      <c r="O116" s="25"/>
      <c r="P116" s="25"/>
      <c r="Q116" s="25"/>
      <c r="R116" s="25"/>
      <c r="S116" s="25"/>
      <c r="T116" s="25"/>
      <c r="U116" s="25"/>
      <c r="V116" s="25"/>
      <c r="W116" s="25"/>
      <c r="X116" s="25"/>
      <c r="Y116" s="25"/>
      <c r="Z116" s="25"/>
    </row>
    <row r="117" customFormat="false" ht="39.75" hidden="false" customHeight="true" outlineLevel="0" collapsed="false">
      <c r="A117" s="25"/>
      <c r="B117" s="25"/>
      <c r="C117" s="25"/>
      <c r="D117" s="25"/>
      <c r="E117" s="25"/>
      <c r="F117" s="25"/>
      <c r="G117" s="25"/>
      <c r="H117" s="25"/>
      <c r="I117" s="25"/>
      <c r="J117" s="25"/>
      <c r="K117" s="25"/>
      <c r="L117" s="25"/>
      <c r="M117" s="25"/>
      <c r="N117" s="25"/>
      <c r="O117" s="25"/>
      <c r="P117" s="25"/>
      <c r="Q117" s="25"/>
      <c r="R117" s="25"/>
      <c r="S117" s="25"/>
      <c r="T117" s="25"/>
      <c r="U117" s="25"/>
      <c r="V117" s="25"/>
      <c r="W117" s="25"/>
      <c r="X117" s="25"/>
      <c r="Y117" s="25"/>
      <c r="Z117" s="25"/>
    </row>
    <row r="118" customFormat="false" ht="39.75" hidden="false" customHeight="true" outlineLevel="0" collapsed="false">
      <c r="A118" s="25"/>
      <c r="B118" s="25"/>
      <c r="C118" s="25"/>
      <c r="D118" s="25"/>
      <c r="E118" s="25"/>
      <c r="F118" s="25"/>
      <c r="G118" s="25"/>
      <c r="H118" s="25"/>
      <c r="I118" s="25"/>
      <c r="J118" s="25"/>
      <c r="K118" s="25"/>
      <c r="L118" s="25"/>
      <c r="M118" s="25"/>
      <c r="N118" s="25"/>
      <c r="O118" s="25"/>
      <c r="P118" s="25"/>
      <c r="Q118" s="25"/>
      <c r="R118" s="25"/>
      <c r="S118" s="25"/>
      <c r="T118" s="25"/>
      <c r="U118" s="25"/>
      <c r="V118" s="25"/>
      <c r="W118" s="25"/>
      <c r="X118" s="25"/>
      <c r="Y118" s="25"/>
      <c r="Z118" s="25"/>
    </row>
    <row r="119" customFormat="false" ht="39.75" hidden="false" customHeight="true" outlineLevel="0" collapsed="false">
      <c r="A119" s="25"/>
      <c r="B119" s="25"/>
      <c r="C119" s="25"/>
      <c r="D119" s="25"/>
      <c r="E119" s="25"/>
      <c r="F119" s="25"/>
      <c r="G119" s="25"/>
      <c r="H119" s="25"/>
      <c r="I119" s="25"/>
      <c r="J119" s="25"/>
      <c r="K119" s="25"/>
      <c r="L119" s="25"/>
      <c r="M119" s="25"/>
      <c r="N119" s="25"/>
      <c r="O119" s="25"/>
      <c r="P119" s="25"/>
      <c r="Q119" s="25"/>
      <c r="R119" s="25"/>
      <c r="S119" s="25"/>
      <c r="T119" s="25"/>
      <c r="U119" s="25"/>
      <c r="V119" s="25"/>
      <c r="W119" s="25"/>
      <c r="X119" s="25"/>
      <c r="Y119" s="25"/>
      <c r="Z119" s="25"/>
    </row>
    <row r="120" customFormat="false" ht="39.75" hidden="false" customHeight="true" outlineLevel="0" collapsed="false">
      <c r="A120" s="25"/>
      <c r="B120" s="25"/>
      <c r="C120" s="25"/>
      <c r="D120" s="25"/>
      <c r="E120" s="25"/>
      <c r="F120" s="25"/>
      <c r="G120" s="25"/>
      <c r="H120" s="25"/>
      <c r="I120" s="25"/>
      <c r="J120" s="25"/>
      <c r="K120" s="25"/>
      <c r="L120" s="25"/>
      <c r="M120" s="25"/>
      <c r="N120" s="25"/>
      <c r="O120" s="25"/>
      <c r="P120" s="25"/>
      <c r="Q120" s="25"/>
      <c r="R120" s="25"/>
      <c r="S120" s="25"/>
      <c r="T120" s="25"/>
      <c r="U120" s="25"/>
      <c r="V120" s="25"/>
      <c r="W120" s="25"/>
      <c r="X120" s="25"/>
      <c r="Y120" s="25"/>
      <c r="Z120" s="25"/>
    </row>
    <row r="121" customFormat="false" ht="39.75" hidden="false" customHeight="true" outlineLevel="0" collapsed="false">
      <c r="A121" s="25"/>
      <c r="B121" s="25"/>
      <c r="C121" s="25"/>
      <c r="D121" s="25"/>
      <c r="E121" s="25"/>
      <c r="F121" s="25"/>
      <c r="G121" s="25"/>
      <c r="H121" s="25"/>
      <c r="I121" s="25"/>
      <c r="J121" s="25"/>
      <c r="K121" s="25"/>
      <c r="L121" s="25"/>
      <c r="M121" s="25"/>
      <c r="N121" s="25"/>
      <c r="O121" s="25"/>
      <c r="P121" s="25"/>
      <c r="Q121" s="25"/>
      <c r="R121" s="25"/>
      <c r="S121" s="25"/>
      <c r="T121" s="25"/>
      <c r="U121" s="25"/>
      <c r="V121" s="25"/>
      <c r="W121" s="25"/>
      <c r="X121" s="25"/>
      <c r="Y121" s="25"/>
      <c r="Z121" s="25"/>
    </row>
    <row r="122" customFormat="false" ht="39.75" hidden="false" customHeight="true" outlineLevel="0" collapsed="false">
      <c r="A122" s="25"/>
      <c r="B122" s="25"/>
      <c r="C122" s="25"/>
      <c r="D122" s="25"/>
      <c r="E122" s="25"/>
      <c r="F122" s="25"/>
      <c r="G122" s="25"/>
      <c r="H122" s="25"/>
      <c r="I122" s="25"/>
      <c r="J122" s="25"/>
      <c r="K122" s="25"/>
      <c r="L122" s="25"/>
      <c r="M122" s="25"/>
      <c r="N122" s="25"/>
      <c r="O122" s="25"/>
      <c r="P122" s="25"/>
      <c r="Q122" s="25"/>
      <c r="R122" s="25"/>
      <c r="S122" s="25"/>
      <c r="T122" s="25"/>
      <c r="U122" s="25"/>
      <c r="V122" s="25"/>
      <c r="W122" s="25"/>
      <c r="X122" s="25"/>
      <c r="Y122" s="25"/>
      <c r="Z122" s="25"/>
    </row>
    <row r="123" customFormat="false" ht="39.75" hidden="false" customHeight="true" outlineLevel="0" collapsed="false">
      <c r="A123" s="25"/>
      <c r="B123" s="25"/>
      <c r="C123" s="25"/>
      <c r="D123" s="25"/>
      <c r="E123" s="25"/>
      <c r="F123" s="25"/>
      <c r="G123" s="25"/>
      <c r="H123" s="25"/>
      <c r="I123" s="25"/>
      <c r="J123" s="25"/>
      <c r="K123" s="25"/>
      <c r="L123" s="25"/>
      <c r="M123" s="25"/>
      <c r="N123" s="25"/>
      <c r="O123" s="25"/>
      <c r="P123" s="25"/>
      <c r="Q123" s="25"/>
      <c r="R123" s="25"/>
      <c r="S123" s="25"/>
      <c r="T123" s="25"/>
      <c r="U123" s="25"/>
      <c r="V123" s="25"/>
      <c r="W123" s="25"/>
      <c r="X123" s="25"/>
      <c r="Y123" s="25"/>
      <c r="Z123" s="25"/>
    </row>
    <row r="124" customFormat="false" ht="39.75" hidden="false" customHeight="true" outlineLevel="0" collapsed="false">
      <c r="A124" s="25"/>
      <c r="B124" s="25"/>
      <c r="C124" s="25"/>
      <c r="D124" s="25"/>
      <c r="E124" s="25"/>
      <c r="F124" s="25"/>
      <c r="G124" s="25"/>
      <c r="H124" s="25"/>
      <c r="I124" s="25"/>
      <c r="J124" s="25"/>
      <c r="K124" s="25"/>
      <c r="L124" s="25"/>
      <c r="M124" s="25"/>
      <c r="N124" s="25"/>
      <c r="O124" s="25"/>
      <c r="P124" s="25"/>
      <c r="Q124" s="25"/>
      <c r="R124" s="25"/>
      <c r="S124" s="25"/>
      <c r="T124" s="25"/>
      <c r="U124" s="25"/>
      <c r="V124" s="25"/>
      <c r="W124" s="25"/>
      <c r="X124" s="25"/>
      <c r="Y124" s="25"/>
      <c r="Z124" s="25"/>
    </row>
    <row r="125" customFormat="false" ht="39.75" hidden="false" customHeight="true" outlineLevel="0" collapsed="false">
      <c r="A125" s="25"/>
      <c r="B125" s="25"/>
      <c r="C125" s="25"/>
      <c r="D125" s="25"/>
      <c r="E125" s="25"/>
      <c r="F125" s="25"/>
      <c r="G125" s="25"/>
      <c r="H125" s="25"/>
      <c r="I125" s="25"/>
      <c r="J125" s="25"/>
      <c r="K125" s="25"/>
      <c r="L125" s="25"/>
      <c r="M125" s="25"/>
      <c r="N125" s="25"/>
      <c r="O125" s="25"/>
      <c r="P125" s="25"/>
      <c r="Q125" s="25"/>
      <c r="R125" s="25"/>
      <c r="S125" s="25"/>
      <c r="T125" s="25"/>
      <c r="U125" s="25"/>
      <c r="V125" s="25"/>
      <c r="W125" s="25"/>
      <c r="X125" s="25"/>
      <c r="Y125" s="25"/>
      <c r="Z125" s="25"/>
    </row>
    <row r="126" customFormat="false" ht="39.75" hidden="false" customHeight="true" outlineLevel="0" collapsed="false">
      <c r="A126" s="25"/>
      <c r="B126" s="25"/>
      <c r="C126" s="25"/>
      <c r="D126" s="25"/>
      <c r="E126" s="25"/>
      <c r="F126" s="25"/>
      <c r="G126" s="25"/>
      <c r="H126" s="25"/>
      <c r="I126" s="25"/>
      <c r="J126" s="25"/>
      <c r="K126" s="25"/>
      <c r="L126" s="25"/>
      <c r="M126" s="25"/>
      <c r="N126" s="25"/>
      <c r="O126" s="25"/>
      <c r="P126" s="25"/>
      <c r="Q126" s="25"/>
      <c r="R126" s="25"/>
      <c r="S126" s="25"/>
      <c r="T126" s="25"/>
      <c r="U126" s="25"/>
      <c r="V126" s="25"/>
      <c r="W126" s="25"/>
      <c r="X126" s="25"/>
      <c r="Y126" s="25"/>
      <c r="Z126" s="25"/>
    </row>
    <row r="127" customFormat="false" ht="39.75" hidden="false" customHeight="true" outlineLevel="0" collapsed="false">
      <c r="A127" s="25"/>
      <c r="B127" s="25"/>
      <c r="C127" s="25"/>
      <c r="D127" s="25"/>
      <c r="E127" s="25"/>
      <c r="F127" s="25"/>
      <c r="G127" s="25"/>
      <c r="H127" s="25"/>
      <c r="I127" s="25"/>
      <c r="J127" s="25"/>
      <c r="K127" s="25"/>
      <c r="L127" s="25"/>
      <c r="M127" s="25"/>
      <c r="N127" s="25"/>
      <c r="O127" s="25"/>
      <c r="P127" s="25"/>
      <c r="Q127" s="25"/>
      <c r="R127" s="25"/>
      <c r="S127" s="25"/>
      <c r="T127" s="25"/>
      <c r="U127" s="25"/>
      <c r="V127" s="25"/>
      <c r="W127" s="25"/>
      <c r="X127" s="25"/>
      <c r="Y127" s="25"/>
      <c r="Z127" s="25"/>
    </row>
    <row r="128" customFormat="false" ht="39.75" hidden="false" customHeight="true" outlineLevel="0" collapsed="false">
      <c r="A128" s="25"/>
      <c r="B128" s="25"/>
      <c r="C128" s="25"/>
      <c r="D128" s="25"/>
      <c r="E128" s="25"/>
      <c r="F128" s="25"/>
      <c r="G128" s="25"/>
      <c r="H128" s="25"/>
      <c r="I128" s="25"/>
      <c r="J128" s="25"/>
      <c r="K128" s="25"/>
      <c r="L128" s="25"/>
      <c r="M128" s="25"/>
      <c r="N128" s="25"/>
      <c r="O128" s="25"/>
      <c r="P128" s="25"/>
      <c r="Q128" s="25"/>
      <c r="R128" s="25"/>
      <c r="S128" s="25"/>
      <c r="T128" s="25"/>
      <c r="U128" s="25"/>
      <c r="V128" s="25"/>
      <c r="W128" s="25"/>
      <c r="X128" s="25"/>
      <c r="Y128" s="25"/>
      <c r="Z128" s="25"/>
    </row>
    <row r="129" customFormat="false" ht="39.75" hidden="false" customHeight="true" outlineLevel="0" collapsed="false">
      <c r="A129" s="25"/>
      <c r="B129" s="25"/>
      <c r="C129" s="25"/>
      <c r="D129" s="25"/>
      <c r="E129" s="25"/>
      <c r="F129" s="25"/>
      <c r="G129" s="25"/>
      <c r="H129" s="25"/>
      <c r="I129" s="25"/>
      <c r="J129" s="25"/>
      <c r="K129" s="25"/>
      <c r="L129" s="25"/>
      <c r="M129" s="25"/>
      <c r="N129" s="25"/>
      <c r="O129" s="25"/>
      <c r="P129" s="25"/>
      <c r="Q129" s="25"/>
      <c r="R129" s="25"/>
      <c r="S129" s="25"/>
      <c r="T129" s="25"/>
      <c r="U129" s="25"/>
      <c r="V129" s="25"/>
      <c r="W129" s="25"/>
      <c r="X129" s="25"/>
      <c r="Y129" s="25"/>
      <c r="Z129" s="25"/>
    </row>
    <row r="130" customFormat="false" ht="39.75" hidden="false" customHeight="true" outlineLevel="0" collapsed="false">
      <c r="A130" s="25"/>
      <c r="B130" s="25"/>
      <c r="C130" s="25"/>
      <c r="D130" s="25"/>
      <c r="E130" s="25"/>
      <c r="F130" s="25"/>
      <c r="G130" s="25"/>
      <c r="H130" s="25"/>
      <c r="I130" s="25"/>
      <c r="J130" s="25"/>
      <c r="K130" s="25"/>
      <c r="L130" s="25"/>
      <c r="M130" s="25"/>
      <c r="N130" s="25"/>
      <c r="O130" s="25"/>
      <c r="P130" s="25"/>
      <c r="Q130" s="25"/>
      <c r="R130" s="25"/>
      <c r="S130" s="25"/>
      <c r="T130" s="25"/>
      <c r="U130" s="25"/>
      <c r="V130" s="25"/>
      <c r="W130" s="25"/>
      <c r="X130" s="25"/>
      <c r="Y130" s="25"/>
      <c r="Z130" s="25"/>
    </row>
    <row r="131" customFormat="false" ht="39.75" hidden="false" customHeight="true" outlineLevel="0" collapsed="false">
      <c r="A131" s="25"/>
      <c r="B131" s="25"/>
      <c r="C131" s="25"/>
      <c r="D131" s="25"/>
      <c r="E131" s="25"/>
      <c r="F131" s="25"/>
      <c r="G131" s="25"/>
      <c r="H131" s="25"/>
      <c r="I131" s="25"/>
      <c r="J131" s="25"/>
      <c r="K131" s="25"/>
      <c r="L131" s="25"/>
      <c r="M131" s="25"/>
      <c r="N131" s="25"/>
      <c r="O131" s="25"/>
      <c r="P131" s="25"/>
      <c r="Q131" s="25"/>
      <c r="R131" s="25"/>
      <c r="S131" s="25"/>
      <c r="T131" s="25"/>
      <c r="U131" s="25"/>
      <c r="V131" s="25"/>
      <c r="W131" s="25"/>
      <c r="X131" s="25"/>
      <c r="Y131" s="25"/>
      <c r="Z131" s="25"/>
    </row>
    <row r="132" customFormat="false" ht="39.75" hidden="false" customHeight="true" outlineLevel="0" collapsed="false">
      <c r="A132" s="25"/>
      <c r="B132" s="25"/>
      <c r="C132" s="25"/>
      <c r="D132" s="25"/>
      <c r="E132" s="25"/>
      <c r="F132" s="25"/>
      <c r="G132" s="25"/>
      <c r="H132" s="25"/>
      <c r="I132" s="25"/>
      <c r="J132" s="25"/>
      <c r="K132" s="25"/>
      <c r="L132" s="25"/>
      <c r="M132" s="25"/>
      <c r="N132" s="25"/>
      <c r="O132" s="25"/>
      <c r="P132" s="25"/>
      <c r="Q132" s="25"/>
      <c r="R132" s="25"/>
      <c r="S132" s="25"/>
      <c r="T132" s="25"/>
      <c r="U132" s="25"/>
      <c r="V132" s="25"/>
      <c r="W132" s="25"/>
      <c r="X132" s="25"/>
      <c r="Y132" s="25"/>
      <c r="Z132" s="25"/>
    </row>
    <row r="133" customFormat="false" ht="39.75" hidden="false" customHeight="true" outlineLevel="0" collapsed="false">
      <c r="A133" s="25"/>
      <c r="B133" s="25"/>
      <c r="C133" s="25"/>
      <c r="D133" s="25"/>
      <c r="E133" s="25"/>
      <c r="F133" s="25"/>
      <c r="G133" s="25"/>
      <c r="H133" s="25"/>
      <c r="I133" s="25"/>
      <c r="J133" s="25"/>
      <c r="K133" s="25"/>
      <c r="L133" s="25"/>
      <c r="M133" s="25"/>
      <c r="N133" s="25"/>
      <c r="O133" s="25"/>
      <c r="P133" s="25"/>
      <c r="Q133" s="25"/>
      <c r="R133" s="25"/>
      <c r="S133" s="25"/>
      <c r="T133" s="25"/>
      <c r="U133" s="25"/>
      <c r="V133" s="25"/>
      <c r="W133" s="25"/>
      <c r="X133" s="25"/>
      <c r="Y133" s="25"/>
      <c r="Z133" s="25"/>
    </row>
    <row r="134" customFormat="false" ht="39.75" hidden="false" customHeight="true" outlineLevel="0" collapsed="false">
      <c r="A134" s="25"/>
      <c r="B134" s="25"/>
      <c r="C134" s="25"/>
      <c r="D134" s="25"/>
      <c r="E134" s="25"/>
      <c r="F134" s="25"/>
      <c r="G134" s="25"/>
      <c r="H134" s="25"/>
      <c r="I134" s="25"/>
      <c r="J134" s="25"/>
      <c r="K134" s="25"/>
      <c r="L134" s="25"/>
      <c r="M134" s="25"/>
      <c r="N134" s="25"/>
      <c r="O134" s="25"/>
      <c r="P134" s="25"/>
      <c r="Q134" s="25"/>
      <c r="R134" s="25"/>
      <c r="S134" s="25"/>
      <c r="T134" s="25"/>
      <c r="U134" s="25"/>
      <c r="V134" s="25"/>
      <c r="W134" s="25"/>
      <c r="X134" s="25"/>
      <c r="Y134" s="25"/>
      <c r="Z134" s="25"/>
    </row>
    <row r="135" customFormat="false" ht="39.75" hidden="false" customHeight="true" outlineLevel="0" collapsed="false">
      <c r="A135" s="25"/>
      <c r="B135" s="25"/>
      <c r="C135" s="25"/>
      <c r="D135" s="25"/>
      <c r="E135" s="25"/>
      <c r="F135" s="25"/>
      <c r="G135" s="25"/>
      <c r="H135" s="25"/>
      <c r="I135" s="25"/>
      <c r="J135" s="25"/>
      <c r="K135" s="25"/>
      <c r="L135" s="25"/>
      <c r="M135" s="25"/>
      <c r="N135" s="25"/>
      <c r="O135" s="25"/>
      <c r="P135" s="25"/>
      <c r="Q135" s="25"/>
      <c r="R135" s="25"/>
      <c r="S135" s="25"/>
      <c r="T135" s="25"/>
      <c r="U135" s="25"/>
      <c r="V135" s="25"/>
      <c r="W135" s="25"/>
      <c r="X135" s="25"/>
      <c r="Y135" s="25"/>
      <c r="Z135" s="25"/>
    </row>
    <row r="136" customFormat="false" ht="39.75" hidden="false" customHeight="true" outlineLevel="0" collapsed="false">
      <c r="A136" s="25"/>
      <c r="B136" s="25"/>
      <c r="C136" s="25"/>
      <c r="D136" s="25"/>
      <c r="E136" s="25"/>
      <c r="F136" s="25"/>
      <c r="G136" s="25"/>
      <c r="H136" s="25"/>
      <c r="I136" s="25"/>
      <c r="J136" s="25"/>
      <c r="K136" s="25"/>
      <c r="L136" s="25"/>
      <c r="M136" s="25"/>
      <c r="N136" s="25"/>
      <c r="O136" s="25"/>
      <c r="P136" s="25"/>
      <c r="Q136" s="25"/>
      <c r="R136" s="25"/>
      <c r="S136" s="25"/>
      <c r="T136" s="25"/>
      <c r="U136" s="25"/>
      <c r="V136" s="25"/>
      <c r="W136" s="25"/>
      <c r="X136" s="25"/>
      <c r="Y136" s="25"/>
      <c r="Z136" s="25"/>
    </row>
    <row r="137" customFormat="false" ht="39.75" hidden="false" customHeight="true" outlineLevel="0" collapsed="false">
      <c r="A137" s="25"/>
      <c r="B137" s="25"/>
      <c r="C137" s="25"/>
      <c r="D137" s="25"/>
      <c r="E137" s="25"/>
      <c r="F137" s="25"/>
      <c r="G137" s="25"/>
      <c r="H137" s="25"/>
      <c r="I137" s="25"/>
      <c r="J137" s="25"/>
      <c r="K137" s="25"/>
      <c r="L137" s="25"/>
      <c r="M137" s="25"/>
      <c r="N137" s="25"/>
      <c r="O137" s="25"/>
      <c r="P137" s="25"/>
      <c r="Q137" s="25"/>
      <c r="R137" s="25"/>
      <c r="S137" s="25"/>
      <c r="T137" s="25"/>
      <c r="U137" s="25"/>
      <c r="V137" s="25"/>
      <c r="W137" s="25"/>
      <c r="X137" s="25"/>
      <c r="Y137" s="25"/>
      <c r="Z137" s="25"/>
    </row>
    <row r="138" customFormat="false" ht="39.75" hidden="false" customHeight="true" outlineLevel="0" collapsed="false">
      <c r="A138" s="25"/>
      <c r="B138" s="25"/>
      <c r="C138" s="25"/>
      <c r="D138" s="25"/>
      <c r="E138" s="25"/>
      <c r="F138" s="25"/>
      <c r="G138" s="25"/>
      <c r="H138" s="25"/>
      <c r="I138" s="25"/>
      <c r="J138" s="25"/>
      <c r="K138" s="25"/>
      <c r="L138" s="25"/>
      <c r="M138" s="25"/>
      <c r="N138" s="25"/>
      <c r="O138" s="25"/>
      <c r="P138" s="25"/>
      <c r="Q138" s="25"/>
      <c r="R138" s="25"/>
      <c r="S138" s="25"/>
      <c r="T138" s="25"/>
      <c r="U138" s="25"/>
      <c r="V138" s="25"/>
      <c r="W138" s="25"/>
      <c r="X138" s="25"/>
      <c r="Y138" s="25"/>
      <c r="Z138" s="25"/>
    </row>
    <row r="139" customFormat="false" ht="39.75" hidden="false" customHeight="true" outlineLevel="0" collapsed="false">
      <c r="A139" s="25"/>
      <c r="B139" s="25"/>
      <c r="C139" s="25"/>
      <c r="D139" s="25"/>
      <c r="E139" s="25"/>
      <c r="F139" s="25"/>
      <c r="G139" s="25"/>
      <c r="H139" s="25"/>
      <c r="I139" s="25"/>
      <c r="J139" s="25"/>
      <c r="K139" s="25"/>
      <c r="L139" s="25"/>
      <c r="M139" s="25"/>
      <c r="N139" s="25"/>
      <c r="O139" s="25"/>
      <c r="P139" s="25"/>
      <c r="Q139" s="25"/>
      <c r="R139" s="25"/>
      <c r="S139" s="25"/>
      <c r="T139" s="25"/>
      <c r="U139" s="25"/>
      <c r="V139" s="25"/>
      <c r="W139" s="25"/>
      <c r="X139" s="25"/>
      <c r="Y139" s="25"/>
      <c r="Z139" s="25"/>
    </row>
    <row r="140" customFormat="false" ht="39.75" hidden="false" customHeight="true" outlineLevel="0" collapsed="false">
      <c r="A140" s="25"/>
      <c r="B140" s="25"/>
      <c r="C140" s="25"/>
      <c r="D140" s="25"/>
      <c r="E140" s="25"/>
      <c r="F140" s="25"/>
      <c r="G140" s="25"/>
      <c r="H140" s="25"/>
      <c r="I140" s="25"/>
      <c r="J140" s="25"/>
      <c r="K140" s="25"/>
      <c r="L140" s="25"/>
      <c r="M140" s="25"/>
      <c r="N140" s="25"/>
      <c r="O140" s="25"/>
      <c r="P140" s="25"/>
      <c r="Q140" s="25"/>
      <c r="R140" s="25"/>
      <c r="S140" s="25"/>
      <c r="T140" s="25"/>
      <c r="U140" s="25"/>
      <c r="V140" s="25"/>
      <c r="W140" s="25"/>
      <c r="X140" s="25"/>
      <c r="Y140" s="25"/>
      <c r="Z140" s="25"/>
    </row>
    <row r="141" customFormat="false" ht="39.75" hidden="false" customHeight="true" outlineLevel="0" collapsed="false">
      <c r="A141" s="25"/>
      <c r="B141" s="25"/>
      <c r="C141" s="25"/>
      <c r="D141" s="25"/>
      <c r="E141" s="25"/>
      <c r="F141" s="25"/>
      <c r="G141" s="25"/>
      <c r="H141" s="25"/>
      <c r="I141" s="25"/>
      <c r="J141" s="25"/>
      <c r="K141" s="25"/>
      <c r="L141" s="25"/>
      <c r="M141" s="25"/>
      <c r="N141" s="25"/>
      <c r="O141" s="25"/>
      <c r="P141" s="25"/>
      <c r="Q141" s="25"/>
      <c r="R141" s="25"/>
      <c r="S141" s="25"/>
      <c r="T141" s="25"/>
      <c r="U141" s="25"/>
      <c r="V141" s="25"/>
      <c r="W141" s="25"/>
      <c r="X141" s="25"/>
      <c r="Y141" s="25"/>
      <c r="Z141" s="25"/>
    </row>
    <row r="142" customFormat="false" ht="39.75" hidden="false" customHeight="true" outlineLevel="0" collapsed="false">
      <c r="A142" s="25"/>
      <c r="B142" s="25"/>
      <c r="C142" s="25"/>
      <c r="D142" s="25"/>
      <c r="E142" s="25"/>
      <c r="F142" s="25"/>
      <c r="G142" s="25"/>
      <c r="H142" s="25"/>
      <c r="I142" s="25"/>
      <c r="J142" s="25"/>
      <c r="K142" s="25"/>
      <c r="L142" s="25"/>
      <c r="M142" s="25"/>
      <c r="N142" s="25"/>
      <c r="O142" s="25"/>
      <c r="P142" s="25"/>
      <c r="Q142" s="25"/>
      <c r="R142" s="25"/>
      <c r="S142" s="25"/>
      <c r="T142" s="25"/>
      <c r="U142" s="25"/>
      <c r="V142" s="25"/>
      <c r="W142" s="25"/>
      <c r="X142" s="25"/>
      <c r="Y142" s="25"/>
      <c r="Z142" s="25"/>
    </row>
    <row r="143" customFormat="false" ht="39.75" hidden="false" customHeight="true" outlineLevel="0" collapsed="false">
      <c r="A143" s="25"/>
      <c r="B143" s="25"/>
      <c r="C143" s="25"/>
      <c r="D143" s="25"/>
      <c r="E143" s="25"/>
      <c r="F143" s="25"/>
      <c r="G143" s="25"/>
      <c r="H143" s="25"/>
      <c r="I143" s="25"/>
      <c r="J143" s="25"/>
      <c r="K143" s="25"/>
      <c r="L143" s="25"/>
      <c r="M143" s="25"/>
      <c r="N143" s="25"/>
      <c r="O143" s="25"/>
      <c r="P143" s="25"/>
      <c r="Q143" s="25"/>
      <c r="R143" s="25"/>
      <c r="S143" s="25"/>
      <c r="T143" s="25"/>
      <c r="U143" s="25"/>
      <c r="V143" s="25"/>
      <c r="W143" s="25"/>
      <c r="X143" s="25"/>
      <c r="Y143" s="25"/>
      <c r="Z143" s="25"/>
    </row>
    <row r="144" customFormat="false" ht="39.75" hidden="false" customHeight="true" outlineLevel="0" collapsed="false">
      <c r="A144" s="25"/>
      <c r="B144" s="25"/>
      <c r="C144" s="25"/>
      <c r="D144" s="25"/>
      <c r="E144" s="25"/>
      <c r="F144" s="25"/>
      <c r="G144" s="25"/>
      <c r="H144" s="25"/>
      <c r="I144" s="25"/>
      <c r="J144" s="25"/>
      <c r="K144" s="25"/>
      <c r="L144" s="25"/>
      <c r="M144" s="25"/>
      <c r="N144" s="25"/>
      <c r="O144" s="25"/>
      <c r="P144" s="25"/>
      <c r="Q144" s="25"/>
      <c r="R144" s="25"/>
      <c r="S144" s="25"/>
      <c r="T144" s="25"/>
      <c r="U144" s="25"/>
      <c r="V144" s="25"/>
      <c r="W144" s="25"/>
      <c r="X144" s="25"/>
      <c r="Y144" s="25"/>
      <c r="Z144" s="25"/>
    </row>
    <row r="145" customFormat="false" ht="39.75" hidden="false" customHeight="true" outlineLevel="0" collapsed="false">
      <c r="A145" s="25"/>
      <c r="B145" s="25"/>
      <c r="C145" s="25"/>
      <c r="D145" s="25"/>
      <c r="E145" s="25"/>
      <c r="F145" s="25"/>
      <c r="G145" s="25"/>
      <c r="H145" s="25"/>
      <c r="I145" s="25"/>
      <c r="J145" s="25"/>
      <c r="K145" s="25"/>
      <c r="L145" s="25"/>
      <c r="M145" s="25"/>
      <c r="N145" s="25"/>
      <c r="O145" s="25"/>
      <c r="P145" s="25"/>
      <c r="Q145" s="25"/>
      <c r="R145" s="25"/>
      <c r="S145" s="25"/>
      <c r="T145" s="25"/>
      <c r="U145" s="25"/>
      <c r="V145" s="25"/>
      <c r="W145" s="25"/>
      <c r="X145" s="25"/>
      <c r="Y145" s="25"/>
      <c r="Z145" s="25"/>
    </row>
    <row r="146" customFormat="false" ht="39.75" hidden="false" customHeight="true" outlineLevel="0" collapsed="false">
      <c r="A146" s="25"/>
      <c r="B146" s="25"/>
      <c r="C146" s="25"/>
      <c r="D146" s="25"/>
      <c r="E146" s="25"/>
      <c r="F146" s="25"/>
      <c r="G146" s="25"/>
      <c r="H146" s="25"/>
      <c r="I146" s="25"/>
      <c r="J146" s="25"/>
      <c r="K146" s="25"/>
      <c r="L146" s="25"/>
      <c r="M146" s="25"/>
      <c r="N146" s="25"/>
      <c r="O146" s="25"/>
      <c r="P146" s="25"/>
      <c r="Q146" s="25"/>
      <c r="R146" s="25"/>
      <c r="S146" s="25"/>
      <c r="T146" s="25"/>
      <c r="U146" s="25"/>
      <c r="V146" s="25"/>
      <c r="W146" s="25"/>
      <c r="X146" s="25"/>
      <c r="Y146" s="25"/>
      <c r="Z146" s="25"/>
    </row>
    <row r="147" customFormat="false" ht="39.75" hidden="false" customHeight="true" outlineLevel="0" collapsed="false">
      <c r="A147" s="25"/>
      <c r="B147" s="25"/>
      <c r="C147" s="25"/>
      <c r="D147" s="25"/>
      <c r="E147" s="25"/>
      <c r="F147" s="25"/>
      <c r="G147" s="25"/>
      <c r="H147" s="25"/>
      <c r="I147" s="25"/>
      <c r="J147" s="25"/>
      <c r="K147" s="25"/>
      <c r="L147" s="25"/>
      <c r="M147" s="25"/>
      <c r="N147" s="25"/>
      <c r="O147" s="25"/>
      <c r="P147" s="25"/>
      <c r="Q147" s="25"/>
      <c r="R147" s="25"/>
      <c r="S147" s="25"/>
      <c r="T147" s="25"/>
      <c r="U147" s="25"/>
      <c r="V147" s="25"/>
      <c r="W147" s="25"/>
      <c r="X147" s="25"/>
      <c r="Y147" s="25"/>
      <c r="Z147" s="25"/>
    </row>
    <row r="148" customFormat="false" ht="39.75" hidden="false" customHeight="true" outlineLevel="0" collapsed="false">
      <c r="A148" s="25"/>
      <c r="B148" s="25"/>
      <c r="C148" s="25"/>
      <c r="D148" s="25"/>
      <c r="E148" s="25"/>
      <c r="F148" s="25"/>
      <c r="G148" s="25"/>
      <c r="H148" s="25"/>
      <c r="I148" s="25"/>
      <c r="J148" s="25"/>
      <c r="K148" s="25"/>
      <c r="L148" s="25"/>
      <c r="M148" s="25"/>
      <c r="N148" s="25"/>
      <c r="O148" s="25"/>
      <c r="P148" s="25"/>
      <c r="Q148" s="25"/>
      <c r="R148" s="25"/>
      <c r="S148" s="25"/>
      <c r="T148" s="25"/>
      <c r="U148" s="25"/>
      <c r="V148" s="25"/>
      <c r="W148" s="25"/>
      <c r="X148" s="25"/>
      <c r="Y148" s="25"/>
      <c r="Z148" s="25"/>
    </row>
    <row r="149" customFormat="false" ht="39.75" hidden="false" customHeight="true" outlineLevel="0" collapsed="false">
      <c r="A149" s="25"/>
      <c r="B149" s="25"/>
      <c r="C149" s="25"/>
      <c r="D149" s="25"/>
      <c r="E149" s="25"/>
      <c r="F149" s="25"/>
      <c r="G149" s="25"/>
      <c r="H149" s="25"/>
      <c r="I149" s="25"/>
      <c r="J149" s="25"/>
      <c r="K149" s="25"/>
      <c r="L149" s="25"/>
      <c r="M149" s="25"/>
      <c r="N149" s="25"/>
      <c r="O149" s="25"/>
      <c r="P149" s="25"/>
      <c r="Q149" s="25"/>
      <c r="R149" s="25"/>
      <c r="S149" s="25"/>
      <c r="T149" s="25"/>
      <c r="U149" s="25"/>
      <c r="V149" s="25"/>
      <c r="W149" s="25"/>
      <c r="X149" s="25"/>
      <c r="Y149" s="25"/>
      <c r="Z149" s="25"/>
    </row>
    <row r="150" customFormat="false" ht="39.75" hidden="false" customHeight="true" outlineLevel="0" collapsed="false">
      <c r="A150" s="25"/>
      <c r="B150" s="25"/>
      <c r="C150" s="25"/>
      <c r="D150" s="25"/>
      <c r="E150" s="25"/>
      <c r="F150" s="25"/>
      <c r="G150" s="25"/>
      <c r="H150" s="25"/>
      <c r="I150" s="25"/>
      <c r="J150" s="25"/>
      <c r="K150" s="25"/>
      <c r="L150" s="25"/>
      <c r="M150" s="25"/>
      <c r="N150" s="25"/>
      <c r="O150" s="25"/>
      <c r="P150" s="25"/>
      <c r="Q150" s="25"/>
      <c r="R150" s="25"/>
      <c r="S150" s="25"/>
      <c r="T150" s="25"/>
      <c r="U150" s="25"/>
      <c r="V150" s="25"/>
      <c r="W150" s="25"/>
      <c r="X150" s="25"/>
      <c r="Y150" s="25"/>
      <c r="Z150" s="25"/>
    </row>
    <row r="151" customFormat="false" ht="39.75" hidden="false" customHeight="true" outlineLevel="0" collapsed="false">
      <c r="A151" s="25"/>
      <c r="B151" s="25"/>
      <c r="C151" s="25"/>
      <c r="D151" s="25"/>
      <c r="E151" s="25"/>
      <c r="F151" s="25"/>
      <c r="G151" s="25"/>
      <c r="H151" s="25"/>
      <c r="I151" s="25"/>
      <c r="J151" s="25"/>
      <c r="K151" s="25"/>
      <c r="L151" s="25"/>
      <c r="M151" s="25"/>
      <c r="N151" s="25"/>
      <c r="O151" s="25"/>
      <c r="P151" s="25"/>
      <c r="Q151" s="25"/>
      <c r="R151" s="25"/>
      <c r="S151" s="25"/>
      <c r="T151" s="25"/>
      <c r="U151" s="25"/>
      <c r="V151" s="25"/>
      <c r="W151" s="25"/>
      <c r="X151" s="25"/>
      <c r="Y151" s="25"/>
      <c r="Z151" s="25"/>
    </row>
    <row r="152" customFormat="false" ht="39.75" hidden="false" customHeight="true" outlineLevel="0" collapsed="false">
      <c r="A152" s="25"/>
      <c r="B152" s="25"/>
      <c r="C152" s="25"/>
      <c r="D152" s="25"/>
      <c r="E152" s="25"/>
      <c r="F152" s="25"/>
      <c r="G152" s="25"/>
      <c r="H152" s="25"/>
      <c r="I152" s="25"/>
      <c r="J152" s="25"/>
      <c r="K152" s="25"/>
      <c r="L152" s="25"/>
      <c r="M152" s="25"/>
      <c r="N152" s="25"/>
      <c r="O152" s="25"/>
      <c r="P152" s="25"/>
      <c r="Q152" s="25"/>
      <c r="R152" s="25"/>
      <c r="S152" s="25"/>
      <c r="T152" s="25"/>
      <c r="U152" s="25"/>
      <c r="V152" s="25"/>
      <c r="W152" s="25"/>
      <c r="X152" s="25"/>
      <c r="Y152" s="25"/>
      <c r="Z152" s="25"/>
    </row>
    <row r="153" customFormat="false" ht="39.75" hidden="false" customHeight="true" outlineLevel="0" collapsed="false">
      <c r="A153" s="25"/>
      <c r="B153" s="25"/>
      <c r="C153" s="25"/>
      <c r="D153" s="25"/>
      <c r="E153" s="25"/>
      <c r="F153" s="25"/>
      <c r="G153" s="25"/>
      <c r="H153" s="25"/>
      <c r="I153" s="25"/>
      <c r="J153" s="25"/>
      <c r="K153" s="25"/>
      <c r="L153" s="25"/>
      <c r="M153" s="25"/>
      <c r="N153" s="25"/>
      <c r="O153" s="25"/>
      <c r="P153" s="25"/>
      <c r="Q153" s="25"/>
      <c r="R153" s="25"/>
      <c r="S153" s="25"/>
      <c r="T153" s="25"/>
      <c r="U153" s="25"/>
      <c r="V153" s="25"/>
      <c r="W153" s="25"/>
      <c r="X153" s="25"/>
      <c r="Y153" s="25"/>
      <c r="Z153" s="25"/>
    </row>
    <row r="154" customFormat="false" ht="39.75" hidden="false" customHeight="true" outlineLevel="0" collapsed="false">
      <c r="A154" s="25"/>
      <c r="B154" s="25"/>
      <c r="C154" s="25"/>
      <c r="D154" s="25"/>
      <c r="E154" s="25"/>
      <c r="F154" s="25"/>
      <c r="G154" s="25"/>
      <c r="H154" s="25"/>
      <c r="I154" s="25"/>
      <c r="J154" s="25"/>
      <c r="K154" s="25"/>
      <c r="L154" s="25"/>
      <c r="M154" s="25"/>
      <c r="N154" s="25"/>
      <c r="O154" s="25"/>
      <c r="P154" s="25"/>
      <c r="Q154" s="25"/>
      <c r="R154" s="25"/>
      <c r="S154" s="25"/>
      <c r="T154" s="25"/>
      <c r="U154" s="25"/>
      <c r="V154" s="25"/>
      <c r="W154" s="25"/>
      <c r="X154" s="25"/>
      <c r="Y154" s="25"/>
      <c r="Z154" s="25"/>
    </row>
    <row r="155" customFormat="false" ht="39.75" hidden="false" customHeight="true" outlineLevel="0" collapsed="false">
      <c r="A155" s="25"/>
      <c r="B155" s="25"/>
      <c r="C155" s="25"/>
      <c r="D155" s="25"/>
      <c r="E155" s="25"/>
      <c r="F155" s="25"/>
      <c r="G155" s="25"/>
      <c r="H155" s="25"/>
      <c r="I155" s="25"/>
      <c r="J155" s="25"/>
      <c r="K155" s="25"/>
      <c r="L155" s="25"/>
      <c r="M155" s="25"/>
      <c r="N155" s="25"/>
      <c r="O155" s="25"/>
      <c r="P155" s="25"/>
      <c r="Q155" s="25"/>
      <c r="R155" s="25"/>
      <c r="S155" s="25"/>
      <c r="T155" s="25"/>
      <c r="U155" s="25"/>
      <c r="V155" s="25"/>
      <c r="W155" s="25"/>
      <c r="X155" s="25"/>
      <c r="Y155" s="25"/>
      <c r="Z155" s="25"/>
    </row>
    <row r="156" customFormat="false" ht="39.75" hidden="false" customHeight="true" outlineLevel="0" collapsed="false">
      <c r="A156" s="25"/>
      <c r="B156" s="25"/>
      <c r="C156" s="25"/>
      <c r="D156" s="25"/>
      <c r="E156" s="25"/>
      <c r="F156" s="25"/>
      <c r="G156" s="25"/>
      <c r="H156" s="25"/>
      <c r="I156" s="25"/>
      <c r="J156" s="25"/>
      <c r="K156" s="25"/>
      <c r="L156" s="25"/>
      <c r="M156" s="25"/>
      <c r="N156" s="25"/>
      <c r="O156" s="25"/>
      <c r="P156" s="25"/>
      <c r="Q156" s="25"/>
      <c r="R156" s="25"/>
      <c r="S156" s="25"/>
      <c r="T156" s="25"/>
      <c r="U156" s="25"/>
      <c r="V156" s="25"/>
      <c r="W156" s="25"/>
      <c r="X156" s="25"/>
      <c r="Y156" s="25"/>
      <c r="Z156" s="25"/>
    </row>
    <row r="157" customFormat="false" ht="39.75" hidden="false" customHeight="true" outlineLevel="0" collapsed="false">
      <c r="A157" s="25"/>
      <c r="B157" s="25"/>
      <c r="C157" s="25"/>
      <c r="D157" s="25"/>
      <c r="E157" s="25"/>
      <c r="F157" s="25"/>
      <c r="G157" s="25"/>
      <c r="H157" s="25"/>
      <c r="I157" s="25"/>
      <c r="J157" s="25"/>
      <c r="K157" s="25"/>
      <c r="L157" s="25"/>
      <c r="M157" s="25"/>
      <c r="N157" s="25"/>
      <c r="O157" s="25"/>
      <c r="P157" s="25"/>
      <c r="Q157" s="25"/>
      <c r="R157" s="25"/>
      <c r="S157" s="25"/>
      <c r="T157" s="25"/>
      <c r="U157" s="25"/>
      <c r="V157" s="25"/>
      <c r="W157" s="25"/>
      <c r="X157" s="25"/>
      <c r="Y157" s="25"/>
      <c r="Z157" s="25"/>
    </row>
    <row r="158" customFormat="false" ht="39.75" hidden="false" customHeight="true" outlineLevel="0" collapsed="false">
      <c r="A158" s="25"/>
      <c r="B158" s="25"/>
      <c r="C158" s="25"/>
      <c r="D158" s="25"/>
      <c r="E158" s="25"/>
      <c r="F158" s="25"/>
      <c r="G158" s="25"/>
      <c r="H158" s="25"/>
      <c r="I158" s="25"/>
      <c r="J158" s="25"/>
      <c r="K158" s="25"/>
      <c r="L158" s="25"/>
      <c r="M158" s="25"/>
      <c r="N158" s="25"/>
      <c r="O158" s="25"/>
      <c r="P158" s="25"/>
      <c r="Q158" s="25"/>
      <c r="R158" s="25"/>
      <c r="S158" s="25"/>
      <c r="T158" s="25"/>
      <c r="U158" s="25"/>
      <c r="V158" s="25"/>
      <c r="W158" s="25"/>
      <c r="X158" s="25"/>
      <c r="Y158" s="25"/>
      <c r="Z158" s="25"/>
    </row>
    <row r="159" customFormat="false" ht="39.75" hidden="false" customHeight="true" outlineLevel="0" collapsed="false">
      <c r="A159" s="25"/>
      <c r="B159" s="25"/>
      <c r="C159" s="25"/>
      <c r="D159" s="25"/>
      <c r="E159" s="25"/>
      <c r="F159" s="25"/>
      <c r="G159" s="25"/>
      <c r="H159" s="25"/>
      <c r="I159" s="25"/>
      <c r="J159" s="25"/>
      <c r="K159" s="25"/>
      <c r="L159" s="25"/>
      <c r="M159" s="25"/>
      <c r="N159" s="25"/>
      <c r="O159" s="25"/>
      <c r="P159" s="25"/>
      <c r="Q159" s="25"/>
      <c r="R159" s="25"/>
      <c r="S159" s="25"/>
      <c r="T159" s="25"/>
      <c r="U159" s="25"/>
      <c r="V159" s="25"/>
      <c r="W159" s="25"/>
      <c r="X159" s="25"/>
      <c r="Y159" s="25"/>
      <c r="Z159" s="25"/>
    </row>
    <row r="160" customFormat="false" ht="39.75" hidden="false" customHeight="true" outlineLevel="0" collapsed="false">
      <c r="A160" s="25"/>
      <c r="B160" s="25"/>
      <c r="C160" s="25"/>
      <c r="D160" s="25"/>
      <c r="E160" s="25"/>
      <c r="F160" s="25"/>
      <c r="G160" s="25"/>
      <c r="H160" s="25"/>
      <c r="I160" s="25"/>
      <c r="J160" s="25"/>
      <c r="K160" s="25"/>
      <c r="L160" s="25"/>
      <c r="M160" s="25"/>
      <c r="N160" s="25"/>
      <c r="O160" s="25"/>
      <c r="P160" s="25"/>
      <c r="Q160" s="25"/>
      <c r="R160" s="25"/>
      <c r="S160" s="25"/>
      <c r="T160" s="25"/>
      <c r="U160" s="25"/>
      <c r="V160" s="25"/>
      <c r="W160" s="25"/>
      <c r="X160" s="25"/>
      <c r="Y160" s="25"/>
      <c r="Z160" s="25"/>
    </row>
    <row r="161" customFormat="false" ht="39.75" hidden="false" customHeight="true" outlineLevel="0" collapsed="false">
      <c r="A161" s="25"/>
      <c r="B161" s="25"/>
      <c r="C161" s="25"/>
      <c r="D161" s="25"/>
      <c r="E161" s="25"/>
      <c r="F161" s="25"/>
      <c r="G161" s="25"/>
      <c r="H161" s="25"/>
      <c r="I161" s="25"/>
      <c r="J161" s="25"/>
      <c r="K161" s="25"/>
      <c r="L161" s="25"/>
      <c r="M161" s="25"/>
      <c r="N161" s="25"/>
      <c r="O161" s="25"/>
      <c r="P161" s="25"/>
      <c r="Q161" s="25"/>
      <c r="R161" s="25"/>
      <c r="S161" s="25"/>
      <c r="T161" s="25"/>
      <c r="U161" s="25"/>
      <c r="V161" s="25"/>
      <c r="W161" s="25"/>
      <c r="X161" s="25"/>
      <c r="Y161" s="25"/>
      <c r="Z161" s="25"/>
    </row>
    <row r="162" customFormat="false" ht="39.75" hidden="false" customHeight="true" outlineLevel="0" collapsed="false">
      <c r="A162" s="25"/>
      <c r="B162" s="25"/>
      <c r="C162" s="25"/>
      <c r="D162" s="25"/>
      <c r="E162" s="25"/>
      <c r="F162" s="25"/>
      <c r="G162" s="25"/>
      <c r="H162" s="25"/>
      <c r="I162" s="25"/>
      <c r="J162" s="25"/>
      <c r="K162" s="25"/>
      <c r="L162" s="25"/>
      <c r="M162" s="25"/>
      <c r="N162" s="25"/>
      <c r="O162" s="25"/>
      <c r="P162" s="25"/>
      <c r="Q162" s="25"/>
      <c r="R162" s="25"/>
      <c r="S162" s="25"/>
      <c r="T162" s="25"/>
      <c r="U162" s="25"/>
      <c r="V162" s="25"/>
      <c r="W162" s="25"/>
      <c r="X162" s="25"/>
      <c r="Y162" s="25"/>
      <c r="Z162" s="25"/>
    </row>
    <row r="163" customFormat="false" ht="39.75" hidden="false" customHeight="true" outlineLevel="0" collapsed="false">
      <c r="A163" s="25"/>
      <c r="B163" s="25"/>
      <c r="C163" s="25"/>
      <c r="D163" s="25"/>
      <c r="E163" s="25"/>
      <c r="F163" s="25"/>
      <c r="G163" s="25"/>
      <c r="H163" s="25"/>
      <c r="I163" s="25"/>
      <c r="J163" s="25"/>
      <c r="K163" s="25"/>
      <c r="L163" s="25"/>
      <c r="M163" s="25"/>
      <c r="N163" s="25"/>
      <c r="O163" s="25"/>
      <c r="P163" s="25"/>
      <c r="Q163" s="25"/>
      <c r="R163" s="25"/>
      <c r="S163" s="25"/>
      <c r="T163" s="25"/>
      <c r="U163" s="25"/>
      <c r="V163" s="25"/>
      <c r="W163" s="25"/>
      <c r="X163" s="25"/>
      <c r="Y163" s="25"/>
      <c r="Z163" s="25"/>
    </row>
    <row r="164" customFormat="false" ht="39.75" hidden="false" customHeight="true" outlineLevel="0" collapsed="false">
      <c r="A164" s="25"/>
      <c r="B164" s="25"/>
      <c r="C164" s="25"/>
      <c r="D164" s="25"/>
      <c r="E164" s="25"/>
      <c r="F164" s="25"/>
      <c r="G164" s="25"/>
      <c r="H164" s="25"/>
      <c r="I164" s="25"/>
      <c r="J164" s="25"/>
      <c r="K164" s="25"/>
      <c r="L164" s="25"/>
      <c r="M164" s="25"/>
      <c r="N164" s="25"/>
      <c r="O164" s="25"/>
      <c r="P164" s="25"/>
      <c r="Q164" s="25"/>
      <c r="R164" s="25"/>
      <c r="S164" s="25"/>
      <c r="T164" s="25"/>
      <c r="U164" s="25"/>
      <c r="V164" s="25"/>
      <c r="W164" s="25"/>
      <c r="X164" s="25"/>
      <c r="Y164" s="25"/>
      <c r="Z164" s="25"/>
    </row>
    <row r="165" customFormat="false" ht="39.75" hidden="false" customHeight="true" outlineLevel="0" collapsed="false">
      <c r="A165" s="25"/>
      <c r="B165" s="25"/>
      <c r="C165" s="25"/>
      <c r="D165" s="25"/>
      <c r="E165" s="25"/>
      <c r="F165" s="25"/>
      <c r="G165" s="25"/>
      <c r="H165" s="25"/>
      <c r="I165" s="25"/>
      <c r="J165" s="25"/>
      <c r="K165" s="25"/>
      <c r="L165" s="25"/>
      <c r="M165" s="25"/>
      <c r="N165" s="25"/>
      <c r="O165" s="25"/>
      <c r="P165" s="25"/>
      <c r="Q165" s="25"/>
      <c r="R165" s="25"/>
      <c r="S165" s="25"/>
      <c r="T165" s="25"/>
      <c r="U165" s="25"/>
      <c r="V165" s="25"/>
      <c r="W165" s="25"/>
      <c r="X165" s="25"/>
      <c r="Y165" s="25"/>
      <c r="Z165" s="25"/>
    </row>
    <row r="166" customFormat="false" ht="39.75" hidden="false" customHeight="true" outlineLevel="0" collapsed="false">
      <c r="A166" s="25"/>
      <c r="B166" s="25"/>
      <c r="C166" s="25"/>
      <c r="D166" s="25"/>
      <c r="E166" s="25"/>
      <c r="F166" s="25"/>
      <c r="G166" s="25"/>
      <c r="H166" s="25"/>
      <c r="I166" s="25"/>
      <c r="J166" s="25"/>
      <c r="K166" s="25"/>
      <c r="L166" s="25"/>
      <c r="M166" s="25"/>
      <c r="N166" s="25"/>
      <c r="O166" s="25"/>
      <c r="P166" s="25"/>
      <c r="Q166" s="25"/>
      <c r="R166" s="25"/>
      <c r="S166" s="25"/>
      <c r="T166" s="25"/>
      <c r="U166" s="25"/>
      <c r="V166" s="25"/>
      <c r="W166" s="25"/>
      <c r="X166" s="25"/>
      <c r="Y166" s="25"/>
      <c r="Z166" s="25"/>
    </row>
    <row r="167" customFormat="false" ht="39.75" hidden="false" customHeight="true" outlineLevel="0" collapsed="false">
      <c r="A167" s="25"/>
      <c r="B167" s="25"/>
      <c r="C167" s="25"/>
      <c r="D167" s="25"/>
      <c r="E167" s="25"/>
      <c r="F167" s="25"/>
      <c r="G167" s="25"/>
      <c r="H167" s="25"/>
      <c r="I167" s="25"/>
      <c r="J167" s="25"/>
      <c r="K167" s="25"/>
      <c r="L167" s="25"/>
      <c r="M167" s="25"/>
      <c r="N167" s="25"/>
      <c r="O167" s="25"/>
      <c r="P167" s="25"/>
      <c r="Q167" s="25"/>
      <c r="R167" s="25"/>
      <c r="S167" s="25"/>
      <c r="T167" s="25"/>
      <c r="U167" s="25"/>
      <c r="V167" s="25"/>
      <c r="W167" s="25"/>
      <c r="X167" s="25"/>
      <c r="Y167" s="25"/>
      <c r="Z167" s="25"/>
    </row>
    <row r="168" customFormat="false" ht="39.75" hidden="false" customHeight="true" outlineLevel="0" collapsed="false">
      <c r="A168" s="25"/>
      <c r="B168" s="25"/>
      <c r="C168" s="25"/>
      <c r="D168" s="25"/>
      <c r="E168" s="25"/>
      <c r="F168" s="25"/>
      <c r="G168" s="25"/>
      <c r="H168" s="25"/>
      <c r="I168" s="25"/>
      <c r="J168" s="25"/>
      <c r="K168" s="25"/>
      <c r="L168" s="25"/>
      <c r="M168" s="25"/>
      <c r="N168" s="25"/>
      <c r="O168" s="25"/>
      <c r="P168" s="25"/>
      <c r="Q168" s="25"/>
      <c r="R168" s="25"/>
      <c r="S168" s="25"/>
      <c r="T168" s="25"/>
      <c r="U168" s="25"/>
      <c r="V168" s="25"/>
      <c r="W168" s="25"/>
      <c r="X168" s="25"/>
      <c r="Y168" s="25"/>
      <c r="Z168" s="25"/>
    </row>
    <row r="169" customFormat="false" ht="39.75" hidden="false" customHeight="true" outlineLevel="0" collapsed="false">
      <c r="A169" s="25"/>
      <c r="B169" s="25"/>
      <c r="C169" s="25"/>
      <c r="D169" s="25"/>
      <c r="E169" s="25"/>
      <c r="F169" s="25"/>
      <c r="G169" s="25"/>
      <c r="H169" s="25"/>
      <c r="I169" s="25"/>
      <c r="J169" s="25"/>
      <c r="K169" s="25"/>
      <c r="L169" s="25"/>
      <c r="M169" s="25"/>
      <c r="N169" s="25"/>
      <c r="O169" s="25"/>
      <c r="P169" s="25"/>
      <c r="Q169" s="25"/>
      <c r="R169" s="25"/>
      <c r="S169" s="25"/>
      <c r="T169" s="25"/>
      <c r="U169" s="25"/>
      <c r="V169" s="25"/>
      <c r="W169" s="25"/>
      <c r="X169" s="25"/>
      <c r="Y169" s="25"/>
      <c r="Z169" s="25"/>
    </row>
    <row r="170" customFormat="false" ht="39.75" hidden="false" customHeight="true" outlineLevel="0" collapsed="false">
      <c r="A170" s="25"/>
      <c r="B170" s="25"/>
      <c r="C170" s="25"/>
      <c r="D170" s="25"/>
      <c r="E170" s="25"/>
      <c r="F170" s="25"/>
      <c r="G170" s="25"/>
      <c r="H170" s="25"/>
      <c r="I170" s="25"/>
      <c r="J170" s="25"/>
      <c r="K170" s="25"/>
      <c r="L170" s="25"/>
      <c r="M170" s="25"/>
      <c r="N170" s="25"/>
      <c r="O170" s="25"/>
      <c r="P170" s="25"/>
      <c r="Q170" s="25"/>
      <c r="R170" s="25"/>
      <c r="S170" s="25"/>
      <c r="T170" s="25"/>
      <c r="U170" s="25"/>
      <c r="V170" s="25"/>
      <c r="W170" s="25"/>
      <c r="X170" s="25"/>
      <c r="Y170" s="25"/>
      <c r="Z170" s="25"/>
    </row>
    <row r="171" customFormat="false" ht="39.75" hidden="false" customHeight="true" outlineLevel="0" collapsed="false">
      <c r="A171" s="25"/>
      <c r="B171" s="25"/>
      <c r="C171" s="25"/>
      <c r="D171" s="25"/>
      <c r="E171" s="25"/>
      <c r="F171" s="25"/>
      <c r="G171" s="25"/>
      <c r="H171" s="25"/>
      <c r="I171" s="25"/>
      <c r="J171" s="25"/>
      <c r="K171" s="25"/>
      <c r="L171" s="25"/>
      <c r="M171" s="25"/>
      <c r="N171" s="25"/>
      <c r="O171" s="25"/>
      <c r="P171" s="25"/>
      <c r="Q171" s="25"/>
      <c r="R171" s="25"/>
      <c r="S171" s="25"/>
      <c r="T171" s="25"/>
      <c r="U171" s="25"/>
      <c r="V171" s="25"/>
      <c r="W171" s="25"/>
      <c r="X171" s="25"/>
      <c r="Y171" s="25"/>
      <c r="Z171" s="25"/>
    </row>
    <row r="172" customFormat="false" ht="39.75" hidden="false" customHeight="true" outlineLevel="0" collapsed="false">
      <c r="A172" s="25"/>
      <c r="B172" s="25"/>
      <c r="C172" s="25"/>
      <c r="D172" s="25"/>
      <c r="E172" s="25"/>
      <c r="F172" s="25"/>
      <c r="G172" s="25"/>
      <c r="H172" s="25"/>
      <c r="I172" s="25"/>
      <c r="J172" s="25"/>
      <c r="K172" s="25"/>
      <c r="L172" s="25"/>
      <c r="M172" s="25"/>
      <c r="N172" s="25"/>
      <c r="O172" s="25"/>
      <c r="P172" s="25"/>
      <c r="Q172" s="25"/>
      <c r="R172" s="25"/>
      <c r="S172" s="25"/>
      <c r="T172" s="25"/>
      <c r="U172" s="25"/>
      <c r="V172" s="25"/>
      <c r="W172" s="25"/>
      <c r="X172" s="25"/>
      <c r="Y172" s="25"/>
      <c r="Z172" s="25"/>
    </row>
    <row r="173" customFormat="false" ht="39.75" hidden="false" customHeight="true" outlineLevel="0" collapsed="false">
      <c r="A173" s="25"/>
      <c r="B173" s="25"/>
      <c r="C173" s="25"/>
      <c r="D173" s="25"/>
      <c r="E173" s="25"/>
      <c r="F173" s="25"/>
      <c r="G173" s="25"/>
      <c r="H173" s="25"/>
      <c r="I173" s="25"/>
      <c r="J173" s="25"/>
      <c r="K173" s="25"/>
      <c r="L173" s="25"/>
      <c r="M173" s="25"/>
      <c r="N173" s="25"/>
      <c r="O173" s="25"/>
      <c r="P173" s="25"/>
      <c r="Q173" s="25"/>
      <c r="R173" s="25"/>
      <c r="S173" s="25"/>
      <c r="T173" s="25"/>
      <c r="U173" s="25"/>
      <c r="V173" s="25"/>
      <c r="W173" s="25"/>
      <c r="X173" s="25"/>
      <c r="Y173" s="25"/>
      <c r="Z173" s="25"/>
    </row>
    <row r="174" customFormat="false" ht="39.75" hidden="false" customHeight="true" outlineLevel="0" collapsed="false">
      <c r="A174" s="25"/>
      <c r="B174" s="25"/>
      <c r="C174" s="25"/>
      <c r="D174" s="25"/>
      <c r="E174" s="25"/>
      <c r="F174" s="25"/>
      <c r="G174" s="25"/>
      <c r="H174" s="25"/>
      <c r="I174" s="25"/>
      <c r="J174" s="25"/>
      <c r="K174" s="25"/>
      <c r="L174" s="25"/>
      <c r="M174" s="25"/>
      <c r="N174" s="25"/>
      <c r="O174" s="25"/>
      <c r="P174" s="25"/>
      <c r="Q174" s="25"/>
      <c r="R174" s="25"/>
      <c r="S174" s="25"/>
      <c r="T174" s="25"/>
      <c r="U174" s="25"/>
      <c r="V174" s="25"/>
      <c r="W174" s="25"/>
      <c r="X174" s="25"/>
      <c r="Y174" s="25"/>
      <c r="Z174" s="25"/>
    </row>
    <row r="175" customFormat="false" ht="39.75" hidden="false" customHeight="true" outlineLevel="0" collapsed="false">
      <c r="A175" s="25"/>
      <c r="B175" s="25"/>
      <c r="C175" s="25"/>
      <c r="D175" s="25"/>
      <c r="E175" s="25"/>
      <c r="F175" s="25"/>
      <c r="G175" s="25"/>
      <c r="H175" s="25"/>
      <c r="I175" s="25"/>
      <c r="J175" s="25"/>
      <c r="K175" s="25"/>
      <c r="L175" s="25"/>
      <c r="M175" s="25"/>
      <c r="N175" s="25"/>
      <c r="O175" s="25"/>
      <c r="P175" s="25"/>
      <c r="Q175" s="25"/>
      <c r="R175" s="25"/>
      <c r="S175" s="25"/>
      <c r="T175" s="25"/>
      <c r="U175" s="25"/>
      <c r="V175" s="25"/>
      <c r="W175" s="25"/>
      <c r="X175" s="25"/>
      <c r="Y175" s="25"/>
      <c r="Z175" s="25"/>
    </row>
    <row r="176" customFormat="false" ht="39.75" hidden="false" customHeight="true" outlineLevel="0" collapsed="false">
      <c r="A176" s="25"/>
      <c r="B176" s="25"/>
      <c r="C176" s="25"/>
      <c r="D176" s="25"/>
      <c r="E176" s="25"/>
      <c r="F176" s="25"/>
      <c r="G176" s="25"/>
      <c r="H176" s="25"/>
      <c r="I176" s="25"/>
      <c r="J176" s="25"/>
      <c r="K176" s="25"/>
      <c r="L176" s="25"/>
      <c r="M176" s="25"/>
      <c r="N176" s="25"/>
      <c r="O176" s="25"/>
      <c r="P176" s="25"/>
      <c r="Q176" s="25"/>
      <c r="R176" s="25"/>
      <c r="S176" s="25"/>
      <c r="T176" s="25"/>
      <c r="U176" s="25"/>
      <c r="V176" s="25"/>
      <c r="W176" s="25"/>
      <c r="X176" s="25"/>
      <c r="Y176" s="25"/>
      <c r="Z176" s="25"/>
    </row>
    <row r="177" customFormat="false" ht="39.75" hidden="false" customHeight="true" outlineLevel="0" collapsed="false">
      <c r="A177" s="25"/>
      <c r="B177" s="25"/>
      <c r="C177" s="25"/>
      <c r="D177" s="25"/>
      <c r="E177" s="25"/>
      <c r="F177" s="25"/>
      <c r="G177" s="25"/>
      <c r="H177" s="25"/>
      <c r="I177" s="25"/>
      <c r="J177" s="25"/>
      <c r="K177" s="25"/>
      <c r="L177" s="25"/>
      <c r="M177" s="25"/>
      <c r="N177" s="25"/>
      <c r="O177" s="25"/>
      <c r="P177" s="25"/>
      <c r="Q177" s="25"/>
      <c r="R177" s="25"/>
      <c r="S177" s="25"/>
      <c r="T177" s="25"/>
      <c r="U177" s="25"/>
      <c r="V177" s="25"/>
      <c r="W177" s="25"/>
      <c r="X177" s="25"/>
      <c r="Y177" s="25"/>
      <c r="Z177" s="25"/>
    </row>
    <row r="178" customFormat="false" ht="39.75" hidden="false" customHeight="true" outlineLevel="0" collapsed="false">
      <c r="A178" s="25"/>
      <c r="B178" s="25"/>
      <c r="C178" s="25"/>
      <c r="D178" s="25"/>
      <c r="E178" s="25"/>
      <c r="F178" s="25"/>
      <c r="G178" s="25"/>
      <c r="H178" s="25"/>
      <c r="I178" s="25"/>
      <c r="J178" s="25"/>
      <c r="K178" s="25"/>
      <c r="L178" s="25"/>
      <c r="M178" s="25"/>
      <c r="N178" s="25"/>
      <c r="O178" s="25"/>
      <c r="P178" s="25"/>
      <c r="Q178" s="25"/>
      <c r="R178" s="25"/>
      <c r="S178" s="25"/>
      <c r="T178" s="25"/>
      <c r="U178" s="25"/>
      <c r="V178" s="25"/>
      <c r="W178" s="25"/>
      <c r="X178" s="25"/>
      <c r="Y178" s="25"/>
      <c r="Z178" s="25"/>
    </row>
    <row r="179" customFormat="false" ht="39.75" hidden="false" customHeight="true" outlineLevel="0" collapsed="false">
      <c r="A179" s="25"/>
      <c r="B179" s="25"/>
      <c r="C179" s="25"/>
      <c r="D179" s="25"/>
      <c r="E179" s="25"/>
      <c r="F179" s="25"/>
      <c r="G179" s="25"/>
      <c r="H179" s="25"/>
      <c r="I179" s="25"/>
      <c r="J179" s="25"/>
      <c r="K179" s="25"/>
      <c r="L179" s="25"/>
      <c r="M179" s="25"/>
      <c r="N179" s="25"/>
      <c r="O179" s="25"/>
      <c r="P179" s="25"/>
      <c r="Q179" s="25"/>
      <c r="R179" s="25"/>
      <c r="S179" s="25"/>
      <c r="T179" s="25"/>
      <c r="U179" s="25"/>
      <c r="V179" s="25"/>
      <c r="W179" s="25"/>
      <c r="X179" s="25"/>
      <c r="Y179" s="25"/>
      <c r="Z179" s="25"/>
    </row>
    <row r="180" customFormat="false" ht="39.75" hidden="false" customHeight="true" outlineLevel="0" collapsed="false">
      <c r="A180" s="25"/>
      <c r="B180" s="25"/>
      <c r="C180" s="25"/>
      <c r="D180" s="25"/>
      <c r="E180" s="25"/>
      <c r="F180" s="25"/>
      <c r="G180" s="25"/>
      <c r="H180" s="25"/>
      <c r="I180" s="25"/>
      <c r="J180" s="25"/>
      <c r="K180" s="25"/>
      <c r="L180" s="25"/>
      <c r="M180" s="25"/>
      <c r="N180" s="25"/>
      <c r="O180" s="25"/>
      <c r="P180" s="25"/>
      <c r="Q180" s="25"/>
      <c r="R180" s="25"/>
      <c r="S180" s="25"/>
      <c r="T180" s="25"/>
      <c r="U180" s="25"/>
      <c r="V180" s="25"/>
      <c r="W180" s="25"/>
      <c r="X180" s="25"/>
      <c r="Y180" s="25"/>
      <c r="Z180" s="25"/>
    </row>
    <row r="181" customFormat="false" ht="39.75" hidden="false" customHeight="true" outlineLevel="0" collapsed="false">
      <c r="A181" s="25"/>
      <c r="B181" s="25"/>
      <c r="C181" s="25"/>
      <c r="D181" s="25"/>
      <c r="E181" s="25"/>
      <c r="F181" s="25"/>
      <c r="G181" s="25"/>
      <c r="H181" s="25"/>
      <c r="I181" s="25"/>
      <c r="J181" s="25"/>
      <c r="K181" s="25"/>
      <c r="L181" s="25"/>
      <c r="M181" s="25"/>
      <c r="N181" s="25"/>
      <c r="O181" s="25"/>
      <c r="P181" s="25"/>
      <c r="Q181" s="25"/>
      <c r="R181" s="25"/>
      <c r="S181" s="25"/>
      <c r="T181" s="25"/>
      <c r="U181" s="25"/>
      <c r="V181" s="25"/>
      <c r="W181" s="25"/>
      <c r="X181" s="25"/>
      <c r="Y181" s="25"/>
      <c r="Z181" s="25"/>
    </row>
    <row r="182" customFormat="false" ht="39.75" hidden="false" customHeight="true" outlineLevel="0" collapsed="false">
      <c r="A182" s="25"/>
      <c r="B182" s="25"/>
      <c r="C182" s="25"/>
      <c r="D182" s="25"/>
      <c r="E182" s="25"/>
      <c r="F182" s="25"/>
      <c r="G182" s="25"/>
      <c r="H182" s="25"/>
      <c r="I182" s="25"/>
      <c r="J182" s="25"/>
      <c r="K182" s="25"/>
      <c r="L182" s="25"/>
      <c r="M182" s="25"/>
      <c r="N182" s="25"/>
      <c r="O182" s="25"/>
      <c r="P182" s="25"/>
      <c r="Q182" s="25"/>
      <c r="R182" s="25"/>
      <c r="S182" s="25"/>
      <c r="T182" s="25"/>
      <c r="U182" s="25"/>
      <c r="V182" s="25"/>
      <c r="W182" s="25"/>
      <c r="X182" s="25"/>
      <c r="Y182" s="25"/>
      <c r="Z182" s="25"/>
    </row>
    <row r="183" customFormat="false" ht="39.75" hidden="false" customHeight="true" outlineLevel="0" collapsed="false">
      <c r="A183" s="25"/>
      <c r="B183" s="25"/>
      <c r="C183" s="25"/>
      <c r="D183" s="25"/>
      <c r="E183" s="25"/>
      <c r="F183" s="25"/>
      <c r="G183" s="25"/>
      <c r="H183" s="25"/>
      <c r="I183" s="25"/>
      <c r="J183" s="25"/>
      <c r="K183" s="25"/>
      <c r="L183" s="25"/>
      <c r="M183" s="25"/>
      <c r="N183" s="25"/>
      <c r="O183" s="25"/>
      <c r="P183" s="25"/>
      <c r="Q183" s="25"/>
      <c r="R183" s="25"/>
      <c r="S183" s="25"/>
      <c r="T183" s="25"/>
      <c r="U183" s="25"/>
      <c r="V183" s="25"/>
      <c r="W183" s="25"/>
      <c r="X183" s="25"/>
      <c r="Y183" s="25"/>
      <c r="Z183" s="25"/>
    </row>
    <row r="184" customFormat="false" ht="39.75" hidden="false" customHeight="true" outlineLevel="0" collapsed="false">
      <c r="A184" s="25"/>
      <c r="B184" s="25"/>
      <c r="C184" s="25"/>
      <c r="D184" s="25"/>
      <c r="E184" s="25"/>
      <c r="F184" s="25"/>
      <c r="G184" s="25"/>
      <c r="H184" s="25"/>
      <c r="I184" s="25"/>
      <c r="J184" s="25"/>
      <c r="K184" s="25"/>
      <c r="L184" s="25"/>
      <c r="M184" s="25"/>
      <c r="N184" s="25"/>
      <c r="O184" s="25"/>
      <c r="P184" s="25"/>
      <c r="Q184" s="25"/>
      <c r="R184" s="25"/>
      <c r="S184" s="25"/>
      <c r="T184" s="25"/>
      <c r="U184" s="25"/>
      <c r="V184" s="25"/>
      <c r="W184" s="25"/>
      <c r="X184" s="25"/>
      <c r="Y184" s="25"/>
      <c r="Z184" s="25"/>
    </row>
    <row r="185" customFormat="false" ht="39.75" hidden="false" customHeight="true" outlineLevel="0" collapsed="false">
      <c r="A185" s="25"/>
      <c r="B185" s="25"/>
      <c r="C185" s="25"/>
      <c r="D185" s="25"/>
      <c r="E185" s="25"/>
      <c r="F185" s="25"/>
      <c r="G185" s="25"/>
      <c r="H185" s="25"/>
      <c r="I185" s="25"/>
      <c r="J185" s="25"/>
      <c r="K185" s="25"/>
      <c r="L185" s="25"/>
      <c r="M185" s="25"/>
      <c r="N185" s="25"/>
      <c r="O185" s="25"/>
      <c r="P185" s="25"/>
      <c r="Q185" s="25"/>
      <c r="R185" s="25"/>
      <c r="S185" s="25"/>
      <c r="T185" s="25"/>
      <c r="U185" s="25"/>
      <c r="V185" s="25"/>
      <c r="W185" s="25"/>
      <c r="X185" s="25"/>
      <c r="Y185" s="25"/>
      <c r="Z185" s="25"/>
    </row>
    <row r="186" customFormat="false" ht="39.75" hidden="false" customHeight="true" outlineLevel="0" collapsed="false">
      <c r="A186" s="25"/>
      <c r="B186" s="25"/>
      <c r="C186" s="25"/>
      <c r="D186" s="25"/>
      <c r="E186" s="25"/>
      <c r="F186" s="25"/>
      <c r="G186" s="25"/>
      <c r="H186" s="25"/>
      <c r="I186" s="25"/>
      <c r="J186" s="25"/>
      <c r="K186" s="25"/>
      <c r="L186" s="25"/>
      <c r="M186" s="25"/>
      <c r="N186" s="25"/>
      <c r="O186" s="25"/>
      <c r="P186" s="25"/>
      <c r="Q186" s="25"/>
      <c r="R186" s="25"/>
      <c r="S186" s="25"/>
      <c r="T186" s="25"/>
      <c r="U186" s="25"/>
      <c r="V186" s="25"/>
      <c r="W186" s="25"/>
      <c r="X186" s="25"/>
      <c r="Y186" s="25"/>
      <c r="Z186" s="25"/>
    </row>
    <row r="187" customFormat="false" ht="39.75" hidden="false" customHeight="true" outlineLevel="0" collapsed="false">
      <c r="A187" s="25"/>
      <c r="B187" s="25"/>
      <c r="C187" s="25"/>
      <c r="D187" s="25"/>
      <c r="E187" s="25"/>
      <c r="F187" s="25"/>
      <c r="G187" s="25"/>
      <c r="H187" s="25"/>
      <c r="I187" s="25"/>
      <c r="J187" s="25"/>
      <c r="K187" s="25"/>
      <c r="L187" s="25"/>
      <c r="M187" s="25"/>
      <c r="N187" s="25"/>
      <c r="O187" s="25"/>
      <c r="P187" s="25"/>
      <c r="Q187" s="25"/>
      <c r="R187" s="25"/>
      <c r="S187" s="25"/>
      <c r="T187" s="25"/>
      <c r="U187" s="25"/>
      <c r="V187" s="25"/>
      <c r="W187" s="25"/>
      <c r="X187" s="25"/>
      <c r="Y187" s="25"/>
      <c r="Z187" s="25"/>
    </row>
    <row r="188" customFormat="false" ht="39.75" hidden="false" customHeight="true" outlineLevel="0" collapsed="false">
      <c r="A188" s="25"/>
      <c r="B188" s="25"/>
      <c r="C188" s="25"/>
      <c r="D188" s="25"/>
      <c r="E188" s="25"/>
      <c r="F188" s="25"/>
      <c r="G188" s="25"/>
      <c r="H188" s="25"/>
      <c r="I188" s="25"/>
      <c r="J188" s="25"/>
      <c r="K188" s="25"/>
      <c r="L188" s="25"/>
      <c r="M188" s="25"/>
      <c r="N188" s="25"/>
      <c r="O188" s="25"/>
      <c r="P188" s="25"/>
      <c r="Q188" s="25"/>
      <c r="R188" s="25"/>
      <c r="S188" s="25"/>
      <c r="T188" s="25"/>
      <c r="U188" s="25"/>
      <c r="V188" s="25"/>
      <c r="W188" s="25"/>
      <c r="X188" s="25"/>
      <c r="Y188" s="25"/>
      <c r="Z188" s="25"/>
    </row>
    <row r="189" customFormat="false" ht="39.75" hidden="false" customHeight="true" outlineLevel="0" collapsed="false">
      <c r="A189" s="25"/>
      <c r="B189" s="25"/>
      <c r="C189" s="25"/>
      <c r="D189" s="25"/>
      <c r="E189" s="25"/>
      <c r="F189" s="25"/>
      <c r="G189" s="25"/>
      <c r="H189" s="25"/>
      <c r="I189" s="25"/>
      <c r="J189" s="25"/>
      <c r="K189" s="25"/>
      <c r="L189" s="25"/>
      <c r="M189" s="25"/>
      <c r="N189" s="25"/>
      <c r="O189" s="25"/>
      <c r="P189" s="25"/>
      <c r="Q189" s="25"/>
      <c r="R189" s="25"/>
      <c r="S189" s="25"/>
      <c r="T189" s="25"/>
      <c r="U189" s="25"/>
      <c r="V189" s="25"/>
      <c r="W189" s="25"/>
      <c r="X189" s="25"/>
      <c r="Y189" s="25"/>
      <c r="Z189" s="25"/>
    </row>
    <row r="190" customFormat="false" ht="39.75" hidden="false" customHeight="true" outlineLevel="0" collapsed="false">
      <c r="A190" s="25"/>
      <c r="B190" s="25"/>
      <c r="C190" s="25"/>
      <c r="D190" s="25"/>
      <c r="E190" s="25"/>
      <c r="F190" s="25"/>
      <c r="G190" s="25"/>
      <c r="H190" s="25"/>
      <c r="I190" s="25"/>
      <c r="J190" s="25"/>
      <c r="K190" s="25"/>
      <c r="L190" s="25"/>
      <c r="M190" s="25"/>
      <c r="N190" s="25"/>
      <c r="O190" s="25"/>
      <c r="P190" s="25"/>
      <c r="Q190" s="25"/>
      <c r="R190" s="25"/>
      <c r="S190" s="25"/>
      <c r="T190" s="25"/>
      <c r="U190" s="25"/>
      <c r="V190" s="25"/>
      <c r="W190" s="25"/>
      <c r="X190" s="25"/>
      <c r="Y190" s="25"/>
      <c r="Z190" s="25"/>
    </row>
    <row r="191" customFormat="false" ht="39.75" hidden="false" customHeight="true" outlineLevel="0" collapsed="false">
      <c r="A191" s="25"/>
      <c r="B191" s="25"/>
      <c r="C191" s="25"/>
      <c r="D191" s="25"/>
      <c r="E191" s="25"/>
      <c r="F191" s="25"/>
      <c r="G191" s="25"/>
      <c r="H191" s="25"/>
      <c r="I191" s="25"/>
      <c r="J191" s="25"/>
      <c r="K191" s="25"/>
      <c r="L191" s="25"/>
      <c r="M191" s="25"/>
      <c r="N191" s="25"/>
      <c r="O191" s="25"/>
      <c r="P191" s="25"/>
      <c r="Q191" s="25"/>
      <c r="R191" s="25"/>
      <c r="S191" s="25"/>
      <c r="T191" s="25"/>
      <c r="U191" s="25"/>
      <c r="V191" s="25"/>
      <c r="W191" s="25"/>
      <c r="X191" s="25"/>
      <c r="Y191" s="25"/>
      <c r="Z191" s="25"/>
    </row>
    <row r="192" customFormat="false" ht="39.75" hidden="false" customHeight="true" outlineLevel="0" collapsed="false">
      <c r="A192" s="25"/>
      <c r="B192" s="25"/>
      <c r="C192" s="25"/>
      <c r="D192" s="25"/>
      <c r="E192" s="25"/>
      <c r="F192" s="25"/>
      <c r="G192" s="25"/>
      <c r="H192" s="25"/>
      <c r="I192" s="25"/>
      <c r="J192" s="25"/>
      <c r="K192" s="25"/>
      <c r="L192" s="25"/>
      <c r="M192" s="25"/>
      <c r="N192" s="25"/>
      <c r="O192" s="25"/>
      <c r="P192" s="25"/>
      <c r="Q192" s="25"/>
      <c r="R192" s="25"/>
      <c r="S192" s="25"/>
      <c r="T192" s="25"/>
      <c r="U192" s="25"/>
      <c r="V192" s="25"/>
      <c r="W192" s="25"/>
      <c r="X192" s="25"/>
      <c r="Y192" s="25"/>
      <c r="Z192" s="25"/>
    </row>
    <row r="193" customFormat="false" ht="39.75" hidden="false" customHeight="true" outlineLevel="0" collapsed="false">
      <c r="A193" s="25"/>
      <c r="B193" s="25"/>
      <c r="C193" s="25"/>
      <c r="D193" s="25"/>
      <c r="E193" s="25"/>
      <c r="F193" s="25"/>
      <c r="G193" s="25"/>
      <c r="H193" s="25"/>
      <c r="I193" s="25"/>
      <c r="J193" s="25"/>
      <c r="K193" s="25"/>
      <c r="L193" s="25"/>
      <c r="M193" s="25"/>
      <c r="N193" s="25"/>
      <c r="O193" s="25"/>
      <c r="P193" s="25"/>
      <c r="Q193" s="25"/>
      <c r="R193" s="25"/>
      <c r="S193" s="25"/>
      <c r="T193" s="25"/>
      <c r="U193" s="25"/>
      <c r="V193" s="25"/>
      <c r="W193" s="25"/>
      <c r="X193" s="25"/>
      <c r="Y193" s="25"/>
      <c r="Z193" s="25"/>
    </row>
    <row r="194" customFormat="false" ht="39.75" hidden="false" customHeight="true" outlineLevel="0" collapsed="false">
      <c r="A194" s="25"/>
      <c r="B194" s="25"/>
      <c r="C194" s="25"/>
      <c r="D194" s="25"/>
      <c r="E194" s="25"/>
      <c r="F194" s="25"/>
      <c r="G194" s="25"/>
      <c r="H194" s="25"/>
      <c r="I194" s="25"/>
      <c r="J194" s="25"/>
      <c r="K194" s="25"/>
      <c r="L194" s="25"/>
      <c r="M194" s="25"/>
      <c r="N194" s="25"/>
      <c r="O194" s="25"/>
      <c r="P194" s="25"/>
      <c r="Q194" s="25"/>
      <c r="R194" s="25"/>
      <c r="S194" s="25"/>
      <c r="T194" s="25"/>
      <c r="U194" s="25"/>
      <c r="V194" s="25"/>
      <c r="W194" s="25"/>
      <c r="X194" s="25"/>
      <c r="Y194" s="25"/>
      <c r="Z194" s="25"/>
    </row>
    <row r="195" customFormat="false" ht="39.75" hidden="false" customHeight="true" outlineLevel="0" collapsed="false">
      <c r="A195" s="25"/>
      <c r="B195" s="25"/>
      <c r="C195" s="25"/>
      <c r="D195" s="25"/>
      <c r="E195" s="25"/>
      <c r="F195" s="25"/>
      <c r="G195" s="25"/>
      <c r="H195" s="25"/>
      <c r="I195" s="25"/>
      <c r="J195" s="25"/>
      <c r="K195" s="25"/>
      <c r="L195" s="25"/>
      <c r="M195" s="25"/>
      <c r="N195" s="25"/>
      <c r="O195" s="25"/>
      <c r="P195" s="25"/>
      <c r="Q195" s="25"/>
      <c r="R195" s="25"/>
      <c r="S195" s="25"/>
      <c r="T195" s="25"/>
      <c r="U195" s="25"/>
      <c r="V195" s="25"/>
      <c r="W195" s="25"/>
      <c r="X195" s="25"/>
      <c r="Y195" s="25"/>
      <c r="Z195" s="25"/>
    </row>
    <row r="196" customFormat="false" ht="39.75" hidden="false" customHeight="true" outlineLevel="0" collapsed="false">
      <c r="A196" s="25"/>
      <c r="B196" s="25"/>
      <c r="C196" s="25"/>
      <c r="D196" s="25"/>
      <c r="E196" s="25"/>
      <c r="F196" s="25"/>
      <c r="G196" s="25"/>
      <c r="H196" s="25"/>
      <c r="I196" s="25"/>
      <c r="J196" s="25"/>
      <c r="K196" s="25"/>
      <c r="L196" s="25"/>
      <c r="M196" s="25"/>
      <c r="N196" s="25"/>
      <c r="O196" s="25"/>
      <c r="P196" s="25"/>
      <c r="Q196" s="25"/>
      <c r="R196" s="25"/>
      <c r="S196" s="25"/>
      <c r="T196" s="25"/>
      <c r="U196" s="25"/>
      <c r="V196" s="25"/>
      <c r="W196" s="25"/>
      <c r="X196" s="25"/>
      <c r="Y196" s="25"/>
      <c r="Z196" s="25"/>
    </row>
    <row r="197" customFormat="false" ht="39.75" hidden="false" customHeight="true" outlineLevel="0" collapsed="false">
      <c r="A197" s="25"/>
      <c r="B197" s="25"/>
      <c r="C197" s="25"/>
      <c r="D197" s="25"/>
      <c r="E197" s="25"/>
      <c r="F197" s="25"/>
      <c r="G197" s="25"/>
      <c r="H197" s="25"/>
      <c r="I197" s="25"/>
      <c r="J197" s="25"/>
      <c r="K197" s="25"/>
      <c r="L197" s="25"/>
      <c r="M197" s="25"/>
      <c r="N197" s="25"/>
      <c r="O197" s="25"/>
      <c r="P197" s="25"/>
      <c r="Q197" s="25"/>
      <c r="R197" s="25"/>
      <c r="S197" s="25"/>
      <c r="T197" s="25"/>
      <c r="U197" s="25"/>
      <c r="V197" s="25"/>
      <c r="W197" s="25"/>
      <c r="X197" s="25"/>
      <c r="Y197" s="25"/>
      <c r="Z197" s="25"/>
    </row>
    <row r="198" customFormat="false" ht="39.75" hidden="false" customHeight="true" outlineLevel="0" collapsed="false">
      <c r="A198" s="25"/>
      <c r="B198" s="25"/>
      <c r="C198" s="25"/>
      <c r="D198" s="25"/>
      <c r="E198" s="25"/>
      <c r="F198" s="25"/>
      <c r="G198" s="25"/>
      <c r="H198" s="25"/>
      <c r="I198" s="25"/>
      <c r="J198" s="25"/>
      <c r="K198" s="25"/>
      <c r="L198" s="25"/>
      <c r="M198" s="25"/>
      <c r="N198" s="25"/>
      <c r="O198" s="25"/>
      <c r="P198" s="25"/>
      <c r="Q198" s="25"/>
      <c r="R198" s="25"/>
      <c r="S198" s="25"/>
      <c r="T198" s="25"/>
      <c r="U198" s="25"/>
      <c r="V198" s="25"/>
      <c r="W198" s="25"/>
      <c r="X198" s="25"/>
      <c r="Y198" s="25"/>
      <c r="Z198" s="25"/>
    </row>
    <row r="199" customFormat="false" ht="39.75" hidden="false" customHeight="true" outlineLevel="0" collapsed="false">
      <c r="A199" s="25"/>
      <c r="B199" s="25"/>
      <c r="C199" s="25"/>
      <c r="D199" s="25"/>
      <c r="E199" s="25"/>
      <c r="F199" s="25"/>
      <c r="G199" s="25"/>
      <c r="H199" s="25"/>
      <c r="I199" s="25"/>
      <c r="J199" s="25"/>
      <c r="K199" s="25"/>
      <c r="L199" s="25"/>
      <c r="M199" s="25"/>
      <c r="N199" s="25"/>
      <c r="O199" s="25"/>
      <c r="P199" s="25"/>
      <c r="Q199" s="25"/>
      <c r="R199" s="25"/>
      <c r="S199" s="25"/>
      <c r="T199" s="25"/>
      <c r="U199" s="25"/>
      <c r="V199" s="25"/>
      <c r="W199" s="25"/>
      <c r="X199" s="25"/>
      <c r="Y199" s="25"/>
      <c r="Z199" s="25"/>
    </row>
    <row r="200" customFormat="false" ht="39.75" hidden="false" customHeight="true" outlineLevel="0" collapsed="false">
      <c r="A200" s="25"/>
      <c r="B200" s="25"/>
      <c r="C200" s="25"/>
      <c r="D200" s="25"/>
      <c r="E200" s="25"/>
      <c r="F200" s="25"/>
      <c r="G200" s="25"/>
      <c r="H200" s="25"/>
      <c r="I200" s="25"/>
      <c r="J200" s="25"/>
      <c r="K200" s="25"/>
      <c r="L200" s="25"/>
      <c r="M200" s="25"/>
      <c r="N200" s="25"/>
      <c r="O200" s="25"/>
      <c r="P200" s="25"/>
      <c r="Q200" s="25"/>
      <c r="R200" s="25"/>
      <c r="S200" s="25"/>
      <c r="T200" s="25"/>
      <c r="U200" s="25"/>
      <c r="V200" s="25"/>
      <c r="W200" s="25"/>
      <c r="X200" s="25"/>
      <c r="Y200" s="25"/>
      <c r="Z200" s="25"/>
    </row>
    <row r="201" customFormat="false" ht="39.75" hidden="false" customHeight="true" outlineLevel="0" collapsed="false">
      <c r="A201" s="25"/>
      <c r="B201" s="25"/>
      <c r="C201" s="25"/>
      <c r="D201" s="25"/>
      <c r="E201" s="25"/>
      <c r="F201" s="25"/>
      <c r="G201" s="25"/>
      <c r="H201" s="25"/>
      <c r="I201" s="25"/>
      <c r="J201" s="25"/>
      <c r="K201" s="25"/>
      <c r="L201" s="25"/>
      <c r="M201" s="25"/>
      <c r="N201" s="25"/>
      <c r="O201" s="25"/>
      <c r="P201" s="25"/>
      <c r="Q201" s="25"/>
      <c r="R201" s="25"/>
      <c r="S201" s="25"/>
      <c r="T201" s="25"/>
      <c r="U201" s="25"/>
      <c r="V201" s="25"/>
      <c r="W201" s="25"/>
      <c r="X201" s="25"/>
      <c r="Y201" s="25"/>
      <c r="Z201" s="25"/>
    </row>
    <row r="202" customFormat="false" ht="39.75" hidden="false" customHeight="true" outlineLevel="0" collapsed="false">
      <c r="A202" s="25"/>
      <c r="B202" s="25"/>
      <c r="C202" s="25"/>
      <c r="D202" s="25"/>
      <c r="E202" s="25"/>
      <c r="F202" s="25"/>
      <c r="G202" s="25"/>
      <c r="H202" s="25"/>
      <c r="I202" s="25"/>
      <c r="J202" s="25"/>
      <c r="K202" s="25"/>
      <c r="L202" s="25"/>
      <c r="M202" s="25"/>
      <c r="N202" s="25"/>
      <c r="O202" s="25"/>
      <c r="P202" s="25"/>
      <c r="Q202" s="25"/>
      <c r="R202" s="25"/>
      <c r="S202" s="25"/>
      <c r="T202" s="25"/>
      <c r="U202" s="25"/>
      <c r="V202" s="25"/>
      <c r="W202" s="25"/>
      <c r="X202" s="25"/>
      <c r="Y202" s="25"/>
      <c r="Z202" s="25"/>
    </row>
    <row r="203" customFormat="false" ht="39.75" hidden="false" customHeight="true" outlineLevel="0" collapsed="false">
      <c r="A203" s="25"/>
      <c r="B203" s="25"/>
      <c r="C203" s="25"/>
      <c r="D203" s="25"/>
      <c r="E203" s="25"/>
      <c r="F203" s="25"/>
      <c r="G203" s="25"/>
      <c r="H203" s="25"/>
      <c r="I203" s="25"/>
      <c r="J203" s="25"/>
      <c r="K203" s="25"/>
      <c r="L203" s="25"/>
      <c r="M203" s="25"/>
      <c r="N203" s="25"/>
      <c r="O203" s="25"/>
      <c r="P203" s="25"/>
      <c r="Q203" s="25"/>
      <c r="R203" s="25"/>
      <c r="S203" s="25"/>
      <c r="T203" s="25"/>
      <c r="U203" s="25"/>
      <c r="V203" s="25"/>
      <c r="W203" s="25"/>
      <c r="X203" s="25"/>
      <c r="Y203" s="25"/>
      <c r="Z203" s="25"/>
    </row>
    <row r="204" customFormat="false" ht="39.75" hidden="false" customHeight="true" outlineLevel="0" collapsed="false">
      <c r="A204" s="25"/>
      <c r="B204" s="25"/>
      <c r="C204" s="25"/>
      <c r="D204" s="25"/>
      <c r="E204" s="25"/>
      <c r="F204" s="25"/>
      <c r="G204" s="25"/>
      <c r="H204" s="25"/>
      <c r="I204" s="25"/>
      <c r="J204" s="25"/>
      <c r="K204" s="25"/>
      <c r="L204" s="25"/>
      <c r="M204" s="25"/>
      <c r="N204" s="25"/>
      <c r="O204" s="25"/>
      <c r="P204" s="25"/>
      <c r="Q204" s="25"/>
      <c r="R204" s="25"/>
      <c r="S204" s="25"/>
      <c r="T204" s="25"/>
      <c r="U204" s="25"/>
      <c r="V204" s="25"/>
      <c r="W204" s="25"/>
      <c r="X204" s="25"/>
      <c r="Y204" s="25"/>
      <c r="Z204" s="25"/>
    </row>
    <row r="205" customFormat="false" ht="39.75" hidden="false" customHeight="true" outlineLevel="0" collapsed="false">
      <c r="A205" s="25"/>
      <c r="B205" s="25"/>
      <c r="C205" s="25"/>
      <c r="D205" s="25"/>
      <c r="E205" s="25"/>
      <c r="F205" s="25"/>
      <c r="G205" s="25"/>
      <c r="H205" s="25"/>
      <c r="I205" s="25"/>
      <c r="J205" s="25"/>
      <c r="K205" s="25"/>
      <c r="L205" s="25"/>
      <c r="M205" s="25"/>
      <c r="N205" s="25"/>
      <c r="O205" s="25"/>
      <c r="P205" s="25"/>
      <c r="Q205" s="25"/>
      <c r="R205" s="25"/>
      <c r="S205" s="25"/>
      <c r="T205" s="25"/>
      <c r="U205" s="25"/>
      <c r="V205" s="25"/>
      <c r="W205" s="25"/>
      <c r="X205" s="25"/>
      <c r="Y205" s="25"/>
      <c r="Z205" s="25"/>
    </row>
    <row r="206" customFormat="false" ht="39.75" hidden="false" customHeight="true" outlineLevel="0" collapsed="false">
      <c r="A206" s="25"/>
      <c r="B206" s="25"/>
      <c r="C206" s="25"/>
      <c r="D206" s="25"/>
      <c r="E206" s="25"/>
      <c r="F206" s="25"/>
      <c r="G206" s="25"/>
      <c r="H206" s="25"/>
      <c r="I206" s="25"/>
      <c r="J206" s="25"/>
      <c r="K206" s="25"/>
      <c r="L206" s="25"/>
      <c r="M206" s="25"/>
      <c r="N206" s="25"/>
      <c r="O206" s="25"/>
      <c r="P206" s="25"/>
      <c r="Q206" s="25"/>
      <c r="R206" s="25"/>
      <c r="S206" s="25"/>
      <c r="T206" s="25"/>
      <c r="U206" s="25"/>
      <c r="V206" s="25"/>
      <c r="W206" s="25"/>
      <c r="X206" s="25"/>
      <c r="Y206" s="25"/>
      <c r="Z206" s="25"/>
    </row>
    <row r="207" customFormat="false" ht="39.75" hidden="false" customHeight="true" outlineLevel="0" collapsed="false">
      <c r="A207" s="25"/>
      <c r="B207" s="25"/>
      <c r="C207" s="25"/>
      <c r="D207" s="25"/>
      <c r="E207" s="25"/>
      <c r="F207" s="25"/>
      <c r="G207" s="25"/>
      <c r="H207" s="25"/>
      <c r="I207" s="25"/>
      <c r="J207" s="25"/>
      <c r="K207" s="25"/>
      <c r="L207" s="25"/>
      <c r="M207" s="25"/>
      <c r="N207" s="25"/>
      <c r="O207" s="25"/>
      <c r="P207" s="25"/>
      <c r="Q207" s="25"/>
      <c r="R207" s="25"/>
      <c r="S207" s="25"/>
      <c r="T207" s="25"/>
      <c r="U207" s="25"/>
      <c r="V207" s="25"/>
      <c r="W207" s="25"/>
      <c r="X207" s="25"/>
      <c r="Y207" s="25"/>
      <c r="Z207" s="25"/>
    </row>
    <row r="208" customFormat="false" ht="39.75" hidden="false" customHeight="true" outlineLevel="0" collapsed="false">
      <c r="A208" s="25"/>
      <c r="B208" s="25"/>
      <c r="C208" s="25"/>
      <c r="D208" s="25"/>
      <c r="E208" s="25"/>
      <c r="F208" s="25"/>
      <c r="G208" s="25"/>
      <c r="H208" s="25"/>
      <c r="I208" s="25"/>
      <c r="J208" s="25"/>
      <c r="K208" s="25"/>
      <c r="L208" s="25"/>
      <c r="M208" s="25"/>
      <c r="N208" s="25"/>
      <c r="O208" s="25"/>
      <c r="P208" s="25"/>
      <c r="Q208" s="25"/>
      <c r="R208" s="25"/>
      <c r="S208" s="25"/>
      <c r="T208" s="25"/>
      <c r="U208" s="25"/>
      <c r="V208" s="25"/>
      <c r="W208" s="25"/>
      <c r="X208" s="25"/>
      <c r="Y208" s="25"/>
      <c r="Z208" s="25"/>
    </row>
    <row r="209" customFormat="false" ht="39.75" hidden="false" customHeight="true" outlineLevel="0" collapsed="false">
      <c r="A209" s="25"/>
      <c r="B209" s="25"/>
      <c r="C209" s="25"/>
      <c r="D209" s="25"/>
      <c r="E209" s="25"/>
      <c r="F209" s="25"/>
      <c r="G209" s="25"/>
      <c r="H209" s="25"/>
      <c r="I209" s="25"/>
      <c r="J209" s="25"/>
      <c r="K209" s="25"/>
      <c r="L209" s="25"/>
      <c r="M209" s="25"/>
      <c r="N209" s="25"/>
      <c r="O209" s="25"/>
      <c r="P209" s="25"/>
      <c r="Q209" s="25"/>
      <c r="R209" s="25"/>
      <c r="S209" s="25"/>
      <c r="T209" s="25"/>
      <c r="U209" s="25"/>
      <c r="V209" s="25"/>
      <c r="W209" s="25"/>
      <c r="X209" s="25"/>
      <c r="Y209" s="25"/>
      <c r="Z209" s="25"/>
    </row>
    <row r="210" customFormat="false" ht="39.75" hidden="false" customHeight="true" outlineLevel="0" collapsed="false">
      <c r="A210" s="25"/>
      <c r="B210" s="25"/>
      <c r="C210" s="25"/>
      <c r="D210" s="25"/>
      <c r="E210" s="25"/>
      <c r="F210" s="25"/>
      <c r="G210" s="25"/>
      <c r="H210" s="25"/>
      <c r="I210" s="25"/>
      <c r="J210" s="25"/>
      <c r="K210" s="25"/>
      <c r="L210" s="25"/>
      <c r="M210" s="25"/>
      <c r="N210" s="25"/>
      <c r="O210" s="25"/>
      <c r="P210" s="25"/>
      <c r="Q210" s="25"/>
      <c r="R210" s="25"/>
      <c r="S210" s="25"/>
      <c r="T210" s="25"/>
      <c r="U210" s="25"/>
      <c r="V210" s="25"/>
      <c r="W210" s="25"/>
      <c r="X210" s="25"/>
      <c r="Y210" s="25"/>
      <c r="Z210" s="25"/>
    </row>
    <row r="211" customFormat="false" ht="39.75" hidden="false" customHeight="true" outlineLevel="0" collapsed="false">
      <c r="A211" s="25"/>
      <c r="B211" s="25"/>
      <c r="C211" s="25"/>
      <c r="D211" s="25"/>
      <c r="E211" s="25"/>
      <c r="F211" s="25"/>
      <c r="G211" s="25"/>
      <c r="H211" s="25"/>
      <c r="I211" s="25"/>
      <c r="J211" s="25"/>
      <c r="K211" s="25"/>
      <c r="L211" s="25"/>
      <c r="M211" s="25"/>
      <c r="N211" s="25"/>
      <c r="O211" s="25"/>
      <c r="P211" s="25"/>
      <c r="Q211" s="25"/>
      <c r="R211" s="25"/>
      <c r="S211" s="25"/>
      <c r="T211" s="25"/>
      <c r="U211" s="25"/>
      <c r="V211" s="25"/>
      <c r="W211" s="25"/>
      <c r="X211" s="25"/>
      <c r="Y211" s="25"/>
      <c r="Z211" s="25"/>
    </row>
    <row r="212" customFormat="false" ht="39.75" hidden="false" customHeight="true" outlineLevel="0" collapsed="false">
      <c r="A212" s="25"/>
      <c r="B212" s="25"/>
      <c r="C212" s="25"/>
      <c r="D212" s="25"/>
      <c r="E212" s="25"/>
      <c r="F212" s="25"/>
      <c r="G212" s="25"/>
      <c r="H212" s="25"/>
      <c r="I212" s="25"/>
      <c r="J212" s="25"/>
      <c r="K212" s="25"/>
      <c r="L212" s="25"/>
      <c r="M212" s="25"/>
      <c r="N212" s="25"/>
      <c r="O212" s="25"/>
      <c r="P212" s="25"/>
      <c r="Q212" s="25"/>
      <c r="R212" s="25"/>
      <c r="S212" s="25"/>
      <c r="T212" s="25"/>
      <c r="U212" s="25"/>
      <c r="V212" s="25"/>
      <c r="W212" s="25"/>
      <c r="X212" s="25"/>
      <c r="Y212" s="25"/>
      <c r="Z212" s="25"/>
    </row>
    <row r="213" customFormat="false" ht="39.75" hidden="false" customHeight="true" outlineLevel="0" collapsed="false">
      <c r="A213" s="25"/>
      <c r="B213" s="25"/>
      <c r="C213" s="25"/>
      <c r="D213" s="25"/>
      <c r="E213" s="25"/>
      <c r="F213" s="25"/>
      <c r="G213" s="25"/>
      <c r="H213" s="25"/>
      <c r="I213" s="25"/>
      <c r="J213" s="25"/>
      <c r="K213" s="25"/>
      <c r="L213" s="25"/>
      <c r="M213" s="25"/>
      <c r="N213" s="25"/>
      <c r="O213" s="25"/>
      <c r="P213" s="25"/>
      <c r="Q213" s="25"/>
      <c r="R213" s="25"/>
      <c r="S213" s="25"/>
      <c r="T213" s="25"/>
      <c r="U213" s="25"/>
      <c r="V213" s="25"/>
      <c r="W213" s="25"/>
      <c r="X213" s="25"/>
      <c r="Y213" s="25"/>
      <c r="Z213" s="25"/>
    </row>
    <row r="214" customFormat="false" ht="39.75" hidden="false" customHeight="true" outlineLevel="0" collapsed="false">
      <c r="A214" s="25"/>
      <c r="B214" s="25"/>
      <c r="C214" s="25"/>
      <c r="D214" s="25"/>
      <c r="E214" s="25"/>
      <c r="F214" s="25"/>
      <c r="G214" s="25"/>
      <c r="H214" s="25"/>
      <c r="I214" s="25"/>
      <c r="J214" s="25"/>
      <c r="K214" s="25"/>
      <c r="L214" s="25"/>
      <c r="M214" s="25"/>
      <c r="N214" s="25"/>
      <c r="O214" s="25"/>
      <c r="P214" s="25"/>
      <c r="Q214" s="25"/>
      <c r="R214" s="25"/>
      <c r="S214" s="25"/>
      <c r="T214" s="25"/>
      <c r="U214" s="25"/>
      <c r="V214" s="25"/>
      <c r="W214" s="25"/>
      <c r="X214" s="25"/>
      <c r="Y214" s="25"/>
      <c r="Z214" s="25"/>
    </row>
    <row r="215" customFormat="false" ht="39.75" hidden="false" customHeight="true" outlineLevel="0" collapsed="false">
      <c r="A215" s="25"/>
      <c r="B215" s="25"/>
      <c r="C215" s="25"/>
      <c r="D215" s="25"/>
      <c r="E215" s="25"/>
      <c r="F215" s="25"/>
      <c r="G215" s="25"/>
      <c r="H215" s="25"/>
      <c r="I215" s="25"/>
      <c r="J215" s="25"/>
      <c r="K215" s="25"/>
      <c r="L215" s="25"/>
      <c r="M215" s="25"/>
      <c r="N215" s="25"/>
      <c r="O215" s="25"/>
      <c r="P215" s="25"/>
      <c r="Q215" s="25"/>
      <c r="R215" s="25"/>
      <c r="S215" s="25"/>
      <c r="T215" s="25"/>
      <c r="U215" s="25"/>
      <c r="V215" s="25"/>
      <c r="W215" s="25"/>
      <c r="X215" s="25"/>
      <c r="Y215" s="25"/>
      <c r="Z215" s="25"/>
    </row>
    <row r="216" customFormat="false" ht="39.75" hidden="false" customHeight="true" outlineLevel="0" collapsed="false">
      <c r="A216" s="25"/>
      <c r="B216" s="25"/>
      <c r="C216" s="25"/>
      <c r="D216" s="25"/>
      <c r="E216" s="25"/>
      <c r="F216" s="25"/>
      <c r="G216" s="25"/>
      <c r="H216" s="25"/>
      <c r="I216" s="25"/>
      <c r="J216" s="25"/>
      <c r="K216" s="25"/>
      <c r="L216" s="25"/>
      <c r="M216" s="25"/>
      <c r="N216" s="25"/>
      <c r="O216" s="25"/>
      <c r="P216" s="25"/>
      <c r="Q216" s="25"/>
      <c r="R216" s="25"/>
      <c r="S216" s="25"/>
      <c r="T216" s="25"/>
      <c r="U216" s="25"/>
      <c r="V216" s="25"/>
      <c r="W216" s="25"/>
      <c r="X216" s="25"/>
      <c r="Y216" s="25"/>
      <c r="Z216" s="25"/>
    </row>
    <row r="217" customFormat="false" ht="39.75" hidden="false" customHeight="true" outlineLevel="0" collapsed="false">
      <c r="A217" s="25"/>
      <c r="B217" s="25"/>
      <c r="C217" s="25"/>
      <c r="D217" s="25"/>
      <c r="E217" s="25"/>
      <c r="F217" s="25"/>
      <c r="G217" s="25"/>
      <c r="H217" s="25"/>
      <c r="I217" s="25"/>
      <c r="J217" s="25"/>
      <c r="K217" s="25"/>
      <c r="L217" s="25"/>
      <c r="M217" s="25"/>
      <c r="N217" s="25"/>
      <c r="O217" s="25"/>
      <c r="P217" s="25"/>
      <c r="Q217" s="25"/>
      <c r="R217" s="25"/>
      <c r="S217" s="25"/>
      <c r="T217" s="25"/>
      <c r="U217" s="25"/>
      <c r="V217" s="25"/>
      <c r="W217" s="25"/>
      <c r="X217" s="25"/>
      <c r="Y217" s="25"/>
      <c r="Z217" s="25"/>
    </row>
    <row r="218" customFormat="false" ht="39.75" hidden="false" customHeight="true" outlineLevel="0" collapsed="false">
      <c r="A218" s="25"/>
      <c r="B218" s="25"/>
      <c r="C218" s="25"/>
      <c r="D218" s="25"/>
      <c r="E218" s="25"/>
      <c r="F218" s="25"/>
      <c r="G218" s="25"/>
      <c r="H218" s="25"/>
      <c r="I218" s="25"/>
      <c r="J218" s="25"/>
      <c r="K218" s="25"/>
      <c r="L218" s="25"/>
      <c r="M218" s="25"/>
      <c r="N218" s="25"/>
      <c r="O218" s="25"/>
      <c r="P218" s="25"/>
      <c r="Q218" s="25"/>
      <c r="R218" s="25"/>
      <c r="S218" s="25"/>
      <c r="T218" s="25"/>
      <c r="U218" s="25"/>
      <c r="V218" s="25"/>
      <c r="W218" s="25"/>
      <c r="X218" s="25"/>
      <c r="Y218" s="25"/>
      <c r="Z218" s="25"/>
    </row>
    <row r="219" customFormat="false" ht="39.75" hidden="false" customHeight="true" outlineLevel="0" collapsed="false">
      <c r="A219" s="25"/>
      <c r="B219" s="25"/>
      <c r="C219" s="25"/>
      <c r="D219" s="25"/>
      <c r="E219" s="25"/>
      <c r="F219" s="25"/>
      <c r="G219" s="25"/>
      <c r="H219" s="25"/>
      <c r="I219" s="25"/>
      <c r="J219" s="25"/>
      <c r="K219" s="25"/>
      <c r="L219" s="25"/>
      <c r="M219" s="25"/>
      <c r="N219" s="25"/>
      <c r="O219" s="25"/>
      <c r="P219" s="25"/>
      <c r="Q219" s="25"/>
      <c r="R219" s="25"/>
      <c r="S219" s="25"/>
      <c r="T219" s="25"/>
      <c r="U219" s="25"/>
      <c r="V219" s="25"/>
      <c r="W219" s="25"/>
      <c r="X219" s="25"/>
      <c r="Y219" s="25"/>
      <c r="Z219" s="25"/>
    </row>
    <row r="220" customFormat="false" ht="39.75" hidden="false" customHeight="true" outlineLevel="0" collapsed="false">
      <c r="A220" s="25"/>
      <c r="B220" s="25"/>
      <c r="C220" s="25"/>
      <c r="D220" s="25"/>
      <c r="E220" s="25"/>
      <c r="F220" s="25"/>
      <c r="G220" s="25"/>
      <c r="H220" s="25"/>
      <c r="I220" s="25"/>
      <c r="J220" s="25"/>
      <c r="K220" s="25"/>
      <c r="L220" s="25"/>
      <c r="M220" s="25"/>
      <c r="N220" s="25"/>
      <c r="O220" s="25"/>
      <c r="P220" s="25"/>
      <c r="Q220" s="25"/>
      <c r="R220" s="25"/>
      <c r="S220" s="25"/>
      <c r="T220" s="25"/>
      <c r="U220" s="25"/>
      <c r="V220" s="25"/>
      <c r="W220" s="25"/>
      <c r="X220" s="25"/>
      <c r="Y220" s="25"/>
      <c r="Z220" s="25"/>
    </row>
    <row r="221" customFormat="false" ht="39.75" hidden="false" customHeight="true" outlineLevel="0" collapsed="false">
      <c r="A221" s="25"/>
      <c r="B221" s="25"/>
      <c r="C221" s="25"/>
      <c r="D221" s="25"/>
      <c r="E221" s="25"/>
      <c r="F221" s="25"/>
      <c r="G221" s="25"/>
      <c r="H221" s="25"/>
      <c r="I221" s="25"/>
      <c r="J221" s="25"/>
      <c r="K221" s="25"/>
      <c r="L221" s="25"/>
      <c r="M221" s="25"/>
      <c r="N221" s="25"/>
      <c r="O221" s="25"/>
      <c r="P221" s="25"/>
      <c r="Q221" s="25"/>
      <c r="R221" s="25"/>
      <c r="S221" s="25"/>
      <c r="T221" s="25"/>
      <c r="U221" s="25"/>
      <c r="V221" s="25"/>
      <c r="W221" s="25"/>
      <c r="X221" s="25"/>
      <c r="Y221" s="25"/>
      <c r="Z221" s="25"/>
    </row>
    <row r="222" customFormat="false" ht="39.75" hidden="false" customHeight="true" outlineLevel="0" collapsed="false">
      <c r="A222" s="25"/>
      <c r="B222" s="25"/>
      <c r="C222" s="25"/>
      <c r="D222" s="25"/>
      <c r="E222" s="25"/>
      <c r="F222" s="25"/>
      <c r="G222" s="25"/>
      <c r="H222" s="25"/>
      <c r="I222" s="25"/>
      <c r="J222" s="25"/>
      <c r="K222" s="25"/>
      <c r="L222" s="25"/>
      <c r="M222" s="25"/>
      <c r="N222" s="25"/>
      <c r="O222" s="25"/>
      <c r="P222" s="25"/>
      <c r="Q222" s="25"/>
      <c r="R222" s="25"/>
      <c r="S222" s="25"/>
      <c r="T222" s="25"/>
      <c r="U222" s="25"/>
      <c r="V222" s="25"/>
      <c r="W222" s="25"/>
      <c r="X222" s="25"/>
      <c r="Y222" s="25"/>
      <c r="Z222" s="25"/>
    </row>
    <row r="223" customFormat="false" ht="39.75" hidden="false" customHeight="true" outlineLevel="0" collapsed="false">
      <c r="A223" s="25"/>
      <c r="B223" s="25"/>
      <c r="C223" s="25"/>
      <c r="D223" s="25"/>
      <c r="E223" s="25"/>
      <c r="F223" s="25"/>
      <c r="G223" s="25"/>
      <c r="H223" s="25"/>
      <c r="I223" s="25"/>
      <c r="J223" s="25"/>
      <c r="K223" s="25"/>
      <c r="L223" s="25"/>
      <c r="M223" s="25"/>
      <c r="N223" s="25"/>
      <c r="O223" s="25"/>
      <c r="P223" s="25"/>
      <c r="Q223" s="25"/>
      <c r="R223" s="25"/>
      <c r="S223" s="25"/>
      <c r="T223" s="25"/>
      <c r="U223" s="25"/>
      <c r="V223" s="25"/>
      <c r="W223" s="25"/>
      <c r="X223" s="25"/>
      <c r="Y223" s="25"/>
      <c r="Z223" s="25"/>
    </row>
    <row r="224" customFormat="false" ht="39.75" hidden="false" customHeight="true" outlineLevel="0" collapsed="false">
      <c r="A224" s="25"/>
      <c r="B224" s="25"/>
      <c r="C224" s="25"/>
      <c r="D224" s="25"/>
      <c r="E224" s="25"/>
      <c r="F224" s="25"/>
      <c r="G224" s="25"/>
      <c r="H224" s="25"/>
      <c r="I224" s="25"/>
      <c r="J224" s="25"/>
      <c r="K224" s="25"/>
      <c r="L224" s="25"/>
      <c r="M224" s="25"/>
      <c r="N224" s="25"/>
      <c r="O224" s="25"/>
      <c r="P224" s="25"/>
      <c r="Q224" s="25"/>
      <c r="R224" s="25"/>
      <c r="S224" s="25"/>
      <c r="T224" s="25"/>
      <c r="U224" s="25"/>
      <c r="V224" s="25"/>
      <c r="W224" s="25"/>
      <c r="X224" s="25"/>
      <c r="Y224" s="25"/>
      <c r="Z224" s="25"/>
    </row>
    <row r="225" customFormat="false" ht="39.75" hidden="false" customHeight="true" outlineLevel="0" collapsed="false">
      <c r="A225" s="25"/>
      <c r="B225" s="25"/>
      <c r="C225" s="25"/>
      <c r="D225" s="25"/>
      <c r="E225" s="25"/>
      <c r="F225" s="25"/>
      <c r="G225" s="25"/>
      <c r="H225" s="25"/>
      <c r="I225" s="25"/>
      <c r="J225" s="25"/>
      <c r="K225" s="25"/>
      <c r="L225" s="25"/>
      <c r="M225" s="25"/>
      <c r="N225" s="25"/>
      <c r="O225" s="25"/>
      <c r="P225" s="25"/>
      <c r="Q225" s="25"/>
      <c r="R225" s="25"/>
      <c r="S225" s="25"/>
      <c r="T225" s="25"/>
      <c r="U225" s="25"/>
      <c r="V225" s="25"/>
      <c r="W225" s="25"/>
      <c r="X225" s="25"/>
      <c r="Y225" s="25"/>
      <c r="Z225" s="25"/>
    </row>
    <row r="226" customFormat="false" ht="39.75" hidden="false" customHeight="true" outlineLevel="0" collapsed="false">
      <c r="A226" s="25"/>
      <c r="B226" s="25"/>
      <c r="C226" s="25"/>
      <c r="D226" s="25"/>
      <c r="E226" s="25"/>
      <c r="F226" s="25"/>
      <c r="G226" s="25"/>
      <c r="H226" s="25"/>
      <c r="I226" s="25"/>
      <c r="J226" s="25"/>
      <c r="K226" s="25"/>
      <c r="L226" s="25"/>
      <c r="M226" s="25"/>
      <c r="N226" s="25"/>
      <c r="O226" s="25"/>
      <c r="P226" s="25"/>
      <c r="Q226" s="25"/>
      <c r="R226" s="25"/>
      <c r="S226" s="25"/>
      <c r="T226" s="25"/>
      <c r="U226" s="25"/>
      <c r="V226" s="25"/>
      <c r="W226" s="25"/>
      <c r="X226" s="25"/>
      <c r="Y226" s="25"/>
      <c r="Z226" s="25"/>
    </row>
    <row r="227" customFormat="false" ht="39.75" hidden="false" customHeight="true" outlineLevel="0" collapsed="false">
      <c r="A227" s="25"/>
      <c r="B227" s="25"/>
      <c r="C227" s="25"/>
      <c r="D227" s="25"/>
      <c r="E227" s="25"/>
      <c r="F227" s="25"/>
      <c r="G227" s="25"/>
      <c r="H227" s="25"/>
      <c r="I227" s="25"/>
      <c r="J227" s="25"/>
      <c r="K227" s="25"/>
      <c r="L227" s="25"/>
      <c r="M227" s="25"/>
      <c r="N227" s="25"/>
      <c r="O227" s="25"/>
      <c r="P227" s="25"/>
      <c r="Q227" s="25"/>
      <c r="R227" s="25"/>
      <c r="S227" s="25"/>
      <c r="T227" s="25"/>
      <c r="U227" s="25"/>
      <c r="V227" s="25"/>
      <c r="W227" s="25"/>
      <c r="X227" s="25"/>
      <c r="Y227" s="25"/>
      <c r="Z227" s="25"/>
    </row>
    <row r="228" customFormat="false" ht="39.75" hidden="false" customHeight="true" outlineLevel="0" collapsed="false">
      <c r="A228" s="25"/>
      <c r="B228" s="25"/>
      <c r="C228" s="25"/>
      <c r="D228" s="25"/>
      <c r="E228" s="25"/>
      <c r="F228" s="25"/>
      <c r="G228" s="25"/>
      <c r="H228" s="25"/>
      <c r="I228" s="25"/>
      <c r="J228" s="25"/>
      <c r="K228" s="25"/>
      <c r="L228" s="25"/>
      <c r="M228" s="25"/>
      <c r="N228" s="25"/>
      <c r="O228" s="25"/>
      <c r="P228" s="25"/>
      <c r="Q228" s="25"/>
      <c r="R228" s="25"/>
      <c r="S228" s="25"/>
      <c r="T228" s="25"/>
      <c r="U228" s="25"/>
      <c r="V228" s="25"/>
      <c r="W228" s="25"/>
      <c r="X228" s="25"/>
      <c r="Y228" s="25"/>
      <c r="Z228" s="25"/>
    </row>
    <row r="229" customFormat="false" ht="39.75" hidden="false" customHeight="true" outlineLevel="0" collapsed="false">
      <c r="A229" s="25"/>
      <c r="B229" s="25"/>
      <c r="C229" s="25"/>
      <c r="D229" s="25"/>
      <c r="E229" s="25"/>
      <c r="F229" s="25"/>
      <c r="G229" s="25"/>
      <c r="H229" s="25"/>
      <c r="I229" s="25"/>
      <c r="J229" s="25"/>
      <c r="K229" s="25"/>
      <c r="L229" s="25"/>
      <c r="M229" s="25"/>
      <c r="N229" s="25"/>
      <c r="O229" s="25"/>
      <c r="P229" s="25"/>
      <c r="Q229" s="25"/>
      <c r="R229" s="25"/>
      <c r="S229" s="25"/>
      <c r="T229" s="25"/>
      <c r="U229" s="25"/>
      <c r="V229" s="25"/>
      <c r="W229" s="25"/>
      <c r="X229" s="25"/>
      <c r="Y229" s="25"/>
      <c r="Z229" s="25"/>
    </row>
    <row r="230" customFormat="false" ht="39.75" hidden="false" customHeight="true" outlineLevel="0" collapsed="false">
      <c r="A230" s="25"/>
      <c r="B230" s="25"/>
      <c r="C230" s="25"/>
      <c r="D230" s="25"/>
      <c r="E230" s="25"/>
      <c r="F230" s="25"/>
      <c r="G230" s="25"/>
      <c r="H230" s="25"/>
      <c r="I230" s="25"/>
      <c r="J230" s="25"/>
      <c r="K230" s="25"/>
      <c r="L230" s="25"/>
      <c r="M230" s="25"/>
      <c r="N230" s="25"/>
      <c r="O230" s="25"/>
      <c r="P230" s="25"/>
      <c r="Q230" s="25"/>
      <c r="R230" s="25"/>
      <c r="S230" s="25"/>
      <c r="T230" s="25"/>
      <c r="U230" s="25"/>
      <c r="V230" s="25"/>
      <c r="W230" s="25"/>
      <c r="X230" s="25"/>
      <c r="Y230" s="25"/>
      <c r="Z230" s="25"/>
    </row>
    <row r="231" customFormat="false" ht="39.75" hidden="false" customHeight="true" outlineLevel="0" collapsed="false">
      <c r="A231" s="25"/>
      <c r="B231" s="25"/>
      <c r="C231" s="25"/>
      <c r="D231" s="25"/>
      <c r="E231" s="25"/>
      <c r="F231" s="25"/>
      <c r="G231" s="25"/>
      <c r="H231" s="25"/>
      <c r="I231" s="25"/>
      <c r="J231" s="25"/>
      <c r="K231" s="25"/>
      <c r="L231" s="25"/>
      <c r="M231" s="25"/>
      <c r="N231" s="25"/>
      <c r="O231" s="25"/>
      <c r="P231" s="25"/>
      <c r="Q231" s="25"/>
      <c r="R231" s="25"/>
      <c r="S231" s="25"/>
      <c r="T231" s="25"/>
      <c r="U231" s="25"/>
      <c r="V231" s="25"/>
      <c r="W231" s="25"/>
      <c r="X231" s="25"/>
      <c r="Y231" s="25"/>
      <c r="Z231" s="25"/>
    </row>
    <row r="232" customFormat="false" ht="39.75" hidden="false" customHeight="true" outlineLevel="0" collapsed="false">
      <c r="A232" s="25"/>
      <c r="B232" s="25"/>
      <c r="C232" s="25"/>
      <c r="D232" s="25"/>
      <c r="E232" s="25"/>
      <c r="F232" s="25"/>
      <c r="G232" s="25"/>
      <c r="H232" s="25"/>
      <c r="I232" s="25"/>
      <c r="J232" s="25"/>
      <c r="K232" s="25"/>
      <c r="L232" s="25"/>
      <c r="M232" s="25"/>
      <c r="N232" s="25"/>
      <c r="O232" s="25"/>
      <c r="P232" s="25"/>
      <c r="Q232" s="25"/>
      <c r="R232" s="25"/>
      <c r="S232" s="25"/>
      <c r="T232" s="25"/>
      <c r="U232" s="25"/>
      <c r="V232" s="25"/>
      <c r="W232" s="25"/>
      <c r="X232" s="25"/>
      <c r="Y232" s="25"/>
      <c r="Z232" s="25"/>
    </row>
    <row r="233" customFormat="false" ht="39.75" hidden="false" customHeight="true" outlineLevel="0" collapsed="false">
      <c r="A233" s="25"/>
      <c r="B233" s="25"/>
      <c r="C233" s="25"/>
      <c r="D233" s="25"/>
      <c r="E233" s="25"/>
      <c r="F233" s="25"/>
      <c r="G233" s="25"/>
      <c r="H233" s="25"/>
      <c r="I233" s="25"/>
      <c r="J233" s="25"/>
      <c r="K233" s="25"/>
      <c r="L233" s="25"/>
      <c r="M233" s="25"/>
      <c r="N233" s="25"/>
      <c r="O233" s="25"/>
      <c r="P233" s="25"/>
      <c r="Q233" s="25"/>
      <c r="R233" s="25"/>
      <c r="S233" s="25"/>
      <c r="T233" s="25"/>
      <c r="U233" s="25"/>
      <c r="V233" s="25"/>
      <c r="W233" s="25"/>
      <c r="X233" s="25"/>
      <c r="Y233" s="25"/>
      <c r="Z233" s="25"/>
    </row>
    <row r="234" customFormat="false" ht="39.75" hidden="false" customHeight="true" outlineLevel="0" collapsed="false">
      <c r="A234" s="25"/>
      <c r="B234" s="25"/>
      <c r="C234" s="25"/>
      <c r="D234" s="25"/>
      <c r="E234" s="25"/>
      <c r="F234" s="25"/>
      <c r="G234" s="25"/>
      <c r="H234" s="25"/>
      <c r="I234" s="25"/>
      <c r="J234" s="25"/>
      <c r="K234" s="25"/>
      <c r="L234" s="25"/>
      <c r="M234" s="25"/>
      <c r="N234" s="25"/>
      <c r="O234" s="25"/>
      <c r="P234" s="25"/>
      <c r="Q234" s="25"/>
      <c r="R234" s="25"/>
      <c r="S234" s="25"/>
      <c r="T234" s="25"/>
      <c r="U234" s="25"/>
      <c r="V234" s="25"/>
      <c r="W234" s="25"/>
      <c r="X234" s="25"/>
      <c r="Y234" s="25"/>
      <c r="Z234" s="25"/>
    </row>
    <row r="235" customFormat="false" ht="39.75" hidden="false" customHeight="true" outlineLevel="0" collapsed="false">
      <c r="A235" s="25"/>
      <c r="B235" s="25"/>
      <c r="C235" s="25"/>
      <c r="D235" s="25"/>
      <c r="E235" s="25"/>
      <c r="F235" s="25"/>
      <c r="G235" s="25"/>
      <c r="H235" s="25"/>
      <c r="I235" s="25"/>
      <c r="J235" s="25"/>
      <c r="K235" s="25"/>
      <c r="L235" s="25"/>
      <c r="M235" s="25"/>
      <c r="N235" s="25"/>
      <c r="O235" s="25"/>
      <c r="P235" s="25"/>
      <c r="Q235" s="25"/>
      <c r="R235" s="25"/>
      <c r="S235" s="25"/>
      <c r="T235" s="25"/>
      <c r="U235" s="25"/>
      <c r="V235" s="25"/>
      <c r="W235" s="25"/>
      <c r="X235" s="25"/>
      <c r="Y235" s="25"/>
      <c r="Z235" s="25"/>
    </row>
    <row r="236" customFormat="false" ht="39.75" hidden="false" customHeight="true" outlineLevel="0" collapsed="false">
      <c r="A236" s="25"/>
      <c r="B236" s="25"/>
      <c r="C236" s="25"/>
      <c r="D236" s="25"/>
      <c r="E236" s="25"/>
      <c r="F236" s="25"/>
      <c r="G236" s="25"/>
      <c r="H236" s="25"/>
      <c r="I236" s="25"/>
      <c r="J236" s="25"/>
      <c r="K236" s="25"/>
      <c r="L236" s="25"/>
      <c r="M236" s="25"/>
      <c r="N236" s="25"/>
      <c r="O236" s="25"/>
      <c r="P236" s="25"/>
      <c r="Q236" s="25"/>
      <c r="R236" s="25"/>
      <c r="S236" s="25"/>
      <c r="T236" s="25"/>
      <c r="U236" s="25"/>
      <c r="V236" s="25"/>
      <c r="W236" s="25"/>
      <c r="X236" s="25"/>
      <c r="Y236" s="25"/>
      <c r="Z236" s="25"/>
    </row>
    <row r="237" customFormat="false" ht="39.75" hidden="false" customHeight="true" outlineLevel="0" collapsed="false">
      <c r="A237" s="25"/>
      <c r="B237" s="25"/>
      <c r="C237" s="25"/>
      <c r="D237" s="25"/>
      <c r="E237" s="25"/>
      <c r="F237" s="25"/>
      <c r="G237" s="25"/>
      <c r="H237" s="25"/>
      <c r="I237" s="25"/>
      <c r="J237" s="25"/>
      <c r="K237" s="25"/>
      <c r="L237" s="25"/>
      <c r="M237" s="25"/>
      <c r="N237" s="25"/>
      <c r="O237" s="25"/>
      <c r="P237" s="25"/>
      <c r="Q237" s="25"/>
      <c r="R237" s="25"/>
      <c r="S237" s="25"/>
      <c r="T237" s="25"/>
      <c r="U237" s="25"/>
      <c r="V237" s="25"/>
      <c r="W237" s="25"/>
      <c r="X237" s="25"/>
      <c r="Y237" s="25"/>
      <c r="Z237" s="25"/>
    </row>
    <row r="238" customFormat="false" ht="39.75" hidden="false" customHeight="true" outlineLevel="0" collapsed="false">
      <c r="A238" s="25"/>
      <c r="B238" s="25"/>
      <c r="C238" s="25"/>
      <c r="D238" s="25"/>
      <c r="E238" s="25"/>
      <c r="F238" s="25"/>
      <c r="G238" s="25"/>
      <c r="H238" s="25"/>
      <c r="I238" s="25"/>
      <c r="J238" s="25"/>
      <c r="K238" s="25"/>
      <c r="L238" s="25"/>
      <c r="M238" s="25"/>
      <c r="N238" s="25"/>
      <c r="O238" s="25"/>
      <c r="P238" s="25"/>
      <c r="Q238" s="25"/>
      <c r="R238" s="25"/>
      <c r="S238" s="25"/>
      <c r="T238" s="25"/>
      <c r="U238" s="25"/>
      <c r="V238" s="25"/>
      <c r="W238" s="25"/>
      <c r="X238" s="25"/>
      <c r="Y238" s="25"/>
      <c r="Z238" s="25"/>
    </row>
    <row r="239" customFormat="false" ht="39.75" hidden="false" customHeight="true" outlineLevel="0" collapsed="false">
      <c r="A239" s="25"/>
      <c r="B239" s="25"/>
      <c r="C239" s="25"/>
      <c r="D239" s="25"/>
      <c r="E239" s="25"/>
      <c r="F239" s="25"/>
      <c r="G239" s="25"/>
      <c r="H239" s="25"/>
      <c r="I239" s="25"/>
      <c r="J239" s="25"/>
      <c r="K239" s="25"/>
      <c r="L239" s="25"/>
      <c r="M239" s="25"/>
      <c r="N239" s="25"/>
      <c r="O239" s="25"/>
      <c r="P239" s="25"/>
      <c r="Q239" s="25"/>
      <c r="R239" s="25"/>
      <c r="S239" s="25"/>
      <c r="T239" s="25"/>
      <c r="U239" s="25"/>
      <c r="V239" s="25"/>
      <c r="W239" s="25"/>
      <c r="X239" s="25"/>
      <c r="Y239" s="25"/>
      <c r="Z239" s="25"/>
    </row>
    <row r="240" customFormat="false" ht="39.75" hidden="false" customHeight="true" outlineLevel="0" collapsed="false">
      <c r="A240" s="25"/>
      <c r="B240" s="25"/>
      <c r="C240" s="25"/>
      <c r="D240" s="25"/>
      <c r="E240" s="25"/>
      <c r="F240" s="25"/>
      <c r="G240" s="25"/>
      <c r="H240" s="25"/>
      <c r="I240" s="25"/>
      <c r="J240" s="25"/>
      <c r="K240" s="25"/>
      <c r="L240" s="25"/>
      <c r="M240" s="25"/>
      <c r="N240" s="25"/>
      <c r="O240" s="25"/>
      <c r="P240" s="25"/>
      <c r="Q240" s="25"/>
      <c r="R240" s="25"/>
      <c r="S240" s="25"/>
      <c r="T240" s="25"/>
      <c r="U240" s="25"/>
      <c r="V240" s="25"/>
      <c r="W240" s="25"/>
      <c r="X240" s="25"/>
      <c r="Y240" s="25"/>
      <c r="Z240" s="25"/>
    </row>
    <row r="241" customFormat="false" ht="39.75" hidden="false" customHeight="true" outlineLevel="0" collapsed="false">
      <c r="A241" s="25"/>
      <c r="B241" s="25"/>
      <c r="C241" s="25"/>
      <c r="D241" s="25"/>
      <c r="E241" s="25"/>
      <c r="F241" s="25"/>
      <c r="G241" s="25"/>
      <c r="H241" s="25"/>
      <c r="I241" s="25"/>
      <c r="J241" s="25"/>
      <c r="K241" s="25"/>
      <c r="L241" s="25"/>
      <c r="M241" s="25"/>
      <c r="N241" s="25"/>
      <c r="O241" s="25"/>
      <c r="P241" s="25"/>
      <c r="Q241" s="25"/>
      <c r="R241" s="25"/>
      <c r="S241" s="25"/>
      <c r="T241" s="25"/>
      <c r="U241" s="25"/>
      <c r="V241" s="25"/>
      <c r="W241" s="25"/>
      <c r="X241" s="25"/>
      <c r="Y241" s="25"/>
      <c r="Z241" s="25"/>
    </row>
    <row r="242" customFormat="false" ht="39.75" hidden="false" customHeight="true" outlineLevel="0" collapsed="false">
      <c r="A242" s="25"/>
      <c r="B242" s="25"/>
      <c r="C242" s="25"/>
      <c r="D242" s="25"/>
      <c r="E242" s="25"/>
      <c r="F242" s="25"/>
      <c r="G242" s="25"/>
      <c r="H242" s="25"/>
      <c r="I242" s="25"/>
      <c r="J242" s="25"/>
      <c r="K242" s="25"/>
      <c r="L242" s="25"/>
      <c r="M242" s="25"/>
      <c r="N242" s="25"/>
      <c r="O242" s="25"/>
      <c r="P242" s="25"/>
      <c r="Q242" s="25"/>
      <c r="R242" s="25"/>
      <c r="S242" s="25"/>
      <c r="T242" s="25"/>
      <c r="U242" s="25"/>
      <c r="V242" s="25"/>
      <c r="W242" s="25"/>
      <c r="X242" s="25"/>
      <c r="Y242" s="25"/>
      <c r="Z242" s="25"/>
    </row>
    <row r="243" customFormat="false" ht="39.75" hidden="false" customHeight="true" outlineLevel="0" collapsed="false">
      <c r="A243" s="25"/>
      <c r="B243" s="25"/>
      <c r="C243" s="25"/>
      <c r="D243" s="25"/>
      <c r="E243" s="25"/>
      <c r="F243" s="25"/>
      <c r="G243" s="25"/>
      <c r="H243" s="25"/>
      <c r="I243" s="25"/>
      <c r="J243" s="25"/>
      <c r="K243" s="25"/>
      <c r="L243" s="25"/>
      <c r="M243" s="25"/>
      <c r="N243" s="25"/>
      <c r="O243" s="25"/>
      <c r="P243" s="25"/>
      <c r="Q243" s="25"/>
      <c r="R243" s="25"/>
      <c r="S243" s="25"/>
      <c r="T243" s="25"/>
      <c r="U243" s="25"/>
      <c r="V243" s="25"/>
      <c r="W243" s="25"/>
      <c r="X243" s="25"/>
      <c r="Y243" s="25"/>
      <c r="Z243" s="25"/>
    </row>
    <row r="244" customFormat="false" ht="39.75" hidden="false" customHeight="true" outlineLevel="0" collapsed="false">
      <c r="A244" s="25"/>
      <c r="B244" s="25"/>
      <c r="C244" s="25"/>
      <c r="D244" s="25"/>
      <c r="E244" s="25"/>
      <c r="F244" s="25"/>
      <c r="G244" s="25"/>
      <c r="H244" s="25"/>
      <c r="I244" s="25"/>
      <c r="J244" s="25"/>
      <c r="K244" s="25"/>
      <c r="L244" s="25"/>
      <c r="M244" s="25"/>
      <c r="N244" s="25"/>
      <c r="O244" s="25"/>
      <c r="P244" s="25"/>
      <c r="Q244" s="25"/>
      <c r="R244" s="25"/>
      <c r="S244" s="25"/>
      <c r="T244" s="25"/>
      <c r="U244" s="25"/>
      <c r="V244" s="25"/>
      <c r="W244" s="25"/>
      <c r="X244" s="25"/>
      <c r="Y244" s="25"/>
      <c r="Z244" s="25"/>
    </row>
    <row r="245" customFormat="false" ht="39.75" hidden="false" customHeight="true" outlineLevel="0" collapsed="false">
      <c r="A245" s="25"/>
      <c r="B245" s="25"/>
      <c r="C245" s="25"/>
      <c r="D245" s="25"/>
      <c r="E245" s="25"/>
      <c r="F245" s="25"/>
      <c r="G245" s="25"/>
      <c r="H245" s="25"/>
      <c r="I245" s="25"/>
      <c r="J245" s="25"/>
      <c r="K245" s="25"/>
      <c r="L245" s="25"/>
      <c r="M245" s="25"/>
      <c r="N245" s="25"/>
      <c r="O245" s="25"/>
      <c r="P245" s="25"/>
      <c r="Q245" s="25"/>
      <c r="R245" s="25"/>
      <c r="S245" s="25"/>
      <c r="T245" s="25"/>
      <c r="U245" s="25"/>
      <c r="V245" s="25"/>
      <c r="W245" s="25"/>
      <c r="X245" s="25"/>
      <c r="Y245" s="25"/>
      <c r="Z245" s="25"/>
    </row>
    <row r="246" customFormat="false" ht="39.75" hidden="false" customHeight="true" outlineLevel="0" collapsed="false">
      <c r="A246" s="25"/>
      <c r="B246" s="25"/>
      <c r="C246" s="25"/>
      <c r="D246" s="25"/>
      <c r="E246" s="25"/>
      <c r="F246" s="25"/>
      <c r="G246" s="25"/>
      <c r="H246" s="25"/>
      <c r="I246" s="25"/>
      <c r="J246" s="25"/>
      <c r="K246" s="25"/>
      <c r="L246" s="25"/>
      <c r="M246" s="25"/>
      <c r="N246" s="25"/>
      <c r="O246" s="25"/>
      <c r="P246" s="25"/>
      <c r="Q246" s="25"/>
      <c r="R246" s="25"/>
      <c r="S246" s="25"/>
      <c r="T246" s="25"/>
      <c r="U246" s="25"/>
      <c r="V246" s="25"/>
      <c r="W246" s="25"/>
      <c r="X246" s="25"/>
      <c r="Y246" s="25"/>
      <c r="Z246" s="25"/>
    </row>
    <row r="247" customFormat="false" ht="39.75" hidden="false" customHeight="true" outlineLevel="0" collapsed="false">
      <c r="A247" s="25"/>
      <c r="B247" s="25"/>
      <c r="C247" s="25"/>
      <c r="D247" s="25"/>
      <c r="E247" s="25"/>
      <c r="F247" s="25"/>
      <c r="G247" s="25"/>
      <c r="H247" s="25"/>
      <c r="I247" s="25"/>
      <c r="J247" s="25"/>
      <c r="K247" s="25"/>
      <c r="L247" s="25"/>
      <c r="M247" s="25"/>
      <c r="N247" s="25"/>
      <c r="O247" s="25"/>
      <c r="P247" s="25"/>
      <c r="Q247" s="25"/>
      <c r="R247" s="25"/>
      <c r="S247" s="25"/>
      <c r="T247" s="25"/>
      <c r="U247" s="25"/>
      <c r="V247" s="25"/>
      <c r="W247" s="25"/>
      <c r="X247" s="25"/>
      <c r="Y247" s="25"/>
      <c r="Z247" s="25"/>
    </row>
    <row r="248" customFormat="false" ht="39.75" hidden="false" customHeight="true" outlineLevel="0" collapsed="false">
      <c r="A248" s="25"/>
      <c r="B248" s="25"/>
      <c r="C248" s="25"/>
      <c r="D248" s="25"/>
      <c r="E248" s="25"/>
      <c r="F248" s="25"/>
      <c r="G248" s="25"/>
      <c r="H248" s="25"/>
      <c r="I248" s="25"/>
      <c r="J248" s="25"/>
      <c r="K248" s="25"/>
      <c r="L248" s="25"/>
      <c r="M248" s="25"/>
      <c r="N248" s="25"/>
      <c r="O248" s="25"/>
      <c r="P248" s="25"/>
      <c r="Q248" s="25"/>
      <c r="R248" s="25"/>
      <c r="S248" s="25"/>
      <c r="T248" s="25"/>
      <c r="U248" s="25"/>
      <c r="V248" s="25"/>
      <c r="W248" s="25"/>
      <c r="X248" s="25"/>
      <c r="Y248" s="25"/>
      <c r="Z248" s="25"/>
    </row>
    <row r="249" customFormat="false" ht="39.75" hidden="false" customHeight="true" outlineLevel="0" collapsed="false">
      <c r="A249" s="25"/>
      <c r="B249" s="25"/>
      <c r="C249" s="25"/>
      <c r="D249" s="25"/>
      <c r="E249" s="25"/>
      <c r="F249" s="25"/>
      <c r="G249" s="25"/>
      <c r="H249" s="25"/>
      <c r="I249" s="25"/>
      <c r="J249" s="25"/>
      <c r="K249" s="25"/>
      <c r="L249" s="25"/>
      <c r="M249" s="25"/>
      <c r="N249" s="25"/>
      <c r="O249" s="25"/>
      <c r="P249" s="25"/>
      <c r="Q249" s="25"/>
      <c r="R249" s="25"/>
      <c r="S249" s="25"/>
      <c r="T249" s="25"/>
      <c r="U249" s="25"/>
      <c r="V249" s="25"/>
      <c r="W249" s="25"/>
      <c r="X249" s="25"/>
      <c r="Y249" s="25"/>
      <c r="Z249" s="25"/>
    </row>
    <row r="250" customFormat="false" ht="39.75" hidden="false" customHeight="true" outlineLevel="0" collapsed="false">
      <c r="A250" s="25"/>
      <c r="B250" s="25"/>
      <c r="C250" s="25"/>
      <c r="D250" s="25"/>
      <c r="E250" s="25"/>
      <c r="F250" s="25"/>
      <c r="G250" s="25"/>
      <c r="H250" s="25"/>
      <c r="I250" s="25"/>
      <c r="J250" s="25"/>
      <c r="K250" s="25"/>
      <c r="L250" s="25"/>
      <c r="M250" s="25"/>
      <c r="N250" s="25"/>
      <c r="O250" s="25"/>
      <c r="P250" s="25"/>
      <c r="Q250" s="25"/>
      <c r="R250" s="25"/>
      <c r="S250" s="25"/>
      <c r="T250" s="25"/>
      <c r="U250" s="25"/>
      <c r="V250" s="25"/>
      <c r="W250" s="25"/>
      <c r="X250" s="25"/>
      <c r="Y250" s="25"/>
      <c r="Z250" s="25"/>
    </row>
    <row r="251" customFormat="false" ht="39.75" hidden="false" customHeight="true" outlineLevel="0" collapsed="false">
      <c r="A251" s="25"/>
      <c r="B251" s="25"/>
      <c r="C251" s="25"/>
      <c r="D251" s="25"/>
      <c r="E251" s="25"/>
      <c r="F251" s="25"/>
      <c r="G251" s="25"/>
      <c r="H251" s="25"/>
      <c r="I251" s="25"/>
      <c r="J251" s="25"/>
      <c r="K251" s="25"/>
      <c r="L251" s="25"/>
      <c r="M251" s="25"/>
      <c r="N251" s="25"/>
      <c r="O251" s="25"/>
      <c r="P251" s="25"/>
      <c r="Q251" s="25"/>
      <c r="R251" s="25"/>
      <c r="S251" s="25"/>
      <c r="T251" s="25"/>
      <c r="U251" s="25"/>
      <c r="V251" s="25"/>
      <c r="W251" s="25"/>
      <c r="X251" s="25"/>
      <c r="Y251" s="25"/>
      <c r="Z251" s="25"/>
    </row>
    <row r="252" customFormat="false" ht="39.75" hidden="false" customHeight="true" outlineLevel="0" collapsed="false">
      <c r="A252" s="25"/>
      <c r="B252" s="25"/>
      <c r="C252" s="25"/>
      <c r="D252" s="25"/>
      <c r="E252" s="25"/>
      <c r="F252" s="25"/>
      <c r="G252" s="25"/>
      <c r="H252" s="25"/>
      <c r="I252" s="25"/>
      <c r="J252" s="25"/>
      <c r="K252" s="25"/>
      <c r="L252" s="25"/>
      <c r="M252" s="25"/>
      <c r="N252" s="25"/>
      <c r="O252" s="25"/>
      <c r="P252" s="25"/>
      <c r="Q252" s="25"/>
      <c r="R252" s="25"/>
      <c r="S252" s="25"/>
      <c r="T252" s="25"/>
      <c r="U252" s="25"/>
      <c r="V252" s="25"/>
      <c r="W252" s="25"/>
      <c r="X252" s="25"/>
      <c r="Y252" s="25"/>
      <c r="Z252" s="25"/>
    </row>
    <row r="253" customFormat="false" ht="39.75" hidden="false" customHeight="true" outlineLevel="0" collapsed="false">
      <c r="A253" s="25"/>
      <c r="B253" s="25"/>
      <c r="C253" s="25"/>
      <c r="D253" s="25"/>
      <c r="E253" s="25"/>
      <c r="F253" s="25"/>
      <c r="G253" s="25"/>
      <c r="H253" s="25"/>
      <c r="I253" s="25"/>
      <c r="J253" s="25"/>
      <c r="K253" s="25"/>
      <c r="L253" s="25"/>
      <c r="M253" s="25"/>
      <c r="N253" s="25"/>
      <c r="O253" s="25"/>
      <c r="P253" s="25"/>
      <c r="Q253" s="25"/>
      <c r="R253" s="25"/>
      <c r="S253" s="25"/>
      <c r="T253" s="25"/>
      <c r="U253" s="25"/>
      <c r="V253" s="25"/>
      <c r="W253" s="25"/>
      <c r="X253" s="25"/>
      <c r="Y253" s="25"/>
      <c r="Z253" s="25"/>
    </row>
    <row r="254" customFormat="false" ht="39.75" hidden="false" customHeight="true" outlineLevel="0" collapsed="false">
      <c r="A254" s="25"/>
      <c r="B254" s="25"/>
      <c r="C254" s="25"/>
      <c r="D254" s="25"/>
      <c r="E254" s="25"/>
      <c r="F254" s="25"/>
      <c r="G254" s="25"/>
      <c r="H254" s="25"/>
      <c r="I254" s="25"/>
      <c r="J254" s="25"/>
      <c r="K254" s="25"/>
      <c r="L254" s="25"/>
      <c r="M254" s="25"/>
      <c r="N254" s="25"/>
      <c r="O254" s="25"/>
      <c r="P254" s="25"/>
      <c r="Q254" s="25"/>
      <c r="R254" s="25"/>
      <c r="S254" s="25"/>
      <c r="T254" s="25"/>
      <c r="U254" s="25"/>
      <c r="V254" s="25"/>
      <c r="W254" s="25"/>
      <c r="X254" s="25"/>
      <c r="Y254" s="25"/>
      <c r="Z254" s="25"/>
    </row>
    <row r="255" customFormat="false" ht="39.75" hidden="false" customHeight="true" outlineLevel="0" collapsed="false">
      <c r="A255" s="25"/>
      <c r="B255" s="25"/>
      <c r="C255" s="25"/>
      <c r="D255" s="25"/>
      <c r="E255" s="25"/>
      <c r="F255" s="25"/>
      <c r="G255" s="25"/>
      <c r="H255" s="25"/>
      <c r="I255" s="25"/>
      <c r="J255" s="25"/>
      <c r="K255" s="25"/>
      <c r="L255" s="25"/>
      <c r="M255" s="25"/>
      <c r="N255" s="25"/>
      <c r="O255" s="25"/>
      <c r="P255" s="25"/>
      <c r="Q255" s="25"/>
      <c r="R255" s="25"/>
      <c r="S255" s="25"/>
      <c r="T255" s="25"/>
      <c r="U255" s="25"/>
      <c r="V255" s="25"/>
      <c r="W255" s="25"/>
      <c r="X255" s="25"/>
      <c r="Y255" s="25"/>
      <c r="Z255" s="25"/>
    </row>
    <row r="256" customFormat="false" ht="39.75" hidden="false" customHeight="true" outlineLevel="0" collapsed="false">
      <c r="A256" s="25"/>
      <c r="B256" s="25"/>
      <c r="C256" s="25"/>
      <c r="D256" s="25"/>
      <c r="E256" s="25"/>
      <c r="F256" s="25"/>
      <c r="G256" s="25"/>
      <c r="H256" s="25"/>
      <c r="I256" s="25"/>
      <c r="J256" s="25"/>
      <c r="K256" s="25"/>
      <c r="L256" s="25"/>
      <c r="M256" s="25"/>
      <c r="N256" s="25"/>
      <c r="O256" s="25"/>
      <c r="P256" s="25"/>
      <c r="Q256" s="25"/>
      <c r="R256" s="25"/>
      <c r="S256" s="25"/>
      <c r="T256" s="25"/>
      <c r="U256" s="25"/>
      <c r="V256" s="25"/>
      <c r="W256" s="25"/>
      <c r="X256" s="25"/>
      <c r="Y256" s="25"/>
      <c r="Z256" s="25"/>
    </row>
    <row r="257" customFormat="false" ht="39.75" hidden="false" customHeight="true" outlineLevel="0" collapsed="false">
      <c r="A257" s="25"/>
      <c r="B257" s="25"/>
      <c r="C257" s="25"/>
      <c r="D257" s="25"/>
      <c r="E257" s="25"/>
      <c r="F257" s="25"/>
      <c r="G257" s="25"/>
      <c r="H257" s="25"/>
      <c r="I257" s="25"/>
      <c r="J257" s="25"/>
      <c r="K257" s="25"/>
      <c r="L257" s="25"/>
      <c r="M257" s="25"/>
      <c r="N257" s="25"/>
      <c r="O257" s="25"/>
      <c r="P257" s="25"/>
      <c r="Q257" s="25"/>
      <c r="R257" s="25"/>
      <c r="S257" s="25"/>
      <c r="T257" s="25"/>
      <c r="U257" s="25"/>
      <c r="V257" s="25"/>
      <c r="W257" s="25"/>
      <c r="X257" s="25"/>
      <c r="Y257" s="25"/>
      <c r="Z257" s="25"/>
    </row>
    <row r="258" customFormat="false" ht="39.75" hidden="false" customHeight="true" outlineLevel="0" collapsed="false">
      <c r="A258" s="25"/>
      <c r="B258" s="25"/>
      <c r="C258" s="25"/>
      <c r="D258" s="25"/>
      <c r="E258" s="25"/>
      <c r="F258" s="25"/>
      <c r="G258" s="25"/>
      <c r="H258" s="25"/>
      <c r="I258" s="25"/>
      <c r="J258" s="25"/>
      <c r="K258" s="25"/>
      <c r="L258" s="25"/>
      <c r="M258" s="25"/>
      <c r="N258" s="25"/>
      <c r="O258" s="25"/>
      <c r="P258" s="25"/>
      <c r="Q258" s="25"/>
      <c r="R258" s="25"/>
      <c r="S258" s="25"/>
      <c r="T258" s="25"/>
      <c r="U258" s="25"/>
      <c r="V258" s="25"/>
      <c r="W258" s="25"/>
      <c r="X258" s="25"/>
      <c r="Y258" s="25"/>
      <c r="Z258" s="25"/>
    </row>
    <row r="259" customFormat="false" ht="39.75" hidden="false" customHeight="true" outlineLevel="0" collapsed="false">
      <c r="A259" s="25"/>
      <c r="B259" s="25"/>
      <c r="C259" s="25"/>
      <c r="D259" s="25"/>
      <c r="E259" s="25"/>
      <c r="F259" s="25"/>
      <c r="G259" s="25"/>
      <c r="H259" s="25"/>
      <c r="I259" s="25"/>
      <c r="J259" s="25"/>
      <c r="K259" s="25"/>
      <c r="L259" s="25"/>
      <c r="M259" s="25"/>
      <c r="N259" s="25"/>
      <c r="O259" s="25"/>
      <c r="P259" s="25"/>
      <c r="Q259" s="25"/>
      <c r="R259" s="25"/>
      <c r="S259" s="25"/>
      <c r="T259" s="25"/>
      <c r="U259" s="25"/>
      <c r="V259" s="25"/>
      <c r="W259" s="25"/>
      <c r="X259" s="25"/>
      <c r="Y259" s="25"/>
      <c r="Z259" s="25"/>
    </row>
    <row r="260" customFormat="false" ht="39.75" hidden="false" customHeight="true" outlineLevel="0" collapsed="false">
      <c r="A260" s="25"/>
      <c r="B260" s="25"/>
      <c r="C260" s="25"/>
      <c r="D260" s="25"/>
      <c r="E260" s="25"/>
      <c r="F260" s="25"/>
      <c r="G260" s="25"/>
      <c r="H260" s="25"/>
      <c r="I260" s="25"/>
      <c r="J260" s="25"/>
      <c r="K260" s="25"/>
      <c r="L260" s="25"/>
      <c r="M260" s="25"/>
      <c r="N260" s="25"/>
      <c r="O260" s="25"/>
      <c r="P260" s="25"/>
      <c r="Q260" s="25"/>
      <c r="R260" s="25"/>
      <c r="S260" s="25"/>
      <c r="T260" s="25"/>
      <c r="U260" s="25"/>
      <c r="V260" s="25"/>
      <c r="W260" s="25"/>
      <c r="X260" s="25"/>
      <c r="Y260" s="25"/>
      <c r="Z260" s="25"/>
    </row>
    <row r="261" customFormat="false" ht="39.75" hidden="false" customHeight="true" outlineLevel="0" collapsed="false">
      <c r="A261" s="25"/>
      <c r="B261" s="25"/>
      <c r="C261" s="25"/>
      <c r="D261" s="25"/>
      <c r="E261" s="25"/>
      <c r="F261" s="25"/>
      <c r="G261" s="25"/>
      <c r="H261" s="25"/>
      <c r="I261" s="25"/>
      <c r="J261" s="25"/>
      <c r="K261" s="25"/>
      <c r="L261" s="25"/>
      <c r="M261" s="25"/>
      <c r="N261" s="25"/>
      <c r="O261" s="25"/>
      <c r="P261" s="25"/>
      <c r="Q261" s="25"/>
      <c r="R261" s="25"/>
      <c r="S261" s="25"/>
      <c r="T261" s="25"/>
      <c r="U261" s="25"/>
      <c r="V261" s="25"/>
      <c r="W261" s="25"/>
      <c r="X261" s="25"/>
      <c r="Y261" s="25"/>
      <c r="Z261" s="25"/>
    </row>
    <row r="262" customFormat="false" ht="39.75" hidden="false" customHeight="true" outlineLevel="0" collapsed="false">
      <c r="A262" s="25"/>
      <c r="B262" s="25"/>
      <c r="C262" s="25"/>
      <c r="D262" s="25"/>
      <c r="E262" s="25"/>
      <c r="F262" s="25"/>
      <c r="G262" s="25"/>
      <c r="H262" s="25"/>
      <c r="I262" s="25"/>
      <c r="J262" s="25"/>
      <c r="K262" s="25"/>
      <c r="L262" s="25"/>
      <c r="M262" s="25"/>
      <c r="N262" s="25"/>
      <c r="O262" s="25"/>
      <c r="P262" s="25"/>
      <c r="Q262" s="25"/>
      <c r="R262" s="25"/>
      <c r="S262" s="25"/>
      <c r="T262" s="25"/>
      <c r="U262" s="25"/>
      <c r="V262" s="25"/>
      <c r="W262" s="25"/>
      <c r="X262" s="25"/>
      <c r="Y262" s="25"/>
      <c r="Z262" s="25"/>
    </row>
    <row r="263" customFormat="false" ht="39.75" hidden="false" customHeight="true" outlineLevel="0" collapsed="false">
      <c r="A263" s="25"/>
      <c r="B263" s="25"/>
      <c r="C263" s="25"/>
      <c r="D263" s="25"/>
      <c r="E263" s="25"/>
      <c r="F263" s="25"/>
      <c r="G263" s="25"/>
      <c r="H263" s="25"/>
      <c r="I263" s="25"/>
      <c r="J263" s="25"/>
      <c r="K263" s="25"/>
      <c r="L263" s="25"/>
      <c r="M263" s="25"/>
      <c r="N263" s="25"/>
      <c r="O263" s="25"/>
      <c r="P263" s="25"/>
      <c r="Q263" s="25"/>
      <c r="R263" s="25"/>
      <c r="S263" s="25"/>
      <c r="T263" s="25"/>
      <c r="U263" s="25"/>
      <c r="V263" s="25"/>
      <c r="W263" s="25"/>
      <c r="X263" s="25"/>
      <c r="Y263" s="25"/>
      <c r="Z263" s="25"/>
    </row>
    <row r="264" customFormat="false" ht="39.75" hidden="false" customHeight="true" outlineLevel="0" collapsed="false">
      <c r="A264" s="25"/>
      <c r="B264" s="25"/>
      <c r="C264" s="25"/>
      <c r="D264" s="25"/>
      <c r="E264" s="25"/>
      <c r="F264" s="25"/>
      <c r="G264" s="25"/>
      <c r="H264" s="25"/>
      <c r="I264" s="25"/>
      <c r="J264" s="25"/>
      <c r="K264" s="25"/>
      <c r="L264" s="25"/>
      <c r="M264" s="25"/>
      <c r="N264" s="25"/>
      <c r="O264" s="25"/>
      <c r="P264" s="25"/>
      <c r="Q264" s="25"/>
      <c r="R264" s="25"/>
      <c r="S264" s="25"/>
      <c r="T264" s="25"/>
      <c r="U264" s="25"/>
      <c r="V264" s="25"/>
      <c r="W264" s="25"/>
      <c r="X264" s="25"/>
      <c r="Y264" s="25"/>
      <c r="Z264" s="25"/>
    </row>
    <row r="265" customFormat="false" ht="39.75" hidden="false" customHeight="true" outlineLevel="0" collapsed="false">
      <c r="A265" s="25"/>
      <c r="B265" s="25"/>
      <c r="C265" s="25"/>
      <c r="D265" s="25"/>
      <c r="E265" s="25"/>
      <c r="F265" s="25"/>
      <c r="G265" s="25"/>
      <c r="H265" s="25"/>
      <c r="I265" s="25"/>
      <c r="J265" s="25"/>
      <c r="K265" s="25"/>
      <c r="L265" s="25"/>
      <c r="M265" s="25"/>
      <c r="N265" s="25"/>
      <c r="O265" s="25"/>
      <c r="P265" s="25"/>
      <c r="Q265" s="25"/>
      <c r="R265" s="25"/>
      <c r="S265" s="25"/>
      <c r="T265" s="25"/>
      <c r="U265" s="25"/>
      <c r="V265" s="25"/>
      <c r="W265" s="25"/>
      <c r="X265" s="25"/>
      <c r="Y265" s="25"/>
      <c r="Z265" s="25"/>
    </row>
    <row r="266" customFormat="false" ht="39.75" hidden="false" customHeight="true" outlineLevel="0" collapsed="false">
      <c r="A266" s="25"/>
      <c r="B266" s="25"/>
      <c r="C266" s="25"/>
      <c r="D266" s="25"/>
      <c r="E266" s="25"/>
      <c r="F266" s="25"/>
      <c r="G266" s="25"/>
      <c r="H266" s="25"/>
      <c r="I266" s="25"/>
      <c r="J266" s="25"/>
      <c r="K266" s="25"/>
      <c r="L266" s="25"/>
      <c r="M266" s="25"/>
      <c r="N266" s="25"/>
      <c r="O266" s="25"/>
      <c r="P266" s="25"/>
      <c r="Q266" s="25"/>
      <c r="R266" s="25"/>
      <c r="S266" s="25"/>
      <c r="T266" s="25"/>
      <c r="U266" s="25"/>
      <c r="V266" s="25"/>
      <c r="W266" s="25"/>
      <c r="X266" s="25"/>
      <c r="Y266" s="25"/>
      <c r="Z266" s="25"/>
    </row>
    <row r="267" customFormat="false" ht="39.75" hidden="false" customHeight="true" outlineLevel="0" collapsed="false">
      <c r="A267" s="25"/>
      <c r="B267" s="25"/>
      <c r="C267" s="25"/>
      <c r="D267" s="25"/>
      <c r="E267" s="25"/>
      <c r="F267" s="25"/>
      <c r="G267" s="25"/>
      <c r="H267" s="25"/>
      <c r="I267" s="25"/>
      <c r="J267" s="25"/>
      <c r="K267" s="25"/>
      <c r="L267" s="25"/>
      <c r="M267" s="25"/>
      <c r="N267" s="25"/>
      <c r="O267" s="25"/>
      <c r="P267" s="25"/>
      <c r="Q267" s="25"/>
      <c r="R267" s="25"/>
      <c r="S267" s="25"/>
      <c r="T267" s="25"/>
      <c r="U267" s="25"/>
      <c r="V267" s="25"/>
      <c r="W267" s="25"/>
      <c r="X267" s="25"/>
      <c r="Y267" s="25"/>
      <c r="Z267" s="25"/>
    </row>
    <row r="268" customFormat="false" ht="39.75" hidden="false" customHeight="true" outlineLevel="0" collapsed="false">
      <c r="A268" s="25"/>
      <c r="B268" s="25"/>
      <c r="C268" s="25"/>
      <c r="D268" s="25"/>
      <c r="E268" s="25"/>
      <c r="F268" s="25"/>
      <c r="G268" s="25"/>
      <c r="H268" s="25"/>
      <c r="I268" s="25"/>
      <c r="J268" s="25"/>
      <c r="K268" s="25"/>
      <c r="L268" s="25"/>
      <c r="M268" s="25"/>
      <c r="N268" s="25"/>
      <c r="O268" s="25"/>
      <c r="P268" s="25"/>
      <c r="Q268" s="25"/>
      <c r="R268" s="25"/>
      <c r="S268" s="25"/>
      <c r="T268" s="25"/>
      <c r="U268" s="25"/>
      <c r="V268" s="25"/>
      <c r="W268" s="25"/>
      <c r="X268" s="25"/>
      <c r="Y268" s="25"/>
      <c r="Z268" s="25"/>
    </row>
    <row r="269" customFormat="false" ht="39.75" hidden="false" customHeight="true" outlineLevel="0" collapsed="false">
      <c r="A269" s="25"/>
      <c r="B269" s="25"/>
      <c r="C269" s="25"/>
      <c r="D269" s="25"/>
      <c r="E269" s="25"/>
      <c r="F269" s="25"/>
      <c r="G269" s="25"/>
      <c r="H269" s="25"/>
      <c r="I269" s="25"/>
      <c r="J269" s="25"/>
      <c r="K269" s="25"/>
      <c r="L269" s="25"/>
      <c r="M269" s="25"/>
      <c r="N269" s="25"/>
      <c r="O269" s="25"/>
      <c r="P269" s="25"/>
      <c r="Q269" s="25"/>
      <c r="R269" s="25"/>
      <c r="S269" s="25"/>
      <c r="T269" s="25"/>
      <c r="U269" s="25"/>
      <c r="V269" s="25"/>
      <c r="W269" s="25"/>
      <c r="X269" s="25"/>
      <c r="Y269" s="25"/>
      <c r="Z269" s="25"/>
    </row>
    <row r="270" customFormat="false" ht="39.75" hidden="false" customHeight="true" outlineLevel="0" collapsed="false">
      <c r="A270" s="25"/>
      <c r="B270" s="25"/>
      <c r="C270" s="25"/>
      <c r="D270" s="25"/>
      <c r="E270" s="25"/>
      <c r="F270" s="25"/>
      <c r="G270" s="25"/>
      <c r="H270" s="25"/>
      <c r="I270" s="25"/>
      <c r="J270" s="25"/>
      <c r="K270" s="25"/>
      <c r="L270" s="25"/>
      <c r="M270" s="25"/>
      <c r="N270" s="25"/>
      <c r="O270" s="25"/>
      <c r="P270" s="25"/>
      <c r="Q270" s="25"/>
      <c r="R270" s="25"/>
      <c r="S270" s="25"/>
      <c r="T270" s="25"/>
      <c r="U270" s="25"/>
      <c r="V270" s="25"/>
      <c r="W270" s="25"/>
      <c r="X270" s="25"/>
      <c r="Y270" s="25"/>
      <c r="Z270" s="25"/>
    </row>
    <row r="271" customFormat="false" ht="39.75" hidden="false" customHeight="true" outlineLevel="0" collapsed="false">
      <c r="A271" s="25"/>
      <c r="B271" s="25"/>
      <c r="C271" s="25"/>
      <c r="D271" s="25"/>
      <c r="E271" s="25"/>
      <c r="F271" s="25"/>
      <c r="G271" s="25"/>
      <c r="H271" s="25"/>
      <c r="I271" s="25"/>
      <c r="J271" s="25"/>
      <c r="K271" s="25"/>
      <c r="L271" s="25"/>
      <c r="M271" s="25"/>
      <c r="N271" s="25"/>
      <c r="O271" s="25"/>
      <c r="P271" s="25"/>
      <c r="Q271" s="25"/>
      <c r="R271" s="25"/>
      <c r="S271" s="25"/>
      <c r="T271" s="25"/>
      <c r="U271" s="25"/>
      <c r="V271" s="25"/>
      <c r="W271" s="25"/>
      <c r="X271" s="25"/>
      <c r="Y271" s="25"/>
      <c r="Z271" s="25"/>
    </row>
    <row r="272" customFormat="false" ht="39.75" hidden="false" customHeight="true" outlineLevel="0" collapsed="false">
      <c r="A272" s="25"/>
      <c r="B272" s="25"/>
      <c r="C272" s="25"/>
      <c r="D272" s="25"/>
      <c r="E272" s="25"/>
      <c r="F272" s="25"/>
      <c r="G272" s="25"/>
      <c r="H272" s="25"/>
      <c r="I272" s="25"/>
      <c r="J272" s="25"/>
      <c r="K272" s="25"/>
      <c r="L272" s="25"/>
      <c r="M272" s="25"/>
      <c r="N272" s="25"/>
      <c r="O272" s="25"/>
      <c r="P272" s="25"/>
      <c r="Q272" s="25"/>
      <c r="R272" s="25"/>
      <c r="S272" s="25"/>
      <c r="T272" s="25"/>
      <c r="U272" s="25"/>
      <c r="V272" s="25"/>
      <c r="W272" s="25"/>
      <c r="X272" s="25"/>
      <c r="Y272" s="25"/>
      <c r="Z272" s="25"/>
    </row>
    <row r="273" customFormat="false" ht="39.75" hidden="false" customHeight="true" outlineLevel="0" collapsed="false">
      <c r="A273" s="25"/>
      <c r="B273" s="25"/>
      <c r="C273" s="25"/>
      <c r="D273" s="25"/>
      <c r="E273" s="25"/>
      <c r="F273" s="25"/>
      <c r="G273" s="25"/>
      <c r="H273" s="25"/>
      <c r="I273" s="25"/>
      <c r="J273" s="25"/>
      <c r="K273" s="25"/>
      <c r="L273" s="25"/>
      <c r="M273" s="25"/>
      <c r="N273" s="25"/>
      <c r="O273" s="25"/>
      <c r="P273" s="25"/>
      <c r="Q273" s="25"/>
      <c r="R273" s="25"/>
      <c r="S273" s="25"/>
      <c r="T273" s="25"/>
      <c r="U273" s="25"/>
      <c r="V273" s="25"/>
      <c r="W273" s="25"/>
      <c r="X273" s="25"/>
      <c r="Y273" s="25"/>
      <c r="Z273" s="25"/>
    </row>
    <row r="274" customFormat="false" ht="39.75" hidden="false" customHeight="true" outlineLevel="0" collapsed="false">
      <c r="A274" s="25"/>
      <c r="B274" s="25"/>
      <c r="C274" s="25"/>
      <c r="D274" s="25"/>
      <c r="E274" s="25"/>
      <c r="F274" s="25"/>
      <c r="G274" s="25"/>
      <c r="H274" s="25"/>
      <c r="I274" s="25"/>
      <c r="J274" s="25"/>
      <c r="K274" s="25"/>
      <c r="L274" s="25"/>
      <c r="M274" s="25"/>
      <c r="N274" s="25"/>
      <c r="O274" s="25"/>
      <c r="P274" s="25"/>
      <c r="Q274" s="25"/>
      <c r="R274" s="25"/>
      <c r="S274" s="25"/>
      <c r="T274" s="25"/>
      <c r="U274" s="25"/>
      <c r="V274" s="25"/>
      <c r="W274" s="25"/>
      <c r="X274" s="25"/>
      <c r="Y274" s="25"/>
      <c r="Z274" s="25"/>
    </row>
    <row r="275" customFormat="false" ht="39.75" hidden="false" customHeight="true" outlineLevel="0" collapsed="false">
      <c r="A275" s="25"/>
      <c r="B275" s="25"/>
      <c r="C275" s="25"/>
      <c r="D275" s="25"/>
      <c r="E275" s="25"/>
      <c r="F275" s="25"/>
      <c r="G275" s="25"/>
      <c r="H275" s="25"/>
      <c r="I275" s="25"/>
      <c r="J275" s="25"/>
      <c r="K275" s="25"/>
      <c r="L275" s="25"/>
      <c r="M275" s="25"/>
      <c r="N275" s="25"/>
      <c r="O275" s="25"/>
      <c r="P275" s="25"/>
      <c r="Q275" s="25"/>
      <c r="R275" s="25"/>
      <c r="S275" s="25"/>
      <c r="T275" s="25"/>
      <c r="U275" s="25"/>
      <c r="V275" s="25"/>
      <c r="W275" s="25"/>
      <c r="X275" s="25"/>
      <c r="Y275" s="25"/>
      <c r="Z275" s="25"/>
    </row>
    <row r="276" customFormat="false" ht="39.75" hidden="false" customHeight="true" outlineLevel="0" collapsed="false">
      <c r="A276" s="25"/>
      <c r="B276" s="25"/>
      <c r="C276" s="25"/>
      <c r="D276" s="25"/>
      <c r="E276" s="25"/>
      <c r="F276" s="25"/>
      <c r="G276" s="25"/>
      <c r="H276" s="25"/>
      <c r="I276" s="25"/>
      <c r="J276" s="25"/>
      <c r="K276" s="25"/>
      <c r="L276" s="25"/>
      <c r="M276" s="25"/>
      <c r="N276" s="25"/>
      <c r="O276" s="25"/>
      <c r="P276" s="25"/>
      <c r="Q276" s="25"/>
      <c r="R276" s="25"/>
      <c r="S276" s="25"/>
      <c r="T276" s="25"/>
      <c r="U276" s="25"/>
      <c r="V276" s="25"/>
      <c r="W276" s="25"/>
      <c r="X276" s="25"/>
      <c r="Y276" s="25"/>
      <c r="Z276" s="25"/>
    </row>
    <row r="277" customFormat="false" ht="39.75" hidden="false" customHeight="true" outlineLevel="0" collapsed="false">
      <c r="A277" s="25"/>
      <c r="B277" s="25"/>
      <c r="C277" s="25"/>
      <c r="D277" s="25"/>
      <c r="E277" s="25"/>
      <c r="F277" s="25"/>
      <c r="G277" s="25"/>
      <c r="H277" s="25"/>
      <c r="I277" s="25"/>
      <c r="J277" s="25"/>
      <c r="K277" s="25"/>
      <c r="L277" s="25"/>
      <c r="M277" s="25"/>
      <c r="N277" s="25"/>
      <c r="O277" s="25"/>
      <c r="P277" s="25"/>
      <c r="Q277" s="25"/>
      <c r="R277" s="25"/>
      <c r="S277" s="25"/>
      <c r="T277" s="25"/>
      <c r="U277" s="25"/>
      <c r="V277" s="25"/>
      <c r="W277" s="25"/>
      <c r="X277" s="25"/>
      <c r="Y277" s="25"/>
      <c r="Z277" s="25"/>
    </row>
    <row r="278" customFormat="false" ht="39.75" hidden="false" customHeight="true" outlineLevel="0" collapsed="false">
      <c r="A278" s="25"/>
      <c r="B278" s="25"/>
      <c r="C278" s="25"/>
      <c r="D278" s="25"/>
      <c r="E278" s="25"/>
      <c r="F278" s="25"/>
      <c r="G278" s="25"/>
      <c r="H278" s="25"/>
      <c r="I278" s="25"/>
      <c r="J278" s="25"/>
      <c r="K278" s="25"/>
      <c r="L278" s="25"/>
      <c r="M278" s="25"/>
      <c r="N278" s="25"/>
      <c r="O278" s="25"/>
      <c r="P278" s="25"/>
      <c r="Q278" s="25"/>
      <c r="R278" s="25"/>
      <c r="S278" s="25"/>
      <c r="T278" s="25"/>
      <c r="U278" s="25"/>
      <c r="V278" s="25"/>
      <c r="W278" s="25"/>
      <c r="X278" s="25"/>
      <c r="Y278" s="25"/>
      <c r="Z278" s="25"/>
    </row>
    <row r="279" customFormat="false" ht="39.75" hidden="false" customHeight="true" outlineLevel="0" collapsed="false">
      <c r="A279" s="25"/>
      <c r="B279" s="25"/>
      <c r="C279" s="25"/>
      <c r="D279" s="25"/>
      <c r="E279" s="25"/>
      <c r="F279" s="25"/>
      <c r="G279" s="25"/>
      <c r="H279" s="25"/>
      <c r="I279" s="25"/>
      <c r="J279" s="25"/>
      <c r="K279" s="25"/>
      <c r="L279" s="25"/>
      <c r="M279" s="25"/>
      <c r="N279" s="25"/>
      <c r="O279" s="25"/>
      <c r="P279" s="25"/>
      <c r="Q279" s="25"/>
      <c r="R279" s="25"/>
      <c r="S279" s="25"/>
      <c r="T279" s="25"/>
      <c r="U279" s="25"/>
      <c r="V279" s="25"/>
      <c r="W279" s="25"/>
      <c r="X279" s="25"/>
      <c r="Y279" s="25"/>
      <c r="Z279" s="25"/>
    </row>
    <row r="280" customFormat="false" ht="39.75" hidden="false" customHeight="true" outlineLevel="0" collapsed="false">
      <c r="A280" s="25"/>
      <c r="B280" s="25"/>
      <c r="C280" s="25"/>
      <c r="D280" s="25"/>
      <c r="E280" s="25"/>
      <c r="F280" s="25"/>
      <c r="G280" s="25"/>
      <c r="H280" s="25"/>
      <c r="I280" s="25"/>
      <c r="J280" s="25"/>
      <c r="K280" s="25"/>
      <c r="L280" s="25"/>
      <c r="M280" s="25"/>
      <c r="N280" s="25"/>
      <c r="O280" s="25"/>
      <c r="P280" s="25"/>
      <c r="Q280" s="25"/>
      <c r="R280" s="25"/>
      <c r="S280" s="25"/>
      <c r="T280" s="25"/>
      <c r="U280" s="25"/>
      <c r="V280" s="25"/>
      <c r="W280" s="25"/>
      <c r="X280" s="25"/>
      <c r="Y280" s="25"/>
      <c r="Z280" s="25"/>
    </row>
    <row r="281" customFormat="false" ht="39.75" hidden="false" customHeight="true" outlineLevel="0" collapsed="false">
      <c r="A281" s="25"/>
      <c r="B281" s="25"/>
      <c r="C281" s="25"/>
      <c r="D281" s="25"/>
      <c r="E281" s="25"/>
      <c r="F281" s="25"/>
      <c r="G281" s="25"/>
      <c r="H281" s="25"/>
      <c r="I281" s="25"/>
      <c r="J281" s="25"/>
      <c r="K281" s="25"/>
      <c r="L281" s="25"/>
      <c r="M281" s="25"/>
      <c r="N281" s="25"/>
      <c r="O281" s="25"/>
      <c r="P281" s="25"/>
      <c r="Q281" s="25"/>
      <c r="R281" s="25"/>
      <c r="S281" s="25"/>
      <c r="T281" s="25"/>
      <c r="U281" s="25"/>
      <c r="V281" s="25"/>
      <c r="W281" s="25"/>
      <c r="X281" s="25"/>
      <c r="Y281" s="25"/>
      <c r="Z281" s="25"/>
    </row>
    <row r="282" customFormat="false" ht="39.75" hidden="false" customHeight="true" outlineLevel="0" collapsed="false">
      <c r="A282" s="25"/>
      <c r="B282" s="25"/>
      <c r="C282" s="25"/>
      <c r="D282" s="25"/>
      <c r="E282" s="25"/>
      <c r="F282" s="25"/>
      <c r="G282" s="25"/>
      <c r="H282" s="25"/>
      <c r="I282" s="25"/>
      <c r="J282" s="25"/>
      <c r="K282" s="25"/>
      <c r="L282" s="25"/>
      <c r="M282" s="25"/>
      <c r="N282" s="25"/>
      <c r="O282" s="25"/>
      <c r="P282" s="25"/>
      <c r="Q282" s="25"/>
      <c r="R282" s="25"/>
      <c r="S282" s="25"/>
      <c r="T282" s="25"/>
      <c r="U282" s="25"/>
      <c r="V282" s="25"/>
      <c r="W282" s="25"/>
      <c r="X282" s="25"/>
      <c r="Y282" s="25"/>
      <c r="Z282" s="25"/>
    </row>
    <row r="283" customFormat="false" ht="39.75" hidden="false" customHeight="true" outlineLevel="0" collapsed="false">
      <c r="A283" s="25"/>
      <c r="B283" s="25"/>
      <c r="C283" s="25"/>
      <c r="D283" s="25"/>
      <c r="E283" s="25"/>
      <c r="F283" s="25"/>
      <c r="G283" s="25"/>
      <c r="H283" s="25"/>
      <c r="I283" s="25"/>
      <c r="J283" s="25"/>
      <c r="K283" s="25"/>
      <c r="L283" s="25"/>
      <c r="M283" s="25"/>
      <c r="N283" s="25"/>
      <c r="O283" s="25"/>
      <c r="P283" s="25"/>
      <c r="Q283" s="25"/>
      <c r="R283" s="25"/>
      <c r="S283" s="25"/>
      <c r="T283" s="25"/>
      <c r="U283" s="25"/>
      <c r="V283" s="25"/>
      <c r="W283" s="25"/>
      <c r="X283" s="25"/>
      <c r="Y283" s="25"/>
      <c r="Z283" s="25"/>
    </row>
    <row r="284" customFormat="false" ht="39.75" hidden="false" customHeight="true" outlineLevel="0" collapsed="false">
      <c r="A284" s="25"/>
      <c r="B284" s="25"/>
      <c r="C284" s="25"/>
      <c r="D284" s="25"/>
      <c r="E284" s="25"/>
      <c r="F284" s="25"/>
      <c r="G284" s="25"/>
      <c r="H284" s="25"/>
      <c r="I284" s="25"/>
      <c r="J284" s="25"/>
      <c r="K284" s="25"/>
      <c r="L284" s="25"/>
      <c r="M284" s="25"/>
      <c r="N284" s="25"/>
      <c r="O284" s="25"/>
      <c r="P284" s="25"/>
      <c r="Q284" s="25"/>
      <c r="R284" s="25"/>
      <c r="S284" s="25"/>
      <c r="T284" s="25"/>
      <c r="U284" s="25"/>
      <c r="V284" s="25"/>
      <c r="W284" s="25"/>
      <c r="X284" s="25"/>
      <c r="Y284" s="25"/>
      <c r="Z284" s="25"/>
    </row>
    <row r="285" customFormat="false" ht="39.75" hidden="false" customHeight="true" outlineLevel="0" collapsed="false">
      <c r="A285" s="25"/>
      <c r="B285" s="25"/>
      <c r="C285" s="25"/>
      <c r="D285" s="25"/>
      <c r="E285" s="25"/>
      <c r="F285" s="25"/>
      <c r="G285" s="25"/>
      <c r="H285" s="25"/>
      <c r="I285" s="25"/>
      <c r="J285" s="25"/>
      <c r="K285" s="25"/>
      <c r="L285" s="25"/>
      <c r="M285" s="25"/>
      <c r="N285" s="25"/>
      <c r="O285" s="25"/>
      <c r="P285" s="25"/>
      <c r="Q285" s="25"/>
      <c r="R285" s="25"/>
      <c r="S285" s="25"/>
      <c r="T285" s="25"/>
      <c r="U285" s="25"/>
      <c r="V285" s="25"/>
      <c r="W285" s="25"/>
      <c r="X285" s="25"/>
      <c r="Y285" s="25"/>
      <c r="Z285" s="25"/>
    </row>
    <row r="286" customFormat="false" ht="39.75" hidden="false" customHeight="true" outlineLevel="0" collapsed="false">
      <c r="A286" s="25"/>
      <c r="B286" s="25"/>
      <c r="C286" s="25"/>
      <c r="D286" s="25"/>
      <c r="E286" s="25"/>
      <c r="F286" s="25"/>
      <c r="G286" s="25"/>
      <c r="H286" s="25"/>
      <c r="I286" s="25"/>
      <c r="J286" s="25"/>
      <c r="K286" s="25"/>
      <c r="L286" s="25"/>
      <c r="M286" s="25"/>
      <c r="N286" s="25"/>
      <c r="O286" s="25"/>
      <c r="P286" s="25"/>
      <c r="Q286" s="25"/>
      <c r="R286" s="25"/>
      <c r="S286" s="25"/>
      <c r="T286" s="25"/>
      <c r="U286" s="25"/>
      <c r="V286" s="25"/>
      <c r="W286" s="25"/>
      <c r="X286" s="25"/>
      <c r="Y286" s="25"/>
      <c r="Z286" s="25"/>
    </row>
    <row r="287" customFormat="false" ht="39.75" hidden="false" customHeight="true" outlineLevel="0" collapsed="false">
      <c r="A287" s="25"/>
      <c r="B287" s="25"/>
      <c r="C287" s="25"/>
      <c r="D287" s="25"/>
      <c r="E287" s="25"/>
      <c r="F287" s="25"/>
      <c r="G287" s="25"/>
      <c r="H287" s="25"/>
      <c r="I287" s="25"/>
      <c r="J287" s="25"/>
      <c r="K287" s="25"/>
      <c r="L287" s="25"/>
      <c r="M287" s="25"/>
      <c r="N287" s="25"/>
      <c r="O287" s="25"/>
      <c r="P287" s="25"/>
      <c r="Q287" s="25"/>
      <c r="R287" s="25"/>
      <c r="S287" s="25"/>
      <c r="T287" s="25"/>
      <c r="U287" s="25"/>
      <c r="V287" s="25"/>
      <c r="W287" s="25"/>
      <c r="X287" s="25"/>
      <c r="Y287" s="25"/>
      <c r="Z287" s="25"/>
    </row>
    <row r="288" customFormat="false" ht="39.75" hidden="false" customHeight="true" outlineLevel="0" collapsed="false">
      <c r="A288" s="25"/>
      <c r="B288" s="25"/>
      <c r="C288" s="25"/>
      <c r="D288" s="25"/>
      <c r="E288" s="25"/>
      <c r="F288" s="25"/>
      <c r="G288" s="25"/>
      <c r="H288" s="25"/>
      <c r="I288" s="25"/>
      <c r="J288" s="25"/>
      <c r="K288" s="25"/>
      <c r="L288" s="25"/>
      <c r="M288" s="25"/>
      <c r="N288" s="25"/>
      <c r="O288" s="25"/>
      <c r="P288" s="25"/>
      <c r="Q288" s="25"/>
      <c r="R288" s="25"/>
      <c r="S288" s="25"/>
      <c r="T288" s="25"/>
      <c r="U288" s="25"/>
      <c r="V288" s="25"/>
      <c r="W288" s="25"/>
      <c r="X288" s="25"/>
      <c r="Y288" s="25"/>
      <c r="Z288" s="25"/>
    </row>
    <row r="289" customFormat="false" ht="39.75" hidden="false" customHeight="true" outlineLevel="0" collapsed="false">
      <c r="A289" s="25"/>
      <c r="B289" s="25"/>
      <c r="C289" s="25"/>
      <c r="D289" s="25"/>
      <c r="E289" s="25"/>
      <c r="F289" s="25"/>
      <c r="G289" s="25"/>
      <c r="H289" s="25"/>
      <c r="I289" s="25"/>
      <c r="J289" s="25"/>
      <c r="K289" s="25"/>
      <c r="L289" s="25"/>
      <c r="M289" s="25"/>
      <c r="N289" s="25"/>
      <c r="O289" s="25"/>
      <c r="P289" s="25"/>
      <c r="Q289" s="25"/>
      <c r="R289" s="25"/>
      <c r="S289" s="25"/>
      <c r="T289" s="25"/>
      <c r="U289" s="25"/>
      <c r="V289" s="25"/>
      <c r="W289" s="25"/>
      <c r="X289" s="25"/>
      <c r="Y289" s="25"/>
      <c r="Z289" s="25"/>
    </row>
    <row r="290" customFormat="false" ht="39.75" hidden="false" customHeight="true" outlineLevel="0" collapsed="false">
      <c r="A290" s="25"/>
      <c r="B290" s="25"/>
      <c r="C290" s="25"/>
      <c r="D290" s="25"/>
      <c r="E290" s="25"/>
      <c r="F290" s="25"/>
      <c r="G290" s="25"/>
      <c r="H290" s="25"/>
      <c r="I290" s="25"/>
      <c r="J290" s="25"/>
      <c r="K290" s="25"/>
      <c r="L290" s="25"/>
      <c r="M290" s="25"/>
      <c r="N290" s="25"/>
      <c r="O290" s="25"/>
      <c r="P290" s="25"/>
      <c r="Q290" s="25"/>
      <c r="R290" s="25"/>
      <c r="S290" s="25"/>
      <c r="T290" s="25"/>
      <c r="U290" s="25"/>
      <c r="V290" s="25"/>
      <c r="W290" s="25"/>
      <c r="X290" s="25"/>
      <c r="Y290" s="25"/>
      <c r="Z290" s="25"/>
    </row>
    <row r="291" customFormat="false" ht="39.75" hidden="false" customHeight="true" outlineLevel="0" collapsed="false">
      <c r="A291" s="25"/>
      <c r="B291" s="25"/>
      <c r="C291" s="25"/>
      <c r="D291" s="25"/>
      <c r="E291" s="25"/>
      <c r="F291" s="25"/>
      <c r="G291" s="25"/>
      <c r="H291" s="25"/>
      <c r="I291" s="25"/>
      <c r="J291" s="25"/>
      <c r="K291" s="25"/>
      <c r="L291" s="25"/>
      <c r="M291" s="25"/>
      <c r="N291" s="25"/>
      <c r="O291" s="25"/>
      <c r="P291" s="25"/>
      <c r="Q291" s="25"/>
      <c r="R291" s="25"/>
      <c r="S291" s="25"/>
      <c r="T291" s="25"/>
      <c r="U291" s="25"/>
      <c r="V291" s="25"/>
      <c r="W291" s="25"/>
      <c r="X291" s="25"/>
      <c r="Y291" s="25"/>
      <c r="Z291" s="25"/>
    </row>
    <row r="292" customFormat="false" ht="39.75" hidden="false" customHeight="true" outlineLevel="0" collapsed="false">
      <c r="A292" s="25"/>
      <c r="B292" s="25"/>
      <c r="C292" s="25"/>
      <c r="D292" s="25"/>
      <c r="E292" s="25"/>
      <c r="F292" s="25"/>
      <c r="G292" s="25"/>
      <c r="H292" s="25"/>
      <c r="I292" s="25"/>
      <c r="J292" s="25"/>
      <c r="K292" s="25"/>
      <c r="L292" s="25"/>
      <c r="M292" s="25"/>
      <c r="N292" s="25"/>
      <c r="O292" s="25"/>
      <c r="P292" s="25"/>
      <c r="Q292" s="25"/>
      <c r="R292" s="25"/>
      <c r="S292" s="25"/>
      <c r="T292" s="25"/>
      <c r="U292" s="25"/>
      <c r="V292" s="25"/>
      <c r="W292" s="25"/>
      <c r="X292" s="25"/>
      <c r="Y292" s="25"/>
      <c r="Z292" s="25"/>
    </row>
    <row r="293" customFormat="false" ht="39.75" hidden="false" customHeight="true" outlineLevel="0" collapsed="false">
      <c r="A293" s="25"/>
      <c r="B293" s="25"/>
      <c r="C293" s="25"/>
      <c r="D293" s="25"/>
      <c r="E293" s="25"/>
      <c r="F293" s="25"/>
      <c r="G293" s="25"/>
      <c r="H293" s="25"/>
      <c r="I293" s="25"/>
      <c r="J293" s="25"/>
      <c r="K293" s="25"/>
      <c r="L293" s="25"/>
      <c r="M293" s="25"/>
      <c r="N293" s="25"/>
      <c r="O293" s="25"/>
      <c r="P293" s="25"/>
      <c r="Q293" s="25"/>
      <c r="R293" s="25"/>
      <c r="S293" s="25"/>
      <c r="T293" s="25"/>
      <c r="U293" s="25"/>
      <c r="V293" s="25"/>
      <c r="W293" s="25"/>
      <c r="X293" s="25"/>
      <c r="Y293" s="25"/>
      <c r="Z293" s="25"/>
    </row>
    <row r="294" customFormat="false" ht="39.75" hidden="false" customHeight="true" outlineLevel="0" collapsed="false">
      <c r="A294" s="25"/>
      <c r="B294" s="25"/>
      <c r="C294" s="25"/>
      <c r="D294" s="25"/>
      <c r="E294" s="25"/>
      <c r="F294" s="25"/>
      <c r="G294" s="25"/>
      <c r="H294" s="25"/>
      <c r="I294" s="25"/>
      <c r="J294" s="25"/>
      <c r="K294" s="25"/>
      <c r="L294" s="25"/>
      <c r="M294" s="25"/>
      <c r="N294" s="25"/>
      <c r="O294" s="25"/>
      <c r="P294" s="25"/>
      <c r="Q294" s="25"/>
      <c r="R294" s="25"/>
      <c r="S294" s="25"/>
      <c r="T294" s="25"/>
      <c r="U294" s="25"/>
      <c r="V294" s="25"/>
      <c r="W294" s="25"/>
      <c r="X294" s="25"/>
      <c r="Y294" s="25"/>
      <c r="Z294" s="25"/>
    </row>
    <row r="295" customFormat="false" ht="39.75" hidden="false" customHeight="true" outlineLevel="0" collapsed="false">
      <c r="A295" s="25"/>
      <c r="B295" s="25"/>
      <c r="C295" s="25"/>
      <c r="D295" s="25"/>
      <c r="E295" s="25"/>
      <c r="F295" s="25"/>
      <c r="G295" s="25"/>
      <c r="H295" s="25"/>
      <c r="I295" s="25"/>
      <c r="J295" s="25"/>
      <c r="K295" s="25"/>
      <c r="L295" s="25"/>
      <c r="M295" s="25"/>
      <c r="N295" s="25"/>
      <c r="O295" s="25"/>
      <c r="P295" s="25"/>
      <c r="Q295" s="25"/>
      <c r="R295" s="25"/>
      <c r="S295" s="25"/>
      <c r="T295" s="25"/>
      <c r="U295" s="25"/>
      <c r="V295" s="25"/>
      <c r="W295" s="25"/>
      <c r="X295" s="25"/>
      <c r="Y295" s="25"/>
      <c r="Z295" s="25"/>
    </row>
    <row r="296" customFormat="false" ht="39.75" hidden="false" customHeight="true" outlineLevel="0" collapsed="false">
      <c r="A296" s="25"/>
      <c r="B296" s="25"/>
      <c r="C296" s="25"/>
      <c r="D296" s="25"/>
      <c r="E296" s="25"/>
      <c r="F296" s="25"/>
      <c r="G296" s="25"/>
      <c r="H296" s="25"/>
      <c r="I296" s="25"/>
      <c r="J296" s="25"/>
      <c r="K296" s="25"/>
      <c r="L296" s="25"/>
      <c r="M296" s="25"/>
      <c r="N296" s="25"/>
      <c r="O296" s="25"/>
      <c r="P296" s="25"/>
      <c r="Q296" s="25"/>
      <c r="R296" s="25"/>
      <c r="S296" s="25"/>
      <c r="T296" s="25"/>
      <c r="U296" s="25"/>
      <c r="V296" s="25"/>
      <c r="W296" s="25"/>
      <c r="X296" s="25"/>
      <c r="Y296" s="25"/>
      <c r="Z296" s="25"/>
    </row>
    <row r="297" customFormat="false" ht="39.75" hidden="false" customHeight="true" outlineLevel="0" collapsed="false">
      <c r="A297" s="25"/>
      <c r="B297" s="25"/>
      <c r="C297" s="25"/>
      <c r="D297" s="25"/>
      <c r="E297" s="25"/>
      <c r="F297" s="25"/>
      <c r="G297" s="25"/>
      <c r="H297" s="25"/>
      <c r="I297" s="25"/>
      <c r="J297" s="25"/>
      <c r="K297" s="25"/>
      <c r="L297" s="25"/>
      <c r="M297" s="25"/>
      <c r="N297" s="25"/>
      <c r="O297" s="25"/>
      <c r="P297" s="25"/>
      <c r="Q297" s="25"/>
      <c r="R297" s="25"/>
      <c r="S297" s="25"/>
      <c r="T297" s="25"/>
      <c r="U297" s="25"/>
      <c r="V297" s="25"/>
      <c r="W297" s="25"/>
      <c r="X297" s="25"/>
      <c r="Y297" s="25"/>
      <c r="Z297" s="25"/>
    </row>
    <row r="298" customFormat="false" ht="39.75" hidden="false" customHeight="true" outlineLevel="0" collapsed="false">
      <c r="A298" s="25"/>
      <c r="B298" s="25"/>
      <c r="C298" s="25"/>
      <c r="D298" s="25"/>
      <c r="E298" s="25"/>
      <c r="F298" s="25"/>
      <c r="G298" s="25"/>
      <c r="H298" s="25"/>
      <c r="I298" s="25"/>
      <c r="J298" s="25"/>
      <c r="K298" s="25"/>
      <c r="L298" s="25"/>
      <c r="M298" s="25"/>
      <c r="N298" s="25"/>
      <c r="O298" s="25"/>
      <c r="P298" s="25"/>
      <c r="Q298" s="25"/>
      <c r="R298" s="25"/>
      <c r="S298" s="25"/>
      <c r="T298" s="25"/>
      <c r="U298" s="25"/>
      <c r="V298" s="25"/>
      <c r="W298" s="25"/>
      <c r="X298" s="25"/>
      <c r="Y298" s="25"/>
      <c r="Z298" s="25"/>
    </row>
    <row r="299" customFormat="false" ht="39.75" hidden="false" customHeight="true" outlineLevel="0" collapsed="false">
      <c r="A299" s="25"/>
      <c r="B299" s="25"/>
      <c r="C299" s="25"/>
      <c r="D299" s="25"/>
      <c r="E299" s="25"/>
      <c r="F299" s="25"/>
      <c r="G299" s="25"/>
      <c r="H299" s="25"/>
      <c r="I299" s="25"/>
      <c r="J299" s="25"/>
      <c r="K299" s="25"/>
      <c r="L299" s="25"/>
      <c r="M299" s="25"/>
      <c r="N299" s="25"/>
      <c r="O299" s="25"/>
      <c r="P299" s="25"/>
      <c r="Q299" s="25"/>
      <c r="R299" s="25"/>
      <c r="S299" s="25"/>
      <c r="T299" s="25"/>
      <c r="U299" s="25"/>
      <c r="V299" s="25"/>
      <c r="W299" s="25"/>
      <c r="X299" s="25"/>
      <c r="Y299" s="25"/>
      <c r="Z299" s="25"/>
    </row>
    <row r="300" customFormat="false" ht="39.75" hidden="false" customHeight="true" outlineLevel="0" collapsed="false">
      <c r="A300" s="25"/>
      <c r="B300" s="25"/>
      <c r="C300" s="25"/>
      <c r="D300" s="25"/>
      <c r="E300" s="25"/>
      <c r="F300" s="25"/>
      <c r="G300" s="25"/>
      <c r="H300" s="25"/>
      <c r="I300" s="25"/>
      <c r="J300" s="25"/>
      <c r="K300" s="25"/>
      <c r="L300" s="25"/>
      <c r="M300" s="25"/>
      <c r="N300" s="25"/>
      <c r="O300" s="25"/>
      <c r="P300" s="25"/>
      <c r="Q300" s="25"/>
      <c r="R300" s="25"/>
      <c r="S300" s="25"/>
      <c r="T300" s="25"/>
      <c r="U300" s="25"/>
      <c r="V300" s="25"/>
      <c r="W300" s="25"/>
      <c r="X300" s="25"/>
      <c r="Y300" s="25"/>
      <c r="Z300" s="25"/>
    </row>
    <row r="301" customFormat="false" ht="39.75" hidden="false" customHeight="true" outlineLevel="0" collapsed="false">
      <c r="A301" s="25"/>
      <c r="B301" s="25"/>
      <c r="C301" s="25"/>
      <c r="D301" s="25"/>
      <c r="E301" s="25"/>
      <c r="F301" s="25"/>
      <c r="G301" s="25"/>
      <c r="H301" s="25"/>
      <c r="I301" s="25"/>
      <c r="J301" s="25"/>
      <c r="K301" s="25"/>
      <c r="L301" s="25"/>
      <c r="M301" s="25"/>
      <c r="N301" s="25"/>
      <c r="O301" s="25"/>
      <c r="P301" s="25"/>
      <c r="Q301" s="25"/>
      <c r="R301" s="25"/>
      <c r="S301" s="25"/>
      <c r="T301" s="25"/>
      <c r="U301" s="25"/>
      <c r="V301" s="25"/>
      <c r="W301" s="25"/>
      <c r="X301" s="25"/>
      <c r="Y301" s="25"/>
      <c r="Z301" s="25"/>
    </row>
    <row r="302" customFormat="false" ht="39.75" hidden="false" customHeight="true" outlineLevel="0" collapsed="false">
      <c r="A302" s="25"/>
      <c r="B302" s="25"/>
      <c r="C302" s="25"/>
      <c r="D302" s="25"/>
      <c r="E302" s="25"/>
      <c r="F302" s="25"/>
      <c r="G302" s="25"/>
      <c r="H302" s="25"/>
      <c r="I302" s="25"/>
      <c r="J302" s="25"/>
      <c r="K302" s="25"/>
      <c r="L302" s="25"/>
      <c r="M302" s="25"/>
      <c r="N302" s="25"/>
      <c r="O302" s="25"/>
      <c r="P302" s="25"/>
      <c r="Q302" s="25"/>
      <c r="R302" s="25"/>
      <c r="S302" s="25"/>
      <c r="T302" s="25"/>
      <c r="U302" s="25"/>
      <c r="V302" s="25"/>
      <c r="W302" s="25"/>
      <c r="X302" s="25"/>
      <c r="Y302" s="25"/>
      <c r="Z302" s="25"/>
    </row>
    <row r="303" customFormat="false" ht="39.75" hidden="false" customHeight="true" outlineLevel="0" collapsed="false">
      <c r="A303" s="25"/>
      <c r="B303" s="25"/>
      <c r="C303" s="25"/>
      <c r="D303" s="25"/>
      <c r="E303" s="25"/>
      <c r="F303" s="25"/>
      <c r="G303" s="25"/>
      <c r="H303" s="25"/>
      <c r="I303" s="25"/>
      <c r="J303" s="25"/>
      <c r="K303" s="25"/>
      <c r="L303" s="25"/>
      <c r="M303" s="25"/>
      <c r="N303" s="25"/>
      <c r="O303" s="25"/>
      <c r="P303" s="25"/>
      <c r="Q303" s="25"/>
      <c r="R303" s="25"/>
      <c r="S303" s="25"/>
      <c r="T303" s="25"/>
      <c r="U303" s="25"/>
      <c r="V303" s="25"/>
      <c r="W303" s="25"/>
      <c r="X303" s="25"/>
      <c r="Y303" s="25"/>
      <c r="Z303" s="25"/>
    </row>
    <row r="304" customFormat="false" ht="39.75" hidden="false" customHeight="true" outlineLevel="0" collapsed="false">
      <c r="A304" s="25"/>
      <c r="B304" s="25"/>
      <c r="C304" s="25"/>
      <c r="D304" s="25"/>
      <c r="E304" s="25"/>
      <c r="F304" s="25"/>
      <c r="G304" s="25"/>
      <c r="H304" s="25"/>
      <c r="I304" s="25"/>
      <c r="J304" s="25"/>
      <c r="K304" s="25"/>
      <c r="L304" s="25"/>
      <c r="M304" s="25"/>
      <c r="N304" s="25"/>
      <c r="O304" s="25"/>
      <c r="P304" s="25"/>
      <c r="Q304" s="25"/>
      <c r="R304" s="25"/>
      <c r="S304" s="25"/>
      <c r="T304" s="25"/>
      <c r="U304" s="25"/>
      <c r="V304" s="25"/>
      <c r="W304" s="25"/>
      <c r="X304" s="25"/>
      <c r="Y304" s="25"/>
      <c r="Z304" s="25"/>
    </row>
    <row r="305" customFormat="false" ht="39.75" hidden="false" customHeight="true" outlineLevel="0" collapsed="false">
      <c r="A305" s="25"/>
      <c r="B305" s="25"/>
      <c r="C305" s="25"/>
      <c r="D305" s="25"/>
      <c r="E305" s="25"/>
      <c r="F305" s="25"/>
      <c r="G305" s="25"/>
      <c r="H305" s="25"/>
      <c r="I305" s="25"/>
      <c r="J305" s="25"/>
      <c r="K305" s="25"/>
      <c r="L305" s="25"/>
      <c r="M305" s="25"/>
      <c r="N305" s="25"/>
      <c r="O305" s="25"/>
      <c r="P305" s="25"/>
      <c r="Q305" s="25"/>
      <c r="R305" s="25"/>
      <c r="S305" s="25"/>
      <c r="T305" s="25"/>
      <c r="U305" s="25"/>
      <c r="V305" s="25"/>
      <c r="W305" s="25"/>
      <c r="X305" s="25"/>
      <c r="Y305" s="25"/>
      <c r="Z305" s="25"/>
    </row>
    <row r="306" customFormat="false" ht="39.75" hidden="false" customHeight="true" outlineLevel="0" collapsed="false">
      <c r="A306" s="25"/>
      <c r="B306" s="25"/>
      <c r="C306" s="25"/>
      <c r="D306" s="25"/>
      <c r="E306" s="25"/>
      <c r="F306" s="25"/>
      <c r="G306" s="25"/>
      <c r="H306" s="25"/>
      <c r="I306" s="25"/>
      <c r="J306" s="25"/>
      <c r="K306" s="25"/>
      <c r="L306" s="25"/>
      <c r="M306" s="25"/>
      <c r="N306" s="25"/>
      <c r="O306" s="25"/>
      <c r="P306" s="25"/>
      <c r="Q306" s="25"/>
      <c r="R306" s="25"/>
      <c r="S306" s="25"/>
      <c r="T306" s="25"/>
      <c r="U306" s="25"/>
      <c r="V306" s="25"/>
      <c r="W306" s="25"/>
      <c r="X306" s="25"/>
      <c r="Y306" s="25"/>
      <c r="Z306" s="25"/>
    </row>
    <row r="307" customFormat="false" ht="39.75" hidden="false" customHeight="true" outlineLevel="0" collapsed="false">
      <c r="A307" s="25"/>
      <c r="B307" s="25"/>
      <c r="C307" s="25"/>
      <c r="D307" s="25"/>
      <c r="E307" s="25"/>
      <c r="F307" s="25"/>
      <c r="G307" s="25"/>
      <c r="H307" s="25"/>
      <c r="I307" s="25"/>
      <c r="J307" s="25"/>
      <c r="K307" s="25"/>
      <c r="L307" s="25"/>
      <c r="M307" s="25"/>
      <c r="N307" s="25"/>
      <c r="O307" s="25"/>
      <c r="P307" s="25"/>
      <c r="Q307" s="25"/>
      <c r="R307" s="25"/>
      <c r="S307" s="25"/>
      <c r="T307" s="25"/>
      <c r="U307" s="25"/>
      <c r="V307" s="25"/>
      <c r="W307" s="25"/>
      <c r="X307" s="25"/>
      <c r="Y307" s="25"/>
      <c r="Z307" s="25"/>
    </row>
    <row r="308" customFormat="false" ht="39.75" hidden="false" customHeight="true" outlineLevel="0" collapsed="false">
      <c r="A308" s="25"/>
      <c r="B308" s="25"/>
      <c r="C308" s="25"/>
      <c r="D308" s="25"/>
      <c r="E308" s="25"/>
      <c r="F308" s="25"/>
      <c r="G308" s="25"/>
      <c r="H308" s="25"/>
      <c r="I308" s="25"/>
      <c r="J308" s="25"/>
      <c r="K308" s="25"/>
      <c r="L308" s="25"/>
      <c r="M308" s="25"/>
      <c r="N308" s="25"/>
      <c r="O308" s="25"/>
      <c r="P308" s="25"/>
      <c r="Q308" s="25"/>
      <c r="R308" s="25"/>
      <c r="S308" s="25"/>
      <c r="T308" s="25"/>
      <c r="U308" s="25"/>
      <c r="V308" s="25"/>
      <c r="W308" s="25"/>
      <c r="X308" s="25"/>
      <c r="Y308" s="25"/>
      <c r="Z308" s="25"/>
    </row>
    <row r="309" customFormat="false" ht="39.75" hidden="false" customHeight="true" outlineLevel="0" collapsed="false">
      <c r="A309" s="25"/>
      <c r="B309" s="25"/>
      <c r="C309" s="25"/>
      <c r="D309" s="25"/>
      <c r="E309" s="25"/>
      <c r="F309" s="25"/>
      <c r="G309" s="25"/>
      <c r="H309" s="25"/>
      <c r="I309" s="25"/>
      <c r="J309" s="25"/>
      <c r="K309" s="25"/>
      <c r="L309" s="25"/>
      <c r="M309" s="25"/>
      <c r="N309" s="25"/>
      <c r="O309" s="25"/>
      <c r="P309" s="25"/>
      <c r="Q309" s="25"/>
      <c r="R309" s="25"/>
      <c r="S309" s="25"/>
      <c r="T309" s="25"/>
      <c r="U309" s="25"/>
      <c r="V309" s="25"/>
      <c r="W309" s="25"/>
      <c r="X309" s="25"/>
      <c r="Y309" s="25"/>
      <c r="Z309" s="25"/>
    </row>
    <row r="310" customFormat="false" ht="39.75" hidden="false" customHeight="true" outlineLevel="0" collapsed="false">
      <c r="A310" s="25"/>
      <c r="B310" s="25"/>
      <c r="C310" s="25"/>
      <c r="D310" s="25"/>
      <c r="E310" s="25"/>
      <c r="F310" s="25"/>
      <c r="G310" s="25"/>
      <c r="H310" s="25"/>
      <c r="I310" s="25"/>
      <c r="J310" s="25"/>
      <c r="K310" s="25"/>
      <c r="L310" s="25"/>
      <c r="M310" s="25"/>
      <c r="N310" s="25"/>
      <c r="O310" s="25"/>
      <c r="P310" s="25"/>
      <c r="Q310" s="25"/>
      <c r="R310" s="25"/>
      <c r="S310" s="25"/>
      <c r="T310" s="25"/>
      <c r="U310" s="25"/>
      <c r="V310" s="25"/>
      <c r="W310" s="25"/>
      <c r="X310" s="25"/>
      <c r="Y310" s="25"/>
      <c r="Z310" s="25"/>
    </row>
    <row r="311" customFormat="false" ht="39.75" hidden="false" customHeight="true" outlineLevel="0" collapsed="false">
      <c r="A311" s="25"/>
      <c r="B311" s="25"/>
      <c r="C311" s="25"/>
      <c r="D311" s="25"/>
      <c r="E311" s="25"/>
      <c r="F311" s="25"/>
      <c r="G311" s="25"/>
      <c r="H311" s="25"/>
      <c r="I311" s="25"/>
      <c r="J311" s="25"/>
      <c r="K311" s="25"/>
      <c r="L311" s="25"/>
      <c r="M311" s="25"/>
      <c r="N311" s="25"/>
      <c r="O311" s="25"/>
      <c r="P311" s="25"/>
      <c r="Q311" s="25"/>
      <c r="R311" s="25"/>
      <c r="S311" s="25"/>
      <c r="T311" s="25"/>
      <c r="U311" s="25"/>
      <c r="V311" s="25"/>
      <c r="W311" s="25"/>
      <c r="X311" s="25"/>
      <c r="Y311" s="25"/>
      <c r="Z311" s="25"/>
    </row>
    <row r="312" customFormat="false" ht="39.75" hidden="false" customHeight="true" outlineLevel="0" collapsed="false">
      <c r="A312" s="25"/>
      <c r="B312" s="25"/>
      <c r="C312" s="25"/>
      <c r="D312" s="25"/>
      <c r="E312" s="25"/>
      <c r="F312" s="25"/>
      <c r="G312" s="25"/>
      <c r="H312" s="25"/>
      <c r="I312" s="25"/>
      <c r="J312" s="25"/>
      <c r="K312" s="25"/>
      <c r="L312" s="25"/>
      <c r="M312" s="25"/>
      <c r="N312" s="25"/>
      <c r="O312" s="25"/>
      <c r="P312" s="25"/>
      <c r="Q312" s="25"/>
      <c r="R312" s="25"/>
      <c r="S312" s="25"/>
      <c r="T312" s="25"/>
      <c r="U312" s="25"/>
      <c r="V312" s="25"/>
      <c r="W312" s="25"/>
      <c r="X312" s="25"/>
      <c r="Y312" s="25"/>
      <c r="Z312" s="25"/>
    </row>
    <row r="313" customFormat="false" ht="39.75" hidden="false" customHeight="true" outlineLevel="0" collapsed="false">
      <c r="A313" s="25"/>
      <c r="B313" s="25"/>
      <c r="C313" s="25"/>
      <c r="D313" s="25"/>
      <c r="E313" s="25"/>
      <c r="F313" s="25"/>
      <c r="G313" s="25"/>
      <c r="H313" s="25"/>
      <c r="I313" s="25"/>
      <c r="J313" s="25"/>
      <c r="K313" s="25"/>
      <c r="L313" s="25"/>
      <c r="M313" s="25"/>
      <c r="N313" s="25"/>
      <c r="O313" s="25"/>
      <c r="P313" s="25"/>
      <c r="Q313" s="25"/>
      <c r="R313" s="25"/>
      <c r="S313" s="25"/>
      <c r="T313" s="25"/>
      <c r="U313" s="25"/>
      <c r="V313" s="25"/>
      <c r="W313" s="25"/>
      <c r="X313" s="25"/>
      <c r="Y313" s="25"/>
      <c r="Z313" s="25"/>
    </row>
    <row r="314" customFormat="false" ht="39.75" hidden="false" customHeight="true" outlineLevel="0" collapsed="false">
      <c r="A314" s="25"/>
      <c r="B314" s="25"/>
      <c r="C314" s="25"/>
      <c r="D314" s="25"/>
      <c r="E314" s="25"/>
      <c r="F314" s="25"/>
      <c r="G314" s="25"/>
      <c r="H314" s="25"/>
      <c r="I314" s="25"/>
      <c r="J314" s="25"/>
      <c r="K314" s="25"/>
      <c r="L314" s="25"/>
      <c r="M314" s="25"/>
      <c r="N314" s="25"/>
      <c r="O314" s="25"/>
      <c r="P314" s="25"/>
      <c r="Q314" s="25"/>
      <c r="R314" s="25"/>
      <c r="S314" s="25"/>
      <c r="T314" s="25"/>
      <c r="U314" s="25"/>
      <c r="V314" s="25"/>
      <c r="W314" s="25"/>
      <c r="X314" s="25"/>
      <c r="Y314" s="25"/>
      <c r="Z314" s="25"/>
    </row>
    <row r="315" customFormat="false" ht="39.75" hidden="false" customHeight="true" outlineLevel="0" collapsed="false">
      <c r="A315" s="25"/>
      <c r="B315" s="25"/>
      <c r="C315" s="25"/>
      <c r="D315" s="25"/>
      <c r="E315" s="25"/>
      <c r="F315" s="25"/>
      <c r="G315" s="25"/>
      <c r="H315" s="25"/>
      <c r="I315" s="25"/>
      <c r="J315" s="25"/>
      <c r="K315" s="25"/>
      <c r="L315" s="25"/>
      <c r="M315" s="25"/>
      <c r="N315" s="25"/>
      <c r="O315" s="25"/>
      <c r="P315" s="25"/>
      <c r="Q315" s="25"/>
      <c r="R315" s="25"/>
      <c r="S315" s="25"/>
      <c r="T315" s="25"/>
      <c r="U315" s="25"/>
      <c r="V315" s="25"/>
      <c r="W315" s="25"/>
      <c r="X315" s="25"/>
      <c r="Y315" s="25"/>
      <c r="Z315" s="25"/>
    </row>
    <row r="316" customFormat="false" ht="39.75" hidden="false" customHeight="true" outlineLevel="0" collapsed="false">
      <c r="A316" s="25"/>
      <c r="B316" s="25"/>
      <c r="C316" s="25"/>
      <c r="D316" s="25"/>
      <c r="E316" s="25"/>
      <c r="F316" s="25"/>
      <c r="G316" s="25"/>
      <c r="H316" s="25"/>
      <c r="I316" s="25"/>
      <c r="J316" s="25"/>
      <c r="K316" s="25"/>
      <c r="L316" s="25"/>
      <c r="M316" s="25"/>
      <c r="N316" s="25"/>
      <c r="O316" s="25"/>
      <c r="P316" s="25"/>
      <c r="Q316" s="25"/>
      <c r="R316" s="25"/>
      <c r="S316" s="25"/>
      <c r="T316" s="25"/>
      <c r="U316" s="25"/>
      <c r="V316" s="25"/>
      <c r="W316" s="25"/>
      <c r="X316" s="25"/>
      <c r="Y316" s="25"/>
      <c r="Z316" s="25"/>
    </row>
    <row r="317" customFormat="false" ht="39.75" hidden="false" customHeight="true" outlineLevel="0" collapsed="false">
      <c r="A317" s="25"/>
      <c r="B317" s="25"/>
      <c r="C317" s="25"/>
      <c r="D317" s="25"/>
      <c r="E317" s="25"/>
      <c r="F317" s="25"/>
      <c r="G317" s="25"/>
      <c r="H317" s="25"/>
      <c r="I317" s="25"/>
      <c r="J317" s="25"/>
      <c r="K317" s="25"/>
      <c r="L317" s="25"/>
      <c r="M317" s="25"/>
      <c r="N317" s="25"/>
      <c r="O317" s="25"/>
      <c r="P317" s="25"/>
      <c r="Q317" s="25"/>
      <c r="R317" s="25"/>
      <c r="S317" s="25"/>
      <c r="T317" s="25"/>
      <c r="U317" s="25"/>
      <c r="V317" s="25"/>
      <c r="W317" s="25"/>
      <c r="X317" s="25"/>
      <c r="Y317" s="25"/>
      <c r="Z317" s="25"/>
    </row>
    <row r="318" customFormat="false" ht="39.75" hidden="false" customHeight="true" outlineLevel="0" collapsed="false">
      <c r="A318" s="25"/>
      <c r="B318" s="25"/>
      <c r="C318" s="25"/>
      <c r="D318" s="25"/>
      <c r="E318" s="25"/>
      <c r="F318" s="25"/>
      <c r="G318" s="25"/>
      <c r="H318" s="25"/>
      <c r="I318" s="25"/>
      <c r="J318" s="25"/>
      <c r="K318" s="25"/>
      <c r="L318" s="25"/>
      <c r="M318" s="25"/>
      <c r="N318" s="25"/>
      <c r="O318" s="25"/>
      <c r="P318" s="25"/>
      <c r="Q318" s="25"/>
      <c r="R318" s="25"/>
      <c r="S318" s="25"/>
      <c r="T318" s="25"/>
      <c r="U318" s="25"/>
      <c r="V318" s="25"/>
      <c r="W318" s="25"/>
      <c r="X318" s="25"/>
      <c r="Y318" s="25"/>
      <c r="Z318" s="25"/>
    </row>
    <row r="319" customFormat="false" ht="39.75" hidden="false" customHeight="true" outlineLevel="0" collapsed="false">
      <c r="A319" s="25"/>
      <c r="B319" s="25"/>
      <c r="C319" s="25"/>
      <c r="D319" s="25"/>
      <c r="E319" s="25"/>
      <c r="F319" s="25"/>
      <c r="G319" s="25"/>
      <c r="H319" s="25"/>
      <c r="I319" s="25"/>
      <c r="J319" s="25"/>
      <c r="K319" s="25"/>
      <c r="L319" s="25"/>
      <c r="M319" s="25"/>
      <c r="N319" s="25"/>
      <c r="O319" s="25"/>
      <c r="P319" s="25"/>
      <c r="Q319" s="25"/>
      <c r="R319" s="25"/>
      <c r="S319" s="25"/>
      <c r="T319" s="25"/>
      <c r="U319" s="25"/>
      <c r="V319" s="25"/>
      <c r="W319" s="25"/>
      <c r="X319" s="25"/>
      <c r="Y319" s="25"/>
      <c r="Z319" s="25"/>
    </row>
    <row r="320" customFormat="false" ht="39.75" hidden="false" customHeight="true" outlineLevel="0" collapsed="false">
      <c r="A320" s="25"/>
      <c r="B320" s="25"/>
      <c r="C320" s="25"/>
      <c r="D320" s="25"/>
      <c r="E320" s="25"/>
      <c r="F320" s="25"/>
      <c r="G320" s="25"/>
      <c r="H320" s="25"/>
      <c r="I320" s="25"/>
      <c r="J320" s="25"/>
      <c r="K320" s="25"/>
      <c r="L320" s="25"/>
      <c r="M320" s="25"/>
      <c r="N320" s="25"/>
      <c r="O320" s="25"/>
      <c r="P320" s="25"/>
      <c r="Q320" s="25"/>
      <c r="R320" s="25"/>
      <c r="S320" s="25"/>
      <c r="T320" s="25"/>
      <c r="U320" s="25"/>
      <c r="V320" s="25"/>
      <c r="W320" s="25"/>
      <c r="X320" s="25"/>
      <c r="Y320" s="25"/>
      <c r="Z320" s="25"/>
    </row>
    <row r="321" customFormat="false" ht="39.75" hidden="false" customHeight="true" outlineLevel="0" collapsed="false">
      <c r="A321" s="25"/>
      <c r="B321" s="25"/>
      <c r="C321" s="25"/>
      <c r="D321" s="25"/>
      <c r="E321" s="25"/>
      <c r="F321" s="25"/>
      <c r="G321" s="25"/>
      <c r="H321" s="25"/>
      <c r="I321" s="25"/>
      <c r="J321" s="25"/>
      <c r="K321" s="25"/>
      <c r="L321" s="25"/>
      <c r="M321" s="25"/>
      <c r="N321" s="25"/>
      <c r="O321" s="25"/>
      <c r="P321" s="25"/>
      <c r="Q321" s="25"/>
      <c r="R321" s="25"/>
      <c r="S321" s="25"/>
      <c r="T321" s="25"/>
      <c r="U321" s="25"/>
      <c r="V321" s="25"/>
      <c r="W321" s="25"/>
      <c r="X321" s="25"/>
      <c r="Y321" s="25"/>
      <c r="Z321" s="25"/>
    </row>
    <row r="322" customFormat="false" ht="39.75" hidden="false" customHeight="true" outlineLevel="0" collapsed="false">
      <c r="A322" s="25"/>
      <c r="B322" s="25"/>
      <c r="C322" s="25"/>
      <c r="D322" s="25"/>
      <c r="E322" s="25"/>
      <c r="F322" s="25"/>
      <c r="G322" s="25"/>
      <c r="H322" s="25"/>
      <c r="I322" s="25"/>
      <c r="J322" s="25"/>
      <c r="K322" s="25"/>
      <c r="L322" s="25"/>
      <c r="M322" s="25"/>
      <c r="N322" s="25"/>
      <c r="O322" s="25"/>
      <c r="P322" s="25"/>
      <c r="Q322" s="25"/>
      <c r="R322" s="25"/>
      <c r="S322" s="25"/>
      <c r="T322" s="25"/>
      <c r="U322" s="25"/>
      <c r="V322" s="25"/>
      <c r="W322" s="25"/>
      <c r="X322" s="25"/>
      <c r="Y322" s="25"/>
      <c r="Z322" s="25"/>
    </row>
    <row r="323" customFormat="false" ht="39.75" hidden="false" customHeight="true" outlineLevel="0" collapsed="false">
      <c r="A323" s="25"/>
      <c r="B323" s="25"/>
      <c r="C323" s="25"/>
      <c r="D323" s="25"/>
      <c r="E323" s="25"/>
      <c r="F323" s="25"/>
      <c r="G323" s="25"/>
      <c r="H323" s="25"/>
      <c r="I323" s="25"/>
      <c r="J323" s="25"/>
      <c r="K323" s="25"/>
      <c r="L323" s="25"/>
      <c r="M323" s="25"/>
      <c r="N323" s="25"/>
      <c r="O323" s="25"/>
      <c r="P323" s="25"/>
      <c r="Q323" s="25"/>
      <c r="R323" s="25"/>
      <c r="S323" s="25"/>
      <c r="T323" s="25"/>
      <c r="U323" s="25"/>
      <c r="V323" s="25"/>
      <c r="W323" s="25"/>
      <c r="X323" s="25"/>
      <c r="Y323" s="25"/>
      <c r="Z323" s="25"/>
    </row>
    <row r="324" customFormat="false" ht="39.75" hidden="false" customHeight="true" outlineLevel="0" collapsed="false">
      <c r="A324" s="25"/>
      <c r="B324" s="25"/>
      <c r="C324" s="25"/>
      <c r="D324" s="25"/>
      <c r="E324" s="25"/>
      <c r="F324" s="25"/>
      <c r="G324" s="25"/>
      <c r="H324" s="25"/>
      <c r="I324" s="25"/>
      <c r="J324" s="25"/>
      <c r="K324" s="25"/>
      <c r="L324" s="25"/>
      <c r="M324" s="25"/>
      <c r="N324" s="25"/>
      <c r="O324" s="25"/>
      <c r="P324" s="25"/>
      <c r="Q324" s="25"/>
      <c r="R324" s="25"/>
      <c r="S324" s="25"/>
      <c r="T324" s="25"/>
      <c r="U324" s="25"/>
      <c r="V324" s="25"/>
      <c r="W324" s="25"/>
      <c r="X324" s="25"/>
      <c r="Y324" s="25"/>
      <c r="Z324" s="25"/>
    </row>
    <row r="325" customFormat="false" ht="39.75" hidden="false" customHeight="true" outlineLevel="0" collapsed="false">
      <c r="A325" s="25"/>
      <c r="B325" s="25"/>
      <c r="C325" s="25"/>
      <c r="D325" s="25"/>
      <c r="E325" s="25"/>
      <c r="F325" s="25"/>
      <c r="G325" s="25"/>
      <c r="H325" s="25"/>
      <c r="I325" s="25"/>
      <c r="J325" s="25"/>
      <c r="K325" s="25"/>
      <c r="L325" s="25"/>
      <c r="M325" s="25"/>
      <c r="N325" s="25"/>
      <c r="O325" s="25"/>
      <c r="P325" s="25"/>
      <c r="Q325" s="25"/>
      <c r="R325" s="25"/>
      <c r="S325" s="25"/>
      <c r="T325" s="25"/>
      <c r="U325" s="25"/>
      <c r="V325" s="25"/>
      <c r="W325" s="25"/>
      <c r="X325" s="25"/>
      <c r="Y325" s="25"/>
      <c r="Z325" s="25"/>
    </row>
    <row r="326" customFormat="false" ht="39.75" hidden="false" customHeight="true" outlineLevel="0" collapsed="false">
      <c r="A326" s="25"/>
      <c r="B326" s="25"/>
      <c r="C326" s="25"/>
      <c r="D326" s="25"/>
      <c r="E326" s="25"/>
      <c r="F326" s="25"/>
      <c r="G326" s="25"/>
      <c r="H326" s="25"/>
      <c r="I326" s="25"/>
      <c r="J326" s="25"/>
      <c r="K326" s="25"/>
      <c r="L326" s="25"/>
      <c r="M326" s="25"/>
      <c r="N326" s="25"/>
      <c r="O326" s="25"/>
      <c r="P326" s="25"/>
      <c r="Q326" s="25"/>
      <c r="R326" s="25"/>
      <c r="S326" s="25"/>
      <c r="T326" s="25"/>
      <c r="U326" s="25"/>
      <c r="V326" s="25"/>
      <c r="W326" s="25"/>
      <c r="X326" s="25"/>
      <c r="Y326" s="25"/>
      <c r="Z326" s="25"/>
    </row>
    <row r="327" customFormat="false" ht="39.75" hidden="false" customHeight="true" outlineLevel="0" collapsed="false">
      <c r="A327" s="25"/>
      <c r="B327" s="25"/>
      <c r="C327" s="25"/>
      <c r="D327" s="25"/>
      <c r="E327" s="25"/>
      <c r="F327" s="25"/>
      <c r="G327" s="25"/>
      <c r="H327" s="25"/>
      <c r="I327" s="25"/>
      <c r="J327" s="25"/>
      <c r="K327" s="25"/>
      <c r="L327" s="25"/>
      <c r="M327" s="25"/>
      <c r="N327" s="25"/>
      <c r="O327" s="25"/>
      <c r="P327" s="25"/>
      <c r="Q327" s="25"/>
      <c r="R327" s="25"/>
      <c r="S327" s="25"/>
      <c r="T327" s="25"/>
      <c r="U327" s="25"/>
      <c r="V327" s="25"/>
      <c r="W327" s="25"/>
      <c r="X327" s="25"/>
      <c r="Y327" s="25"/>
      <c r="Z327" s="25"/>
    </row>
    <row r="328" customFormat="false" ht="39.75" hidden="false" customHeight="true" outlineLevel="0" collapsed="false">
      <c r="A328" s="25"/>
      <c r="B328" s="25"/>
      <c r="C328" s="25"/>
      <c r="D328" s="25"/>
      <c r="E328" s="25"/>
      <c r="F328" s="25"/>
      <c r="G328" s="25"/>
      <c r="H328" s="25"/>
      <c r="I328" s="25"/>
      <c r="J328" s="25"/>
      <c r="K328" s="25"/>
      <c r="L328" s="25"/>
      <c r="M328" s="25"/>
      <c r="N328" s="25"/>
      <c r="O328" s="25"/>
      <c r="P328" s="25"/>
      <c r="Q328" s="25"/>
      <c r="R328" s="25"/>
      <c r="S328" s="25"/>
      <c r="T328" s="25"/>
      <c r="U328" s="25"/>
      <c r="V328" s="25"/>
      <c r="W328" s="25"/>
      <c r="X328" s="25"/>
      <c r="Y328" s="25"/>
      <c r="Z328" s="25"/>
    </row>
    <row r="329" customFormat="false" ht="39.75" hidden="false" customHeight="true" outlineLevel="0" collapsed="false">
      <c r="A329" s="25"/>
      <c r="B329" s="25"/>
      <c r="C329" s="25"/>
      <c r="D329" s="25"/>
      <c r="E329" s="25"/>
      <c r="F329" s="25"/>
      <c r="G329" s="25"/>
      <c r="H329" s="25"/>
      <c r="I329" s="25"/>
      <c r="J329" s="25"/>
      <c r="K329" s="25"/>
      <c r="L329" s="25"/>
      <c r="M329" s="25"/>
      <c r="N329" s="25"/>
      <c r="O329" s="25"/>
      <c r="P329" s="25"/>
      <c r="Q329" s="25"/>
      <c r="R329" s="25"/>
      <c r="S329" s="25"/>
      <c r="T329" s="25"/>
      <c r="U329" s="25"/>
      <c r="V329" s="25"/>
      <c r="W329" s="25"/>
      <c r="X329" s="25"/>
      <c r="Y329" s="25"/>
      <c r="Z329" s="25"/>
    </row>
    <row r="330" customFormat="false" ht="39.75" hidden="false" customHeight="true" outlineLevel="0" collapsed="false">
      <c r="A330" s="25"/>
      <c r="B330" s="25"/>
      <c r="C330" s="25"/>
      <c r="D330" s="25"/>
      <c r="E330" s="25"/>
      <c r="F330" s="25"/>
      <c r="G330" s="25"/>
      <c r="H330" s="25"/>
      <c r="I330" s="25"/>
      <c r="J330" s="25"/>
      <c r="K330" s="25"/>
      <c r="L330" s="25"/>
      <c r="M330" s="25"/>
      <c r="N330" s="25"/>
      <c r="O330" s="25"/>
      <c r="P330" s="25"/>
      <c r="Q330" s="25"/>
      <c r="R330" s="25"/>
      <c r="S330" s="25"/>
      <c r="T330" s="25"/>
      <c r="U330" s="25"/>
      <c r="V330" s="25"/>
      <c r="W330" s="25"/>
      <c r="X330" s="25"/>
      <c r="Y330" s="25"/>
      <c r="Z330" s="25"/>
    </row>
    <row r="331" customFormat="false" ht="39.75" hidden="false" customHeight="true" outlineLevel="0" collapsed="false">
      <c r="A331" s="25"/>
      <c r="B331" s="25"/>
      <c r="C331" s="25"/>
      <c r="D331" s="25"/>
      <c r="E331" s="25"/>
      <c r="F331" s="25"/>
      <c r="G331" s="25"/>
      <c r="H331" s="25"/>
      <c r="I331" s="25"/>
      <c r="J331" s="25"/>
      <c r="K331" s="25"/>
      <c r="L331" s="25"/>
      <c r="M331" s="25"/>
      <c r="N331" s="25"/>
      <c r="O331" s="25"/>
      <c r="P331" s="25"/>
      <c r="Q331" s="25"/>
      <c r="R331" s="25"/>
      <c r="S331" s="25"/>
      <c r="T331" s="25"/>
      <c r="U331" s="25"/>
      <c r="V331" s="25"/>
      <c r="W331" s="25"/>
      <c r="X331" s="25"/>
      <c r="Y331" s="25"/>
      <c r="Z331" s="25"/>
    </row>
    <row r="332" customFormat="false" ht="39.75" hidden="false" customHeight="true" outlineLevel="0" collapsed="false">
      <c r="A332" s="25"/>
      <c r="B332" s="25"/>
      <c r="C332" s="25"/>
      <c r="D332" s="25"/>
      <c r="E332" s="25"/>
      <c r="F332" s="25"/>
      <c r="G332" s="25"/>
      <c r="H332" s="25"/>
      <c r="I332" s="25"/>
      <c r="J332" s="25"/>
      <c r="K332" s="25"/>
      <c r="L332" s="25"/>
      <c r="M332" s="25"/>
      <c r="N332" s="25"/>
      <c r="O332" s="25"/>
      <c r="P332" s="25"/>
      <c r="Q332" s="25"/>
      <c r="R332" s="25"/>
      <c r="S332" s="25"/>
      <c r="T332" s="25"/>
      <c r="U332" s="25"/>
      <c r="V332" s="25"/>
      <c r="W332" s="25"/>
      <c r="X332" s="25"/>
      <c r="Y332" s="25"/>
      <c r="Z332" s="25"/>
    </row>
    <row r="333" customFormat="false" ht="39.75" hidden="false" customHeight="true" outlineLevel="0" collapsed="false">
      <c r="A333" s="25"/>
      <c r="B333" s="25"/>
      <c r="C333" s="25"/>
      <c r="D333" s="25"/>
      <c r="E333" s="25"/>
      <c r="F333" s="25"/>
      <c r="G333" s="25"/>
      <c r="H333" s="25"/>
      <c r="I333" s="25"/>
      <c r="J333" s="25"/>
      <c r="K333" s="25"/>
      <c r="L333" s="25"/>
      <c r="M333" s="25"/>
      <c r="N333" s="25"/>
      <c r="O333" s="25"/>
      <c r="P333" s="25"/>
      <c r="Q333" s="25"/>
      <c r="R333" s="25"/>
      <c r="S333" s="25"/>
      <c r="T333" s="25"/>
      <c r="U333" s="25"/>
      <c r="V333" s="25"/>
      <c r="W333" s="25"/>
      <c r="X333" s="25"/>
      <c r="Y333" s="25"/>
      <c r="Z333" s="25"/>
    </row>
    <row r="334" customFormat="false" ht="39.75" hidden="false" customHeight="true" outlineLevel="0" collapsed="false">
      <c r="A334" s="25"/>
      <c r="B334" s="25"/>
      <c r="C334" s="25"/>
      <c r="D334" s="25"/>
      <c r="E334" s="25"/>
      <c r="F334" s="25"/>
      <c r="G334" s="25"/>
      <c r="H334" s="25"/>
      <c r="I334" s="25"/>
      <c r="J334" s="25"/>
      <c r="K334" s="25"/>
      <c r="L334" s="25"/>
      <c r="M334" s="25"/>
      <c r="N334" s="25"/>
      <c r="O334" s="25"/>
      <c r="P334" s="25"/>
      <c r="Q334" s="25"/>
      <c r="R334" s="25"/>
      <c r="S334" s="25"/>
      <c r="T334" s="25"/>
      <c r="U334" s="25"/>
      <c r="V334" s="25"/>
      <c r="W334" s="25"/>
      <c r="X334" s="25"/>
      <c r="Y334" s="25"/>
      <c r="Z334" s="25"/>
    </row>
    <row r="335" customFormat="false" ht="39.75" hidden="false" customHeight="true" outlineLevel="0" collapsed="false">
      <c r="A335" s="25"/>
      <c r="B335" s="25"/>
      <c r="C335" s="25"/>
      <c r="D335" s="25"/>
      <c r="E335" s="25"/>
      <c r="F335" s="25"/>
      <c r="G335" s="25"/>
      <c r="H335" s="25"/>
      <c r="I335" s="25"/>
      <c r="J335" s="25"/>
      <c r="K335" s="25"/>
      <c r="L335" s="25"/>
      <c r="M335" s="25"/>
      <c r="N335" s="25"/>
      <c r="O335" s="25"/>
      <c r="P335" s="25"/>
      <c r="Q335" s="25"/>
      <c r="R335" s="25"/>
      <c r="S335" s="25"/>
      <c r="T335" s="25"/>
      <c r="U335" s="25"/>
      <c r="V335" s="25"/>
      <c r="W335" s="25"/>
      <c r="X335" s="25"/>
      <c r="Y335" s="25"/>
      <c r="Z335" s="25"/>
    </row>
    <row r="336" customFormat="false" ht="39.75" hidden="false" customHeight="true" outlineLevel="0" collapsed="false">
      <c r="A336" s="25"/>
      <c r="B336" s="25"/>
      <c r="C336" s="25"/>
      <c r="D336" s="25"/>
      <c r="E336" s="25"/>
      <c r="F336" s="25"/>
      <c r="G336" s="25"/>
      <c r="H336" s="25"/>
      <c r="I336" s="25"/>
      <c r="J336" s="25"/>
      <c r="K336" s="25"/>
      <c r="L336" s="25"/>
      <c r="M336" s="25"/>
      <c r="N336" s="25"/>
      <c r="O336" s="25"/>
      <c r="P336" s="25"/>
      <c r="Q336" s="25"/>
      <c r="R336" s="25"/>
      <c r="S336" s="25"/>
      <c r="T336" s="25"/>
      <c r="U336" s="25"/>
      <c r="V336" s="25"/>
      <c r="W336" s="25"/>
      <c r="X336" s="25"/>
      <c r="Y336" s="25"/>
      <c r="Z336" s="25"/>
    </row>
    <row r="337" customFormat="false" ht="39.75" hidden="false" customHeight="true" outlineLevel="0" collapsed="false">
      <c r="A337" s="25"/>
      <c r="B337" s="25"/>
      <c r="C337" s="25"/>
      <c r="D337" s="25"/>
      <c r="E337" s="25"/>
      <c r="F337" s="25"/>
      <c r="G337" s="25"/>
      <c r="H337" s="25"/>
      <c r="I337" s="25"/>
      <c r="J337" s="25"/>
      <c r="K337" s="25"/>
      <c r="L337" s="25"/>
      <c r="M337" s="25"/>
      <c r="N337" s="25"/>
      <c r="O337" s="25"/>
      <c r="P337" s="25"/>
      <c r="Q337" s="25"/>
      <c r="R337" s="25"/>
      <c r="S337" s="25"/>
      <c r="T337" s="25"/>
      <c r="U337" s="25"/>
      <c r="V337" s="25"/>
      <c r="W337" s="25"/>
      <c r="X337" s="25"/>
      <c r="Y337" s="25"/>
      <c r="Z337" s="25"/>
    </row>
    <row r="338" customFormat="false" ht="39.75" hidden="false" customHeight="true" outlineLevel="0" collapsed="false">
      <c r="A338" s="25"/>
      <c r="B338" s="25"/>
      <c r="C338" s="25"/>
      <c r="D338" s="25"/>
      <c r="E338" s="25"/>
      <c r="F338" s="25"/>
      <c r="G338" s="25"/>
      <c r="H338" s="25"/>
      <c r="I338" s="25"/>
      <c r="J338" s="25"/>
      <c r="K338" s="25"/>
      <c r="L338" s="25"/>
      <c r="M338" s="25"/>
      <c r="N338" s="25"/>
      <c r="O338" s="25"/>
      <c r="P338" s="25"/>
      <c r="Q338" s="25"/>
      <c r="R338" s="25"/>
      <c r="S338" s="25"/>
      <c r="T338" s="25"/>
      <c r="U338" s="25"/>
      <c r="V338" s="25"/>
      <c r="W338" s="25"/>
      <c r="X338" s="25"/>
      <c r="Y338" s="25"/>
      <c r="Z338" s="25"/>
    </row>
    <row r="339" customFormat="false" ht="39.75" hidden="false" customHeight="true" outlineLevel="0" collapsed="false">
      <c r="A339" s="25"/>
      <c r="B339" s="25"/>
      <c r="C339" s="25"/>
      <c r="D339" s="25"/>
      <c r="E339" s="25"/>
      <c r="F339" s="25"/>
      <c r="G339" s="25"/>
      <c r="H339" s="25"/>
      <c r="I339" s="25"/>
      <c r="J339" s="25"/>
      <c r="K339" s="25"/>
      <c r="L339" s="25"/>
      <c r="M339" s="25"/>
      <c r="N339" s="25"/>
      <c r="O339" s="25"/>
      <c r="P339" s="25"/>
      <c r="Q339" s="25"/>
      <c r="R339" s="25"/>
      <c r="S339" s="25"/>
      <c r="T339" s="25"/>
      <c r="U339" s="25"/>
      <c r="V339" s="25"/>
      <c r="W339" s="25"/>
      <c r="X339" s="25"/>
      <c r="Y339" s="25"/>
      <c r="Z339" s="25"/>
    </row>
    <row r="340" customFormat="false" ht="39.75" hidden="false" customHeight="true" outlineLevel="0" collapsed="false">
      <c r="A340" s="25"/>
      <c r="B340" s="25"/>
      <c r="C340" s="25"/>
      <c r="D340" s="25"/>
      <c r="E340" s="25"/>
      <c r="F340" s="25"/>
      <c r="G340" s="25"/>
      <c r="H340" s="25"/>
      <c r="I340" s="25"/>
      <c r="J340" s="25"/>
      <c r="K340" s="25"/>
      <c r="L340" s="25"/>
      <c r="M340" s="25"/>
      <c r="N340" s="25"/>
      <c r="O340" s="25"/>
      <c r="P340" s="25"/>
      <c r="Q340" s="25"/>
      <c r="R340" s="25"/>
      <c r="S340" s="25"/>
      <c r="T340" s="25"/>
      <c r="U340" s="25"/>
      <c r="V340" s="25"/>
      <c r="W340" s="25"/>
      <c r="X340" s="25"/>
      <c r="Y340" s="25"/>
      <c r="Z340" s="25"/>
    </row>
    <row r="341" customFormat="false" ht="39.75" hidden="false" customHeight="true" outlineLevel="0" collapsed="false">
      <c r="A341" s="25"/>
      <c r="B341" s="25"/>
      <c r="C341" s="25"/>
      <c r="D341" s="25"/>
      <c r="E341" s="25"/>
      <c r="F341" s="25"/>
      <c r="G341" s="25"/>
      <c r="H341" s="25"/>
      <c r="I341" s="25"/>
      <c r="J341" s="25"/>
      <c r="K341" s="25"/>
      <c r="L341" s="25"/>
      <c r="M341" s="25"/>
      <c r="N341" s="25"/>
      <c r="O341" s="25"/>
      <c r="P341" s="25"/>
      <c r="Q341" s="25"/>
      <c r="R341" s="25"/>
      <c r="S341" s="25"/>
      <c r="T341" s="25"/>
      <c r="U341" s="25"/>
      <c r="V341" s="25"/>
      <c r="W341" s="25"/>
      <c r="X341" s="25"/>
      <c r="Y341" s="25"/>
      <c r="Z341" s="25"/>
    </row>
    <row r="342" customFormat="false" ht="39.75" hidden="false" customHeight="true" outlineLevel="0" collapsed="false">
      <c r="A342" s="25"/>
      <c r="B342" s="25"/>
      <c r="C342" s="25"/>
      <c r="D342" s="25"/>
      <c r="E342" s="25"/>
      <c r="F342" s="25"/>
      <c r="G342" s="25"/>
      <c r="H342" s="25"/>
      <c r="I342" s="25"/>
      <c r="J342" s="25"/>
      <c r="K342" s="25"/>
      <c r="L342" s="25"/>
      <c r="M342" s="25"/>
      <c r="N342" s="25"/>
      <c r="O342" s="25"/>
      <c r="P342" s="25"/>
      <c r="Q342" s="25"/>
      <c r="R342" s="25"/>
      <c r="S342" s="25"/>
      <c r="T342" s="25"/>
      <c r="U342" s="25"/>
      <c r="V342" s="25"/>
      <c r="W342" s="25"/>
      <c r="X342" s="25"/>
      <c r="Y342" s="25"/>
      <c r="Z342" s="25"/>
    </row>
    <row r="343" customFormat="false" ht="39.75" hidden="false" customHeight="true" outlineLevel="0" collapsed="false">
      <c r="A343" s="25"/>
      <c r="B343" s="25"/>
      <c r="C343" s="25"/>
      <c r="D343" s="25"/>
      <c r="E343" s="25"/>
      <c r="F343" s="25"/>
      <c r="G343" s="25"/>
      <c r="H343" s="25"/>
      <c r="I343" s="25"/>
      <c r="J343" s="25"/>
      <c r="K343" s="25"/>
      <c r="L343" s="25"/>
      <c r="M343" s="25"/>
      <c r="N343" s="25"/>
      <c r="O343" s="25"/>
      <c r="P343" s="25"/>
      <c r="Q343" s="25"/>
      <c r="R343" s="25"/>
      <c r="S343" s="25"/>
      <c r="T343" s="25"/>
      <c r="U343" s="25"/>
      <c r="V343" s="25"/>
      <c r="W343" s="25"/>
      <c r="X343" s="25"/>
      <c r="Y343" s="25"/>
      <c r="Z343" s="25"/>
    </row>
    <row r="344" customFormat="false" ht="39.75" hidden="false" customHeight="true" outlineLevel="0" collapsed="false">
      <c r="A344" s="25"/>
      <c r="B344" s="25"/>
      <c r="C344" s="25"/>
      <c r="D344" s="25"/>
      <c r="E344" s="25"/>
      <c r="F344" s="25"/>
      <c r="G344" s="25"/>
      <c r="H344" s="25"/>
      <c r="I344" s="25"/>
      <c r="J344" s="25"/>
      <c r="K344" s="25"/>
      <c r="L344" s="25"/>
      <c r="M344" s="25"/>
      <c r="N344" s="25"/>
      <c r="O344" s="25"/>
      <c r="P344" s="25"/>
      <c r="Q344" s="25"/>
      <c r="R344" s="25"/>
      <c r="S344" s="25"/>
      <c r="T344" s="25"/>
      <c r="U344" s="25"/>
      <c r="V344" s="25"/>
      <c r="W344" s="25"/>
      <c r="X344" s="25"/>
      <c r="Y344" s="25"/>
      <c r="Z344" s="25"/>
    </row>
    <row r="345" customFormat="false" ht="39.75" hidden="false" customHeight="true" outlineLevel="0" collapsed="false">
      <c r="A345" s="25"/>
      <c r="B345" s="25"/>
      <c r="C345" s="25"/>
      <c r="D345" s="25"/>
      <c r="E345" s="25"/>
      <c r="F345" s="25"/>
      <c r="G345" s="25"/>
      <c r="H345" s="25"/>
      <c r="I345" s="25"/>
      <c r="J345" s="25"/>
      <c r="K345" s="25"/>
      <c r="L345" s="25"/>
      <c r="M345" s="25"/>
      <c r="N345" s="25"/>
      <c r="O345" s="25"/>
      <c r="P345" s="25"/>
      <c r="Q345" s="25"/>
      <c r="R345" s="25"/>
      <c r="S345" s="25"/>
      <c r="T345" s="25"/>
      <c r="U345" s="25"/>
      <c r="V345" s="25"/>
      <c r="W345" s="25"/>
      <c r="X345" s="25"/>
      <c r="Y345" s="25"/>
      <c r="Z345" s="25"/>
    </row>
    <row r="346" customFormat="false" ht="39.75" hidden="false" customHeight="true" outlineLevel="0" collapsed="false">
      <c r="A346" s="25"/>
      <c r="B346" s="25"/>
      <c r="C346" s="25"/>
      <c r="D346" s="25"/>
      <c r="E346" s="25"/>
      <c r="F346" s="25"/>
      <c r="G346" s="25"/>
      <c r="H346" s="25"/>
      <c r="I346" s="25"/>
      <c r="J346" s="25"/>
      <c r="K346" s="25"/>
      <c r="L346" s="25"/>
      <c r="M346" s="25"/>
      <c r="N346" s="25"/>
      <c r="O346" s="25"/>
      <c r="P346" s="25"/>
      <c r="Q346" s="25"/>
      <c r="R346" s="25"/>
      <c r="S346" s="25"/>
      <c r="T346" s="25"/>
      <c r="U346" s="25"/>
      <c r="V346" s="25"/>
      <c r="W346" s="25"/>
      <c r="X346" s="25"/>
      <c r="Y346" s="25"/>
      <c r="Z346" s="25"/>
    </row>
    <row r="347" customFormat="false" ht="39.75" hidden="false" customHeight="true" outlineLevel="0" collapsed="false">
      <c r="A347" s="25"/>
      <c r="B347" s="25"/>
      <c r="C347" s="25"/>
      <c r="D347" s="25"/>
      <c r="E347" s="25"/>
      <c r="F347" s="25"/>
      <c r="G347" s="25"/>
      <c r="H347" s="25"/>
      <c r="I347" s="25"/>
      <c r="J347" s="25"/>
      <c r="K347" s="25"/>
      <c r="L347" s="25"/>
      <c r="M347" s="25"/>
      <c r="N347" s="25"/>
      <c r="O347" s="25"/>
      <c r="P347" s="25"/>
      <c r="Q347" s="25"/>
      <c r="R347" s="25"/>
      <c r="S347" s="25"/>
      <c r="T347" s="25"/>
      <c r="U347" s="25"/>
      <c r="V347" s="25"/>
      <c r="W347" s="25"/>
      <c r="X347" s="25"/>
      <c r="Y347" s="25"/>
      <c r="Z347" s="25"/>
    </row>
    <row r="348" customFormat="false" ht="39.75" hidden="false" customHeight="true" outlineLevel="0" collapsed="false">
      <c r="A348" s="25"/>
      <c r="B348" s="25"/>
      <c r="C348" s="25"/>
      <c r="D348" s="25"/>
      <c r="E348" s="25"/>
      <c r="F348" s="25"/>
      <c r="G348" s="25"/>
      <c r="H348" s="25"/>
      <c r="I348" s="25"/>
      <c r="J348" s="25"/>
      <c r="K348" s="25"/>
      <c r="L348" s="25"/>
      <c r="M348" s="25"/>
      <c r="N348" s="25"/>
      <c r="O348" s="25"/>
      <c r="P348" s="25"/>
      <c r="Q348" s="25"/>
      <c r="R348" s="25"/>
      <c r="S348" s="25"/>
      <c r="T348" s="25"/>
      <c r="U348" s="25"/>
      <c r="V348" s="25"/>
      <c r="W348" s="25"/>
      <c r="X348" s="25"/>
      <c r="Y348" s="25"/>
      <c r="Z348" s="25"/>
    </row>
    <row r="349" customFormat="false" ht="39.75" hidden="false" customHeight="true" outlineLevel="0" collapsed="false">
      <c r="A349" s="25"/>
      <c r="B349" s="25"/>
      <c r="C349" s="25"/>
      <c r="D349" s="25"/>
      <c r="E349" s="25"/>
      <c r="F349" s="25"/>
      <c r="G349" s="25"/>
      <c r="H349" s="25"/>
      <c r="I349" s="25"/>
      <c r="J349" s="25"/>
      <c r="K349" s="25"/>
      <c r="L349" s="25"/>
      <c r="M349" s="25"/>
      <c r="N349" s="25"/>
      <c r="O349" s="25"/>
      <c r="P349" s="25"/>
      <c r="Q349" s="25"/>
      <c r="R349" s="25"/>
      <c r="S349" s="25"/>
      <c r="T349" s="25"/>
      <c r="U349" s="25"/>
      <c r="V349" s="25"/>
      <c r="W349" s="25"/>
      <c r="X349" s="25"/>
      <c r="Y349" s="25"/>
      <c r="Z349" s="25"/>
    </row>
    <row r="350" customFormat="false" ht="39.75" hidden="false" customHeight="true" outlineLevel="0" collapsed="false">
      <c r="A350" s="25"/>
      <c r="B350" s="25"/>
      <c r="C350" s="25"/>
      <c r="D350" s="25"/>
      <c r="E350" s="25"/>
      <c r="F350" s="25"/>
      <c r="G350" s="25"/>
      <c r="H350" s="25"/>
      <c r="I350" s="25"/>
      <c r="J350" s="25"/>
      <c r="K350" s="25"/>
      <c r="L350" s="25"/>
      <c r="M350" s="25"/>
      <c r="N350" s="25"/>
      <c r="O350" s="25"/>
      <c r="P350" s="25"/>
      <c r="Q350" s="25"/>
      <c r="R350" s="25"/>
      <c r="S350" s="25"/>
      <c r="T350" s="25"/>
      <c r="U350" s="25"/>
      <c r="V350" s="25"/>
      <c r="W350" s="25"/>
      <c r="X350" s="25"/>
      <c r="Y350" s="25"/>
      <c r="Z350" s="25"/>
    </row>
    <row r="351" customFormat="false" ht="39.75" hidden="false" customHeight="true" outlineLevel="0" collapsed="false">
      <c r="A351" s="25"/>
      <c r="B351" s="25"/>
      <c r="C351" s="25"/>
      <c r="D351" s="25"/>
      <c r="E351" s="25"/>
      <c r="F351" s="25"/>
      <c r="G351" s="25"/>
      <c r="H351" s="25"/>
      <c r="I351" s="25"/>
      <c r="J351" s="25"/>
      <c r="K351" s="25"/>
      <c r="L351" s="25"/>
      <c r="M351" s="25"/>
      <c r="N351" s="25"/>
      <c r="O351" s="25"/>
      <c r="P351" s="25"/>
      <c r="Q351" s="25"/>
      <c r="R351" s="25"/>
      <c r="S351" s="25"/>
      <c r="T351" s="25"/>
      <c r="U351" s="25"/>
      <c r="V351" s="25"/>
      <c r="W351" s="25"/>
      <c r="X351" s="25"/>
      <c r="Y351" s="25"/>
      <c r="Z351" s="25"/>
    </row>
    <row r="352" customFormat="false" ht="39.75" hidden="false" customHeight="true" outlineLevel="0" collapsed="false">
      <c r="A352" s="25"/>
      <c r="B352" s="25"/>
      <c r="C352" s="25"/>
      <c r="D352" s="25"/>
      <c r="E352" s="25"/>
      <c r="F352" s="25"/>
      <c r="G352" s="25"/>
      <c r="H352" s="25"/>
      <c r="I352" s="25"/>
      <c r="J352" s="25"/>
      <c r="K352" s="25"/>
      <c r="L352" s="25"/>
      <c r="M352" s="25"/>
      <c r="N352" s="25"/>
      <c r="O352" s="25"/>
      <c r="P352" s="25"/>
      <c r="Q352" s="25"/>
      <c r="R352" s="25"/>
      <c r="S352" s="25"/>
      <c r="T352" s="25"/>
      <c r="U352" s="25"/>
      <c r="V352" s="25"/>
      <c r="W352" s="25"/>
      <c r="X352" s="25"/>
      <c r="Y352" s="25"/>
      <c r="Z352" s="25"/>
    </row>
    <row r="353" customFormat="false" ht="39.75" hidden="false" customHeight="true" outlineLevel="0" collapsed="false">
      <c r="A353" s="25"/>
      <c r="B353" s="25"/>
      <c r="C353" s="25"/>
      <c r="D353" s="25"/>
      <c r="E353" s="25"/>
      <c r="F353" s="25"/>
      <c r="G353" s="25"/>
      <c r="H353" s="25"/>
      <c r="I353" s="25"/>
      <c r="J353" s="25"/>
      <c r="K353" s="25"/>
      <c r="L353" s="25"/>
      <c r="M353" s="25"/>
      <c r="N353" s="25"/>
      <c r="O353" s="25"/>
      <c r="P353" s="25"/>
      <c r="Q353" s="25"/>
      <c r="R353" s="25"/>
      <c r="S353" s="25"/>
      <c r="T353" s="25"/>
      <c r="U353" s="25"/>
      <c r="V353" s="25"/>
      <c r="W353" s="25"/>
      <c r="X353" s="25"/>
      <c r="Y353" s="25"/>
      <c r="Z353" s="25"/>
    </row>
    <row r="354" customFormat="false" ht="39.75" hidden="false" customHeight="true" outlineLevel="0" collapsed="false">
      <c r="A354" s="25"/>
      <c r="B354" s="25"/>
      <c r="C354" s="25"/>
      <c r="D354" s="25"/>
      <c r="E354" s="25"/>
      <c r="F354" s="25"/>
      <c r="G354" s="25"/>
      <c r="H354" s="25"/>
      <c r="I354" s="25"/>
      <c r="J354" s="25"/>
      <c r="K354" s="25"/>
      <c r="L354" s="25"/>
      <c r="M354" s="25"/>
      <c r="N354" s="25"/>
      <c r="O354" s="25"/>
      <c r="P354" s="25"/>
      <c r="Q354" s="25"/>
      <c r="R354" s="25"/>
      <c r="S354" s="25"/>
      <c r="T354" s="25"/>
      <c r="U354" s="25"/>
      <c r="V354" s="25"/>
      <c r="W354" s="25"/>
      <c r="X354" s="25"/>
      <c r="Y354" s="25"/>
      <c r="Z354" s="25"/>
    </row>
    <row r="355" customFormat="false" ht="39.75" hidden="false" customHeight="true" outlineLevel="0" collapsed="false">
      <c r="A355" s="25"/>
      <c r="B355" s="25"/>
      <c r="C355" s="25"/>
      <c r="D355" s="25"/>
      <c r="E355" s="25"/>
      <c r="F355" s="25"/>
      <c r="G355" s="25"/>
      <c r="H355" s="25"/>
      <c r="I355" s="25"/>
      <c r="J355" s="25"/>
      <c r="K355" s="25"/>
      <c r="L355" s="25"/>
      <c r="M355" s="25"/>
      <c r="N355" s="25"/>
      <c r="O355" s="25"/>
      <c r="P355" s="25"/>
      <c r="Q355" s="25"/>
      <c r="R355" s="25"/>
      <c r="S355" s="25"/>
      <c r="T355" s="25"/>
      <c r="U355" s="25"/>
      <c r="V355" s="25"/>
      <c r="W355" s="25"/>
      <c r="X355" s="25"/>
      <c r="Y355" s="25"/>
      <c r="Z355" s="25"/>
    </row>
    <row r="356" customFormat="false" ht="39.75" hidden="false" customHeight="true" outlineLevel="0" collapsed="false">
      <c r="A356" s="25"/>
      <c r="B356" s="25"/>
      <c r="C356" s="25"/>
      <c r="D356" s="25"/>
      <c r="E356" s="25"/>
      <c r="F356" s="25"/>
      <c r="G356" s="25"/>
      <c r="H356" s="25"/>
      <c r="I356" s="25"/>
      <c r="J356" s="25"/>
      <c r="K356" s="25"/>
      <c r="L356" s="25"/>
      <c r="M356" s="25"/>
      <c r="N356" s="25"/>
      <c r="O356" s="25"/>
      <c r="P356" s="25"/>
      <c r="Q356" s="25"/>
      <c r="R356" s="25"/>
      <c r="S356" s="25"/>
      <c r="T356" s="25"/>
      <c r="U356" s="25"/>
      <c r="V356" s="25"/>
      <c r="W356" s="25"/>
      <c r="X356" s="25"/>
      <c r="Y356" s="25"/>
      <c r="Z356" s="25"/>
    </row>
    <row r="357" customFormat="false" ht="39.75" hidden="false" customHeight="true" outlineLevel="0" collapsed="false">
      <c r="A357" s="25"/>
      <c r="B357" s="25"/>
      <c r="C357" s="25"/>
      <c r="D357" s="25"/>
      <c r="E357" s="25"/>
      <c r="F357" s="25"/>
      <c r="G357" s="25"/>
      <c r="H357" s="25"/>
      <c r="I357" s="25"/>
      <c r="J357" s="25"/>
      <c r="K357" s="25"/>
      <c r="L357" s="25"/>
      <c r="M357" s="25"/>
      <c r="N357" s="25"/>
      <c r="O357" s="25"/>
      <c r="P357" s="25"/>
      <c r="Q357" s="25"/>
      <c r="R357" s="25"/>
      <c r="S357" s="25"/>
      <c r="T357" s="25"/>
      <c r="U357" s="25"/>
      <c r="V357" s="25"/>
      <c r="W357" s="25"/>
      <c r="X357" s="25"/>
      <c r="Y357" s="25"/>
      <c r="Z357" s="25"/>
    </row>
    <row r="358" customFormat="false" ht="39.75" hidden="false" customHeight="true" outlineLevel="0" collapsed="false">
      <c r="A358" s="25"/>
      <c r="B358" s="25"/>
      <c r="C358" s="25"/>
      <c r="D358" s="25"/>
      <c r="E358" s="25"/>
      <c r="F358" s="25"/>
      <c r="G358" s="25"/>
      <c r="H358" s="25"/>
      <c r="I358" s="25"/>
      <c r="J358" s="25"/>
      <c r="K358" s="25"/>
      <c r="L358" s="25"/>
      <c r="M358" s="25"/>
      <c r="N358" s="25"/>
      <c r="O358" s="25"/>
      <c r="P358" s="25"/>
      <c r="Q358" s="25"/>
      <c r="R358" s="25"/>
      <c r="S358" s="25"/>
      <c r="T358" s="25"/>
      <c r="U358" s="25"/>
      <c r="V358" s="25"/>
      <c r="W358" s="25"/>
      <c r="X358" s="25"/>
      <c r="Y358" s="25"/>
      <c r="Z358" s="25"/>
    </row>
    <row r="359" customFormat="false" ht="39.75" hidden="false" customHeight="true" outlineLevel="0" collapsed="false">
      <c r="A359" s="25"/>
      <c r="B359" s="25"/>
      <c r="C359" s="25"/>
      <c r="D359" s="25"/>
      <c r="E359" s="25"/>
      <c r="F359" s="25"/>
      <c r="G359" s="25"/>
      <c r="H359" s="25"/>
      <c r="I359" s="25"/>
      <c r="J359" s="25"/>
      <c r="K359" s="25"/>
      <c r="L359" s="25"/>
      <c r="M359" s="25"/>
      <c r="N359" s="25"/>
      <c r="O359" s="25"/>
      <c r="P359" s="25"/>
      <c r="Q359" s="25"/>
      <c r="R359" s="25"/>
      <c r="S359" s="25"/>
      <c r="T359" s="25"/>
      <c r="U359" s="25"/>
      <c r="V359" s="25"/>
      <c r="W359" s="25"/>
      <c r="X359" s="25"/>
      <c r="Y359" s="25"/>
      <c r="Z359" s="25"/>
    </row>
    <row r="360" customFormat="false" ht="39.75" hidden="false" customHeight="true" outlineLevel="0" collapsed="false">
      <c r="A360" s="25"/>
      <c r="B360" s="25"/>
      <c r="C360" s="25"/>
      <c r="D360" s="25"/>
      <c r="E360" s="25"/>
      <c r="F360" s="25"/>
      <c r="G360" s="25"/>
      <c r="H360" s="25"/>
      <c r="I360" s="25"/>
      <c r="J360" s="25"/>
      <c r="K360" s="25"/>
      <c r="L360" s="25"/>
      <c r="M360" s="25"/>
      <c r="N360" s="25"/>
      <c r="O360" s="25"/>
      <c r="P360" s="25"/>
      <c r="Q360" s="25"/>
      <c r="R360" s="25"/>
      <c r="S360" s="25"/>
      <c r="T360" s="25"/>
      <c r="U360" s="25"/>
      <c r="V360" s="25"/>
      <c r="W360" s="25"/>
      <c r="X360" s="25"/>
      <c r="Y360" s="25"/>
      <c r="Z360" s="25"/>
    </row>
    <row r="361" customFormat="false" ht="39.75" hidden="false" customHeight="true" outlineLevel="0" collapsed="false">
      <c r="A361" s="25"/>
      <c r="B361" s="25"/>
      <c r="C361" s="25"/>
      <c r="D361" s="25"/>
      <c r="E361" s="25"/>
      <c r="F361" s="25"/>
      <c r="G361" s="25"/>
      <c r="H361" s="25"/>
      <c r="I361" s="25"/>
      <c r="J361" s="25"/>
      <c r="K361" s="25"/>
      <c r="L361" s="25"/>
      <c r="M361" s="25"/>
      <c r="N361" s="25"/>
      <c r="O361" s="25"/>
      <c r="P361" s="25"/>
      <c r="Q361" s="25"/>
      <c r="R361" s="25"/>
      <c r="S361" s="25"/>
      <c r="T361" s="25"/>
      <c r="U361" s="25"/>
      <c r="V361" s="25"/>
      <c r="W361" s="25"/>
      <c r="X361" s="25"/>
      <c r="Y361" s="25"/>
      <c r="Z361" s="25"/>
    </row>
    <row r="362" customFormat="false" ht="39.75" hidden="false" customHeight="true" outlineLevel="0" collapsed="false">
      <c r="A362" s="25"/>
      <c r="B362" s="25"/>
      <c r="C362" s="25"/>
      <c r="D362" s="25"/>
      <c r="E362" s="25"/>
      <c r="F362" s="25"/>
      <c r="G362" s="25"/>
      <c r="H362" s="25"/>
      <c r="I362" s="25"/>
      <c r="J362" s="25"/>
      <c r="K362" s="25"/>
      <c r="L362" s="25"/>
      <c r="M362" s="25"/>
      <c r="N362" s="25"/>
      <c r="O362" s="25"/>
      <c r="P362" s="25"/>
      <c r="Q362" s="25"/>
      <c r="R362" s="25"/>
      <c r="S362" s="25"/>
      <c r="T362" s="25"/>
      <c r="U362" s="25"/>
      <c r="V362" s="25"/>
      <c r="W362" s="25"/>
      <c r="X362" s="25"/>
      <c r="Y362" s="25"/>
      <c r="Z362" s="25"/>
    </row>
    <row r="363" customFormat="false" ht="39.75" hidden="false" customHeight="true" outlineLevel="0" collapsed="false">
      <c r="A363" s="25"/>
      <c r="B363" s="25"/>
      <c r="C363" s="25"/>
      <c r="D363" s="25"/>
      <c r="E363" s="25"/>
      <c r="F363" s="25"/>
      <c r="G363" s="25"/>
      <c r="H363" s="25"/>
      <c r="I363" s="25"/>
      <c r="J363" s="25"/>
      <c r="K363" s="25"/>
      <c r="L363" s="25"/>
      <c r="M363" s="25"/>
      <c r="N363" s="25"/>
      <c r="O363" s="25"/>
      <c r="P363" s="25"/>
      <c r="Q363" s="25"/>
      <c r="R363" s="25"/>
      <c r="S363" s="25"/>
      <c r="T363" s="25"/>
      <c r="U363" s="25"/>
      <c r="V363" s="25"/>
      <c r="W363" s="25"/>
      <c r="X363" s="25"/>
      <c r="Y363" s="25"/>
      <c r="Z363" s="25"/>
    </row>
    <row r="364" customFormat="false" ht="39.75" hidden="false" customHeight="true" outlineLevel="0" collapsed="false">
      <c r="A364" s="25"/>
      <c r="B364" s="25"/>
      <c r="C364" s="25"/>
      <c r="D364" s="25"/>
      <c r="E364" s="25"/>
      <c r="F364" s="25"/>
      <c r="G364" s="25"/>
      <c r="H364" s="25"/>
      <c r="I364" s="25"/>
      <c r="J364" s="25"/>
      <c r="K364" s="25"/>
      <c r="L364" s="25"/>
      <c r="M364" s="25"/>
      <c r="N364" s="25"/>
      <c r="O364" s="25"/>
      <c r="P364" s="25"/>
      <c r="Q364" s="25"/>
      <c r="R364" s="25"/>
      <c r="S364" s="25"/>
      <c r="T364" s="25"/>
      <c r="U364" s="25"/>
      <c r="V364" s="25"/>
      <c r="W364" s="25"/>
      <c r="X364" s="25"/>
      <c r="Y364" s="25"/>
      <c r="Z364" s="25"/>
    </row>
    <row r="365" customFormat="false" ht="39.75" hidden="false" customHeight="true" outlineLevel="0" collapsed="false">
      <c r="A365" s="25"/>
      <c r="B365" s="25"/>
      <c r="C365" s="25"/>
      <c r="D365" s="25"/>
      <c r="E365" s="25"/>
      <c r="F365" s="25"/>
      <c r="G365" s="25"/>
      <c r="H365" s="25"/>
      <c r="I365" s="25"/>
      <c r="J365" s="25"/>
      <c r="K365" s="25"/>
      <c r="L365" s="25"/>
      <c r="M365" s="25"/>
      <c r="N365" s="25"/>
      <c r="O365" s="25"/>
      <c r="P365" s="25"/>
      <c r="Q365" s="25"/>
      <c r="R365" s="25"/>
      <c r="S365" s="25"/>
      <c r="T365" s="25"/>
      <c r="U365" s="25"/>
      <c r="V365" s="25"/>
      <c r="W365" s="25"/>
      <c r="X365" s="25"/>
      <c r="Y365" s="25"/>
      <c r="Z365" s="25"/>
    </row>
    <row r="366" customFormat="false" ht="39.75" hidden="false" customHeight="true" outlineLevel="0" collapsed="false">
      <c r="A366" s="25"/>
      <c r="B366" s="25"/>
      <c r="C366" s="25"/>
      <c r="D366" s="25"/>
      <c r="E366" s="25"/>
      <c r="F366" s="25"/>
      <c r="G366" s="25"/>
      <c r="H366" s="25"/>
      <c r="I366" s="25"/>
      <c r="J366" s="25"/>
      <c r="K366" s="25"/>
      <c r="L366" s="25"/>
      <c r="M366" s="25"/>
      <c r="N366" s="25"/>
      <c r="O366" s="25"/>
      <c r="P366" s="25"/>
      <c r="Q366" s="25"/>
      <c r="R366" s="25"/>
      <c r="S366" s="25"/>
      <c r="T366" s="25"/>
      <c r="U366" s="25"/>
      <c r="V366" s="25"/>
      <c r="W366" s="25"/>
      <c r="X366" s="25"/>
      <c r="Y366" s="25"/>
      <c r="Z366" s="25"/>
    </row>
    <row r="367" customFormat="false" ht="39.75" hidden="false" customHeight="true" outlineLevel="0" collapsed="false">
      <c r="A367" s="25"/>
      <c r="B367" s="25"/>
      <c r="C367" s="25"/>
      <c r="D367" s="25"/>
      <c r="E367" s="25"/>
      <c r="F367" s="25"/>
      <c r="G367" s="25"/>
      <c r="H367" s="25"/>
      <c r="I367" s="25"/>
      <c r="J367" s="25"/>
      <c r="K367" s="25"/>
      <c r="L367" s="25"/>
      <c r="M367" s="25"/>
      <c r="N367" s="25"/>
      <c r="O367" s="25"/>
      <c r="P367" s="25"/>
      <c r="Q367" s="25"/>
      <c r="R367" s="25"/>
      <c r="S367" s="25"/>
      <c r="T367" s="25"/>
      <c r="U367" s="25"/>
      <c r="V367" s="25"/>
      <c r="W367" s="25"/>
      <c r="X367" s="25"/>
      <c r="Y367" s="25"/>
      <c r="Z367" s="25"/>
    </row>
    <row r="368" customFormat="false" ht="39.75" hidden="false" customHeight="true" outlineLevel="0" collapsed="false">
      <c r="A368" s="25"/>
      <c r="B368" s="25"/>
      <c r="C368" s="25"/>
      <c r="D368" s="25"/>
      <c r="E368" s="25"/>
      <c r="F368" s="25"/>
      <c r="G368" s="25"/>
      <c r="H368" s="25"/>
      <c r="I368" s="25"/>
      <c r="J368" s="25"/>
      <c r="K368" s="25"/>
      <c r="L368" s="25"/>
      <c r="M368" s="25"/>
      <c r="N368" s="25"/>
      <c r="O368" s="25"/>
      <c r="P368" s="25"/>
      <c r="Q368" s="25"/>
      <c r="R368" s="25"/>
      <c r="S368" s="25"/>
      <c r="T368" s="25"/>
      <c r="U368" s="25"/>
      <c r="V368" s="25"/>
      <c r="W368" s="25"/>
      <c r="X368" s="25"/>
      <c r="Y368" s="25"/>
      <c r="Z368" s="25"/>
    </row>
    <row r="369" customFormat="false" ht="39.75" hidden="false" customHeight="true" outlineLevel="0" collapsed="false">
      <c r="A369" s="25"/>
      <c r="B369" s="25"/>
      <c r="C369" s="25"/>
      <c r="D369" s="25"/>
      <c r="E369" s="25"/>
      <c r="F369" s="25"/>
      <c r="G369" s="25"/>
      <c r="H369" s="25"/>
      <c r="I369" s="25"/>
      <c r="J369" s="25"/>
      <c r="K369" s="25"/>
      <c r="L369" s="25"/>
      <c r="M369" s="25"/>
      <c r="N369" s="25"/>
      <c r="O369" s="25"/>
      <c r="P369" s="25"/>
      <c r="Q369" s="25"/>
      <c r="R369" s="25"/>
      <c r="S369" s="25"/>
      <c r="T369" s="25"/>
      <c r="U369" s="25"/>
      <c r="V369" s="25"/>
      <c r="W369" s="25"/>
      <c r="X369" s="25"/>
      <c r="Y369" s="25"/>
      <c r="Z369" s="25"/>
    </row>
    <row r="370" customFormat="false" ht="39.75" hidden="false" customHeight="true" outlineLevel="0" collapsed="false">
      <c r="A370" s="25"/>
      <c r="B370" s="25"/>
      <c r="C370" s="25"/>
      <c r="D370" s="25"/>
      <c r="E370" s="25"/>
      <c r="F370" s="25"/>
      <c r="G370" s="25"/>
      <c r="H370" s="25"/>
      <c r="I370" s="25"/>
      <c r="J370" s="25"/>
      <c r="K370" s="25"/>
      <c r="L370" s="25"/>
      <c r="M370" s="25"/>
      <c r="N370" s="25"/>
      <c r="O370" s="25"/>
      <c r="P370" s="25"/>
      <c r="Q370" s="25"/>
      <c r="R370" s="25"/>
      <c r="S370" s="25"/>
      <c r="T370" s="25"/>
      <c r="U370" s="25"/>
      <c r="V370" s="25"/>
      <c r="W370" s="25"/>
      <c r="X370" s="25"/>
      <c r="Y370" s="25"/>
      <c r="Z370" s="25"/>
    </row>
    <row r="371" customFormat="false" ht="39.75" hidden="false" customHeight="true" outlineLevel="0" collapsed="false">
      <c r="A371" s="25"/>
      <c r="B371" s="25"/>
      <c r="C371" s="25"/>
      <c r="D371" s="25"/>
      <c r="E371" s="25"/>
      <c r="F371" s="25"/>
      <c r="G371" s="25"/>
      <c r="H371" s="25"/>
      <c r="I371" s="25"/>
      <c r="J371" s="25"/>
      <c r="K371" s="25"/>
      <c r="L371" s="25"/>
      <c r="M371" s="25"/>
      <c r="N371" s="25"/>
      <c r="O371" s="25"/>
      <c r="P371" s="25"/>
      <c r="Q371" s="25"/>
      <c r="R371" s="25"/>
      <c r="S371" s="25"/>
      <c r="T371" s="25"/>
      <c r="U371" s="25"/>
      <c r="V371" s="25"/>
      <c r="W371" s="25"/>
      <c r="X371" s="25"/>
      <c r="Y371" s="25"/>
      <c r="Z371" s="25"/>
    </row>
    <row r="372" customFormat="false" ht="39.75" hidden="false" customHeight="true" outlineLevel="0" collapsed="false">
      <c r="A372" s="25"/>
      <c r="B372" s="25"/>
      <c r="C372" s="25"/>
      <c r="D372" s="25"/>
      <c r="E372" s="25"/>
      <c r="F372" s="25"/>
      <c r="G372" s="25"/>
      <c r="H372" s="25"/>
      <c r="I372" s="25"/>
      <c r="J372" s="25"/>
      <c r="K372" s="25"/>
      <c r="L372" s="25"/>
      <c r="M372" s="25"/>
      <c r="N372" s="25"/>
      <c r="O372" s="25"/>
      <c r="P372" s="25"/>
      <c r="Q372" s="25"/>
      <c r="R372" s="25"/>
      <c r="S372" s="25"/>
      <c r="T372" s="25"/>
      <c r="U372" s="25"/>
      <c r="V372" s="25"/>
      <c r="W372" s="25"/>
      <c r="X372" s="25"/>
      <c r="Y372" s="25"/>
      <c r="Z372" s="25"/>
    </row>
    <row r="373" customFormat="false" ht="39.75" hidden="false" customHeight="true" outlineLevel="0" collapsed="false">
      <c r="A373" s="25"/>
      <c r="B373" s="25"/>
      <c r="C373" s="25"/>
      <c r="D373" s="25"/>
      <c r="E373" s="25"/>
      <c r="F373" s="25"/>
      <c r="G373" s="25"/>
      <c r="H373" s="25"/>
      <c r="I373" s="25"/>
      <c r="J373" s="25"/>
      <c r="K373" s="25"/>
      <c r="L373" s="25"/>
      <c r="M373" s="25"/>
      <c r="N373" s="25"/>
      <c r="O373" s="25"/>
      <c r="P373" s="25"/>
      <c r="Q373" s="25"/>
      <c r="R373" s="25"/>
      <c r="S373" s="25"/>
      <c r="T373" s="25"/>
      <c r="U373" s="25"/>
      <c r="V373" s="25"/>
      <c r="W373" s="25"/>
      <c r="X373" s="25"/>
      <c r="Y373" s="25"/>
      <c r="Z373" s="25"/>
    </row>
    <row r="374" customFormat="false" ht="39.75" hidden="false" customHeight="true" outlineLevel="0" collapsed="false">
      <c r="A374" s="25"/>
      <c r="B374" s="25"/>
      <c r="C374" s="25"/>
      <c r="D374" s="25"/>
      <c r="E374" s="25"/>
      <c r="F374" s="25"/>
      <c r="G374" s="25"/>
      <c r="H374" s="25"/>
      <c r="I374" s="25"/>
      <c r="J374" s="25"/>
      <c r="K374" s="25"/>
      <c r="L374" s="25"/>
      <c r="M374" s="25"/>
      <c r="N374" s="25"/>
      <c r="O374" s="25"/>
      <c r="P374" s="25"/>
      <c r="Q374" s="25"/>
      <c r="R374" s="25"/>
      <c r="S374" s="25"/>
      <c r="T374" s="25"/>
      <c r="U374" s="25"/>
      <c r="V374" s="25"/>
      <c r="W374" s="25"/>
      <c r="X374" s="25"/>
      <c r="Y374" s="25"/>
      <c r="Z374" s="25"/>
    </row>
    <row r="375" customFormat="false" ht="39.75" hidden="false" customHeight="true" outlineLevel="0" collapsed="false">
      <c r="A375" s="25"/>
      <c r="B375" s="25"/>
      <c r="C375" s="25"/>
      <c r="D375" s="25"/>
      <c r="E375" s="25"/>
      <c r="F375" s="25"/>
      <c r="G375" s="25"/>
      <c r="H375" s="25"/>
      <c r="I375" s="25"/>
      <c r="J375" s="25"/>
      <c r="K375" s="25"/>
      <c r="L375" s="25"/>
      <c r="M375" s="25"/>
      <c r="N375" s="25"/>
      <c r="O375" s="25"/>
      <c r="P375" s="25"/>
      <c r="Q375" s="25"/>
      <c r="R375" s="25"/>
      <c r="S375" s="25"/>
      <c r="T375" s="25"/>
      <c r="U375" s="25"/>
      <c r="V375" s="25"/>
      <c r="W375" s="25"/>
      <c r="X375" s="25"/>
      <c r="Y375" s="25"/>
      <c r="Z375" s="25"/>
    </row>
    <row r="376" customFormat="false" ht="39.75" hidden="false" customHeight="true" outlineLevel="0" collapsed="false">
      <c r="A376" s="25"/>
      <c r="B376" s="25"/>
      <c r="C376" s="25"/>
      <c r="D376" s="25"/>
      <c r="E376" s="25"/>
      <c r="F376" s="25"/>
      <c r="G376" s="25"/>
      <c r="H376" s="25"/>
      <c r="I376" s="25"/>
      <c r="J376" s="25"/>
      <c r="K376" s="25"/>
      <c r="L376" s="25"/>
      <c r="M376" s="25"/>
      <c r="N376" s="25"/>
      <c r="O376" s="25"/>
      <c r="P376" s="25"/>
      <c r="Q376" s="25"/>
      <c r="R376" s="25"/>
      <c r="S376" s="25"/>
      <c r="T376" s="25"/>
      <c r="U376" s="25"/>
      <c r="V376" s="25"/>
      <c r="W376" s="25"/>
      <c r="X376" s="25"/>
      <c r="Y376" s="25"/>
      <c r="Z376" s="25"/>
    </row>
    <row r="377" customFormat="false" ht="39.75" hidden="false" customHeight="true" outlineLevel="0" collapsed="false">
      <c r="A377" s="25"/>
      <c r="B377" s="25"/>
      <c r="C377" s="25"/>
      <c r="D377" s="25"/>
      <c r="E377" s="25"/>
      <c r="F377" s="25"/>
      <c r="G377" s="25"/>
      <c r="H377" s="25"/>
      <c r="I377" s="25"/>
      <c r="J377" s="25"/>
      <c r="K377" s="25"/>
      <c r="L377" s="25"/>
      <c r="M377" s="25"/>
      <c r="N377" s="25"/>
      <c r="O377" s="25"/>
      <c r="P377" s="25"/>
      <c r="Q377" s="25"/>
      <c r="R377" s="25"/>
      <c r="S377" s="25"/>
      <c r="T377" s="25"/>
      <c r="U377" s="25"/>
      <c r="V377" s="25"/>
      <c r="W377" s="25"/>
      <c r="X377" s="25"/>
      <c r="Y377" s="25"/>
      <c r="Z377" s="25"/>
    </row>
    <row r="378" customFormat="false" ht="39.75" hidden="false" customHeight="true" outlineLevel="0" collapsed="false">
      <c r="A378" s="25"/>
      <c r="B378" s="25"/>
      <c r="C378" s="25"/>
      <c r="D378" s="25"/>
      <c r="E378" s="25"/>
      <c r="F378" s="25"/>
      <c r="G378" s="25"/>
      <c r="H378" s="25"/>
      <c r="I378" s="25"/>
      <c r="J378" s="25"/>
      <c r="K378" s="25"/>
      <c r="L378" s="25"/>
      <c r="M378" s="25"/>
      <c r="N378" s="25"/>
      <c r="O378" s="25"/>
      <c r="P378" s="25"/>
      <c r="Q378" s="25"/>
      <c r="R378" s="25"/>
      <c r="S378" s="25"/>
      <c r="T378" s="25"/>
      <c r="U378" s="25"/>
      <c r="V378" s="25"/>
      <c r="W378" s="25"/>
      <c r="X378" s="25"/>
      <c r="Y378" s="25"/>
      <c r="Z378" s="25"/>
    </row>
    <row r="379" customFormat="false" ht="39.75" hidden="false" customHeight="true" outlineLevel="0" collapsed="false">
      <c r="A379" s="25"/>
      <c r="B379" s="25"/>
      <c r="C379" s="25"/>
      <c r="D379" s="25"/>
      <c r="E379" s="25"/>
      <c r="F379" s="25"/>
      <c r="G379" s="25"/>
      <c r="H379" s="25"/>
      <c r="I379" s="25"/>
      <c r="J379" s="25"/>
      <c r="K379" s="25"/>
      <c r="L379" s="25"/>
      <c r="M379" s="25"/>
      <c r="N379" s="25"/>
      <c r="O379" s="25"/>
      <c r="P379" s="25"/>
      <c r="Q379" s="25"/>
      <c r="R379" s="25"/>
      <c r="S379" s="25"/>
      <c r="T379" s="25"/>
      <c r="U379" s="25"/>
      <c r="V379" s="25"/>
      <c r="W379" s="25"/>
      <c r="X379" s="25"/>
      <c r="Y379" s="25"/>
      <c r="Z379" s="25"/>
    </row>
    <row r="380" customFormat="false" ht="39.75" hidden="false" customHeight="true" outlineLevel="0" collapsed="false">
      <c r="A380" s="25"/>
      <c r="B380" s="25"/>
      <c r="C380" s="25"/>
      <c r="D380" s="25"/>
      <c r="E380" s="25"/>
      <c r="F380" s="25"/>
      <c r="G380" s="25"/>
      <c r="H380" s="25"/>
      <c r="I380" s="25"/>
      <c r="J380" s="25"/>
      <c r="K380" s="25"/>
      <c r="L380" s="25"/>
      <c r="M380" s="25"/>
      <c r="N380" s="25"/>
      <c r="O380" s="25"/>
      <c r="P380" s="25"/>
      <c r="Q380" s="25"/>
      <c r="R380" s="25"/>
      <c r="S380" s="25"/>
      <c r="T380" s="25"/>
      <c r="U380" s="25"/>
      <c r="V380" s="25"/>
      <c r="W380" s="25"/>
      <c r="X380" s="25"/>
      <c r="Y380" s="25"/>
      <c r="Z380" s="25"/>
    </row>
    <row r="381" customFormat="false" ht="39.75" hidden="false" customHeight="true" outlineLevel="0" collapsed="false">
      <c r="A381" s="25"/>
      <c r="B381" s="25"/>
      <c r="C381" s="25"/>
      <c r="D381" s="25"/>
      <c r="E381" s="25"/>
      <c r="F381" s="25"/>
      <c r="G381" s="25"/>
      <c r="H381" s="25"/>
      <c r="I381" s="25"/>
      <c r="J381" s="25"/>
      <c r="K381" s="25"/>
      <c r="L381" s="25"/>
      <c r="M381" s="25"/>
      <c r="N381" s="25"/>
      <c r="O381" s="25"/>
      <c r="P381" s="25"/>
      <c r="Q381" s="25"/>
      <c r="R381" s="25"/>
      <c r="S381" s="25"/>
      <c r="T381" s="25"/>
      <c r="U381" s="25"/>
      <c r="V381" s="25"/>
      <c r="W381" s="25"/>
      <c r="X381" s="25"/>
      <c r="Y381" s="25"/>
      <c r="Z381" s="25"/>
    </row>
    <row r="382" customFormat="false" ht="39.75" hidden="false" customHeight="true" outlineLevel="0" collapsed="false">
      <c r="A382" s="25"/>
      <c r="B382" s="25"/>
      <c r="C382" s="25"/>
      <c r="D382" s="25"/>
      <c r="E382" s="25"/>
      <c r="F382" s="25"/>
      <c r="G382" s="25"/>
      <c r="H382" s="25"/>
      <c r="I382" s="25"/>
      <c r="J382" s="25"/>
      <c r="K382" s="25"/>
      <c r="L382" s="25"/>
      <c r="M382" s="25"/>
      <c r="N382" s="25"/>
      <c r="O382" s="25"/>
      <c r="P382" s="25"/>
      <c r="Q382" s="25"/>
      <c r="R382" s="25"/>
      <c r="S382" s="25"/>
      <c r="T382" s="25"/>
      <c r="U382" s="25"/>
      <c r="V382" s="25"/>
      <c r="W382" s="25"/>
      <c r="X382" s="25"/>
      <c r="Y382" s="25"/>
      <c r="Z382" s="25"/>
    </row>
    <row r="383" customFormat="false" ht="39.75" hidden="false" customHeight="true" outlineLevel="0" collapsed="false">
      <c r="A383" s="25"/>
      <c r="B383" s="25"/>
      <c r="C383" s="25"/>
      <c r="D383" s="25"/>
      <c r="E383" s="25"/>
      <c r="F383" s="25"/>
      <c r="G383" s="25"/>
      <c r="H383" s="25"/>
      <c r="I383" s="25"/>
      <c r="J383" s="25"/>
      <c r="K383" s="25"/>
      <c r="L383" s="25"/>
      <c r="M383" s="25"/>
      <c r="N383" s="25"/>
      <c r="O383" s="25"/>
      <c r="P383" s="25"/>
      <c r="Q383" s="25"/>
      <c r="R383" s="25"/>
      <c r="S383" s="25"/>
      <c r="T383" s="25"/>
      <c r="U383" s="25"/>
      <c r="V383" s="25"/>
      <c r="W383" s="25"/>
      <c r="X383" s="25"/>
      <c r="Y383" s="25"/>
      <c r="Z383" s="25"/>
    </row>
    <row r="384" customFormat="false" ht="39.75" hidden="false" customHeight="true" outlineLevel="0" collapsed="false">
      <c r="A384" s="25"/>
      <c r="B384" s="25"/>
      <c r="C384" s="25"/>
      <c r="D384" s="25"/>
      <c r="E384" s="25"/>
      <c r="F384" s="25"/>
      <c r="G384" s="25"/>
      <c r="H384" s="25"/>
      <c r="I384" s="25"/>
      <c r="J384" s="25"/>
      <c r="K384" s="25"/>
      <c r="L384" s="25"/>
      <c r="M384" s="25"/>
      <c r="N384" s="25"/>
      <c r="O384" s="25"/>
      <c r="P384" s="25"/>
      <c r="Q384" s="25"/>
      <c r="R384" s="25"/>
      <c r="S384" s="25"/>
      <c r="T384" s="25"/>
      <c r="U384" s="25"/>
      <c r="V384" s="25"/>
      <c r="W384" s="25"/>
      <c r="X384" s="25"/>
      <c r="Y384" s="25"/>
      <c r="Z384" s="25"/>
    </row>
    <row r="385" customFormat="false" ht="39.75" hidden="false" customHeight="true" outlineLevel="0" collapsed="false">
      <c r="A385" s="25"/>
      <c r="B385" s="25"/>
      <c r="C385" s="25"/>
      <c r="D385" s="25"/>
      <c r="E385" s="25"/>
      <c r="F385" s="25"/>
      <c r="G385" s="25"/>
      <c r="H385" s="25"/>
      <c r="I385" s="25"/>
      <c r="J385" s="25"/>
      <c r="K385" s="25"/>
      <c r="L385" s="25"/>
      <c r="M385" s="25"/>
      <c r="N385" s="25"/>
      <c r="O385" s="25"/>
      <c r="P385" s="25"/>
      <c r="Q385" s="25"/>
      <c r="R385" s="25"/>
      <c r="S385" s="25"/>
      <c r="T385" s="25"/>
      <c r="U385" s="25"/>
      <c r="V385" s="25"/>
      <c r="W385" s="25"/>
      <c r="X385" s="25"/>
      <c r="Y385" s="25"/>
      <c r="Z385" s="25"/>
    </row>
    <row r="386" customFormat="false" ht="39.75" hidden="false" customHeight="true" outlineLevel="0" collapsed="false">
      <c r="A386" s="25"/>
      <c r="B386" s="25"/>
      <c r="C386" s="25"/>
      <c r="D386" s="25"/>
      <c r="E386" s="25"/>
      <c r="F386" s="25"/>
      <c r="G386" s="25"/>
      <c r="H386" s="25"/>
      <c r="I386" s="25"/>
      <c r="J386" s="25"/>
      <c r="K386" s="25"/>
      <c r="L386" s="25"/>
      <c r="M386" s="25"/>
      <c r="N386" s="25"/>
      <c r="O386" s="25"/>
      <c r="P386" s="25"/>
      <c r="Q386" s="25"/>
      <c r="R386" s="25"/>
      <c r="S386" s="25"/>
      <c r="T386" s="25"/>
      <c r="U386" s="25"/>
      <c r="V386" s="25"/>
      <c r="W386" s="25"/>
      <c r="X386" s="25"/>
      <c r="Y386" s="25"/>
      <c r="Z386" s="25"/>
    </row>
    <row r="387" customFormat="false" ht="39.75" hidden="false" customHeight="true" outlineLevel="0" collapsed="false">
      <c r="A387" s="25"/>
      <c r="B387" s="25"/>
      <c r="C387" s="25"/>
      <c r="D387" s="25"/>
      <c r="E387" s="25"/>
      <c r="F387" s="25"/>
      <c r="G387" s="25"/>
      <c r="H387" s="25"/>
      <c r="I387" s="25"/>
      <c r="J387" s="25"/>
      <c r="K387" s="25"/>
      <c r="L387" s="25"/>
      <c r="M387" s="25"/>
      <c r="N387" s="25"/>
      <c r="O387" s="25"/>
      <c r="P387" s="25"/>
      <c r="Q387" s="25"/>
      <c r="R387" s="25"/>
      <c r="S387" s="25"/>
      <c r="T387" s="25"/>
      <c r="U387" s="25"/>
      <c r="V387" s="25"/>
      <c r="W387" s="25"/>
      <c r="X387" s="25"/>
      <c r="Y387" s="25"/>
      <c r="Z387" s="25"/>
    </row>
    <row r="388" customFormat="false" ht="39.75" hidden="false" customHeight="true" outlineLevel="0" collapsed="false">
      <c r="A388" s="25"/>
      <c r="B388" s="25"/>
      <c r="C388" s="25"/>
      <c r="D388" s="25"/>
      <c r="E388" s="25"/>
      <c r="F388" s="25"/>
      <c r="G388" s="25"/>
      <c r="H388" s="25"/>
      <c r="I388" s="25"/>
      <c r="J388" s="25"/>
      <c r="K388" s="25"/>
      <c r="L388" s="25"/>
      <c r="M388" s="25"/>
      <c r="N388" s="25"/>
      <c r="O388" s="25"/>
      <c r="P388" s="25"/>
      <c r="Q388" s="25"/>
      <c r="R388" s="25"/>
      <c r="S388" s="25"/>
      <c r="T388" s="25"/>
      <c r="U388" s="25"/>
      <c r="V388" s="25"/>
      <c r="W388" s="25"/>
      <c r="X388" s="25"/>
      <c r="Y388" s="25"/>
      <c r="Z388" s="25"/>
    </row>
    <row r="389" customFormat="false" ht="39.75" hidden="false" customHeight="true" outlineLevel="0" collapsed="false">
      <c r="A389" s="25"/>
      <c r="B389" s="25"/>
      <c r="C389" s="25"/>
      <c r="D389" s="25"/>
      <c r="E389" s="25"/>
      <c r="F389" s="25"/>
      <c r="G389" s="25"/>
      <c r="H389" s="25"/>
      <c r="I389" s="25"/>
      <c r="J389" s="25"/>
      <c r="K389" s="25"/>
      <c r="L389" s="25"/>
      <c r="M389" s="25"/>
      <c r="N389" s="25"/>
      <c r="O389" s="25"/>
      <c r="P389" s="25"/>
      <c r="Q389" s="25"/>
      <c r="R389" s="25"/>
      <c r="S389" s="25"/>
      <c r="T389" s="25"/>
      <c r="U389" s="25"/>
      <c r="V389" s="25"/>
      <c r="W389" s="25"/>
      <c r="X389" s="25"/>
      <c r="Y389" s="25"/>
      <c r="Z389" s="25"/>
    </row>
    <row r="390" customFormat="false" ht="39.75" hidden="false" customHeight="true" outlineLevel="0" collapsed="false">
      <c r="A390" s="25"/>
      <c r="B390" s="25"/>
      <c r="C390" s="25"/>
      <c r="D390" s="25"/>
      <c r="E390" s="25"/>
      <c r="F390" s="25"/>
      <c r="G390" s="25"/>
      <c r="H390" s="25"/>
      <c r="I390" s="25"/>
      <c r="J390" s="25"/>
      <c r="K390" s="25"/>
      <c r="L390" s="25"/>
      <c r="M390" s="25"/>
      <c r="N390" s="25"/>
      <c r="O390" s="25"/>
      <c r="P390" s="25"/>
      <c r="Q390" s="25"/>
      <c r="R390" s="25"/>
      <c r="S390" s="25"/>
      <c r="T390" s="25"/>
      <c r="U390" s="25"/>
      <c r="V390" s="25"/>
      <c r="W390" s="25"/>
      <c r="X390" s="25"/>
      <c r="Y390" s="25"/>
      <c r="Z390" s="25"/>
    </row>
    <row r="391" customFormat="false" ht="39.75" hidden="false" customHeight="true" outlineLevel="0" collapsed="false">
      <c r="A391" s="25"/>
      <c r="B391" s="25"/>
      <c r="C391" s="25"/>
      <c r="D391" s="25"/>
      <c r="E391" s="25"/>
      <c r="F391" s="25"/>
      <c r="G391" s="25"/>
      <c r="H391" s="25"/>
      <c r="I391" s="25"/>
      <c r="J391" s="25"/>
      <c r="K391" s="25"/>
      <c r="L391" s="25"/>
      <c r="M391" s="25"/>
      <c r="N391" s="25"/>
      <c r="O391" s="25"/>
      <c r="P391" s="25"/>
      <c r="Q391" s="25"/>
      <c r="R391" s="25"/>
      <c r="S391" s="25"/>
      <c r="T391" s="25"/>
      <c r="U391" s="25"/>
      <c r="V391" s="25"/>
      <c r="W391" s="25"/>
      <c r="X391" s="25"/>
      <c r="Y391" s="25"/>
      <c r="Z391" s="25"/>
    </row>
    <row r="392" customFormat="false" ht="39.75" hidden="false" customHeight="true" outlineLevel="0" collapsed="false">
      <c r="A392" s="25"/>
      <c r="B392" s="25"/>
      <c r="C392" s="25"/>
      <c r="D392" s="25"/>
      <c r="E392" s="25"/>
      <c r="F392" s="25"/>
      <c r="G392" s="25"/>
      <c r="H392" s="25"/>
      <c r="I392" s="25"/>
      <c r="J392" s="25"/>
      <c r="K392" s="25"/>
      <c r="L392" s="25"/>
      <c r="M392" s="25"/>
      <c r="N392" s="25"/>
      <c r="O392" s="25"/>
      <c r="P392" s="25"/>
      <c r="Q392" s="25"/>
      <c r="R392" s="25"/>
      <c r="S392" s="25"/>
      <c r="T392" s="25"/>
      <c r="U392" s="25"/>
      <c r="V392" s="25"/>
      <c r="W392" s="25"/>
      <c r="X392" s="25"/>
      <c r="Y392" s="25"/>
      <c r="Z392" s="25"/>
    </row>
    <row r="393" customFormat="false" ht="39.75" hidden="false" customHeight="true" outlineLevel="0" collapsed="false">
      <c r="A393" s="25"/>
      <c r="B393" s="25"/>
      <c r="C393" s="25"/>
      <c r="D393" s="25"/>
      <c r="E393" s="25"/>
      <c r="F393" s="25"/>
      <c r="G393" s="25"/>
      <c r="H393" s="25"/>
      <c r="I393" s="25"/>
      <c r="J393" s="25"/>
      <c r="K393" s="25"/>
      <c r="L393" s="25"/>
      <c r="M393" s="25"/>
      <c r="N393" s="25"/>
      <c r="O393" s="25"/>
      <c r="P393" s="25"/>
      <c r="Q393" s="25"/>
      <c r="R393" s="25"/>
      <c r="S393" s="25"/>
      <c r="T393" s="25"/>
      <c r="U393" s="25"/>
      <c r="V393" s="25"/>
      <c r="W393" s="25"/>
      <c r="X393" s="25"/>
      <c r="Y393" s="25"/>
      <c r="Z393" s="25"/>
    </row>
    <row r="394" customFormat="false" ht="39.75" hidden="false" customHeight="true" outlineLevel="0" collapsed="false">
      <c r="A394" s="25"/>
      <c r="B394" s="25"/>
      <c r="C394" s="25"/>
      <c r="D394" s="25"/>
      <c r="E394" s="25"/>
      <c r="F394" s="25"/>
      <c r="G394" s="25"/>
      <c r="H394" s="25"/>
      <c r="I394" s="25"/>
      <c r="J394" s="25"/>
      <c r="K394" s="25"/>
      <c r="L394" s="25"/>
      <c r="M394" s="25"/>
      <c r="N394" s="25"/>
      <c r="O394" s="25"/>
      <c r="P394" s="25"/>
      <c r="Q394" s="25"/>
      <c r="R394" s="25"/>
      <c r="S394" s="25"/>
      <c r="T394" s="25"/>
      <c r="U394" s="25"/>
      <c r="V394" s="25"/>
      <c r="W394" s="25"/>
      <c r="X394" s="25"/>
      <c r="Y394" s="25"/>
      <c r="Z394" s="25"/>
    </row>
    <row r="395" customFormat="false" ht="39.75" hidden="false" customHeight="true" outlineLevel="0" collapsed="false">
      <c r="A395" s="25"/>
      <c r="B395" s="25"/>
      <c r="C395" s="25"/>
      <c r="D395" s="25"/>
      <c r="E395" s="25"/>
      <c r="F395" s="25"/>
      <c r="G395" s="25"/>
      <c r="H395" s="25"/>
      <c r="I395" s="25"/>
      <c r="J395" s="25"/>
      <c r="K395" s="25"/>
      <c r="L395" s="25"/>
      <c r="M395" s="25"/>
      <c r="N395" s="25"/>
      <c r="O395" s="25"/>
      <c r="P395" s="25"/>
      <c r="Q395" s="25"/>
      <c r="R395" s="25"/>
      <c r="S395" s="25"/>
      <c r="T395" s="25"/>
      <c r="U395" s="25"/>
      <c r="V395" s="25"/>
      <c r="W395" s="25"/>
      <c r="X395" s="25"/>
      <c r="Y395" s="25"/>
      <c r="Z395" s="25"/>
    </row>
    <row r="396" customFormat="false" ht="39.75" hidden="false" customHeight="true" outlineLevel="0" collapsed="false">
      <c r="A396" s="25"/>
      <c r="B396" s="25"/>
      <c r="C396" s="25"/>
      <c r="D396" s="25"/>
      <c r="E396" s="25"/>
      <c r="F396" s="25"/>
      <c r="G396" s="25"/>
      <c r="H396" s="25"/>
      <c r="I396" s="25"/>
      <c r="J396" s="25"/>
      <c r="K396" s="25"/>
      <c r="L396" s="25"/>
      <c r="M396" s="25"/>
      <c r="N396" s="25"/>
      <c r="O396" s="25"/>
      <c r="P396" s="25"/>
      <c r="Q396" s="25"/>
      <c r="R396" s="25"/>
      <c r="S396" s="25"/>
      <c r="T396" s="25"/>
      <c r="U396" s="25"/>
      <c r="V396" s="25"/>
      <c r="W396" s="25"/>
      <c r="X396" s="25"/>
      <c r="Y396" s="25"/>
      <c r="Z396" s="25"/>
    </row>
    <row r="397" customFormat="false" ht="39.75" hidden="false" customHeight="true" outlineLevel="0" collapsed="false">
      <c r="A397" s="25"/>
      <c r="B397" s="25"/>
      <c r="C397" s="25"/>
      <c r="D397" s="25"/>
      <c r="E397" s="25"/>
      <c r="F397" s="25"/>
      <c r="G397" s="25"/>
      <c r="H397" s="25"/>
      <c r="I397" s="25"/>
      <c r="J397" s="25"/>
      <c r="K397" s="25"/>
      <c r="L397" s="25"/>
      <c r="M397" s="25"/>
      <c r="N397" s="25"/>
      <c r="O397" s="25"/>
      <c r="P397" s="25"/>
      <c r="Q397" s="25"/>
      <c r="R397" s="25"/>
      <c r="S397" s="25"/>
      <c r="T397" s="25"/>
      <c r="U397" s="25"/>
      <c r="V397" s="25"/>
      <c r="W397" s="25"/>
      <c r="X397" s="25"/>
      <c r="Y397" s="25"/>
      <c r="Z397" s="25"/>
    </row>
    <row r="398" customFormat="false" ht="39.75" hidden="false" customHeight="true" outlineLevel="0" collapsed="false">
      <c r="A398" s="25"/>
      <c r="B398" s="25"/>
      <c r="C398" s="25"/>
      <c r="D398" s="25"/>
      <c r="E398" s="25"/>
      <c r="F398" s="25"/>
      <c r="G398" s="25"/>
      <c r="H398" s="25"/>
      <c r="I398" s="25"/>
      <c r="J398" s="25"/>
      <c r="K398" s="25"/>
      <c r="L398" s="25"/>
      <c r="M398" s="25"/>
      <c r="N398" s="25"/>
      <c r="O398" s="25"/>
      <c r="P398" s="25"/>
      <c r="Q398" s="25"/>
      <c r="R398" s="25"/>
      <c r="S398" s="25"/>
      <c r="T398" s="25"/>
      <c r="U398" s="25"/>
      <c r="V398" s="25"/>
      <c r="W398" s="25"/>
      <c r="X398" s="25"/>
      <c r="Y398" s="25"/>
      <c r="Z398" s="25"/>
    </row>
    <row r="399" customFormat="false" ht="39.75" hidden="false" customHeight="true" outlineLevel="0" collapsed="false">
      <c r="A399" s="25"/>
      <c r="B399" s="25"/>
      <c r="C399" s="25"/>
      <c r="D399" s="25"/>
      <c r="E399" s="25"/>
      <c r="F399" s="25"/>
      <c r="G399" s="25"/>
      <c r="H399" s="25"/>
      <c r="I399" s="25"/>
      <c r="J399" s="25"/>
      <c r="K399" s="25"/>
      <c r="L399" s="25"/>
      <c r="M399" s="25"/>
      <c r="N399" s="25"/>
      <c r="O399" s="25"/>
      <c r="P399" s="25"/>
      <c r="Q399" s="25"/>
      <c r="R399" s="25"/>
      <c r="S399" s="25"/>
      <c r="T399" s="25"/>
      <c r="U399" s="25"/>
      <c r="V399" s="25"/>
      <c r="W399" s="25"/>
      <c r="X399" s="25"/>
      <c r="Y399" s="25"/>
      <c r="Z399" s="25"/>
    </row>
    <row r="400" customFormat="false" ht="39.75" hidden="false" customHeight="true" outlineLevel="0" collapsed="false">
      <c r="A400" s="25"/>
      <c r="B400" s="25"/>
      <c r="C400" s="25"/>
      <c r="D400" s="25"/>
      <c r="E400" s="25"/>
      <c r="F400" s="25"/>
      <c r="G400" s="25"/>
      <c r="H400" s="25"/>
      <c r="I400" s="25"/>
      <c r="J400" s="25"/>
      <c r="K400" s="25"/>
      <c r="L400" s="25"/>
      <c r="M400" s="25"/>
      <c r="N400" s="25"/>
      <c r="O400" s="25"/>
      <c r="P400" s="25"/>
      <c r="Q400" s="25"/>
      <c r="R400" s="25"/>
      <c r="S400" s="25"/>
      <c r="T400" s="25"/>
      <c r="U400" s="25"/>
      <c r="V400" s="25"/>
      <c r="W400" s="25"/>
      <c r="X400" s="25"/>
      <c r="Y400" s="25"/>
      <c r="Z400" s="25"/>
    </row>
    <row r="401" customFormat="false" ht="39.75" hidden="false" customHeight="true" outlineLevel="0" collapsed="false">
      <c r="A401" s="25"/>
      <c r="B401" s="25"/>
      <c r="C401" s="25"/>
      <c r="D401" s="25"/>
      <c r="E401" s="25"/>
      <c r="F401" s="25"/>
      <c r="G401" s="25"/>
      <c r="H401" s="25"/>
      <c r="I401" s="25"/>
      <c r="J401" s="25"/>
      <c r="K401" s="25"/>
      <c r="L401" s="25"/>
      <c r="M401" s="25"/>
      <c r="N401" s="25"/>
      <c r="O401" s="25"/>
      <c r="P401" s="25"/>
      <c r="Q401" s="25"/>
      <c r="R401" s="25"/>
      <c r="S401" s="25"/>
      <c r="T401" s="25"/>
      <c r="U401" s="25"/>
      <c r="V401" s="25"/>
      <c r="W401" s="25"/>
      <c r="X401" s="25"/>
      <c r="Y401" s="25"/>
      <c r="Z401" s="25"/>
    </row>
    <row r="402" customFormat="false" ht="39.75" hidden="false" customHeight="true" outlineLevel="0" collapsed="false">
      <c r="A402" s="25"/>
      <c r="B402" s="25"/>
      <c r="C402" s="25"/>
      <c r="D402" s="25"/>
      <c r="E402" s="25"/>
      <c r="F402" s="25"/>
      <c r="G402" s="25"/>
      <c r="H402" s="25"/>
      <c r="I402" s="25"/>
      <c r="J402" s="25"/>
      <c r="K402" s="25"/>
      <c r="L402" s="25"/>
      <c r="M402" s="25"/>
      <c r="N402" s="25"/>
      <c r="O402" s="25"/>
      <c r="P402" s="25"/>
      <c r="Q402" s="25"/>
      <c r="R402" s="25"/>
      <c r="S402" s="25"/>
      <c r="T402" s="25"/>
      <c r="U402" s="25"/>
      <c r="V402" s="25"/>
      <c r="W402" s="25"/>
      <c r="X402" s="25"/>
      <c r="Y402" s="25"/>
      <c r="Z402" s="25"/>
    </row>
    <row r="403" customFormat="false" ht="39.75" hidden="false" customHeight="true" outlineLevel="0" collapsed="false">
      <c r="A403" s="25"/>
      <c r="B403" s="25"/>
      <c r="C403" s="25"/>
      <c r="D403" s="25"/>
      <c r="E403" s="25"/>
      <c r="F403" s="25"/>
      <c r="G403" s="25"/>
      <c r="H403" s="25"/>
      <c r="I403" s="25"/>
      <c r="J403" s="25"/>
      <c r="K403" s="25"/>
      <c r="L403" s="25"/>
      <c r="M403" s="25"/>
      <c r="N403" s="25"/>
      <c r="O403" s="25"/>
      <c r="P403" s="25"/>
      <c r="Q403" s="25"/>
      <c r="R403" s="25"/>
      <c r="S403" s="25"/>
      <c r="T403" s="25"/>
      <c r="U403" s="25"/>
      <c r="V403" s="25"/>
      <c r="W403" s="25"/>
      <c r="X403" s="25"/>
      <c r="Y403" s="25"/>
      <c r="Z403" s="25"/>
    </row>
    <row r="404" customFormat="false" ht="39.75" hidden="false" customHeight="true" outlineLevel="0" collapsed="false">
      <c r="A404" s="25"/>
      <c r="B404" s="25"/>
      <c r="C404" s="25"/>
      <c r="D404" s="25"/>
      <c r="E404" s="25"/>
      <c r="F404" s="25"/>
      <c r="G404" s="25"/>
      <c r="H404" s="25"/>
      <c r="I404" s="25"/>
      <c r="J404" s="25"/>
      <c r="K404" s="25"/>
      <c r="L404" s="25"/>
      <c r="M404" s="25"/>
      <c r="N404" s="25"/>
      <c r="O404" s="25"/>
      <c r="P404" s="25"/>
      <c r="Q404" s="25"/>
      <c r="R404" s="25"/>
      <c r="S404" s="25"/>
      <c r="T404" s="25"/>
      <c r="U404" s="25"/>
      <c r="V404" s="25"/>
      <c r="W404" s="25"/>
      <c r="X404" s="25"/>
      <c r="Y404" s="25"/>
      <c r="Z404" s="25"/>
    </row>
    <row r="405" customFormat="false" ht="39.75" hidden="false" customHeight="true" outlineLevel="0" collapsed="false">
      <c r="A405" s="25"/>
      <c r="B405" s="25"/>
      <c r="C405" s="25"/>
      <c r="D405" s="25"/>
      <c r="E405" s="25"/>
      <c r="F405" s="25"/>
      <c r="G405" s="25"/>
      <c r="H405" s="25"/>
      <c r="I405" s="25"/>
      <c r="J405" s="25"/>
      <c r="K405" s="25"/>
      <c r="L405" s="25"/>
      <c r="M405" s="25"/>
      <c r="N405" s="25"/>
      <c r="O405" s="25"/>
      <c r="P405" s="25"/>
      <c r="Q405" s="25"/>
      <c r="R405" s="25"/>
      <c r="S405" s="25"/>
      <c r="T405" s="25"/>
      <c r="U405" s="25"/>
      <c r="V405" s="25"/>
      <c r="W405" s="25"/>
      <c r="X405" s="25"/>
      <c r="Y405" s="25"/>
      <c r="Z405" s="25"/>
    </row>
    <row r="406" customFormat="false" ht="39.75" hidden="false" customHeight="true" outlineLevel="0" collapsed="false">
      <c r="A406" s="25"/>
      <c r="B406" s="25"/>
      <c r="C406" s="25"/>
      <c r="D406" s="25"/>
      <c r="E406" s="25"/>
      <c r="F406" s="25"/>
      <c r="G406" s="25"/>
      <c r="H406" s="25"/>
      <c r="I406" s="25"/>
      <c r="J406" s="25"/>
      <c r="K406" s="25"/>
      <c r="L406" s="25"/>
      <c r="M406" s="25"/>
      <c r="N406" s="25"/>
      <c r="O406" s="25"/>
      <c r="P406" s="25"/>
      <c r="Q406" s="25"/>
      <c r="R406" s="25"/>
      <c r="S406" s="25"/>
      <c r="T406" s="25"/>
      <c r="U406" s="25"/>
      <c r="V406" s="25"/>
      <c r="W406" s="25"/>
      <c r="X406" s="25"/>
      <c r="Y406" s="25"/>
      <c r="Z406" s="25"/>
    </row>
    <row r="407" customFormat="false" ht="39.75" hidden="false" customHeight="true" outlineLevel="0" collapsed="false">
      <c r="A407" s="25"/>
      <c r="B407" s="25"/>
      <c r="C407" s="25"/>
      <c r="D407" s="25"/>
      <c r="E407" s="25"/>
      <c r="F407" s="25"/>
      <c r="G407" s="25"/>
      <c r="H407" s="25"/>
      <c r="I407" s="25"/>
      <c r="J407" s="25"/>
      <c r="K407" s="25"/>
      <c r="L407" s="25"/>
      <c r="M407" s="25"/>
      <c r="N407" s="25"/>
      <c r="O407" s="25"/>
      <c r="P407" s="25"/>
      <c r="Q407" s="25"/>
      <c r="R407" s="25"/>
      <c r="S407" s="25"/>
      <c r="T407" s="25"/>
      <c r="U407" s="25"/>
      <c r="V407" s="25"/>
      <c r="W407" s="25"/>
      <c r="X407" s="25"/>
      <c r="Y407" s="25"/>
      <c r="Z407" s="25"/>
    </row>
    <row r="408" customFormat="false" ht="39.75" hidden="false" customHeight="true" outlineLevel="0" collapsed="false">
      <c r="A408" s="25"/>
      <c r="B408" s="25"/>
      <c r="C408" s="25"/>
      <c r="D408" s="25"/>
      <c r="E408" s="25"/>
      <c r="F408" s="25"/>
      <c r="G408" s="25"/>
      <c r="H408" s="25"/>
      <c r="I408" s="25"/>
      <c r="J408" s="25"/>
      <c r="K408" s="25"/>
      <c r="L408" s="25"/>
      <c r="M408" s="25"/>
      <c r="N408" s="25"/>
      <c r="O408" s="25"/>
      <c r="P408" s="25"/>
      <c r="Q408" s="25"/>
      <c r="R408" s="25"/>
      <c r="S408" s="25"/>
      <c r="T408" s="25"/>
      <c r="U408" s="25"/>
      <c r="V408" s="25"/>
      <c r="W408" s="25"/>
      <c r="X408" s="25"/>
      <c r="Y408" s="25"/>
      <c r="Z408" s="25"/>
    </row>
    <row r="409" customFormat="false" ht="39.75" hidden="false" customHeight="true" outlineLevel="0" collapsed="false">
      <c r="A409" s="25"/>
      <c r="B409" s="25"/>
      <c r="C409" s="25"/>
      <c r="D409" s="25"/>
      <c r="E409" s="25"/>
      <c r="F409" s="25"/>
      <c r="G409" s="25"/>
      <c r="H409" s="25"/>
      <c r="I409" s="25"/>
      <c r="J409" s="25"/>
      <c r="K409" s="25"/>
      <c r="L409" s="25"/>
      <c r="M409" s="25"/>
      <c r="N409" s="25"/>
      <c r="O409" s="25"/>
      <c r="P409" s="25"/>
      <c r="Q409" s="25"/>
      <c r="R409" s="25"/>
      <c r="S409" s="25"/>
      <c r="T409" s="25"/>
      <c r="U409" s="25"/>
      <c r="V409" s="25"/>
      <c r="W409" s="25"/>
      <c r="X409" s="25"/>
      <c r="Y409" s="25"/>
      <c r="Z409" s="25"/>
    </row>
    <row r="410" customFormat="false" ht="39.75" hidden="false" customHeight="true" outlineLevel="0" collapsed="false">
      <c r="A410" s="25"/>
      <c r="B410" s="25"/>
      <c r="C410" s="25"/>
      <c r="D410" s="25"/>
      <c r="E410" s="25"/>
      <c r="F410" s="25"/>
      <c r="G410" s="25"/>
      <c r="H410" s="25"/>
      <c r="I410" s="25"/>
      <c r="J410" s="25"/>
      <c r="K410" s="25"/>
      <c r="L410" s="25"/>
      <c r="M410" s="25"/>
      <c r="N410" s="25"/>
      <c r="O410" s="25"/>
      <c r="P410" s="25"/>
      <c r="Q410" s="25"/>
      <c r="R410" s="25"/>
      <c r="S410" s="25"/>
      <c r="T410" s="25"/>
      <c r="U410" s="25"/>
      <c r="V410" s="25"/>
      <c r="W410" s="25"/>
      <c r="X410" s="25"/>
      <c r="Y410" s="25"/>
      <c r="Z410" s="25"/>
    </row>
    <row r="411" customFormat="false" ht="39.75" hidden="false" customHeight="true" outlineLevel="0" collapsed="false">
      <c r="A411" s="25"/>
      <c r="B411" s="25"/>
      <c r="C411" s="25"/>
      <c r="D411" s="25"/>
      <c r="E411" s="25"/>
      <c r="F411" s="25"/>
      <c r="G411" s="25"/>
      <c r="H411" s="25"/>
      <c r="I411" s="25"/>
      <c r="J411" s="25"/>
      <c r="K411" s="25"/>
      <c r="L411" s="25"/>
      <c r="M411" s="25"/>
      <c r="N411" s="25"/>
      <c r="O411" s="25"/>
      <c r="P411" s="25"/>
      <c r="Q411" s="25"/>
      <c r="R411" s="25"/>
      <c r="S411" s="25"/>
      <c r="T411" s="25"/>
      <c r="U411" s="25"/>
      <c r="V411" s="25"/>
      <c r="W411" s="25"/>
      <c r="X411" s="25"/>
      <c r="Y411" s="25"/>
      <c r="Z411" s="25"/>
    </row>
    <row r="412" customFormat="false" ht="39.75" hidden="false" customHeight="true" outlineLevel="0" collapsed="false">
      <c r="A412" s="25"/>
      <c r="B412" s="25"/>
      <c r="C412" s="25"/>
      <c r="D412" s="25"/>
      <c r="E412" s="25"/>
      <c r="F412" s="25"/>
      <c r="G412" s="25"/>
      <c r="H412" s="25"/>
      <c r="I412" s="25"/>
      <c r="J412" s="25"/>
      <c r="K412" s="25"/>
      <c r="L412" s="25"/>
      <c r="M412" s="25"/>
      <c r="N412" s="25"/>
      <c r="O412" s="25"/>
      <c r="P412" s="25"/>
      <c r="Q412" s="25"/>
      <c r="R412" s="25"/>
      <c r="S412" s="25"/>
      <c r="T412" s="25"/>
      <c r="U412" s="25"/>
      <c r="V412" s="25"/>
      <c r="W412" s="25"/>
      <c r="X412" s="25"/>
      <c r="Y412" s="25"/>
      <c r="Z412" s="25"/>
    </row>
    <row r="413" customFormat="false" ht="39.75" hidden="false" customHeight="true" outlineLevel="0" collapsed="false">
      <c r="A413" s="25"/>
      <c r="B413" s="25"/>
      <c r="C413" s="25"/>
      <c r="D413" s="25"/>
      <c r="E413" s="25"/>
      <c r="F413" s="25"/>
      <c r="G413" s="25"/>
      <c r="H413" s="25"/>
      <c r="I413" s="25"/>
      <c r="J413" s="25"/>
      <c r="K413" s="25"/>
      <c r="L413" s="25"/>
      <c r="M413" s="25"/>
      <c r="N413" s="25"/>
      <c r="O413" s="25"/>
      <c r="P413" s="25"/>
      <c r="Q413" s="25"/>
      <c r="R413" s="25"/>
      <c r="S413" s="25"/>
      <c r="T413" s="25"/>
      <c r="U413" s="25"/>
      <c r="V413" s="25"/>
      <c r="W413" s="25"/>
      <c r="X413" s="25"/>
      <c r="Y413" s="25"/>
      <c r="Z413" s="25"/>
    </row>
    <row r="414" customFormat="false" ht="39.75" hidden="false" customHeight="true" outlineLevel="0" collapsed="false">
      <c r="A414" s="25"/>
      <c r="B414" s="25"/>
      <c r="C414" s="25"/>
      <c r="D414" s="25"/>
      <c r="E414" s="25"/>
      <c r="F414" s="25"/>
      <c r="G414" s="25"/>
      <c r="H414" s="25"/>
      <c r="I414" s="25"/>
      <c r="J414" s="25"/>
      <c r="K414" s="25"/>
      <c r="L414" s="25"/>
      <c r="M414" s="25"/>
      <c r="N414" s="25"/>
      <c r="O414" s="25"/>
      <c r="P414" s="25"/>
      <c r="Q414" s="25"/>
      <c r="R414" s="25"/>
      <c r="S414" s="25"/>
      <c r="T414" s="25"/>
      <c r="U414" s="25"/>
      <c r="V414" s="25"/>
      <c r="W414" s="25"/>
      <c r="X414" s="25"/>
      <c r="Y414" s="25"/>
      <c r="Z414" s="25"/>
    </row>
    <row r="415" customFormat="false" ht="39.75" hidden="false" customHeight="true" outlineLevel="0" collapsed="false">
      <c r="A415" s="25"/>
      <c r="B415" s="25"/>
      <c r="C415" s="25"/>
      <c r="D415" s="25"/>
      <c r="E415" s="25"/>
      <c r="F415" s="25"/>
      <c r="G415" s="25"/>
      <c r="H415" s="25"/>
      <c r="I415" s="25"/>
      <c r="J415" s="25"/>
      <c r="K415" s="25"/>
      <c r="L415" s="25"/>
      <c r="M415" s="25"/>
      <c r="N415" s="25"/>
      <c r="O415" s="25"/>
      <c r="P415" s="25"/>
      <c r="Q415" s="25"/>
      <c r="R415" s="25"/>
      <c r="S415" s="25"/>
      <c r="T415" s="25"/>
      <c r="U415" s="25"/>
      <c r="V415" s="25"/>
      <c r="W415" s="25"/>
      <c r="X415" s="25"/>
      <c r="Y415" s="25"/>
      <c r="Z415" s="25"/>
    </row>
    <row r="416" customFormat="false" ht="39.75" hidden="false" customHeight="true" outlineLevel="0" collapsed="false">
      <c r="A416" s="25"/>
      <c r="B416" s="25"/>
      <c r="C416" s="25"/>
      <c r="D416" s="25"/>
      <c r="E416" s="25"/>
      <c r="F416" s="25"/>
      <c r="G416" s="25"/>
      <c r="H416" s="25"/>
      <c r="I416" s="25"/>
      <c r="J416" s="25"/>
      <c r="K416" s="25"/>
      <c r="L416" s="25"/>
      <c r="M416" s="25"/>
      <c r="N416" s="25"/>
      <c r="O416" s="25"/>
      <c r="P416" s="25"/>
      <c r="Q416" s="25"/>
      <c r="R416" s="25"/>
      <c r="S416" s="25"/>
      <c r="T416" s="25"/>
      <c r="U416" s="25"/>
      <c r="V416" s="25"/>
      <c r="W416" s="25"/>
      <c r="X416" s="25"/>
      <c r="Y416" s="25"/>
      <c r="Z416" s="25"/>
    </row>
    <row r="417" customFormat="false" ht="39.75" hidden="false" customHeight="true" outlineLevel="0" collapsed="false">
      <c r="A417" s="25"/>
      <c r="B417" s="25"/>
      <c r="C417" s="25"/>
      <c r="D417" s="25"/>
      <c r="E417" s="25"/>
      <c r="F417" s="25"/>
      <c r="G417" s="25"/>
      <c r="H417" s="25"/>
      <c r="I417" s="25"/>
      <c r="J417" s="25"/>
      <c r="K417" s="25"/>
      <c r="L417" s="25"/>
      <c r="M417" s="25"/>
      <c r="N417" s="25"/>
      <c r="O417" s="25"/>
      <c r="P417" s="25"/>
      <c r="Q417" s="25"/>
      <c r="R417" s="25"/>
      <c r="S417" s="25"/>
      <c r="T417" s="25"/>
      <c r="U417" s="25"/>
      <c r="V417" s="25"/>
      <c r="W417" s="25"/>
      <c r="X417" s="25"/>
      <c r="Y417" s="25"/>
      <c r="Z417" s="25"/>
    </row>
    <row r="418" customFormat="false" ht="39.75" hidden="false" customHeight="true" outlineLevel="0" collapsed="false">
      <c r="A418" s="25"/>
      <c r="B418" s="25"/>
      <c r="C418" s="25"/>
      <c r="D418" s="25"/>
      <c r="E418" s="25"/>
      <c r="F418" s="25"/>
      <c r="G418" s="25"/>
      <c r="H418" s="25"/>
      <c r="I418" s="25"/>
      <c r="J418" s="25"/>
      <c r="K418" s="25"/>
      <c r="L418" s="25"/>
      <c r="M418" s="25"/>
      <c r="N418" s="25"/>
      <c r="O418" s="25"/>
      <c r="P418" s="25"/>
      <c r="Q418" s="25"/>
      <c r="R418" s="25"/>
      <c r="S418" s="25"/>
      <c r="T418" s="25"/>
      <c r="U418" s="25"/>
      <c r="V418" s="25"/>
      <c r="W418" s="25"/>
      <c r="X418" s="25"/>
      <c r="Y418" s="25"/>
      <c r="Z418" s="25"/>
    </row>
    <row r="419" customFormat="false" ht="39.75" hidden="false" customHeight="true" outlineLevel="0" collapsed="false">
      <c r="A419" s="25"/>
      <c r="B419" s="25"/>
      <c r="C419" s="25"/>
      <c r="D419" s="25"/>
      <c r="E419" s="25"/>
      <c r="F419" s="25"/>
      <c r="G419" s="25"/>
      <c r="H419" s="25"/>
      <c r="I419" s="25"/>
      <c r="J419" s="25"/>
      <c r="K419" s="25"/>
      <c r="L419" s="25"/>
      <c r="M419" s="25"/>
      <c r="N419" s="25"/>
      <c r="O419" s="25"/>
      <c r="P419" s="25"/>
      <c r="Q419" s="25"/>
      <c r="R419" s="25"/>
      <c r="S419" s="25"/>
      <c r="T419" s="25"/>
      <c r="U419" s="25"/>
      <c r="V419" s="25"/>
      <c r="W419" s="25"/>
      <c r="X419" s="25"/>
      <c r="Y419" s="25"/>
      <c r="Z419" s="25"/>
    </row>
    <row r="420" customFormat="false" ht="39.75" hidden="false" customHeight="true" outlineLevel="0" collapsed="false">
      <c r="A420" s="25"/>
      <c r="B420" s="25"/>
      <c r="C420" s="25"/>
      <c r="D420" s="25"/>
      <c r="E420" s="25"/>
      <c r="F420" s="25"/>
      <c r="G420" s="25"/>
      <c r="H420" s="25"/>
      <c r="I420" s="25"/>
      <c r="J420" s="25"/>
      <c r="K420" s="25"/>
      <c r="L420" s="25"/>
      <c r="M420" s="25"/>
      <c r="N420" s="25"/>
      <c r="O420" s="25"/>
      <c r="P420" s="25"/>
      <c r="Q420" s="25"/>
      <c r="R420" s="25"/>
      <c r="S420" s="25"/>
      <c r="T420" s="25"/>
      <c r="U420" s="25"/>
      <c r="V420" s="25"/>
      <c r="W420" s="25"/>
      <c r="X420" s="25"/>
      <c r="Y420" s="25"/>
      <c r="Z420" s="25"/>
    </row>
    <row r="421" customFormat="false" ht="39.75" hidden="false" customHeight="true" outlineLevel="0" collapsed="false">
      <c r="A421" s="25"/>
      <c r="B421" s="25"/>
      <c r="C421" s="25"/>
      <c r="D421" s="25"/>
      <c r="E421" s="25"/>
      <c r="F421" s="25"/>
      <c r="G421" s="25"/>
      <c r="H421" s="25"/>
      <c r="I421" s="25"/>
      <c r="J421" s="25"/>
      <c r="K421" s="25"/>
      <c r="L421" s="25"/>
      <c r="M421" s="25"/>
      <c r="N421" s="25"/>
      <c r="O421" s="25"/>
      <c r="P421" s="25"/>
      <c r="Q421" s="25"/>
      <c r="R421" s="25"/>
      <c r="S421" s="25"/>
      <c r="T421" s="25"/>
      <c r="U421" s="25"/>
      <c r="V421" s="25"/>
      <c r="W421" s="25"/>
      <c r="X421" s="25"/>
      <c r="Y421" s="25"/>
      <c r="Z421" s="25"/>
    </row>
    <row r="422" customFormat="false" ht="39.75" hidden="false" customHeight="true" outlineLevel="0" collapsed="false">
      <c r="A422" s="25"/>
      <c r="B422" s="25"/>
      <c r="C422" s="25"/>
      <c r="D422" s="25"/>
      <c r="E422" s="25"/>
      <c r="F422" s="25"/>
      <c r="G422" s="25"/>
      <c r="H422" s="25"/>
      <c r="I422" s="25"/>
      <c r="J422" s="25"/>
      <c r="K422" s="25"/>
      <c r="L422" s="25"/>
      <c r="M422" s="25"/>
      <c r="N422" s="25"/>
      <c r="O422" s="25"/>
      <c r="P422" s="25"/>
      <c r="Q422" s="25"/>
      <c r="R422" s="25"/>
      <c r="S422" s="25"/>
      <c r="T422" s="25"/>
      <c r="U422" s="25"/>
      <c r="V422" s="25"/>
      <c r="W422" s="25"/>
      <c r="X422" s="25"/>
      <c r="Y422" s="25"/>
      <c r="Z422" s="25"/>
    </row>
    <row r="423" customFormat="false" ht="39.75" hidden="false" customHeight="true" outlineLevel="0" collapsed="false">
      <c r="A423" s="25"/>
      <c r="B423" s="25"/>
      <c r="C423" s="25"/>
      <c r="D423" s="25"/>
      <c r="E423" s="25"/>
      <c r="F423" s="25"/>
      <c r="G423" s="25"/>
      <c r="H423" s="25"/>
      <c r="I423" s="25"/>
      <c r="J423" s="25"/>
      <c r="K423" s="25"/>
      <c r="L423" s="25"/>
      <c r="M423" s="25"/>
      <c r="N423" s="25"/>
      <c r="O423" s="25"/>
      <c r="P423" s="25"/>
      <c r="Q423" s="25"/>
      <c r="R423" s="25"/>
      <c r="S423" s="25"/>
      <c r="T423" s="25"/>
      <c r="U423" s="25"/>
      <c r="V423" s="25"/>
      <c r="W423" s="25"/>
      <c r="X423" s="25"/>
      <c r="Y423" s="25"/>
      <c r="Z423" s="25"/>
    </row>
    <row r="424" customFormat="false" ht="39.75" hidden="false" customHeight="true" outlineLevel="0" collapsed="false">
      <c r="A424" s="25"/>
      <c r="B424" s="25"/>
      <c r="C424" s="25"/>
      <c r="D424" s="25"/>
      <c r="E424" s="25"/>
      <c r="F424" s="25"/>
      <c r="G424" s="25"/>
      <c r="H424" s="25"/>
      <c r="I424" s="25"/>
      <c r="J424" s="25"/>
      <c r="K424" s="25"/>
      <c r="L424" s="25"/>
      <c r="M424" s="25"/>
      <c r="N424" s="25"/>
      <c r="O424" s="25"/>
      <c r="P424" s="25"/>
      <c r="Q424" s="25"/>
      <c r="R424" s="25"/>
      <c r="S424" s="25"/>
      <c r="T424" s="25"/>
      <c r="U424" s="25"/>
      <c r="V424" s="25"/>
      <c r="W424" s="25"/>
      <c r="X424" s="25"/>
      <c r="Y424" s="25"/>
      <c r="Z424" s="25"/>
    </row>
    <row r="425" customFormat="false" ht="39.75" hidden="false" customHeight="true" outlineLevel="0" collapsed="false">
      <c r="A425" s="25"/>
      <c r="B425" s="25"/>
      <c r="C425" s="25"/>
      <c r="D425" s="25"/>
      <c r="E425" s="25"/>
      <c r="F425" s="25"/>
      <c r="G425" s="25"/>
      <c r="H425" s="25"/>
      <c r="I425" s="25"/>
      <c r="J425" s="25"/>
      <c r="K425" s="25"/>
      <c r="L425" s="25"/>
      <c r="M425" s="25"/>
      <c r="N425" s="25"/>
      <c r="O425" s="25"/>
      <c r="P425" s="25"/>
      <c r="Q425" s="25"/>
      <c r="R425" s="25"/>
      <c r="S425" s="25"/>
      <c r="T425" s="25"/>
      <c r="U425" s="25"/>
      <c r="V425" s="25"/>
      <c r="W425" s="25"/>
      <c r="X425" s="25"/>
      <c r="Y425" s="25"/>
      <c r="Z425" s="25"/>
    </row>
    <row r="426" customFormat="false" ht="39.75" hidden="false" customHeight="true" outlineLevel="0" collapsed="false">
      <c r="A426" s="25"/>
      <c r="B426" s="25"/>
      <c r="C426" s="25"/>
      <c r="D426" s="25"/>
      <c r="E426" s="25"/>
      <c r="F426" s="25"/>
      <c r="G426" s="25"/>
      <c r="H426" s="25"/>
      <c r="I426" s="25"/>
      <c r="J426" s="25"/>
      <c r="K426" s="25"/>
      <c r="L426" s="25"/>
      <c r="M426" s="25"/>
      <c r="N426" s="25"/>
      <c r="O426" s="25"/>
      <c r="P426" s="25"/>
      <c r="Q426" s="25"/>
      <c r="R426" s="25"/>
      <c r="S426" s="25"/>
      <c r="T426" s="25"/>
      <c r="U426" s="25"/>
      <c r="V426" s="25"/>
      <c r="W426" s="25"/>
      <c r="X426" s="25"/>
      <c r="Y426" s="25"/>
      <c r="Z426" s="25"/>
    </row>
    <row r="427" customFormat="false" ht="39.75" hidden="false" customHeight="true" outlineLevel="0" collapsed="false">
      <c r="A427" s="25"/>
      <c r="B427" s="25"/>
      <c r="C427" s="25"/>
      <c r="D427" s="25"/>
      <c r="E427" s="25"/>
      <c r="F427" s="25"/>
      <c r="G427" s="25"/>
      <c r="H427" s="25"/>
      <c r="I427" s="25"/>
      <c r="J427" s="25"/>
      <c r="K427" s="25"/>
      <c r="L427" s="25"/>
      <c r="M427" s="25"/>
      <c r="N427" s="25"/>
      <c r="O427" s="25"/>
      <c r="P427" s="25"/>
      <c r="Q427" s="25"/>
      <c r="R427" s="25"/>
      <c r="S427" s="25"/>
      <c r="T427" s="25"/>
      <c r="U427" s="25"/>
      <c r="V427" s="25"/>
      <c r="W427" s="25"/>
      <c r="X427" s="25"/>
      <c r="Y427" s="25"/>
      <c r="Z427" s="25"/>
    </row>
    <row r="428" customFormat="false" ht="39.75" hidden="false" customHeight="true" outlineLevel="0" collapsed="false">
      <c r="A428" s="25"/>
      <c r="B428" s="25"/>
      <c r="C428" s="25"/>
      <c r="D428" s="25"/>
      <c r="E428" s="25"/>
      <c r="F428" s="25"/>
      <c r="G428" s="25"/>
      <c r="H428" s="25"/>
      <c r="I428" s="25"/>
      <c r="J428" s="25"/>
      <c r="K428" s="25"/>
      <c r="L428" s="25"/>
      <c r="M428" s="25"/>
      <c r="N428" s="25"/>
      <c r="O428" s="25"/>
      <c r="P428" s="25"/>
      <c r="Q428" s="25"/>
      <c r="R428" s="25"/>
      <c r="S428" s="25"/>
      <c r="T428" s="25"/>
      <c r="U428" s="25"/>
      <c r="V428" s="25"/>
      <c r="W428" s="25"/>
      <c r="X428" s="25"/>
      <c r="Y428" s="25"/>
      <c r="Z428" s="25"/>
    </row>
    <row r="429" customFormat="false" ht="39.75" hidden="false" customHeight="true" outlineLevel="0" collapsed="false">
      <c r="A429" s="25"/>
      <c r="B429" s="25"/>
      <c r="C429" s="25"/>
      <c r="D429" s="25"/>
      <c r="E429" s="25"/>
      <c r="F429" s="25"/>
      <c r="G429" s="25"/>
      <c r="H429" s="25"/>
      <c r="I429" s="25"/>
      <c r="J429" s="25"/>
      <c r="K429" s="25"/>
      <c r="L429" s="25"/>
      <c r="M429" s="25"/>
      <c r="N429" s="25"/>
      <c r="O429" s="25"/>
      <c r="P429" s="25"/>
      <c r="Q429" s="25"/>
      <c r="R429" s="25"/>
      <c r="S429" s="25"/>
      <c r="T429" s="25"/>
      <c r="U429" s="25"/>
      <c r="V429" s="25"/>
      <c r="W429" s="25"/>
      <c r="X429" s="25"/>
      <c r="Y429" s="25"/>
      <c r="Z429" s="25"/>
    </row>
    <row r="430" customFormat="false" ht="39.75" hidden="false" customHeight="true" outlineLevel="0" collapsed="false">
      <c r="A430" s="25"/>
      <c r="B430" s="25"/>
      <c r="C430" s="25"/>
      <c r="D430" s="25"/>
      <c r="E430" s="25"/>
      <c r="F430" s="25"/>
      <c r="G430" s="25"/>
      <c r="H430" s="25"/>
      <c r="I430" s="25"/>
      <c r="J430" s="25"/>
      <c r="K430" s="25"/>
      <c r="L430" s="25"/>
      <c r="M430" s="25"/>
      <c r="N430" s="25"/>
      <c r="O430" s="25"/>
      <c r="P430" s="25"/>
      <c r="Q430" s="25"/>
      <c r="R430" s="25"/>
      <c r="S430" s="25"/>
      <c r="T430" s="25"/>
      <c r="U430" s="25"/>
      <c r="V430" s="25"/>
      <c r="W430" s="25"/>
      <c r="X430" s="25"/>
      <c r="Y430" s="25"/>
      <c r="Z430" s="25"/>
    </row>
    <row r="431" customFormat="false" ht="39.75" hidden="false" customHeight="true" outlineLevel="0" collapsed="false">
      <c r="A431" s="25"/>
      <c r="B431" s="25"/>
      <c r="C431" s="25"/>
      <c r="D431" s="25"/>
      <c r="E431" s="25"/>
      <c r="F431" s="25"/>
      <c r="G431" s="25"/>
      <c r="H431" s="25"/>
      <c r="I431" s="25"/>
      <c r="J431" s="25"/>
      <c r="K431" s="25"/>
      <c r="L431" s="25"/>
      <c r="M431" s="25"/>
      <c r="N431" s="25"/>
      <c r="O431" s="25"/>
      <c r="P431" s="25"/>
      <c r="Q431" s="25"/>
      <c r="R431" s="25"/>
      <c r="S431" s="25"/>
      <c r="T431" s="25"/>
      <c r="U431" s="25"/>
      <c r="V431" s="25"/>
      <c r="W431" s="25"/>
      <c r="X431" s="25"/>
      <c r="Y431" s="25"/>
      <c r="Z431" s="25"/>
    </row>
    <row r="432" customFormat="false" ht="39.75" hidden="false" customHeight="true" outlineLevel="0" collapsed="false">
      <c r="A432" s="25"/>
      <c r="B432" s="25"/>
      <c r="C432" s="25"/>
      <c r="D432" s="25"/>
      <c r="E432" s="25"/>
      <c r="F432" s="25"/>
      <c r="G432" s="25"/>
      <c r="H432" s="25"/>
      <c r="I432" s="25"/>
      <c r="J432" s="25"/>
      <c r="K432" s="25"/>
      <c r="L432" s="25"/>
      <c r="M432" s="25"/>
      <c r="N432" s="25"/>
      <c r="O432" s="25"/>
      <c r="P432" s="25"/>
      <c r="Q432" s="25"/>
      <c r="R432" s="25"/>
      <c r="S432" s="25"/>
      <c r="T432" s="25"/>
      <c r="U432" s="25"/>
      <c r="V432" s="25"/>
      <c r="W432" s="25"/>
      <c r="X432" s="25"/>
      <c r="Y432" s="25"/>
      <c r="Z432" s="25"/>
    </row>
    <row r="433" customFormat="false" ht="39.75" hidden="false" customHeight="true" outlineLevel="0" collapsed="false">
      <c r="A433" s="25"/>
      <c r="B433" s="25"/>
      <c r="C433" s="25"/>
      <c r="D433" s="25"/>
      <c r="E433" s="25"/>
      <c r="F433" s="25"/>
      <c r="G433" s="25"/>
      <c r="H433" s="25"/>
      <c r="I433" s="25"/>
      <c r="J433" s="25"/>
      <c r="K433" s="25"/>
      <c r="L433" s="25"/>
      <c r="M433" s="25"/>
      <c r="N433" s="25"/>
      <c r="O433" s="25"/>
      <c r="P433" s="25"/>
      <c r="Q433" s="25"/>
      <c r="R433" s="25"/>
      <c r="S433" s="25"/>
      <c r="T433" s="25"/>
      <c r="U433" s="25"/>
      <c r="V433" s="25"/>
      <c r="W433" s="25"/>
      <c r="X433" s="25"/>
      <c r="Y433" s="25"/>
      <c r="Z433" s="25"/>
    </row>
    <row r="434" customFormat="false" ht="39.75" hidden="false" customHeight="true" outlineLevel="0" collapsed="false">
      <c r="A434" s="25"/>
      <c r="B434" s="25"/>
      <c r="C434" s="25"/>
      <c r="D434" s="25"/>
      <c r="E434" s="25"/>
      <c r="F434" s="25"/>
      <c r="G434" s="25"/>
      <c r="H434" s="25"/>
      <c r="I434" s="25"/>
      <c r="J434" s="25"/>
      <c r="K434" s="25"/>
      <c r="L434" s="25"/>
      <c r="M434" s="25"/>
      <c r="N434" s="25"/>
      <c r="O434" s="25"/>
      <c r="P434" s="25"/>
      <c r="Q434" s="25"/>
      <c r="R434" s="25"/>
      <c r="S434" s="25"/>
      <c r="T434" s="25"/>
      <c r="U434" s="25"/>
      <c r="V434" s="25"/>
      <c r="W434" s="25"/>
      <c r="X434" s="25"/>
      <c r="Y434" s="25"/>
      <c r="Z434" s="25"/>
    </row>
    <row r="435" customFormat="false" ht="39.75" hidden="false" customHeight="true" outlineLevel="0" collapsed="false">
      <c r="A435" s="25"/>
      <c r="B435" s="25"/>
      <c r="C435" s="25"/>
      <c r="D435" s="25"/>
      <c r="E435" s="25"/>
      <c r="F435" s="25"/>
      <c r="G435" s="25"/>
      <c r="H435" s="25"/>
      <c r="I435" s="25"/>
      <c r="J435" s="25"/>
      <c r="K435" s="25"/>
      <c r="L435" s="25"/>
      <c r="M435" s="25"/>
      <c r="N435" s="25"/>
      <c r="O435" s="25"/>
      <c r="P435" s="25"/>
      <c r="Q435" s="25"/>
      <c r="R435" s="25"/>
      <c r="S435" s="25"/>
      <c r="T435" s="25"/>
      <c r="U435" s="25"/>
      <c r="V435" s="25"/>
      <c r="W435" s="25"/>
      <c r="X435" s="25"/>
      <c r="Y435" s="25"/>
      <c r="Z435" s="25"/>
    </row>
    <row r="436" customFormat="false" ht="39.75" hidden="false" customHeight="true" outlineLevel="0" collapsed="false">
      <c r="A436" s="25"/>
      <c r="B436" s="25"/>
      <c r="C436" s="25"/>
      <c r="D436" s="25"/>
      <c r="E436" s="25"/>
      <c r="F436" s="25"/>
      <c r="G436" s="25"/>
      <c r="H436" s="25"/>
      <c r="I436" s="25"/>
      <c r="J436" s="25"/>
      <c r="K436" s="25"/>
      <c r="L436" s="25"/>
      <c r="M436" s="25"/>
      <c r="N436" s="25"/>
      <c r="O436" s="25"/>
      <c r="P436" s="25"/>
      <c r="Q436" s="25"/>
      <c r="R436" s="25"/>
      <c r="S436" s="25"/>
      <c r="T436" s="25"/>
      <c r="U436" s="25"/>
      <c r="V436" s="25"/>
      <c r="W436" s="25"/>
      <c r="X436" s="25"/>
      <c r="Y436" s="25"/>
      <c r="Z436" s="25"/>
    </row>
    <row r="437" customFormat="false" ht="39.75" hidden="false" customHeight="true" outlineLevel="0" collapsed="false">
      <c r="A437" s="25"/>
      <c r="B437" s="25"/>
      <c r="C437" s="25"/>
      <c r="D437" s="25"/>
      <c r="E437" s="25"/>
      <c r="F437" s="25"/>
      <c r="G437" s="25"/>
      <c r="H437" s="25"/>
      <c r="I437" s="25"/>
      <c r="J437" s="25"/>
      <c r="K437" s="25"/>
      <c r="L437" s="25"/>
      <c r="M437" s="25"/>
      <c r="N437" s="25"/>
      <c r="O437" s="25"/>
      <c r="P437" s="25"/>
      <c r="Q437" s="25"/>
      <c r="R437" s="25"/>
      <c r="S437" s="25"/>
      <c r="T437" s="25"/>
      <c r="U437" s="25"/>
      <c r="V437" s="25"/>
      <c r="W437" s="25"/>
      <c r="X437" s="25"/>
      <c r="Y437" s="25"/>
      <c r="Z437" s="25"/>
    </row>
    <row r="438" customFormat="false" ht="39.75" hidden="false" customHeight="true" outlineLevel="0" collapsed="false">
      <c r="A438" s="25"/>
      <c r="B438" s="25"/>
      <c r="C438" s="25"/>
      <c r="D438" s="25"/>
      <c r="E438" s="25"/>
      <c r="F438" s="25"/>
      <c r="G438" s="25"/>
      <c r="H438" s="25"/>
      <c r="I438" s="25"/>
      <c r="J438" s="25"/>
      <c r="K438" s="25"/>
      <c r="L438" s="25"/>
      <c r="M438" s="25"/>
      <c r="N438" s="25"/>
      <c r="O438" s="25"/>
      <c r="P438" s="25"/>
      <c r="Q438" s="25"/>
      <c r="R438" s="25"/>
      <c r="S438" s="25"/>
      <c r="T438" s="25"/>
      <c r="U438" s="25"/>
      <c r="V438" s="25"/>
      <c r="W438" s="25"/>
      <c r="X438" s="25"/>
      <c r="Y438" s="25"/>
      <c r="Z438" s="25"/>
    </row>
    <row r="439" customFormat="false" ht="39.75" hidden="false" customHeight="true" outlineLevel="0" collapsed="false">
      <c r="A439" s="25"/>
      <c r="B439" s="25"/>
      <c r="C439" s="25"/>
      <c r="D439" s="25"/>
      <c r="E439" s="25"/>
      <c r="F439" s="25"/>
      <c r="G439" s="25"/>
      <c r="H439" s="25"/>
      <c r="I439" s="25"/>
      <c r="J439" s="25"/>
      <c r="K439" s="25"/>
      <c r="L439" s="25"/>
      <c r="M439" s="25"/>
      <c r="N439" s="25"/>
      <c r="O439" s="25"/>
      <c r="P439" s="25"/>
      <c r="Q439" s="25"/>
      <c r="R439" s="25"/>
      <c r="S439" s="25"/>
      <c r="T439" s="25"/>
      <c r="U439" s="25"/>
      <c r="V439" s="25"/>
      <c r="W439" s="25"/>
      <c r="X439" s="25"/>
      <c r="Y439" s="25"/>
      <c r="Z439" s="25"/>
    </row>
    <row r="440" customFormat="false" ht="39.75" hidden="false" customHeight="true" outlineLevel="0" collapsed="false">
      <c r="A440" s="25"/>
      <c r="B440" s="25"/>
      <c r="C440" s="25"/>
      <c r="D440" s="25"/>
      <c r="E440" s="25"/>
      <c r="F440" s="25"/>
      <c r="G440" s="25"/>
      <c r="H440" s="25"/>
      <c r="I440" s="25"/>
      <c r="J440" s="25"/>
      <c r="K440" s="25"/>
      <c r="L440" s="25"/>
      <c r="M440" s="25"/>
      <c r="N440" s="25"/>
      <c r="O440" s="25"/>
      <c r="P440" s="25"/>
      <c r="Q440" s="25"/>
      <c r="R440" s="25"/>
      <c r="S440" s="25"/>
      <c r="T440" s="25"/>
      <c r="U440" s="25"/>
      <c r="V440" s="25"/>
      <c r="W440" s="25"/>
      <c r="X440" s="25"/>
      <c r="Y440" s="25"/>
      <c r="Z440" s="25"/>
    </row>
    <row r="441" customFormat="false" ht="39.75" hidden="false" customHeight="true" outlineLevel="0" collapsed="false">
      <c r="A441" s="25"/>
      <c r="B441" s="25"/>
      <c r="C441" s="25"/>
      <c r="D441" s="25"/>
      <c r="E441" s="25"/>
      <c r="F441" s="25"/>
      <c r="G441" s="25"/>
      <c r="H441" s="25"/>
      <c r="I441" s="25"/>
      <c r="J441" s="25"/>
      <c r="K441" s="25"/>
      <c r="L441" s="25"/>
      <c r="M441" s="25"/>
      <c r="N441" s="25"/>
      <c r="O441" s="25"/>
      <c r="P441" s="25"/>
      <c r="Q441" s="25"/>
      <c r="R441" s="25"/>
      <c r="S441" s="25"/>
      <c r="T441" s="25"/>
      <c r="U441" s="25"/>
      <c r="V441" s="25"/>
      <c r="W441" s="25"/>
      <c r="X441" s="25"/>
      <c r="Y441" s="25"/>
      <c r="Z441" s="25"/>
    </row>
    <row r="442" customFormat="false" ht="39.75" hidden="false" customHeight="true" outlineLevel="0" collapsed="false">
      <c r="A442" s="25"/>
      <c r="B442" s="25"/>
      <c r="C442" s="25"/>
      <c r="D442" s="25"/>
      <c r="E442" s="25"/>
      <c r="F442" s="25"/>
      <c r="G442" s="25"/>
      <c r="H442" s="25"/>
      <c r="I442" s="25"/>
      <c r="J442" s="25"/>
      <c r="K442" s="25"/>
      <c r="L442" s="25"/>
      <c r="M442" s="25"/>
      <c r="N442" s="25"/>
      <c r="O442" s="25"/>
      <c r="P442" s="25"/>
      <c r="Q442" s="25"/>
      <c r="R442" s="25"/>
      <c r="S442" s="25"/>
      <c r="T442" s="25"/>
      <c r="U442" s="25"/>
      <c r="V442" s="25"/>
      <c r="W442" s="25"/>
      <c r="X442" s="25"/>
      <c r="Y442" s="25"/>
      <c r="Z442" s="25"/>
    </row>
    <row r="443" customFormat="false" ht="39.75" hidden="false" customHeight="true" outlineLevel="0" collapsed="false">
      <c r="A443" s="25"/>
      <c r="B443" s="25"/>
      <c r="C443" s="25"/>
      <c r="D443" s="25"/>
      <c r="E443" s="25"/>
      <c r="F443" s="25"/>
      <c r="G443" s="25"/>
      <c r="H443" s="25"/>
      <c r="I443" s="25"/>
      <c r="J443" s="25"/>
      <c r="K443" s="25"/>
      <c r="L443" s="25"/>
      <c r="M443" s="25"/>
      <c r="N443" s="25"/>
      <c r="O443" s="25"/>
      <c r="P443" s="25"/>
      <c r="Q443" s="25"/>
      <c r="R443" s="25"/>
      <c r="S443" s="25"/>
      <c r="T443" s="25"/>
      <c r="U443" s="25"/>
      <c r="V443" s="25"/>
      <c r="W443" s="25"/>
      <c r="X443" s="25"/>
      <c r="Y443" s="25"/>
      <c r="Z443" s="25"/>
    </row>
    <row r="444" customFormat="false" ht="39.75" hidden="false" customHeight="true" outlineLevel="0" collapsed="false">
      <c r="A444" s="25"/>
      <c r="B444" s="25"/>
      <c r="C444" s="25"/>
      <c r="D444" s="25"/>
      <c r="E444" s="25"/>
      <c r="F444" s="25"/>
      <c r="G444" s="25"/>
      <c r="H444" s="25"/>
      <c r="I444" s="25"/>
      <c r="J444" s="25"/>
      <c r="K444" s="25"/>
      <c r="L444" s="25"/>
      <c r="M444" s="25"/>
      <c r="N444" s="25"/>
      <c r="O444" s="25"/>
      <c r="P444" s="25"/>
      <c r="Q444" s="25"/>
      <c r="R444" s="25"/>
      <c r="S444" s="25"/>
      <c r="T444" s="25"/>
      <c r="U444" s="25"/>
      <c r="V444" s="25"/>
      <c r="W444" s="25"/>
      <c r="X444" s="25"/>
      <c r="Y444" s="25"/>
      <c r="Z444" s="25"/>
    </row>
    <row r="445" customFormat="false" ht="39.75" hidden="false" customHeight="true" outlineLevel="0" collapsed="false">
      <c r="A445" s="25"/>
      <c r="B445" s="25"/>
      <c r="C445" s="25"/>
      <c r="D445" s="25"/>
      <c r="E445" s="25"/>
      <c r="F445" s="25"/>
      <c r="G445" s="25"/>
      <c r="H445" s="25"/>
      <c r="I445" s="25"/>
      <c r="J445" s="25"/>
      <c r="K445" s="25"/>
      <c r="L445" s="25"/>
      <c r="M445" s="25"/>
      <c r="N445" s="25"/>
      <c r="O445" s="25"/>
      <c r="P445" s="25"/>
      <c r="Q445" s="25"/>
      <c r="R445" s="25"/>
      <c r="S445" s="25"/>
      <c r="T445" s="25"/>
      <c r="U445" s="25"/>
      <c r="V445" s="25"/>
      <c r="W445" s="25"/>
      <c r="X445" s="25"/>
      <c r="Y445" s="25"/>
      <c r="Z445" s="25"/>
    </row>
    <row r="446" customFormat="false" ht="39.75" hidden="false" customHeight="true" outlineLevel="0" collapsed="false">
      <c r="A446" s="25"/>
      <c r="B446" s="25"/>
      <c r="C446" s="25"/>
      <c r="D446" s="25"/>
      <c r="E446" s="25"/>
      <c r="F446" s="25"/>
      <c r="G446" s="25"/>
      <c r="H446" s="25"/>
      <c r="I446" s="25"/>
      <c r="J446" s="25"/>
      <c r="K446" s="25"/>
      <c r="L446" s="25"/>
      <c r="M446" s="25"/>
      <c r="N446" s="25"/>
      <c r="O446" s="25"/>
      <c r="P446" s="25"/>
      <c r="Q446" s="25"/>
      <c r="R446" s="25"/>
      <c r="S446" s="25"/>
      <c r="T446" s="25"/>
      <c r="U446" s="25"/>
      <c r="V446" s="25"/>
      <c r="W446" s="25"/>
      <c r="X446" s="25"/>
      <c r="Y446" s="25"/>
      <c r="Z446" s="25"/>
    </row>
    <row r="447" customFormat="false" ht="39.75" hidden="false" customHeight="true" outlineLevel="0" collapsed="false">
      <c r="A447" s="25"/>
      <c r="B447" s="25"/>
      <c r="C447" s="25"/>
      <c r="D447" s="25"/>
      <c r="E447" s="25"/>
      <c r="F447" s="25"/>
      <c r="G447" s="25"/>
      <c r="H447" s="25"/>
      <c r="I447" s="25"/>
      <c r="J447" s="25"/>
      <c r="K447" s="25"/>
      <c r="L447" s="25"/>
      <c r="M447" s="25"/>
      <c r="N447" s="25"/>
      <c r="O447" s="25"/>
      <c r="P447" s="25"/>
      <c r="Q447" s="25"/>
      <c r="R447" s="25"/>
      <c r="S447" s="25"/>
      <c r="T447" s="25"/>
      <c r="U447" s="25"/>
      <c r="V447" s="25"/>
      <c r="W447" s="25"/>
      <c r="X447" s="25"/>
      <c r="Y447" s="25"/>
      <c r="Z447" s="25"/>
    </row>
    <row r="448" customFormat="false" ht="39.75" hidden="false" customHeight="true" outlineLevel="0" collapsed="false">
      <c r="A448" s="25"/>
      <c r="B448" s="25"/>
      <c r="C448" s="25"/>
      <c r="D448" s="25"/>
      <c r="E448" s="25"/>
      <c r="F448" s="25"/>
      <c r="G448" s="25"/>
      <c r="H448" s="25"/>
      <c r="I448" s="25"/>
      <c r="J448" s="25"/>
      <c r="K448" s="25"/>
      <c r="L448" s="25"/>
      <c r="M448" s="25"/>
      <c r="N448" s="25"/>
      <c r="O448" s="25"/>
      <c r="P448" s="25"/>
      <c r="Q448" s="25"/>
      <c r="R448" s="25"/>
      <c r="S448" s="25"/>
      <c r="T448" s="25"/>
      <c r="U448" s="25"/>
      <c r="V448" s="25"/>
      <c r="W448" s="25"/>
      <c r="X448" s="25"/>
      <c r="Y448" s="25"/>
      <c r="Z448" s="25"/>
    </row>
    <row r="449" customFormat="false" ht="39.75" hidden="false" customHeight="true" outlineLevel="0" collapsed="false">
      <c r="A449" s="25"/>
      <c r="B449" s="25"/>
      <c r="C449" s="25"/>
      <c r="D449" s="25"/>
      <c r="E449" s="25"/>
      <c r="F449" s="25"/>
      <c r="G449" s="25"/>
      <c r="H449" s="25"/>
      <c r="I449" s="25"/>
      <c r="J449" s="25"/>
      <c r="K449" s="25"/>
      <c r="L449" s="25"/>
      <c r="M449" s="25"/>
      <c r="N449" s="25"/>
      <c r="O449" s="25"/>
      <c r="P449" s="25"/>
      <c r="Q449" s="25"/>
      <c r="R449" s="25"/>
      <c r="S449" s="25"/>
      <c r="T449" s="25"/>
      <c r="U449" s="25"/>
      <c r="V449" s="25"/>
      <c r="W449" s="25"/>
      <c r="X449" s="25"/>
      <c r="Y449" s="25"/>
      <c r="Z449" s="25"/>
    </row>
    <row r="450" customFormat="false" ht="39.75" hidden="false" customHeight="true" outlineLevel="0" collapsed="false">
      <c r="A450" s="25"/>
      <c r="B450" s="25"/>
      <c r="C450" s="25"/>
      <c r="D450" s="25"/>
      <c r="E450" s="25"/>
      <c r="F450" s="25"/>
      <c r="G450" s="25"/>
      <c r="H450" s="25"/>
      <c r="I450" s="25"/>
      <c r="J450" s="25"/>
      <c r="K450" s="25"/>
      <c r="L450" s="25"/>
      <c r="M450" s="25"/>
      <c r="N450" s="25"/>
      <c r="O450" s="25"/>
      <c r="P450" s="25"/>
      <c r="Q450" s="25"/>
      <c r="R450" s="25"/>
      <c r="S450" s="25"/>
      <c r="T450" s="25"/>
      <c r="U450" s="25"/>
      <c r="V450" s="25"/>
      <c r="W450" s="25"/>
      <c r="X450" s="25"/>
      <c r="Y450" s="25"/>
      <c r="Z450" s="25"/>
    </row>
    <row r="451" customFormat="false" ht="39.75" hidden="false" customHeight="true" outlineLevel="0" collapsed="false">
      <c r="A451" s="25"/>
      <c r="B451" s="25"/>
      <c r="C451" s="25"/>
      <c r="D451" s="25"/>
      <c r="E451" s="25"/>
      <c r="F451" s="25"/>
      <c r="G451" s="25"/>
      <c r="H451" s="25"/>
      <c r="I451" s="25"/>
      <c r="J451" s="25"/>
      <c r="K451" s="25"/>
      <c r="L451" s="25"/>
      <c r="M451" s="25"/>
      <c r="N451" s="25"/>
      <c r="O451" s="25"/>
      <c r="P451" s="25"/>
      <c r="Q451" s="25"/>
      <c r="R451" s="25"/>
      <c r="S451" s="25"/>
      <c r="T451" s="25"/>
      <c r="U451" s="25"/>
      <c r="V451" s="25"/>
      <c r="W451" s="25"/>
      <c r="X451" s="25"/>
      <c r="Y451" s="25"/>
      <c r="Z451" s="25"/>
    </row>
    <row r="452" customFormat="false" ht="39.75" hidden="false" customHeight="true" outlineLevel="0" collapsed="false">
      <c r="A452" s="25"/>
      <c r="B452" s="25"/>
      <c r="C452" s="25"/>
      <c r="D452" s="25"/>
      <c r="E452" s="25"/>
      <c r="F452" s="25"/>
      <c r="G452" s="25"/>
      <c r="H452" s="25"/>
      <c r="I452" s="25"/>
      <c r="J452" s="25"/>
      <c r="K452" s="25"/>
      <c r="L452" s="25"/>
      <c r="M452" s="25"/>
      <c r="N452" s="25"/>
      <c r="O452" s="25"/>
      <c r="P452" s="25"/>
      <c r="Q452" s="25"/>
      <c r="R452" s="25"/>
      <c r="S452" s="25"/>
      <c r="T452" s="25"/>
      <c r="U452" s="25"/>
      <c r="V452" s="25"/>
      <c r="W452" s="25"/>
      <c r="X452" s="25"/>
      <c r="Y452" s="25"/>
      <c r="Z452" s="25"/>
    </row>
    <row r="453" customFormat="false" ht="39.75" hidden="false" customHeight="true" outlineLevel="0" collapsed="false">
      <c r="A453" s="25"/>
      <c r="B453" s="25"/>
      <c r="C453" s="25"/>
      <c r="D453" s="25"/>
      <c r="E453" s="25"/>
      <c r="F453" s="25"/>
      <c r="G453" s="25"/>
      <c r="H453" s="25"/>
      <c r="I453" s="25"/>
      <c r="J453" s="25"/>
      <c r="K453" s="25"/>
      <c r="L453" s="25"/>
      <c r="M453" s="25"/>
      <c r="N453" s="25"/>
      <c r="O453" s="25"/>
      <c r="P453" s="25"/>
      <c r="Q453" s="25"/>
      <c r="R453" s="25"/>
      <c r="S453" s="25"/>
      <c r="T453" s="25"/>
      <c r="U453" s="25"/>
      <c r="V453" s="25"/>
      <c r="W453" s="25"/>
      <c r="X453" s="25"/>
      <c r="Y453" s="25"/>
      <c r="Z453" s="25"/>
    </row>
    <row r="454" customFormat="false" ht="39.75" hidden="false" customHeight="true" outlineLevel="0" collapsed="false">
      <c r="A454" s="25"/>
      <c r="B454" s="25"/>
      <c r="C454" s="25"/>
      <c r="D454" s="25"/>
      <c r="E454" s="25"/>
      <c r="F454" s="25"/>
      <c r="G454" s="25"/>
      <c r="H454" s="25"/>
      <c r="I454" s="25"/>
      <c r="J454" s="25"/>
      <c r="K454" s="25"/>
      <c r="L454" s="25"/>
      <c r="M454" s="25"/>
      <c r="N454" s="25"/>
      <c r="O454" s="25"/>
      <c r="P454" s="25"/>
      <c r="Q454" s="25"/>
      <c r="R454" s="25"/>
      <c r="S454" s="25"/>
      <c r="T454" s="25"/>
      <c r="U454" s="25"/>
      <c r="V454" s="25"/>
      <c r="W454" s="25"/>
      <c r="X454" s="25"/>
      <c r="Y454" s="25"/>
      <c r="Z454" s="25"/>
    </row>
    <row r="455" customFormat="false" ht="39.75" hidden="false" customHeight="true" outlineLevel="0" collapsed="false">
      <c r="A455" s="25"/>
      <c r="B455" s="25"/>
      <c r="C455" s="25"/>
      <c r="D455" s="25"/>
      <c r="E455" s="25"/>
      <c r="F455" s="25"/>
      <c r="G455" s="25"/>
      <c r="H455" s="25"/>
      <c r="I455" s="25"/>
      <c r="J455" s="25"/>
      <c r="K455" s="25"/>
      <c r="L455" s="25"/>
      <c r="M455" s="25"/>
      <c r="N455" s="25"/>
      <c r="O455" s="25"/>
      <c r="P455" s="25"/>
      <c r="Q455" s="25"/>
      <c r="R455" s="25"/>
      <c r="S455" s="25"/>
      <c r="T455" s="25"/>
      <c r="U455" s="25"/>
      <c r="V455" s="25"/>
      <c r="W455" s="25"/>
      <c r="X455" s="25"/>
      <c r="Y455" s="25"/>
      <c r="Z455" s="25"/>
    </row>
    <row r="456" customFormat="false" ht="39.75" hidden="false" customHeight="true" outlineLevel="0" collapsed="false">
      <c r="A456" s="25"/>
      <c r="B456" s="25"/>
      <c r="C456" s="25"/>
      <c r="D456" s="25"/>
      <c r="E456" s="25"/>
      <c r="F456" s="25"/>
      <c r="G456" s="25"/>
      <c r="H456" s="25"/>
      <c r="I456" s="25"/>
      <c r="J456" s="25"/>
      <c r="K456" s="25"/>
      <c r="L456" s="25"/>
      <c r="M456" s="25"/>
      <c r="N456" s="25"/>
      <c r="O456" s="25"/>
      <c r="P456" s="25"/>
      <c r="Q456" s="25"/>
      <c r="R456" s="25"/>
      <c r="S456" s="25"/>
      <c r="T456" s="25"/>
      <c r="U456" s="25"/>
      <c r="V456" s="25"/>
      <c r="W456" s="25"/>
      <c r="X456" s="25"/>
      <c r="Y456" s="25"/>
      <c r="Z456" s="25"/>
    </row>
    <row r="457" customFormat="false" ht="39.75" hidden="false" customHeight="true" outlineLevel="0" collapsed="false">
      <c r="A457" s="25"/>
      <c r="B457" s="25"/>
      <c r="C457" s="25"/>
      <c r="D457" s="25"/>
      <c r="E457" s="25"/>
      <c r="F457" s="25"/>
      <c r="G457" s="25"/>
      <c r="H457" s="25"/>
      <c r="I457" s="25"/>
      <c r="J457" s="25"/>
      <c r="K457" s="25"/>
      <c r="L457" s="25"/>
      <c r="M457" s="25"/>
      <c r="N457" s="25"/>
      <c r="O457" s="25"/>
      <c r="P457" s="25"/>
      <c r="Q457" s="25"/>
      <c r="R457" s="25"/>
      <c r="S457" s="25"/>
      <c r="T457" s="25"/>
      <c r="U457" s="25"/>
      <c r="V457" s="25"/>
      <c r="W457" s="25"/>
      <c r="X457" s="25"/>
      <c r="Y457" s="25"/>
      <c r="Z457" s="25"/>
    </row>
    <row r="458" customFormat="false" ht="39.75" hidden="false" customHeight="true" outlineLevel="0" collapsed="false">
      <c r="A458" s="25"/>
      <c r="B458" s="25"/>
      <c r="C458" s="25"/>
      <c r="D458" s="25"/>
      <c r="E458" s="25"/>
      <c r="F458" s="25"/>
      <c r="G458" s="25"/>
      <c r="H458" s="25"/>
      <c r="I458" s="25"/>
      <c r="J458" s="25"/>
      <c r="K458" s="25"/>
      <c r="L458" s="25"/>
      <c r="M458" s="25"/>
      <c r="N458" s="25"/>
      <c r="O458" s="25"/>
      <c r="P458" s="25"/>
      <c r="Q458" s="25"/>
      <c r="R458" s="25"/>
      <c r="S458" s="25"/>
      <c r="T458" s="25"/>
      <c r="U458" s="25"/>
      <c r="V458" s="25"/>
      <c r="W458" s="25"/>
      <c r="X458" s="25"/>
      <c r="Y458" s="25"/>
      <c r="Z458" s="25"/>
    </row>
    <row r="459" customFormat="false" ht="39.75" hidden="false" customHeight="true" outlineLevel="0" collapsed="false">
      <c r="A459" s="25"/>
      <c r="B459" s="25"/>
      <c r="C459" s="25"/>
      <c r="D459" s="25"/>
      <c r="E459" s="25"/>
      <c r="F459" s="25"/>
      <c r="G459" s="25"/>
      <c r="H459" s="25"/>
      <c r="I459" s="25"/>
      <c r="J459" s="25"/>
      <c r="K459" s="25"/>
      <c r="L459" s="25"/>
      <c r="M459" s="25"/>
      <c r="N459" s="25"/>
      <c r="O459" s="25"/>
      <c r="P459" s="25"/>
      <c r="Q459" s="25"/>
      <c r="R459" s="25"/>
      <c r="S459" s="25"/>
      <c r="T459" s="25"/>
      <c r="U459" s="25"/>
      <c r="V459" s="25"/>
      <c r="W459" s="25"/>
      <c r="X459" s="25"/>
      <c r="Y459" s="25"/>
      <c r="Z459" s="25"/>
    </row>
    <row r="460" customFormat="false" ht="39.75" hidden="false" customHeight="true" outlineLevel="0" collapsed="false">
      <c r="A460" s="25"/>
      <c r="B460" s="25"/>
      <c r="C460" s="25"/>
      <c r="D460" s="25"/>
      <c r="E460" s="25"/>
      <c r="F460" s="25"/>
      <c r="G460" s="25"/>
      <c r="H460" s="25"/>
      <c r="I460" s="25"/>
      <c r="J460" s="25"/>
      <c r="K460" s="25"/>
      <c r="L460" s="25"/>
      <c r="M460" s="25"/>
      <c r="N460" s="25"/>
      <c r="O460" s="25"/>
      <c r="P460" s="25"/>
      <c r="Q460" s="25"/>
      <c r="R460" s="25"/>
      <c r="S460" s="25"/>
      <c r="T460" s="25"/>
      <c r="U460" s="25"/>
      <c r="V460" s="25"/>
      <c r="W460" s="25"/>
      <c r="X460" s="25"/>
      <c r="Y460" s="25"/>
      <c r="Z460" s="25"/>
    </row>
    <row r="461" customFormat="false" ht="39.75" hidden="false" customHeight="true" outlineLevel="0" collapsed="false">
      <c r="A461" s="25"/>
      <c r="B461" s="25"/>
      <c r="C461" s="25"/>
      <c r="D461" s="25"/>
      <c r="E461" s="25"/>
      <c r="F461" s="25"/>
      <c r="G461" s="25"/>
      <c r="H461" s="25"/>
      <c r="I461" s="25"/>
      <c r="J461" s="25"/>
      <c r="K461" s="25"/>
      <c r="L461" s="25"/>
      <c r="M461" s="25"/>
      <c r="N461" s="25"/>
      <c r="O461" s="25"/>
      <c r="P461" s="25"/>
      <c r="Q461" s="25"/>
      <c r="R461" s="25"/>
      <c r="S461" s="25"/>
      <c r="T461" s="25"/>
      <c r="U461" s="25"/>
      <c r="V461" s="25"/>
      <c r="W461" s="25"/>
      <c r="X461" s="25"/>
      <c r="Y461" s="25"/>
      <c r="Z461" s="25"/>
    </row>
    <row r="462" customFormat="false" ht="39.75" hidden="false" customHeight="true" outlineLevel="0" collapsed="false">
      <c r="A462" s="25"/>
      <c r="B462" s="25"/>
      <c r="C462" s="25"/>
      <c r="D462" s="25"/>
      <c r="E462" s="25"/>
      <c r="F462" s="25"/>
      <c r="G462" s="25"/>
      <c r="H462" s="25"/>
      <c r="I462" s="25"/>
      <c r="J462" s="25"/>
      <c r="K462" s="25"/>
      <c r="L462" s="25"/>
      <c r="M462" s="25"/>
      <c r="N462" s="25"/>
      <c r="O462" s="25"/>
      <c r="P462" s="25"/>
      <c r="Q462" s="25"/>
      <c r="R462" s="25"/>
      <c r="S462" s="25"/>
      <c r="T462" s="25"/>
      <c r="U462" s="25"/>
      <c r="V462" s="25"/>
      <c r="W462" s="25"/>
      <c r="X462" s="25"/>
      <c r="Y462" s="25"/>
      <c r="Z462" s="25"/>
    </row>
    <row r="463" customFormat="false" ht="39.75" hidden="false" customHeight="true" outlineLevel="0" collapsed="false">
      <c r="A463" s="25"/>
      <c r="B463" s="25"/>
      <c r="C463" s="25"/>
      <c r="D463" s="25"/>
      <c r="E463" s="25"/>
      <c r="F463" s="25"/>
      <c r="G463" s="25"/>
      <c r="H463" s="25"/>
      <c r="I463" s="25"/>
      <c r="J463" s="25"/>
      <c r="K463" s="25"/>
      <c r="L463" s="25"/>
      <c r="M463" s="25"/>
      <c r="N463" s="25"/>
      <c r="O463" s="25"/>
      <c r="P463" s="25"/>
      <c r="Q463" s="25"/>
      <c r="R463" s="25"/>
      <c r="S463" s="25"/>
      <c r="T463" s="25"/>
      <c r="U463" s="25"/>
      <c r="V463" s="25"/>
      <c r="W463" s="25"/>
      <c r="X463" s="25"/>
      <c r="Y463" s="25"/>
      <c r="Z463" s="25"/>
    </row>
    <row r="464" customFormat="false" ht="39.75" hidden="false" customHeight="true" outlineLevel="0" collapsed="false">
      <c r="A464" s="25"/>
      <c r="B464" s="25"/>
      <c r="C464" s="25"/>
      <c r="D464" s="25"/>
      <c r="E464" s="25"/>
      <c r="F464" s="25"/>
      <c r="G464" s="25"/>
      <c r="H464" s="25"/>
      <c r="I464" s="25"/>
      <c r="J464" s="25"/>
      <c r="K464" s="25"/>
      <c r="L464" s="25"/>
      <c r="M464" s="25"/>
      <c r="N464" s="25"/>
      <c r="O464" s="25"/>
      <c r="P464" s="25"/>
      <c r="Q464" s="25"/>
      <c r="R464" s="25"/>
      <c r="S464" s="25"/>
      <c r="T464" s="25"/>
      <c r="U464" s="25"/>
      <c r="V464" s="25"/>
      <c r="W464" s="25"/>
      <c r="X464" s="25"/>
      <c r="Y464" s="25"/>
      <c r="Z464" s="25"/>
    </row>
    <row r="465" customFormat="false" ht="39.75" hidden="false" customHeight="true" outlineLevel="0" collapsed="false">
      <c r="A465" s="25"/>
      <c r="B465" s="25"/>
      <c r="C465" s="25"/>
      <c r="D465" s="25"/>
      <c r="E465" s="25"/>
      <c r="F465" s="25"/>
      <c r="G465" s="25"/>
      <c r="H465" s="25"/>
      <c r="I465" s="25"/>
      <c r="J465" s="25"/>
      <c r="K465" s="25"/>
      <c r="L465" s="25"/>
      <c r="M465" s="25"/>
      <c r="N465" s="25"/>
      <c r="O465" s="25"/>
      <c r="P465" s="25"/>
      <c r="Q465" s="25"/>
      <c r="R465" s="25"/>
      <c r="S465" s="25"/>
      <c r="T465" s="25"/>
      <c r="U465" s="25"/>
      <c r="V465" s="25"/>
      <c r="W465" s="25"/>
      <c r="X465" s="25"/>
      <c r="Y465" s="25"/>
      <c r="Z465" s="25"/>
    </row>
    <row r="466" customFormat="false" ht="39.75" hidden="false" customHeight="true" outlineLevel="0" collapsed="false">
      <c r="A466" s="25"/>
      <c r="B466" s="25"/>
      <c r="C466" s="25"/>
      <c r="D466" s="25"/>
      <c r="E466" s="25"/>
      <c r="F466" s="25"/>
      <c r="G466" s="25"/>
      <c r="H466" s="25"/>
      <c r="I466" s="25"/>
      <c r="J466" s="25"/>
      <c r="K466" s="25"/>
      <c r="L466" s="25"/>
      <c r="M466" s="25"/>
      <c r="N466" s="25"/>
      <c r="O466" s="25"/>
      <c r="P466" s="25"/>
      <c r="Q466" s="25"/>
      <c r="R466" s="25"/>
      <c r="S466" s="25"/>
      <c r="T466" s="25"/>
      <c r="U466" s="25"/>
      <c r="V466" s="25"/>
      <c r="W466" s="25"/>
      <c r="X466" s="25"/>
      <c r="Y466" s="25"/>
      <c r="Z466" s="25"/>
    </row>
    <row r="467" customFormat="false" ht="39.75" hidden="false" customHeight="true" outlineLevel="0" collapsed="false">
      <c r="A467" s="25"/>
      <c r="B467" s="25"/>
      <c r="C467" s="25"/>
      <c r="D467" s="25"/>
      <c r="E467" s="25"/>
      <c r="F467" s="25"/>
      <c r="G467" s="25"/>
      <c r="H467" s="25"/>
      <c r="I467" s="25"/>
      <c r="J467" s="25"/>
      <c r="K467" s="25"/>
      <c r="L467" s="25"/>
      <c r="M467" s="25"/>
      <c r="N467" s="25"/>
      <c r="O467" s="25"/>
      <c r="P467" s="25"/>
      <c r="Q467" s="25"/>
      <c r="R467" s="25"/>
      <c r="S467" s="25"/>
      <c r="T467" s="25"/>
      <c r="U467" s="25"/>
      <c r="V467" s="25"/>
      <c r="W467" s="25"/>
      <c r="X467" s="25"/>
      <c r="Y467" s="25"/>
      <c r="Z467" s="25"/>
    </row>
    <row r="468" customFormat="false" ht="39.75" hidden="false" customHeight="true" outlineLevel="0" collapsed="false">
      <c r="A468" s="25"/>
      <c r="B468" s="25"/>
      <c r="C468" s="25"/>
      <c r="D468" s="25"/>
      <c r="E468" s="25"/>
      <c r="F468" s="25"/>
      <c r="G468" s="25"/>
      <c r="H468" s="25"/>
      <c r="I468" s="25"/>
      <c r="J468" s="25"/>
      <c r="K468" s="25"/>
      <c r="L468" s="25"/>
      <c r="M468" s="25"/>
      <c r="N468" s="25"/>
      <c r="O468" s="25"/>
      <c r="P468" s="25"/>
      <c r="Q468" s="25"/>
      <c r="R468" s="25"/>
      <c r="S468" s="25"/>
      <c r="T468" s="25"/>
      <c r="U468" s="25"/>
      <c r="V468" s="25"/>
      <c r="W468" s="25"/>
      <c r="X468" s="25"/>
      <c r="Y468" s="25"/>
      <c r="Z468" s="25"/>
    </row>
    <row r="469" customFormat="false" ht="39.75" hidden="false" customHeight="true" outlineLevel="0" collapsed="false">
      <c r="A469" s="25"/>
      <c r="B469" s="25"/>
      <c r="C469" s="25"/>
      <c r="D469" s="25"/>
      <c r="E469" s="25"/>
      <c r="F469" s="25"/>
      <c r="G469" s="25"/>
      <c r="H469" s="25"/>
      <c r="I469" s="25"/>
      <c r="J469" s="25"/>
      <c r="K469" s="25"/>
      <c r="L469" s="25"/>
      <c r="M469" s="25"/>
      <c r="N469" s="25"/>
      <c r="O469" s="25"/>
      <c r="P469" s="25"/>
      <c r="Q469" s="25"/>
      <c r="R469" s="25"/>
      <c r="S469" s="25"/>
      <c r="T469" s="25"/>
      <c r="U469" s="25"/>
      <c r="V469" s="25"/>
      <c r="W469" s="25"/>
      <c r="X469" s="25"/>
      <c r="Y469" s="25"/>
      <c r="Z469" s="25"/>
    </row>
    <row r="470" customFormat="false" ht="39.75" hidden="false" customHeight="true" outlineLevel="0" collapsed="false">
      <c r="A470" s="25"/>
      <c r="B470" s="25"/>
      <c r="C470" s="25"/>
      <c r="D470" s="25"/>
      <c r="E470" s="25"/>
      <c r="F470" s="25"/>
      <c r="G470" s="25"/>
      <c r="H470" s="25"/>
      <c r="I470" s="25"/>
      <c r="J470" s="25"/>
      <c r="K470" s="25"/>
      <c r="L470" s="25"/>
      <c r="M470" s="25"/>
      <c r="N470" s="25"/>
      <c r="O470" s="25"/>
      <c r="P470" s="25"/>
      <c r="Q470" s="25"/>
      <c r="R470" s="25"/>
      <c r="S470" s="25"/>
      <c r="T470" s="25"/>
      <c r="U470" s="25"/>
      <c r="V470" s="25"/>
      <c r="W470" s="25"/>
      <c r="X470" s="25"/>
      <c r="Y470" s="25"/>
      <c r="Z470" s="25"/>
    </row>
    <row r="471" customFormat="false" ht="39.75" hidden="false" customHeight="true" outlineLevel="0" collapsed="false">
      <c r="A471" s="25"/>
      <c r="B471" s="25"/>
      <c r="C471" s="25"/>
      <c r="D471" s="25"/>
      <c r="E471" s="25"/>
      <c r="F471" s="25"/>
      <c r="G471" s="25"/>
      <c r="H471" s="25"/>
      <c r="I471" s="25"/>
      <c r="J471" s="25"/>
      <c r="K471" s="25"/>
      <c r="L471" s="25"/>
      <c r="M471" s="25"/>
      <c r="N471" s="25"/>
      <c r="O471" s="25"/>
      <c r="P471" s="25"/>
      <c r="Q471" s="25"/>
      <c r="R471" s="25"/>
      <c r="S471" s="25"/>
      <c r="T471" s="25"/>
      <c r="U471" s="25"/>
      <c r="V471" s="25"/>
      <c r="W471" s="25"/>
      <c r="X471" s="25"/>
      <c r="Y471" s="25"/>
      <c r="Z471" s="25"/>
    </row>
    <row r="472" customFormat="false" ht="39.75" hidden="false" customHeight="true" outlineLevel="0" collapsed="false">
      <c r="A472" s="25"/>
      <c r="B472" s="25"/>
      <c r="C472" s="25"/>
      <c r="D472" s="25"/>
      <c r="E472" s="25"/>
      <c r="F472" s="25"/>
      <c r="G472" s="25"/>
      <c r="H472" s="25"/>
      <c r="I472" s="25"/>
      <c r="J472" s="25"/>
      <c r="K472" s="25"/>
      <c r="L472" s="25"/>
      <c r="M472" s="25"/>
      <c r="N472" s="25"/>
      <c r="O472" s="25"/>
      <c r="P472" s="25"/>
      <c r="Q472" s="25"/>
      <c r="R472" s="25"/>
      <c r="S472" s="25"/>
      <c r="T472" s="25"/>
      <c r="U472" s="25"/>
      <c r="V472" s="25"/>
      <c r="W472" s="25"/>
      <c r="X472" s="25"/>
      <c r="Y472" s="25"/>
      <c r="Z472" s="25"/>
    </row>
    <row r="473" customFormat="false" ht="39.75" hidden="false" customHeight="true" outlineLevel="0" collapsed="false">
      <c r="A473" s="25"/>
      <c r="B473" s="25"/>
      <c r="C473" s="25"/>
      <c r="D473" s="25"/>
      <c r="E473" s="25"/>
      <c r="F473" s="25"/>
      <c r="G473" s="25"/>
      <c r="H473" s="25"/>
      <c r="I473" s="25"/>
      <c r="J473" s="25"/>
      <c r="K473" s="25"/>
      <c r="L473" s="25"/>
      <c r="M473" s="25"/>
      <c r="N473" s="25"/>
      <c r="O473" s="25"/>
      <c r="P473" s="25"/>
      <c r="Q473" s="25"/>
      <c r="R473" s="25"/>
      <c r="S473" s="25"/>
      <c r="T473" s="25"/>
      <c r="U473" s="25"/>
      <c r="V473" s="25"/>
      <c r="W473" s="25"/>
      <c r="X473" s="25"/>
      <c r="Y473" s="25"/>
      <c r="Z473" s="25"/>
    </row>
    <row r="474" customFormat="false" ht="39.75" hidden="false" customHeight="true" outlineLevel="0" collapsed="false">
      <c r="A474" s="25"/>
      <c r="B474" s="25"/>
      <c r="C474" s="25"/>
      <c r="D474" s="25"/>
      <c r="E474" s="25"/>
      <c r="F474" s="25"/>
      <c r="G474" s="25"/>
      <c r="H474" s="25"/>
      <c r="I474" s="25"/>
      <c r="J474" s="25"/>
      <c r="K474" s="25"/>
      <c r="L474" s="25"/>
      <c r="M474" s="25"/>
      <c r="N474" s="25"/>
      <c r="O474" s="25"/>
      <c r="P474" s="25"/>
      <c r="Q474" s="25"/>
      <c r="R474" s="25"/>
      <c r="S474" s="25"/>
      <c r="T474" s="25"/>
      <c r="U474" s="25"/>
      <c r="V474" s="25"/>
      <c r="W474" s="25"/>
      <c r="X474" s="25"/>
      <c r="Y474" s="25"/>
      <c r="Z474" s="25"/>
    </row>
    <row r="475" customFormat="false" ht="39.75" hidden="false" customHeight="true" outlineLevel="0" collapsed="false">
      <c r="A475" s="25"/>
      <c r="B475" s="25"/>
      <c r="C475" s="25"/>
      <c r="D475" s="25"/>
      <c r="E475" s="25"/>
      <c r="F475" s="25"/>
      <c r="G475" s="25"/>
      <c r="H475" s="25"/>
      <c r="I475" s="25"/>
      <c r="J475" s="25"/>
      <c r="K475" s="25"/>
      <c r="L475" s="25"/>
      <c r="M475" s="25"/>
      <c r="N475" s="25"/>
      <c r="O475" s="25"/>
      <c r="P475" s="25"/>
      <c r="Q475" s="25"/>
      <c r="R475" s="25"/>
      <c r="S475" s="25"/>
      <c r="T475" s="25"/>
      <c r="U475" s="25"/>
      <c r="V475" s="25"/>
      <c r="W475" s="25"/>
      <c r="X475" s="25"/>
      <c r="Y475" s="25"/>
      <c r="Z475" s="25"/>
    </row>
    <row r="476" customFormat="false" ht="39.75" hidden="false" customHeight="true" outlineLevel="0" collapsed="false">
      <c r="A476" s="25"/>
      <c r="B476" s="25"/>
      <c r="C476" s="25"/>
      <c r="D476" s="25"/>
      <c r="E476" s="25"/>
      <c r="F476" s="25"/>
      <c r="G476" s="25"/>
      <c r="H476" s="25"/>
      <c r="I476" s="25"/>
      <c r="J476" s="25"/>
      <c r="K476" s="25"/>
      <c r="L476" s="25"/>
      <c r="M476" s="25"/>
      <c r="N476" s="25"/>
      <c r="O476" s="25"/>
      <c r="P476" s="25"/>
      <c r="Q476" s="25"/>
      <c r="R476" s="25"/>
      <c r="S476" s="25"/>
      <c r="T476" s="25"/>
      <c r="U476" s="25"/>
      <c r="V476" s="25"/>
      <c r="W476" s="25"/>
      <c r="X476" s="25"/>
      <c r="Y476" s="25"/>
      <c r="Z476" s="25"/>
    </row>
    <row r="477" customFormat="false" ht="39.75" hidden="false" customHeight="true" outlineLevel="0" collapsed="false">
      <c r="A477" s="25"/>
      <c r="B477" s="25"/>
      <c r="C477" s="25"/>
      <c r="D477" s="25"/>
      <c r="E477" s="25"/>
      <c r="F477" s="25"/>
      <c r="G477" s="25"/>
      <c r="H477" s="25"/>
      <c r="I477" s="25"/>
      <c r="J477" s="25"/>
      <c r="K477" s="25"/>
      <c r="L477" s="25"/>
      <c r="M477" s="25"/>
      <c r="N477" s="25"/>
      <c r="O477" s="25"/>
      <c r="P477" s="25"/>
      <c r="Q477" s="25"/>
      <c r="R477" s="25"/>
      <c r="S477" s="25"/>
      <c r="T477" s="25"/>
      <c r="U477" s="25"/>
      <c r="V477" s="25"/>
      <c r="W477" s="25"/>
      <c r="X477" s="25"/>
      <c r="Y477" s="25"/>
      <c r="Z477" s="25"/>
    </row>
    <row r="478" customFormat="false" ht="39.75" hidden="false" customHeight="true" outlineLevel="0" collapsed="false">
      <c r="A478" s="25"/>
      <c r="B478" s="25"/>
      <c r="C478" s="25"/>
      <c r="D478" s="25"/>
      <c r="E478" s="25"/>
      <c r="F478" s="25"/>
      <c r="G478" s="25"/>
      <c r="H478" s="25"/>
      <c r="I478" s="25"/>
      <c r="J478" s="25"/>
      <c r="K478" s="25"/>
      <c r="L478" s="25"/>
      <c r="M478" s="25"/>
      <c r="N478" s="25"/>
      <c r="O478" s="25"/>
      <c r="P478" s="25"/>
      <c r="Q478" s="25"/>
      <c r="R478" s="25"/>
      <c r="S478" s="25"/>
      <c r="T478" s="25"/>
      <c r="U478" s="25"/>
      <c r="V478" s="25"/>
      <c r="W478" s="25"/>
      <c r="X478" s="25"/>
      <c r="Y478" s="25"/>
      <c r="Z478" s="25"/>
    </row>
    <row r="479" customFormat="false" ht="39.75" hidden="false" customHeight="true" outlineLevel="0" collapsed="false">
      <c r="A479" s="25"/>
      <c r="B479" s="25"/>
      <c r="C479" s="25"/>
      <c r="D479" s="25"/>
      <c r="E479" s="25"/>
      <c r="F479" s="25"/>
      <c r="G479" s="25"/>
      <c r="H479" s="25"/>
      <c r="I479" s="25"/>
      <c r="J479" s="25"/>
      <c r="K479" s="25"/>
      <c r="L479" s="25"/>
      <c r="M479" s="25"/>
      <c r="N479" s="25"/>
      <c r="O479" s="25"/>
      <c r="P479" s="25"/>
      <c r="Q479" s="25"/>
      <c r="R479" s="25"/>
      <c r="S479" s="25"/>
      <c r="T479" s="25"/>
      <c r="U479" s="25"/>
      <c r="V479" s="25"/>
      <c r="W479" s="25"/>
      <c r="X479" s="25"/>
      <c r="Y479" s="25"/>
      <c r="Z479" s="25"/>
    </row>
    <row r="480" customFormat="false" ht="39.75" hidden="false" customHeight="true" outlineLevel="0" collapsed="false">
      <c r="A480" s="25"/>
      <c r="B480" s="25"/>
      <c r="C480" s="25"/>
      <c r="D480" s="25"/>
      <c r="E480" s="25"/>
      <c r="F480" s="25"/>
      <c r="G480" s="25"/>
      <c r="H480" s="25"/>
      <c r="I480" s="25"/>
      <c r="J480" s="25"/>
      <c r="K480" s="25"/>
      <c r="L480" s="25"/>
      <c r="M480" s="25"/>
      <c r="N480" s="25"/>
      <c r="O480" s="25"/>
      <c r="P480" s="25"/>
      <c r="Q480" s="25"/>
      <c r="R480" s="25"/>
      <c r="S480" s="25"/>
      <c r="T480" s="25"/>
      <c r="U480" s="25"/>
      <c r="V480" s="25"/>
      <c r="W480" s="25"/>
      <c r="X480" s="25"/>
      <c r="Y480" s="25"/>
      <c r="Z480" s="25"/>
    </row>
    <row r="481" customFormat="false" ht="39.75" hidden="false" customHeight="true" outlineLevel="0" collapsed="false">
      <c r="A481" s="25"/>
      <c r="B481" s="25"/>
      <c r="C481" s="25"/>
      <c r="D481" s="25"/>
      <c r="E481" s="25"/>
      <c r="F481" s="25"/>
      <c r="G481" s="25"/>
      <c r="H481" s="25"/>
      <c r="I481" s="25"/>
      <c r="J481" s="25"/>
      <c r="K481" s="25"/>
      <c r="L481" s="25"/>
      <c r="M481" s="25"/>
      <c r="N481" s="25"/>
      <c r="O481" s="25"/>
      <c r="P481" s="25"/>
      <c r="Q481" s="25"/>
      <c r="R481" s="25"/>
      <c r="S481" s="25"/>
      <c r="T481" s="25"/>
      <c r="U481" s="25"/>
      <c r="V481" s="25"/>
      <c r="W481" s="25"/>
      <c r="X481" s="25"/>
      <c r="Y481" s="25"/>
      <c r="Z481" s="25"/>
    </row>
    <row r="482" customFormat="false" ht="39.75" hidden="false" customHeight="true" outlineLevel="0" collapsed="false">
      <c r="A482" s="25"/>
      <c r="B482" s="25"/>
      <c r="C482" s="25"/>
      <c r="D482" s="25"/>
      <c r="E482" s="25"/>
      <c r="F482" s="25"/>
      <c r="G482" s="25"/>
      <c r="H482" s="25"/>
      <c r="I482" s="25"/>
      <c r="J482" s="25"/>
      <c r="K482" s="25"/>
      <c r="L482" s="25"/>
      <c r="M482" s="25"/>
      <c r="N482" s="25"/>
      <c r="O482" s="25"/>
      <c r="P482" s="25"/>
      <c r="Q482" s="25"/>
      <c r="R482" s="25"/>
      <c r="S482" s="25"/>
      <c r="T482" s="25"/>
      <c r="U482" s="25"/>
      <c r="V482" s="25"/>
      <c r="W482" s="25"/>
      <c r="X482" s="25"/>
      <c r="Y482" s="25"/>
      <c r="Z482" s="25"/>
    </row>
    <row r="483" customFormat="false" ht="39.75" hidden="false" customHeight="true" outlineLevel="0" collapsed="false">
      <c r="A483" s="25"/>
      <c r="B483" s="25"/>
      <c r="C483" s="25"/>
      <c r="D483" s="25"/>
      <c r="E483" s="25"/>
      <c r="F483" s="25"/>
      <c r="G483" s="25"/>
      <c r="H483" s="25"/>
      <c r="I483" s="25"/>
      <c r="J483" s="25"/>
      <c r="K483" s="25"/>
      <c r="L483" s="25"/>
      <c r="M483" s="25"/>
      <c r="N483" s="25"/>
      <c r="O483" s="25"/>
      <c r="P483" s="25"/>
      <c r="Q483" s="25"/>
      <c r="R483" s="25"/>
      <c r="S483" s="25"/>
      <c r="T483" s="25"/>
      <c r="U483" s="25"/>
      <c r="V483" s="25"/>
      <c r="W483" s="25"/>
      <c r="X483" s="25"/>
      <c r="Y483" s="25"/>
      <c r="Z483" s="25"/>
    </row>
    <row r="484" customFormat="false" ht="39.75" hidden="false" customHeight="true" outlineLevel="0" collapsed="false">
      <c r="A484" s="25"/>
      <c r="B484" s="25"/>
      <c r="C484" s="25"/>
      <c r="D484" s="25"/>
      <c r="E484" s="25"/>
      <c r="F484" s="25"/>
      <c r="G484" s="25"/>
      <c r="H484" s="25"/>
      <c r="I484" s="25"/>
      <c r="J484" s="25"/>
      <c r="K484" s="25"/>
      <c r="L484" s="25"/>
      <c r="M484" s="25"/>
      <c r="N484" s="25"/>
      <c r="O484" s="25"/>
      <c r="P484" s="25"/>
      <c r="Q484" s="25"/>
      <c r="R484" s="25"/>
      <c r="S484" s="25"/>
      <c r="T484" s="25"/>
      <c r="U484" s="25"/>
      <c r="V484" s="25"/>
      <c r="W484" s="25"/>
      <c r="X484" s="25"/>
      <c r="Y484" s="25"/>
      <c r="Z484" s="25"/>
    </row>
    <row r="485" customFormat="false" ht="39.75" hidden="false" customHeight="true" outlineLevel="0" collapsed="false">
      <c r="A485" s="25"/>
      <c r="B485" s="25"/>
      <c r="C485" s="25"/>
      <c r="D485" s="25"/>
      <c r="E485" s="25"/>
      <c r="F485" s="25"/>
      <c r="G485" s="25"/>
      <c r="H485" s="25"/>
      <c r="I485" s="25"/>
      <c r="J485" s="25"/>
      <c r="K485" s="25"/>
      <c r="L485" s="25"/>
      <c r="M485" s="25"/>
      <c r="N485" s="25"/>
      <c r="O485" s="25"/>
      <c r="P485" s="25"/>
      <c r="Q485" s="25"/>
      <c r="R485" s="25"/>
      <c r="S485" s="25"/>
      <c r="T485" s="25"/>
      <c r="U485" s="25"/>
      <c r="V485" s="25"/>
      <c r="W485" s="25"/>
      <c r="X485" s="25"/>
      <c r="Y485" s="25"/>
      <c r="Z485" s="25"/>
    </row>
    <row r="486" customFormat="false" ht="39.75" hidden="false" customHeight="true" outlineLevel="0" collapsed="false">
      <c r="A486" s="25"/>
      <c r="B486" s="25"/>
      <c r="C486" s="25"/>
      <c r="D486" s="25"/>
      <c r="E486" s="25"/>
      <c r="F486" s="25"/>
      <c r="G486" s="25"/>
      <c r="H486" s="25"/>
      <c r="I486" s="25"/>
      <c r="J486" s="25"/>
      <c r="K486" s="25"/>
      <c r="L486" s="25"/>
      <c r="M486" s="25"/>
      <c r="N486" s="25"/>
      <c r="O486" s="25"/>
      <c r="P486" s="25"/>
      <c r="Q486" s="25"/>
      <c r="R486" s="25"/>
      <c r="S486" s="25"/>
      <c r="T486" s="25"/>
      <c r="U486" s="25"/>
      <c r="V486" s="25"/>
      <c r="W486" s="25"/>
      <c r="X486" s="25"/>
      <c r="Y486" s="25"/>
      <c r="Z486" s="25"/>
    </row>
    <row r="487" customFormat="false" ht="39.75" hidden="false" customHeight="true" outlineLevel="0" collapsed="false">
      <c r="A487" s="25"/>
      <c r="B487" s="25"/>
      <c r="C487" s="25"/>
      <c r="D487" s="25"/>
      <c r="E487" s="25"/>
      <c r="F487" s="25"/>
      <c r="G487" s="25"/>
      <c r="H487" s="25"/>
      <c r="I487" s="25"/>
      <c r="J487" s="25"/>
      <c r="K487" s="25"/>
      <c r="L487" s="25"/>
      <c r="M487" s="25"/>
      <c r="N487" s="25"/>
      <c r="O487" s="25"/>
      <c r="P487" s="25"/>
      <c r="Q487" s="25"/>
      <c r="R487" s="25"/>
      <c r="S487" s="25"/>
      <c r="T487" s="25"/>
      <c r="U487" s="25"/>
      <c r="V487" s="25"/>
      <c r="W487" s="25"/>
      <c r="X487" s="25"/>
      <c r="Y487" s="25"/>
      <c r="Z487" s="25"/>
    </row>
    <row r="488" customFormat="false" ht="39.75" hidden="false" customHeight="true" outlineLevel="0" collapsed="false">
      <c r="A488" s="25"/>
      <c r="B488" s="25"/>
      <c r="C488" s="25"/>
      <c r="D488" s="25"/>
      <c r="E488" s="25"/>
      <c r="F488" s="25"/>
      <c r="G488" s="25"/>
      <c r="H488" s="25"/>
      <c r="I488" s="25"/>
      <c r="J488" s="25"/>
      <c r="K488" s="25"/>
      <c r="L488" s="25"/>
      <c r="M488" s="25"/>
      <c r="N488" s="25"/>
      <c r="O488" s="25"/>
      <c r="P488" s="25"/>
      <c r="Q488" s="25"/>
      <c r="R488" s="25"/>
      <c r="S488" s="25"/>
      <c r="T488" s="25"/>
      <c r="U488" s="25"/>
      <c r="V488" s="25"/>
      <c r="W488" s="25"/>
      <c r="X488" s="25"/>
      <c r="Y488" s="25"/>
      <c r="Z488" s="25"/>
    </row>
    <row r="489" customFormat="false" ht="39.75" hidden="false" customHeight="true" outlineLevel="0" collapsed="false">
      <c r="A489" s="25"/>
      <c r="B489" s="25"/>
      <c r="C489" s="25"/>
      <c r="D489" s="25"/>
      <c r="E489" s="25"/>
      <c r="F489" s="25"/>
      <c r="G489" s="25"/>
      <c r="H489" s="25"/>
      <c r="I489" s="25"/>
      <c r="J489" s="25"/>
      <c r="K489" s="25"/>
      <c r="L489" s="25"/>
      <c r="M489" s="25"/>
      <c r="N489" s="25"/>
      <c r="O489" s="25"/>
      <c r="P489" s="25"/>
      <c r="Q489" s="25"/>
      <c r="R489" s="25"/>
      <c r="S489" s="25"/>
      <c r="T489" s="25"/>
      <c r="U489" s="25"/>
      <c r="V489" s="25"/>
      <c r="W489" s="25"/>
      <c r="X489" s="25"/>
      <c r="Y489" s="25"/>
      <c r="Z489" s="25"/>
    </row>
    <row r="490" customFormat="false" ht="39.75" hidden="false" customHeight="true" outlineLevel="0" collapsed="false">
      <c r="A490" s="25"/>
      <c r="B490" s="25"/>
      <c r="C490" s="25"/>
      <c r="D490" s="25"/>
      <c r="E490" s="25"/>
      <c r="F490" s="25"/>
      <c r="G490" s="25"/>
      <c r="H490" s="25"/>
      <c r="I490" s="25"/>
      <c r="J490" s="25"/>
      <c r="K490" s="25"/>
      <c r="L490" s="25"/>
      <c r="M490" s="25"/>
      <c r="N490" s="25"/>
      <c r="O490" s="25"/>
      <c r="P490" s="25"/>
      <c r="Q490" s="25"/>
      <c r="R490" s="25"/>
      <c r="S490" s="25"/>
      <c r="T490" s="25"/>
      <c r="U490" s="25"/>
      <c r="V490" s="25"/>
      <c r="W490" s="25"/>
      <c r="X490" s="25"/>
      <c r="Y490" s="25"/>
      <c r="Z490" s="25"/>
    </row>
    <row r="491" customFormat="false" ht="39.75" hidden="false" customHeight="true" outlineLevel="0" collapsed="false">
      <c r="A491" s="25"/>
      <c r="B491" s="25"/>
      <c r="C491" s="25"/>
      <c r="D491" s="25"/>
      <c r="E491" s="25"/>
      <c r="F491" s="25"/>
      <c r="G491" s="25"/>
      <c r="H491" s="25"/>
      <c r="I491" s="25"/>
      <c r="J491" s="25"/>
      <c r="K491" s="25"/>
      <c r="L491" s="25"/>
      <c r="M491" s="25"/>
      <c r="N491" s="25"/>
      <c r="O491" s="25"/>
      <c r="P491" s="25"/>
      <c r="Q491" s="25"/>
      <c r="R491" s="25"/>
      <c r="S491" s="25"/>
      <c r="T491" s="25"/>
      <c r="U491" s="25"/>
      <c r="V491" s="25"/>
      <c r="W491" s="25"/>
      <c r="X491" s="25"/>
      <c r="Y491" s="25"/>
      <c r="Z491" s="25"/>
    </row>
    <row r="492" customFormat="false" ht="39.75" hidden="false" customHeight="true" outlineLevel="0" collapsed="false">
      <c r="A492" s="25"/>
      <c r="B492" s="25"/>
      <c r="C492" s="25"/>
      <c r="D492" s="25"/>
      <c r="E492" s="25"/>
      <c r="F492" s="25"/>
      <c r="G492" s="25"/>
      <c r="H492" s="25"/>
      <c r="I492" s="25"/>
      <c r="J492" s="25"/>
      <c r="K492" s="25"/>
      <c r="L492" s="25"/>
      <c r="M492" s="25"/>
      <c r="N492" s="25"/>
      <c r="O492" s="25"/>
      <c r="P492" s="25"/>
      <c r="Q492" s="25"/>
      <c r="R492" s="25"/>
      <c r="S492" s="25"/>
      <c r="T492" s="25"/>
      <c r="U492" s="25"/>
      <c r="V492" s="25"/>
      <c r="W492" s="25"/>
      <c r="X492" s="25"/>
      <c r="Y492" s="25"/>
      <c r="Z492" s="25"/>
    </row>
    <row r="493" customFormat="false" ht="39.75" hidden="false" customHeight="true" outlineLevel="0" collapsed="false">
      <c r="A493" s="25"/>
      <c r="B493" s="25"/>
      <c r="C493" s="25"/>
      <c r="D493" s="25"/>
      <c r="E493" s="25"/>
      <c r="F493" s="25"/>
      <c r="G493" s="25"/>
      <c r="H493" s="25"/>
      <c r="I493" s="25"/>
      <c r="J493" s="25"/>
      <c r="K493" s="25"/>
      <c r="L493" s="25"/>
      <c r="M493" s="25"/>
      <c r="N493" s="25"/>
      <c r="O493" s="25"/>
      <c r="P493" s="25"/>
      <c r="Q493" s="25"/>
      <c r="R493" s="25"/>
      <c r="S493" s="25"/>
      <c r="T493" s="25"/>
      <c r="U493" s="25"/>
      <c r="V493" s="25"/>
      <c r="W493" s="25"/>
      <c r="X493" s="25"/>
      <c r="Y493" s="25"/>
      <c r="Z493" s="25"/>
    </row>
    <row r="494" customFormat="false" ht="39.75" hidden="false" customHeight="true" outlineLevel="0" collapsed="false">
      <c r="A494" s="25"/>
      <c r="B494" s="25"/>
      <c r="C494" s="25"/>
      <c r="D494" s="25"/>
      <c r="E494" s="25"/>
      <c r="F494" s="25"/>
      <c r="G494" s="25"/>
      <c r="H494" s="25"/>
      <c r="I494" s="25"/>
      <c r="J494" s="25"/>
      <c r="K494" s="25"/>
      <c r="L494" s="25"/>
      <c r="M494" s="25"/>
      <c r="N494" s="25"/>
      <c r="O494" s="25"/>
      <c r="P494" s="25"/>
      <c r="Q494" s="25"/>
      <c r="R494" s="25"/>
      <c r="S494" s="25"/>
      <c r="T494" s="25"/>
      <c r="U494" s="25"/>
      <c r="V494" s="25"/>
      <c r="W494" s="25"/>
      <c r="X494" s="25"/>
      <c r="Y494" s="25"/>
      <c r="Z494" s="25"/>
    </row>
    <row r="495" customFormat="false" ht="39.75" hidden="false" customHeight="true" outlineLevel="0" collapsed="false">
      <c r="A495" s="25"/>
      <c r="B495" s="25"/>
      <c r="C495" s="25"/>
      <c r="D495" s="25"/>
      <c r="E495" s="25"/>
      <c r="F495" s="25"/>
      <c r="G495" s="25"/>
      <c r="H495" s="25"/>
      <c r="I495" s="25"/>
      <c r="J495" s="25"/>
      <c r="K495" s="25"/>
      <c r="L495" s="25"/>
      <c r="M495" s="25"/>
      <c r="N495" s="25"/>
      <c r="O495" s="25"/>
      <c r="P495" s="25"/>
      <c r="Q495" s="25"/>
      <c r="R495" s="25"/>
      <c r="S495" s="25"/>
      <c r="T495" s="25"/>
      <c r="U495" s="25"/>
      <c r="V495" s="25"/>
      <c r="W495" s="25"/>
      <c r="X495" s="25"/>
      <c r="Y495" s="25"/>
      <c r="Z495" s="25"/>
    </row>
    <row r="496" customFormat="false" ht="39.75" hidden="false" customHeight="true" outlineLevel="0" collapsed="false">
      <c r="A496" s="25"/>
      <c r="B496" s="25"/>
      <c r="C496" s="25"/>
      <c r="D496" s="25"/>
      <c r="E496" s="25"/>
      <c r="F496" s="25"/>
      <c r="G496" s="25"/>
      <c r="H496" s="25"/>
      <c r="I496" s="25"/>
      <c r="J496" s="25"/>
      <c r="K496" s="25"/>
      <c r="L496" s="25"/>
      <c r="M496" s="25"/>
      <c r="N496" s="25"/>
      <c r="O496" s="25"/>
      <c r="P496" s="25"/>
      <c r="Q496" s="25"/>
      <c r="R496" s="25"/>
      <c r="S496" s="25"/>
      <c r="T496" s="25"/>
      <c r="U496" s="25"/>
      <c r="V496" s="25"/>
      <c r="W496" s="25"/>
      <c r="X496" s="25"/>
      <c r="Y496" s="25"/>
      <c r="Z496" s="25"/>
    </row>
    <row r="497" customFormat="false" ht="39.75" hidden="false" customHeight="true" outlineLevel="0" collapsed="false">
      <c r="A497" s="25"/>
      <c r="B497" s="25"/>
      <c r="C497" s="25"/>
      <c r="D497" s="25"/>
      <c r="E497" s="25"/>
      <c r="F497" s="25"/>
      <c r="G497" s="25"/>
      <c r="H497" s="25"/>
      <c r="I497" s="25"/>
      <c r="J497" s="25"/>
      <c r="K497" s="25"/>
      <c r="L497" s="25"/>
      <c r="M497" s="25"/>
      <c r="N497" s="25"/>
      <c r="O497" s="25"/>
      <c r="P497" s="25"/>
      <c r="Q497" s="25"/>
      <c r="R497" s="25"/>
      <c r="S497" s="25"/>
      <c r="T497" s="25"/>
      <c r="U497" s="25"/>
      <c r="V497" s="25"/>
      <c r="W497" s="25"/>
      <c r="X497" s="25"/>
      <c r="Y497" s="25"/>
      <c r="Z497" s="25"/>
    </row>
    <row r="498" customFormat="false" ht="39.75" hidden="false" customHeight="true" outlineLevel="0" collapsed="false">
      <c r="A498" s="25"/>
      <c r="B498" s="25"/>
      <c r="C498" s="25"/>
      <c r="D498" s="25"/>
      <c r="E498" s="25"/>
      <c r="F498" s="25"/>
      <c r="G498" s="25"/>
      <c r="H498" s="25"/>
      <c r="I498" s="25"/>
      <c r="J498" s="25"/>
      <c r="K498" s="25"/>
      <c r="L498" s="25"/>
      <c r="M498" s="25"/>
      <c r="N498" s="25"/>
      <c r="O498" s="25"/>
      <c r="P498" s="25"/>
      <c r="Q498" s="25"/>
      <c r="R498" s="25"/>
      <c r="S498" s="25"/>
      <c r="T498" s="25"/>
      <c r="U498" s="25"/>
      <c r="V498" s="25"/>
      <c r="W498" s="25"/>
      <c r="X498" s="25"/>
      <c r="Y498" s="25"/>
      <c r="Z498" s="25"/>
    </row>
    <row r="499" customFormat="false" ht="39.75" hidden="false" customHeight="true" outlineLevel="0" collapsed="false">
      <c r="A499" s="25"/>
      <c r="B499" s="25"/>
      <c r="C499" s="25"/>
      <c r="D499" s="25"/>
      <c r="E499" s="25"/>
      <c r="F499" s="25"/>
      <c r="G499" s="25"/>
      <c r="H499" s="25"/>
      <c r="I499" s="25"/>
      <c r="J499" s="25"/>
      <c r="K499" s="25"/>
      <c r="L499" s="25"/>
      <c r="M499" s="25"/>
      <c r="N499" s="25"/>
      <c r="O499" s="25"/>
      <c r="P499" s="25"/>
      <c r="Q499" s="25"/>
      <c r="R499" s="25"/>
      <c r="S499" s="25"/>
      <c r="T499" s="25"/>
      <c r="U499" s="25"/>
      <c r="V499" s="25"/>
      <c r="W499" s="25"/>
      <c r="X499" s="25"/>
      <c r="Y499" s="25"/>
      <c r="Z499" s="25"/>
    </row>
    <row r="500" customFormat="false" ht="39.75" hidden="false" customHeight="true" outlineLevel="0" collapsed="false">
      <c r="A500" s="25"/>
      <c r="B500" s="25"/>
      <c r="C500" s="25"/>
      <c r="D500" s="25"/>
      <c r="E500" s="25"/>
      <c r="F500" s="25"/>
      <c r="G500" s="25"/>
      <c r="H500" s="25"/>
      <c r="I500" s="25"/>
      <c r="J500" s="25"/>
      <c r="K500" s="25"/>
      <c r="L500" s="25"/>
      <c r="M500" s="25"/>
      <c r="N500" s="25"/>
      <c r="O500" s="25"/>
      <c r="P500" s="25"/>
      <c r="Q500" s="25"/>
      <c r="R500" s="25"/>
      <c r="S500" s="25"/>
      <c r="T500" s="25"/>
      <c r="U500" s="25"/>
      <c r="V500" s="25"/>
      <c r="W500" s="25"/>
      <c r="X500" s="25"/>
      <c r="Y500" s="25"/>
      <c r="Z500" s="25"/>
    </row>
    <row r="501" customFormat="false" ht="39.75" hidden="false" customHeight="true" outlineLevel="0" collapsed="false">
      <c r="A501" s="25"/>
      <c r="B501" s="25"/>
      <c r="C501" s="25"/>
      <c r="D501" s="25"/>
      <c r="E501" s="25"/>
      <c r="F501" s="25"/>
      <c r="G501" s="25"/>
      <c r="H501" s="25"/>
      <c r="I501" s="25"/>
      <c r="J501" s="25"/>
      <c r="K501" s="25"/>
      <c r="L501" s="25"/>
      <c r="M501" s="25"/>
      <c r="N501" s="25"/>
      <c r="O501" s="25"/>
      <c r="P501" s="25"/>
      <c r="Q501" s="25"/>
      <c r="R501" s="25"/>
      <c r="S501" s="25"/>
      <c r="T501" s="25"/>
      <c r="U501" s="25"/>
      <c r="V501" s="25"/>
      <c r="W501" s="25"/>
      <c r="X501" s="25"/>
      <c r="Y501" s="25"/>
      <c r="Z501" s="25"/>
    </row>
    <row r="502" customFormat="false" ht="39.75" hidden="false" customHeight="true" outlineLevel="0" collapsed="false">
      <c r="A502" s="25"/>
      <c r="B502" s="25"/>
      <c r="C502" s="25"/>
      <c r="D502" s="25"/>
      <c r="E502" s="25"/>
      <c r="F502" s="25"/>
      <c r="G502" s="25"/>
      <c r="H502" s="25"/>
      <c r="I502" s="25"/>
      <c r="J502" s="25"/>
      <c r="K502" s="25"/>
      <c r="L502" s="25"/>
      <c r="M502" s="25"/>
      <c r="N502" s="25"/>
      <c r="O502" s="25"/>
      <c r="P502" s="25"/>
      <c r="Q502" s="25"/>
      <c r="R502" s="25"/>
      <c r="S502" s="25"/>
      <c r="T502" s="25"/>
      <c r="U502" s="25"/>
      <c r="V502" s="25"/>
      <c r="W502" s="25"/>
      <c r="X502" s="25"/>
      <c r="Y502" s="25"/>
      <c r="Z502" s="25"/>
    </row>
    <row r="503" customFormat="false" ht="39.75" hidden="false" customHeight="true" outlineLevel="0" collapsed="false">
      <c r="A503" s="25"/>
      <c r="B503" s="25"/>
      <c r="C503" s="25"/>
      <c r="D503" s="25"/>
      <c r="E503" s="25"/>
      <c r="F503" s="25"/>
      <c r="G503" s="25"/>
      <c r="H503" s="25"/>
      <c r="I503" s="25"/>
      <c r="J503" s="25"/>
      <c r="K503" s="25"/>
      <c r="L503" s="25"/>
      <c r="M503" s="25"/>
      <c r="N503" s="25"/>
      <c r="O503" s="25"/>
      <c r="P503" s="25"/>
      <c r="Q503" s="25"/>
      <c r="R503" s="25"/>
      <c r="S503" s="25"/>
      <c r="T503" s="25"/>
      <c r="U503" s="25"/>
      <c r="V503" s="25"/>
      <c r="W503" s="25"/>
      <c r="X503" s="25"/>
      <c r="Y503" s="25"/>
      <c r="Z503" s="25"/>
    </row>
    <row r="504" customFormat="false" ht="39.75" hidden="false" customHeight="true" outlineLevel="0" collapsed="false">
      <c r="A504" s="25"/>
      <c r="B504" s="25"/>
      <c r="C504" s="25"/>
      <c r="D504" s="25"/>
      <c r="E504" s="25"/>
      <c r="F504" s="25"/>
      <c r="G504" s="25"/>
      <c r="H504" s="25"/>
      <c r="I504" s="25"/>
      <c r="J504" s="25"/>
      <c r="K504" s="25"/>
      <c r="L504" s="25"/>
      <c r="M504" s="25"/>
      <c r="N504" s="25"/>
      <c r="O504" s="25"/>
      <c r="P504" s="25"/>
      <c r="Q504" s="25"/>
      <c r="R504" s="25"/>
      <c r="S504" s="25"/>
      <c r="T504" s="25"/>
      <c r="U504" s="25"/>
      <c r="V504" s="25"/>
      <c r="W504" s="25"/>
      <c r="X504" s="25"/>
      <c r="Y504" s="25"/>
      <c r="Z504" s="25"/>
    </row>
    <row r="505" customFormat="false" ht="39.75" hidden="false" customHeight="true" outlineLevel="0" collapsed="false">
      <c r="A505" s="25"/>
      <c r="B505" s="25"/>
      <c r="C505" s="25"/>
      <c r="D505" s="25"/>
      <c r="E505" s="25"/>
      <c r="F505" s="25"/>
      <c r="G505" s="25"/>
      <c r="H505" s="25"/>
      <c r="I505" s="25"/>
      <c r="J505" s="25"/>
      <c r="K505" s="25"/>
      <c r="L505" s="25"/>
      <c r="M505" s="25"/>
      <c r="N505" s="25"/>
      <c r="O505" s="25"/>
      <c r="P505" s="25"/>
      <c r="Q505" s="25"/>
      <c r="R505" s="25"/>
      <c r="S505" s="25"/>
      <c r="T505" s="25"/>
      <c r="U505" s="25"/>
      <c r="V505" s="25"/>
      <c r="W505" s="25"/>
      <c r="X505" s="25"/>
      <c r="Y505" s="25"/>
      <c r="Z505" s="25"/>
    </row>
    <row r="506" customFormat="false" ht="39.75" hidden="false" customHeight="true" outlineLevel="0" collapsed="false">
      <c r="A506" s="25"/>
      <c r="B506" s="25"/>
      <c r="C506" s="25"/>
      <c r="D506" s="25"/>
      <c r="E506" s="25"/>
      <c r="F506" s="25"/>
      <c r="G506" s="25"/>
      <c r="H506" s="25"/>
      <c r="I506" s="25"/>
      <c r="J506" s="25"/>
      <c r="K506" s="25"/>
      <c r="L506" s="25"/>
      <c r="M506" s="25"/>
      <c r="N506" s="25"/>
      <c r="O506" s="25"/>
      <c r="P506" s="25"/>
      <c r="Q506" s="25"/>
      <c r="R506" s="25"/>
      <c r="S506" s="25"/>
      <c r="T506" s="25"/>
      <c r="U506" s="25"/>
      <c r="V506" s="25"/>
      <c r="W506" s="25"/>
      <c r="X506" s="25"/>
      <c r="Y506" s="25"/>
      <c r="Z506" s="25"/>
    </row>
    <row r="507" customFormat="false" ht="39.75" hidden="false" customHeight="true" outlineLevel="0" collapsed="false">
      <c r="A507" s="25"/>
      <c r="B507" s="25"/>
      <c r="C507" s="25"/>
      <c r="D507" s="25"/>
      <c r="E507" s="25"/>
      <c r="F507" s="25"/>
      <c r="G507" s="25"/>
      <c r="H507" s="25"/>
      <c r="I507" s="25"/>
      <c r="J507" s="25"/>
      <c r="K507" s="25"/>
      <c r="L507" s="25"/>
      <c r="M507" s="25"/>
      <c r="N507" s="25"/>
      <c r="O507" s="25"/>
      <c r="P507" s="25"/>
      <c r="Q507" s="25"/>
      <c r="R507" s="25"/>
      <c r="S507" s="25"/>
      <c r="T507" s="25"/>
      <c r="U507" s="25"/>
      <c r="V507" s="25"/>
      <c r="W507" s="25"/>
      <c r="X507" s="25"/>
      <c r="Y507" s="25"/>
      <c r="Z507" s="25"/>
    </row>
    <row r="508" customFormat="false" ht="39.75" hidden="false" customHeight="true" outlineLevel="0" collapsed="false">
      <c r="A508" s="25"/>
      <c r="B508" s="25"/>
      <c r="C508" s="25"/>
      <c r="D508" s="25"/>
      <c r="E508" s="25"/>
      <c r="F508" s="25"/>
      <c r="G508" s="25"/>
      <c r="H508" s="25"/>
      <c r="I508" s="25"/>
      <c r="J508" s="25"/>
      <c r="K508" s="25"/>
      <c r="L508" s="25"/>
      <c r="M508" s="25"/>
      <c r="N508" s="25"/>
      <c r="O508" s="25"/>
      <c r="P508" s="25"/>
      <c r="Q508" s="25"/>
      <c r="R508" s="25"/>
      <c r="S508" s="25"/>
      <c r="T508" s="25"/>
      <c r="U508" s="25"/>
      <c r="V508" s="25"/>
      <c r="W508" s="25"/>
      <c r="X508" s="25"/>
      <c r="Y508" s="25"/>
      <c r="Z508" s="25"/>
    </row>
    <row r="509" customFormat="false" ht="39.75" hidden="false" customHeight="true" outlineLevel="0" collapsed="false">
      <c r="A509" s="25"/>
      <c r="B509" s="25"/>
      <c r="C509" s="25"/>
      <c r="D509" s="25"/>
      <c r="E509" s="25"/>
      <c r="F509" s="25"/>
      <c r="G509" s="25"/>
      <c r="H509" s="25"/>
      <c r="I509" s="25"/>
      <c r="J509" s="25"/>
      <c r="K509" s="25"/>
      <c r="L509" s="25"/>
      <c r="M509" s="25"/>
      <c r="N509" s="25"/>
      <c r="O509" s="25"/>
      <c r="P509" s="25"/>
      <c r="Q509" s="25"/>
      <c r="R509" s="25"/>
      <c r="S509" s="25"/>
      <c r="T509" s="25"/>
      <c r="U509" s="25"/>
      <c r="V509" s="25"/>
      <c r="W509" s="25"/>
      <c r="X509" s="25"/>
      <c r="Y509" s="25"/>
      <c r="Z509" s="25"/>
    </row>
    <row r="510" customFormat="false" ht="39.75" hidden="false" customHeight="true" outlineLevel="0" collapsed="false">
      <c r="A510" s="25"/>
      <c r="B510" s="25"/>
      <c r="C510" s="25"/>
      <c r="D510" s="25"/>
      <c r="E510" s="25"/>
      <c r="F510" s="25"/>
      <c r="G510" s="25"/>
      <c r="H510" s="25"/>
      <c r="I510" s="25"/>
      <c r="J510" s="25"/>
      <c r="K510" s="25"/>
      <c r="L510" s="25"/>
      <c r="M510" s="25"/>
      <c r="N510" s="25"/>
      <c r="O510" s="25"/>
      <c r="P510" s="25"/>
      <c r="Q510" s="25"/>
      <c r="R510" s="25"/>
      <c r="S510" s="25"/>
      <c r="T510" s="25"/>
      <c r="U510" s="25"/>
      <c r="V510" s="25"/>
      <c r="W510" s="25"/>
      <c r="X510" s="25"/>
      <c r="Y510" s="25"/>
      <c r="Z510" s="25"/>
    </row>
    <row r="511" customFormat="false" ht="39.75" hidden="false" customHeight="true" outlineLevel="0" collapsed="false">
      <c r="A511" s="25"/>
      <c r="B511" s="25"/>
      <c r="C511" s="25"/>
      <c r="D511" s="25"/>
      <c r="E511" s="25"/>
      <c r="F511" s="25"/>
      <c r="G511" s="25"/>
      <c r="H511" s="25"/>
      <c r="I511" s="25"/>
      <c r="J511" s="25"/>
      <c r="K511" s="25"/>
      <c r="L511" s="25"/>
      <c r="M511" s="25"/>
      <c r="N511" s="25"/>
      <c r="O511" s="25"/>
      <c r="P511" s="25"/>
      <c r="Q511" s="25"/>
      <c r="R511" s="25"/>
      <c r="S511" s="25"/>
      <c r="T511" s="25"/>
      <c r="U511" s="25"/>
      <c r="V511" s="25"/>
      <c r="W511" s="25"/>
      <c r="X511" s="25"/>
      <c r="Y511" s="25"/>
      <c r="Z511" s="25"/>
    </row>
    <row r="512" customFormat="false" ht="39.75" hidden="false" customHeight="true" outlineLevel="0" collapsed="false">
      <c r="A512" s="25"/>
      <c r="B512" s="25"/>
      <c r="C512" s="25"/>
      <c r="D512" s="25"/>
      <c r="E512" s="25"/>
      <c r="F512" s="25"/>
      <c r="G512" s="25"/>
      <c r="H512" s="25"/>
      <c r="I512" s="25"/>
      <c r="J512" s="25"/>
      <c r="K512" s="25"/>
      <c r="L512" s="25"/>
      <c r="M512" s="25"/>
      <c r="N512" s="25"/>
      <c r="O512" s="25"/>
      <c r="P512" s="25"/>
      <c r="Q512" s="25"/>
      <c r="R512" s="25"/>
      <c r="S512" s="25"/>
      <c r="T512" s="25"/>
      <c r="U512" s="25"/>
      <c r="V512" s="25"/>
      <c r="W512" s="25"/>
      <c r="X512" s="25"/>
      <c r="Y512" s="25"/>
      <c r="Z512" s="25"/>
    </row>
    <row r="513" customFormat="false" ht="39.75" hidden="false" customHeight="true" outlineLevel="0" collapsed="false">
      <c r="A513" s="25"/>
      <c r="B513" s="25"/>
      <c r="C513" s="25"/>
      <c r="D513" s="25"/>
      <c r="E513" s="25"/>
      <c r="F513" s="25"/>
      <c r="G513" s="25"/>
      <c r="H513" s="25"/>
      <c r="I513" s="25"/>
      <c r="J513" s="25"/>
      <c r="K513" s="25"/>
      <c r="L513" s="25"/>
      <c r="M513" s="25"/>
      <c r="N513" s="25"/>
      <c r="O513" s="25"/>
      <c r="P513" s="25"/>
      <c r="Q513" s="25"/>
      <c r="R513" s="25"/>
      <c r="S513" s="25"/>
      <c r="T513" s="25"/>
      <c r="U513" s="25"/>
      <c r="V513" s="25"/>
      <c r="W513" s="25"/>
      <c r="X513" s="25"/>
      <c r="Y513" s="25"/>
      <c r="Z513" s="25"/>
    </row>
    <row r="514" customFormat="false" ht="39.75" hidden="false" customHeight="true" outlineLevel="0" collapsed="false">
      <c r="A514" s="25"/>
      <c r="B514" s="25"/>
      <c r="C514" s="25"/>
      <c r="D514" s="25"/>
      <c r="E514" s="25"/>
      <c r="F514" s="25"/>
      <c r="G514" s="25"/>
      <c r="H514" s="25"/>
      <c r="I514" s="25"/>
      <c r="J514" s="25"/>
      <c r="K514" s="25"/>
      <c r="L514" s="25"/>
      <c r="M514" s="25"/>
      <c r="N514" s="25"/>
      <c r="O514" s="25"/>
      <c r="P514" s="25"/>
      <c r="Q514" s="25"/>
      <c r="R514" s="25"/>
      <c r="S514" s="25"/>
      <c r="T514" s="25"/>
      <c r="U514" s="25"/>
      <c r="V514" s="25"/>
      <c r="W514" s="25"/>
      <c r="X514" s="25"/>
      <c r="Y514" s="25"/>
      <c r="Z514" s="25"/>
    </row>
    <row r="515" customFormat="false" ht="39.75" hidden="false" customHeight="true" outlineLevel="0" collapsed="false">
      <c r="A515" s="25"/>
      <c r="B515" s="25"/>
      <c r="C515" s="25"/>
      <c r="D515" s="25"/>
      <c r="E515" s="25"/>
      <c r="F515" s="25"/>
      <c r="G515" s="25"/>
      <c r="H515" s="25"/>
      <c r="I515" s="25"/>
      <c r="J515" s="25"/>
      <c r="K515" s="25"/>
      <c r="L515" s="25"/>
      <c r="M515" s="25"/>
      <c r="N515" s="25"/>
      <c r="O515" s="25"/>
      <c r="P515" s="25"/>
      <c r="Q515" s="25"/>
      <c r="R515" s="25"/>
      <c r="S515" s="25"/>
      <c r="T515" s="25"/>
      <c r="U515" s="25"/>
      <c r="V515" s="25"/>
      <c r="W515" s="25"/>
      <c r="X515" s="25"/>
      <c r="Y515" s="25"/>
      <c r="Z515" s="25"/>
    </row>
    <row r="516" customFormat="false" ht="39.75" hidden="false" customHeight="true" outlineLevel="0" collapsed="false">
      <c r="A516" s="25"/>
      <c r="B516" s="25"/>
      <c r="C516" s="25"/>
      <c r="D516" s="25"/>
      <c r="E516" s="25"/>
      <c r="F516" s="25"/>
      <c r="G516" s="25"/>
      <c r="H516" s="25"/>
      <c r="I516" s="25"/>
      <c r="J516" s="25"/>
      <c r="K516" s="25"/>
      <c r="L516" s="25"/>
      <c r="M516" s="25"/>
      <c r="N516" s="25"/>
      <c r="O516" s="25"/>
      <c r="P516" s="25"/>
      <c r="Q516" s="25"/>
      <c r="R516" s="25"/>
      <c r="S516" s="25"/>
      <c r="T516" s="25"/>
      <c r="U516" s="25"/>
      <c r="V516" s="25"/>
      <c r="W516" s="25"/>
      <c r="X516" s="25"/>
      <c r="Y516" s="25"/>
      <c r="Z516" s="25"/>
    </row>
    <row r="517" customFormat="false" ht="39.75" hidden="false" customHeight="true" outlineLevel="0" collapsed="false">
      <c r="A517" s="25"/>
      <c r="B517" s="25"/>
      <c r="C517" s="25"/>
      <c r="D517" s="25"/>
      <c r="E517" s="25"/>
      <c r="F517" s="25"/>
      <c r="G517" s="25"/>
      <c r="H517" s="25"/>
      <c r="I517" s="25"/>
      <c r="J517" s="25"/>
      <c r="K517" s="25"/>
      <c r="L517" s="25"/>
      <c r="M517" s="25"/>
      <c r="N517" s="25"/>
      <c r="O517" s="25"/>
      <c r="P517" s="25"/>
      <c r="Q517" s="25"/>
      <c r="R517" s="25"/>
      <c r="S517" s="25"/>
      <c r="T517" s="25"/>
      <c r="U517" s="25"/>
      <c r="V517" s="25"/>
      <c r="W517" s="25"/>
      <c r="X517" s="25"/>
      <c r="Y517" s="25"/>
      <c r="Z517" s="25"/>
    </row>
    <row r="518" customFormat="false" ht="39.75" hidden="false" customHeight="true" outlineLevel="0" collapsed="false">
      <c r="A518" s="25"/>
      <c r="B518" s="25"/>
      <c r="C518" s="25"/>
      <c r="D518" s="25"/>
      <c r="E518" s="25"/>
      <c r="F518" s="25"/>
      <c r="G518" s="25"/>
      <c r="H518" s="25"/>
      <c r="I518" s="25"/>
      <c r="J518" s="25"/>
      <c r="K518" s="25"/>
      <c r="L518" s="25"/>
      <c r="M518" s="25"/>
      <c r="N518" s="25"/>
      <c r="O518" s="25"/>
      <c r="P518" s="25"/>
      <c r="Q518" s="25"/>
      <c r="R518" s="25"/>
      <c r="S518" s="25"/>
      <c r="T518" s="25"/>
      <c r="U518" s="25"/>
      <c r="V518" s="25"/>
      <c r="W518" s="25"/>
      <c r="X518" s="25"/>
      <c r="Y518" s="25"/>
      <c r="Z518" s="25"/>
    </row>
    <row r="519" customFormat="false" ht="39.75" hidden="false" customHeight="true" outlineLevel="0" collapsed="false">
      <c r="A519" s="25"/>
      <c r="B519" s="25"/>
      <c r="C519" s="25"/>
      <c r="D519" s="25"/>
      <c r="E519" s="25"/>
      <c r="F519" s="25"/>
      <c r="G519" s="25"/>
      <c r="H519" s="25"/>
      <c r="I519" s="25"/>
      <c r="J519" s="25"/>
      <c r="K519" s="25"/>
      <c r="L519" s="25"/>
      <c r="M519" s="25"/>
      <c r="N519" s="25"/>
      <c r="O519" s="25"/>
      <c r="P519" s="25"/>
      <c r="Q519" s="25"/>
      <c r="R519" s="25"/>
      <c r="S519" s="25"/>
      <c r="T519" s="25"/>
      <c r="U519" s="25"/>
      <c r="V519" s="25"/>
      <c r="W519" s="25"/>
      <c r="X519" s="25"/>
      <c r="Y519" s="25"/>
      <c r="Z519" s="25"/>
    </row>
    <row r="520" customFormat="false" ht="39.75" hidden="false" customHeight="true" outlineLevel="0" collapsed="false">
      <c r="A520" s="25"/>
      <c r="B520" s="25"/>
      <c r="C520" s="25"/>
      <c r="D520" s="25"/>
      <c r="E520" s="25"/>
      <c r="F520" s="25"/>
      <c r="G520" s="25"/>
      <c r="H520" s="25"/>
      <c r="I520" s="25"/>
      <c r="J520" s="25"/>
      <c r="K520" s="25"/>
      <c r="L520" s="25"/>
      <c r="M520" s="25"/>
      <c r="N520" s="25"/>
      <c r="O520" s="25"/>
      <c r="P520" s="25"/>
      <c r="Q520" s="25"/>
      <c r="R520" s="25"/>
      <c r="S520" s="25"/>
      <c r="T520" s="25"/>
      <c r="U520" s="25"/>
      <c r="V520" s="25"/>
      <c r="W520" s="25"/>
      <c r="X520" s="25"/>
      <c r="Y520" s="25"/>
      <c r="Z520" s="25"/>
    </row>
    <row r="521" customFormat="false" ht="39.75" hidden="false" customHeight="true" outlineLevel="0" collapsed="false">
      <c r="A521" s="25"/>
      <c r="B521" s="25"/>
      <c r="C521" s="25"/>
      <c r="D521" s="25"/>
      <c r="E521" s="25"/>
      <c r="F521" s="25"/>
      <c r="G521" s="25"/>
      <c r="H521" s="25"/>
      <c r="I521" s="25"/>
      <c r="J521" s="25"/>
      <c r="K521" s="25"/>
      <c r="L521" s="25"/>
      <c r="M521" s="25"/>
      <c r="N521" s="25"/>
      <c r="O521" s="25"/>
      <c r="P521" s="25"/>
      <c r="Q521" s="25"/>
      <c r="R521" s="25"/>
      <c r="S521" s="25"/>
      <c r="T521" s="25"/>
      <c r="U521" s="25"/>
      <c r="V521" s="25"/>
      <c r="W521" s="25"/>
      <c r="X521" s="25"/>
      <c r="Y521" s="25"/>
      <c r="Z521" s="25"/>
    </row>
    <row r="522" customFormat="false" ht="39.75" hidden="false" customHeight="true" outlineLevel="0" collapsed="false">
      <c r="A522" s="25"/>
      <c r="B522" s="25"/>
      <c r="C522" s="25"/>
      <c r="D522" s="25"/>
      <c r="E522" s="25"/>
      <c r="F522" s="25"/>
      <c r="G522" s="25"/>
      <c r="H522" s="25"/>
      <c r="I522" s="25"/>
      <c r="J522" s="25"/>
      <c r="K522" s="25"/>
      <c r="L522" s="25"/>
      <c r="M522" s="25"/>
      <c r="N522" s="25"/>
      <c r="O522" s="25"/>
      <c r="P522" s="25"/>
      <c r="Q522" s="25"/>
      <c r="R522" s="25"/>
      <c r="S522" s="25"/>
      <c r="T522" s="25"/>
      <c r="U522" s="25"/>
      <c r="V522" s="25"/>
      <c r="W522" s="25"/>
      <c r="X522" s="25"/>
      <c r="Y522" s="25"/>
      <c r="Z522" s="25"/>
    </row>
    <row r="523" customFormat="false" ht="39.75" hidden="false" customHeight="true" outlineLevel="0" collapsed="false">
      <c r="A523" s="25"/>
      <c r="B523" s="25"/>
      <c r="C523" s="25"/>
      <c r="D523" s="25"/>
      <c r="E523" s="25"/>
      <c r="F523" s="25"/>
      <c r="G523" s="25"/>
      <c r="H523" s="25"/>
      <c r="I523" s="25"/>
      <c r="J523" s="25"/>
      <c r="K523" s="25"/>
      <c r="L523" s="25"/>
      <c r="M523" s="25"/>
      <c r="N523" s="25"/>
      <c r="O523" s="25"/>
      <c r="P523" s="25"/>
      <c r="Q523" s="25"/>
      <c r="R523" s="25"/>
      <c r="S523" s="25"/>
      <c r="T523" s="25"/>
      <c r="U523" s="25"/>
      <c r="V523" s="25"/>
      <c r="W523" s="25"/>
      <c r="X523" s="25"/>
      <c r="Y523" s="25"/>
      <c r="Z523" s="25"/>
    </row>
    <row r="524" customFormat="false" ht="39.75" hidden="false" customHeight="true" outlineLevel="0" collapsed="false">
      <c r="A524" s="25"/>
      <c r="B524" s="25"/>
      <c r="C524" s="25"/>
      <c r="D524" s="25"/>
      <c r="E524" s="25"/>
      <c r="F524" s="25"/>
      <c r="G524" s="25"/>
      <c r="H524" s="25"/>
      <c r="I524" s="25"/>
      <c r="J524" s="25"/>
      <c r="K524" s="25"/>
      <c r="L524" s="25"/>
      <c r="M524" s="25"/>
      <c r="N524" s="25"/>
      <c r="O524" s="25"/>
      <c r="P524" s="25"/>
      <c r="Q524" s="25"/>
      <c r="R524" s="25"/>
      <c r="S524" s="25"/>
      <c r="T524" s="25"/>
      <c r="U524" s="25"/>
      <c r="V524" s="25"/>
      <c r="W524" s="25"/>
      <c r="X524" s="25"/>
      <c r="Y524" s="25"/>
      <c r="Z524" s="25"/>
    </row>
    <row r="525" customFormat="false" ht="39.75" hidden="false" customHeight="true" outlineLevel="0" collapsed="false">
      <c r="A525" s="25"/>
      <c r="B525" s="25"/>
      <c r="C525" s="25"/>
      <c r="D525" s="25"/>
      <c r="E525" s="25"/>
      <c r="F525" s="25"/>
      <c r="G525" s="25"/>
      <c r="H525" s="25"/>
      <c r="I525" s="25"/>
      <c r="J525" s="25"/>
      <c r="K525" s="25"/>
      <c r="L525" s="25"/>
      <c r="M525" s="25"/>
      <c r="N525" s="25"/>
      <c r="O525" s="25"/>
      <c r="P525" s="25"/>
      <c r="Q525" s="25"/>
      <c r="R525" s="25"/>
      <c r="S525" s="25"/>
      <c r="T525" s="25"/>
      <c r="U525" s="25"/>
      <c r="V525" s="25"/>
      <c r="W525" s="25"/>
      <c r="X525" s="25"/>
      <c r="Y525" s="25"/>
      <c r="Z525" s="25"/>
    </row>
    <row r="526" customFormat="false" ht="39.75" hidden="false" customHeight="true" outlineLevel="0" collapsed="false">
      <c r="A526" s="25"/>
      <c r="B526" s="25"/>
      <c r="C526" s="25"/>
      <c r="D526" s="25"/>
      <c r="E526" s="25"/>
      <c r="F526" s="25"/>
      <c r="G526" s="25"/>
      <c r="H526" s="25"/>
      <c r="I526" s="25"/>
      <c r="J526" s="25"/>
      <c r="K526" s="25"/>
      <c r="L526" s="25"/>
      <c r="M526" s="25"/>
      <c r="N526" s="25"/>
      <c r="O526" s="25"/>
      <c r="P526" s="25"/>
      <c r="Q526" s="25"/>
      <c r="R526" s="25"/>
      <c r="S526" s="25"/>
      <c r="T526" s="25"/>
      <c r="U526" s="25"/>
      <c r="V526" s="25"/>
      <c r="W526" s="25"/>
      <c r="X526" s="25"/>
      <c r="Y526" s="25"/>
      <c r="Z526" s="25"/>
    </row>
    <row r="527" customFormat="false" ht="39.75" hidden="false" customHeight="true" outlineLevel="0" collapsed="false">
      <c r="A527" s="25"/>
      <c r="B527" s="25"/>
      <c r="C527" s="25"/>
      <c r="D527" s="25"/>
      <c r="E527" s="25"/>
      <c r="F527" s="25"/>
      <c r="G527" s="25"/>
      <c r="H527" s="25"/>
      <c r="I527" s="25"/>
      <c r="J527" s="25"/>
      <c r="K527" s="25"/>
      <c r="L527" s="25"/>
      <c r="M527" s="25"/>
      <c r="N527" s="25"/>
      <c r="O527" s="25"/>
      <c r="P527" s="25"/>
      <c r="Q527" s="25"/>
      <c r="R527" s="25"/>
      <c r="S527" s="25"/>
      <c r="T527" s="25"/>
      <c r="U527" s="25"/>
      <c r="V527" s="25"/>
      <c r="W527" s="25"/>
      <c r="X527" s="25"/>
      <c r="Y527" s="25"/>
      <c r="Z527" s="25"/>
    </row>
    <row r="528" customFormat="false" ht="39.75" hidden="false" customHeight="true" outlineLevel="0" collapsed="false">
      <c r="A528" s="25"/>
      <c r="B528" s="25"/>
      <c r="C528" s="25"/>
      <c r="D528" s="25"/>
      <c r="E528" s="25"/>
      <c r="F528" s="25"/>
      <c r="G528" s="25"/>
      <c r="H528" s="25"/>
      <c r="I528" s="25"/>
      <c r="J528" s="25"/>
      <c r="K528" s="25"/>
      <c r="L528" s="25"/>
      <c r="M528" s="25"/>
      <c r="N528" s="25"/>
      <c r="O528" s="25"/>
      <c r="P528" s="25"/>
      <c r="Q528" s="25"/>
      <c r="R528" s="25"/>
      <c r="S528" s="25"/>
      <c r="T528" s="25"/>
      <c r="U528" s="25"/>
      <c r="V528" s="25"/>
      <c r="W528" s="25"/>
      <c r="X528" s="25"/>
      <c r="Y528" s="25"/>
      <c r="Z528" s="25"/>
    </row>
    <row r="529" customFormat="false" ht="39.75" hidden="false" customHeight="true" outlineLevel="0" collapsed="false">
      <c r="A529" s="25"/>
      <c r="B529" s="25"/>
      <c r="C529" s="25"/>
      <c r="D529" s="25"/>
      <c r="E529" s="25"/>
      <c r="F529" s="25"/>
      <c r="G529" s="25"/>
      <c r="H529" s="25"/>
      <c r="I529" s="25"/>
      <c r="J529" s="25"/>
      <c r="K529" s="25"/>
      <c r="L529" s="25"/>
      <c r="M529" s="25"/>
      <c r="N529" s="25"/>
      <c r="O529" s="25"/>
      <c r="P529" s="25"/>
      <c r="Q529" s="25"/>
      <c r="R529" s="25"/>
      <c r="S529" s="25"/>
      <c r="T529" s="25"/>
      <c r="U529" s="25"/>
      <c r="V529" s="25"/>
      <c r="W529" s="25"/>
      <c r="X529" s="25"/>
      <c r="Y529" s="25"/>
      <c r="Z529" s="25"/>
    </row>
    <row r="530" customFormat="false" ht="39.75" hidden="false" customHeight="true" outlineLevel="0" collapsed="false">
      <c r="A530" s="25"/>
      <c r="B530" s="25"/>
      <c r="C530" s="25"/>
      <c r="D530" s="25"/>
      <c r="E530" s="25"/>
      <c r="F530" s="25"/>
      <c r="G530" s="25"/>
      <c r="H530" s="25"/>
      <c r="I530" s="25"/>
      <c r="J530" s="25"/>
      <c r="K530" s="25"/>
      <c r="L530" s="25"/>
      <c r="M530" s="25"/>
      <c r="N530" s="25"/>
      <c r="O530" s="25"/>
      <c r="P530" s="25"/>
      <c r="Q530" s="25"/>
      <c r="R530" s="25"/>
      <c r="S530" s="25"/>
      <c r="T530" s="25"/>
      <c r="U530" s="25"/>
      <c r="V530" s="25"/>
      <c r="W530" s="25"/>
      <c r="X530" s="25"/>
      <c r="Y530" s="25"/>
      <c r="Z530" s="25"/>
    </row>
    <row r="531" customFormat="false" ht="39.75" hidden="false" customHeight="true" outlineLevel="0" collapsed="false">
      <c r="A531" s="25"/>
      <c r="B531" s="25"/>
      <c r="C531" s="25"/>
      <c r="D531" s="25"/>
      <c r="E531" s="25"/>
      <c r="F531" s="25"/>
      <c r="G531" s="25"/>
      <c r="H531" s="25"/>
      <c r="I531" s="25"/>
      <c r="J531" s="25"/>
      <c r="K531" s="25"/>
      <c r="L531" s="25"/>
      <c r="M531" s="25"/>
      <c r="N531" s="25"/>
      <c r="O531" s="25"/>
      <c r="P531" s="25"/>
      <c r="Q531" s="25"/>
      <c r="R531" s="25"/>
      <c r="S531" s="25"/>
      <c r="T531" s="25"/>
      <c r="U531" s="25"/>
      <c r="V531" s="25"/>
      <c r="W531" s="25"/>
      <c r="X531" s="25"/>
      <c r="Y531" s="25"/>
      <c r="Z531" s="25"/>
    </row>
    <row r="532" customFormat="false" ht="39.75" hidden="false" customHeight="true" outlineLevel="0" collapsed="false">
      <c r="A532" s="25"/>
      <c r="B532" s="25"/>
      <c r="C532" s="25"/>
      <c r="D532" s="25"/>
      <c r="E532" s="25"/>
      <c r="F532" s="25"/>
      <c r="G532" s="25"/>
      <c r="H532" s="25"/>
      <c r="I532" s="25"/>
      <c r="J532" s="25"/>
      <c r="K532" s="25"/>
      <c r="L532" s="25"/>
      <c r="M532" s="25"/>
      <c r="N532" s="25"/>
      <c r="O532" s="25"/>
      <c r="P532" s="25"/>
      <c r="Q532" s="25"/>
      <c r="R532" s="25"/>
      <c r="S532" s="25"/>
      <c r="T532" s="25"/>
      <c r="U532" s="25"/>
      <c r="V532" s="25"/>
      <c r="W532" s="25"/>
      <c r="X532" s="25"/>
      <c r="Y532" s="25"/>
      <c r="Z532" s="25"/>
    </row>
    <row r="533" customFormat="false" ht="39.75" hidden="false" customHeight="true" outlineLevel="0" collapsed="false">
      <c r="A533" s="25"/>
      <c r="B533" s="25"/>
      <c r="C533" s="25"/>
      <c r="D533" s="25"/>
      <c r="E533" s="25"/>
      <c r="F533" s="25"/>
      <c r="G533" s="25"/>
      <c r="H533" s="25"/>
      <c r="I533" s="25"/>
      <c r="J533" s="25"/>
      <c r="K533" s="25"/>
      <c r="L533" s="25"/>
      <c r="M533" s="25"/>
      <c r="N533" s="25"/>
      <c r="O533" s="25"/>
      <c r="P533" s="25"/>
      <c r="Q533" s="25"/>
      <c r="R533" s="25"/>
      <c r="S533" s="25"/>
      <c r="T533" s="25"/>
      <c r="U533" s="25"/>
      <c r="V533" s="25"/>
      <c r="W533" s="25"/>
      <c r="X533" s="25"/>
      <c r="Y533" s="25"/>
      <c r="Z533" s="25"/>
    </row>
    <row r="534" customFormat="false" ht="39.75" hidden="false" customHeight="true" outlineLevel="0" collapsed="false">
      <c r="A534" s="25"/>
      <c r="B534" s="25"/>
      <c r="C534" s="25"/>
      <c r="D534" s="25"/>
      <c r="E534" s="25"/>
      <c r="F534" s="25"/>
      <c r="G534" s="25"/>
      <c r="H534" s="25"/>
      <c r="I534" s="25"/>
      <c r="J534" s="25"/>
      <c r="K534" s="25"/>
      <c r="L534" s="25"/>
      <c r="M534" s="25"/>
      <c r="N534" s="25"/>
      <c r="O534" s="25"/>
      <c r="P534" s="25"/>
      <c r="Q534" s="25"/>
      <c r="R534" s="25"/>
      <c r="S534" s="25"/>
      <c r="T534" s="25"/>
      <c r="U534" s="25"/>
      <c r="V534" s="25"/>
      <c r="W534" s="25"/>
      <c r="X534" s="25"/>
      <c r="Y534" s="25"/>
      <c r="Z534" s="25"/>
    </row>
    <row r="535" customFormat="false" ht="39.75" hidden="false" customHeight="true" outlineLevel="0" collapsed="false">
      <c r="A535" s="25"/>
      <c r="B535" s="25"/>
      <c r="C535" s="25"/>
      <c r="D535" s="25"/>
      <c r="E535" s="25"/>
      <c r="F535" s="25"/>
      <c r="G535" s="25"/>
      <c r="H535" s="25"/>
      <c r="I535" s="25"/>
      <c r="J535" s="25"/>
      <c r="K535" s="25"/>
      <c r="L535" s="25"/>
      <c r="M535" s="25"/>
      <c r="N535" s="25"/>
      <c r="O535" s="25"/>
      <c r="P535" s="25"/>
      <c r="Q535" s="25"/>
      <c r="R535" s="25"/>
      <c r="S535" s="25"/>
      <c r="T535" s="25"/>
      <c r="U535" s="25"/>
      <c r="V535" s="25"/>
      <c r="W535" s="25"/>
      <c r="X535" s="25"/>
      <c r="Y535" s="25"/>
      <c r="Z535" s="25"/>
    </row>
    <row r="536" customFormat="false" ht="39.75" hidden="false" customHeight="true" outlineLevel="0" collapsed="false">
      <c r="A536" s="25"/>
      <c r="B536" s="25"/>
      <c r="C536" s="25"/>
      <c r="D536" s="25"/>
      <c r="E536" s="25"/>
      <c r="F536" s="25"/>
      <c r="G536" s="25"/>
      <c r="H536" s="25"/>
      <c r="I536" s="25"/>
      <c r="J536" s="25"/>
      <c r="K536" s="25"/>
      <c r="L536" s="25"/>
      <c r="M536" s="25"/>
      <c r="N536" s="25"/>
      <c r="O536" s="25"/>
      <c r="P536" s="25"/>
      <c r="Q536" s="25"/>
      <c r="R536" s="25"/>
      <c r="S536" s="25"/>
      <c r="T536" s="25"/>
      <c r="U536" s="25"/>
      <c r="V536" s="25"/>
      <c r="W536" s="25"/>
      <c r="X536" s="25"/>
      <c r="Y536" s="25"/>
      <c r="Z536" s="25"/>
    </row>
    <row r="537" customFormat="false" ht="39.75" hidden="false" customHeight="true" outlineLevel="0" collapsed="false">
      <c r="A537" s="25"/>
      <c r="B537" s="25"/>
      <c r="C537" s="25"/>
      <c r="D537" s="25"/>
      <c r="E537" s="25"/>
      <c r="F537" s="25"/>
      <c r="G537" s="25"/>
      <c r="H537" s="25"/>
      <c r="I537" s="25"/>
      <c r="J537" s="25"/>
      <c r="K537" s="25"/>
      <c r="L537" s="25"/>
      <c r="M537" s="25"/>
      <c r="N537" s="25"/>
      <c r="O537" s="25"/>
      <c r="P537" s="25"/>
      <c r="Q537" s="25"/>
      <c r="R537" s="25"/>
      <c r="S537" s="25"/>
      <c r="T537" s="25"/>
      <c r="U537" s="25"/>
      <c r="V537" s="25"/>
      <c r="W537" s="25"/>
      <c r="X537" s="25"/>
      <c r="Y537" s="25"/>
      <c r="Z537" s="25"/>
    </row>
    <row r="538" customFormat="false" ht="39.75" hidden="false" customHeight="true" outlineLevel="0" collapsed="false">
      <c r="A538" s="25"/>
      <c r="B538" s="25"/>
      <c r="C538" s="25"/>
      <c r="D538" s="25"/>
      <c r="E538" s="25"/>
      <c r="F538" s="25"/>
      <c r="G538" s="25"/>
      <c r="H538" s="25"/>
      <c r="I538" s="25"/>
      <c r="J538" s="25"/>
      <c r="K538" s="25"/>
      <c r="L538" s="25"/>
      <c r="M538" s="25"/>
      <c r="N538" s="25"/>
      <c r="O538" s="25"/>
      <c r="P538" s="25"/>
      <c r="Q538" s="25"/>
      <c r="R538" s="25"/>
      <c r="S538" s="25"/>
      <c r="T538" s="25"/>
      <c r="U538" s="25"/>
      <c r="V538" s="25"/>
      <c r="W538" s="25"/>
      <c r="X538" s="25"/>
      <c r="Y538" s="25"/>
      <c r="Z538" s="25"/>
    </row>
    <row r="539" customFormat="false" ht="39.75" hidden="false" customHeight="true" outlineLevel="0" collapsed="false">
      <c r="A539" s="25"/>
      <c r="B539" s="25"/>
      <c r="C539" s="25"/>
      <c r="D539" s="25"/>
      <c r="E539" s="25"/>
      <c r="F539" s="25"/>
      <c r="G539" s="25"/>
      <c r="H539" s="25"/>
      <c r="I539" s="25"/>
      <c r="J539" s="25"/>
      <c r="K539" s="25"/>
      <c r="L539" s="25"/>
      <c r="M539" s="25"/>
      <c r="N539" s="25"/>
      <c r="O539" s="25"/>
      <c r="P539" s="25"/>
      <c r="Q539" s="25"/>
      <c r="R539" s="25"/>
      <c r="S539" s="25"/>
      <c r="T539" s="25"/>
      <c r="U539" s="25"/>
      <c r="V539" s="25"/>
      <c r="W539" s="25"/>
      <c r="X539" s="25"/>
      <c r="Y539" s="25"/>
      <c r="Z539" s="25"/>
    </row>
    <row r="540" customFormat="false" ht="39.75" hidden="false" customHeight="true" outlineLevel="0" collapsed="false">
      <c r="A540" s="25"/>
      <c r="B540" s="25"/>
      <c r="C540" s="25"/>
      <c r="D540" s="25"/>
      <c r="E540" s="25"/>
      <c r="F540" s="25"/>
      <c r="G540" s="25"/>
      <c r="H540" s="25"/>
      <c r="I540" s="25"/>
      <c r="J540" s="25"/>
      <c r="K540" s="25"/>
      <c r="L540" s="25"/>
      <c r="M540" s="25"/>
      <c r="N540" s="25"/>
      <c r="O540" s="25"/>
      <c r="P540" s="25"/>
      <c r="Q540" s="25"/>
      <c r="R540" s="25"/>
      <c r="S540" s="25"/>
      <c r="T540" s="25"/>
      <c r="U540" s="25"/>
      <c r="V540" s="25"/>
      <c r="W540" s="25"/>
      <c r="X540" s="25"/>
      <c r="Y540" s="25"/>
      <c r="Z540" s="25"/>
    </row>
    <row r="541" customFormat="false" ht="39.75" hidden="false" customHeight="true" outlineLevel="0" collapsed="false">
      <c r="A541" s="25"/>
      <c r="B541" s="25"/>
      <c r="C541" s="25"/>
      <c r="D541" s="25"/>
      <c r="E541" s="25"/>
      <c r="F541" s="25"/>
      <c r="G541" s="25"/>
      <c r="H541" s="25"/>
      <c r="I541" s="25"/>
      <c r="J541" s="25"/>
      <c r="K541" s="25"/>
      <c r="L541" s="25"/>
      <c r="M541" s="25"/>
      <c r="N541" s="25"/>
      <c r="O541" s="25"/>
      <c r="P541" s="25"/>
      <c r="Q541" s="25"/>
      <c r="R541" s="25"/>
      <c r="S541" s="25"/>
      <c r="T541" s="25"/>
      <c r="U541" s="25"/>
      <c r="V541" s="25"/>
      <c r="W541" s="25"/>
      <c r="X541" s="25"/>
      <c r="Y541" s="25"/>
      <c r="Z541" s="25"/>
    </row>
    <row r="542" customFormat="false" ht="39.75" hidden="false" customHeight="true" outlineLevel="0" collapsed="false">
      <c r="A542" s="25"/>
      <c r="B542" s="25"/>
      <c r="C542" s="25"/>
      <c r="D542" s="25"/>
      <c r="E542" s="25"/>
      <c r="F542" s="25"/>
      <c r="G542" s="25"/>
      <c r="H542" s="25"/>
      <c r="I542" s="25"/>
      <c r="J542" s="25"/>
      <c r="K542" s="25"/>
      <c r="L542" s="25"/>
      <c r="M542" s="25"/>
      <c r="N542" s="25"/>
      <c r="O542" s="25"/>
      <c r="P542" s="25"/>
      <c r="Q542" s="25"/>
      <c r="R542" s="25"/>
      <c r="S542" s="25"/>
      <c r="T542" s="25"/>
      <c r="U542" s="25"/>
      <c r="V542" s="25"/>
      <c r="W542" s="25"/>
      <c r="X542" s="25"/>
      <c r="Y542" s="25"/>
      <c r="Z542" s="25"/>
    </row>
    <row r="543" customFormat="false" ht="39.75" hidden="false" customHeight="true" outlineLevel="0" collapsed="false">
      <c r="A543" s="25"/>
      <c r="B543" s="25"/>
      <c r="C543" s="25"/>
      <c r="D543" s="25"/>
      <c r="E543" s="25"/>
      <c r="F543" s="25"/>
      <c r="G543" s="25"/>
      <c r="H543" s="25"/>
      <c r="I543" s="25"/>
      <c r="J543" s="25"/>
      <c r="K543" s="25"/>
      <c r="L543" s="25"/>
      <c r="M543" s="25"/>
      <c r="N543" s="25"/>
      <c r="O543" s="25"/>
      <c r="P543" s="25"/>
      <c r="Q543" s="25"/>
      <c r="R543" s="25"/>
      <c r="S543" s="25"/>
      <c r="T543" s="25"/>
      <c r="U543" s="25"/>
      <c r="V543" s="25"/>
      <c r="W543" s="25"/>
      <c r="X543" s="25"/>
      <c r="Y543" s="25"/>
      <c r="Z543" s="25"/>
    </row>
    <row r="544" customFormat="false" ht="39.75" hidden="false" customHeight="true" outlineLevel="0" collapsed="false">
      <c r="A544" s="25"/>
      <c r="B544" s="25"/>
      <c r="C544" s="25"/>
      <c r="D544" s="25"/>
      <c r="E544" s="25"/>
      <c r="F544" s="25"/>
      <c r="G544" s="25"/>
      <c r="H544" s="25"/>
      <c r="I544" s="25"/>
      <c r="J544" s="25"/>
      <c r="K544" s="25"/>
      <c r="L544" s="25"/>
      <c r="M544" s="25"/>
      <c r="N544" s="25"/>
      <c r="O544" s="25"/>
      <c r="P544" s="25"/>
      <c r="Q544" s="25"/>
      <c r="R544" s="25"/>
      <c r="S544" s="25"/>
      <c r="T544" s="25"/>
      <c r="U544" s="25"/>
      <c r="V544" s="25"/>
      <c r="W544" s="25"/>
      <c r="X544" s="25"/>
      <c r="Y544" s="25"/>
      <c r="Z544" s="25"/>
    </row>
    <row r="545" customFormat="false" ht="39.75" hidden="false" customHeight="true" outlineLevel="0" collapsed="false">
      <c r="A545" s="25"/>
      <c r="B545" s="25"/>
      <c r="C545" s="25"/>
      <c r="D545" s="25"/>
      <c r="E545" s="25"/>
      <c r="F545" s="25"/>
      <c r="G545" s="25"/>
      <c r="H545" s="25"/>
      <c r="I545" s="25"/>
      <c r="J545" s="25"/>
      <c r="K545" s="25"/>
      <c r="L545" s="25"/>
      <c r="M545" s="25"/>
      <c r="N545" s="25"/>
      <c r="O545" s="25"/>
      <c r="P545" s="25"/>
      <c r="Q545" s="25"/>
      <c r="R545" s="25"/>
      <c r="S545" s="25"/>
      <c r="T545" s="25"/>
      <c r="U545" s="25"/>
      <c r="V545" s="25"/>
      <c r="W545" s="25"/>
      <c r="X545" s="25"/>
      <c r="Y545" s="25"/>
      <c r="Z545" s="25"/>
    </row>
    <row r="546" customFormat="false" ht="39.75" hidden="false" customHeight="true" outlineLevel="0" collapsed="false">
      <c r="A546" s="25"/>
      <c r="B546" s="25"/>
      <c r="C546" s="25"/>
      <c r="D546" s="25"/>
      <c r="E546" s="25"/>
      <c r="F546" s="25"/>
      <c r="G546" s="25"/>
      <c r="H546" s="25"/>
      <c r="I546" s="25"/>
      <c r="J546" s="25"/>
      <c r="K546" s="25"/>
      <c r="L546" s="25"/>
      <c r="M546" s="25"/>
      <c r="N546" s="25"/>
      <c r="O546" s="25"/>
      <c r="P546" s="25"/>
      <c r="Q546" s="25"/>
      <c r="R546" s="25"/>
      <c r="S546" s="25"/>
      <c r="T546" s="25"/>
      <c r="U546" s="25"/>
      <c r="V546" s="25"/>
      <c r="W546" s="25"/>
      <c r="X546" s="25"/>
      <c r="Y546" s="25"/>
      <c r="Z546" s="25"/>
    </row>
    <row r="547" customFormat="false" ht="39.75" hidden="false" customHeight="true" outlineLevel="0" collapsed="false">
      <c r="A547" s="25"/>
      <c r="B547" s="25"/>
      <c r="C547" s="25"/>
      <c r="D547" s="25"/>
      <c r="E547" s="25"/>
      <c r="F547" s="25"/>
      <c r="G547" s="25"/>
      <c r="H547" s="25"/>
      <c r="I547" s="25"/>
      <c r="J547" s="25"/>
      <c r="K547" s="25"/>
      <c r="L547" s="25"/>
      <c r="M547" s="25"/>
      <c r="N547" s="25"/>
      <c r="O547" s="25"/>
      <c r="P547" s="25"/>
      <c r="Q547" s="25"/>
      <c r="R547" s="25"/>
      <c r="S547" s="25"/>
      <c r="T547" s="25"/>
      <c r="U547" s="25"/>
      <c r="V547" s="25"/>
      <c r="W547" s="25"/>
      <c r="X547" s="25"/>
      <c r="Y547" s="25"/>
      <c r="Z547" s="25"/>
    </row>
    <row r="548" customFormat="false" ht="39.75" hidden="false" customHeight="true" outlineLevel="0" collapsed="false">
      <c r="A548" s="25"/>
      <c r="B548" s="25"/>
      <c r="C548" s="25"/>
      <c r="D548" s="25"/>
      <c r="E548" s="25"/>
      <c r="F548" s="25"/>
      <c r="G548" s="25"/>
      <c r="H548" s="25"/>
      <c r="I548" s="25"/>
      <c r="J548" s="25"/>
      <c r="K548" s="25"/>
      <c r="L548" s="25"/>
      <c r="M548" s="25"/>
      <c r="N548" s="25"/>
      <c r="O548" s="25"/>
      <c r="P548" s="25"/>
      <c r="Q548" s="25"/>
      <c r="R548" s="25"/>
      <c r="S548" s="25"/>
      <c r="T548" s="25"/>
      <c r="U548" s="25"/>
      <c r="V548" s="25"/>
      <c r="W548" s="25"/>
      <c r="X548" s="25"/>
      <c r="Y548" s="25"/>
      <c r="Z548" s="25"/>
    </row>
    <row r="549" customFormat="false" ht="39.75" hidden="false" customHeight="true" outlineLevel="0" collapsed="false">
      <c r="A549" s="25"/>
      <c r="B549" s="25"/>
      <c r="C549" s="25"/>
      <c r="D549" s="25"/>
      <c r="E549" s="25"/>
      <c r="F549" s="25"/>
      <c r="G549" s="25"/>
      <c r="H549" s="25"/>
      <c r="I549" s="25"/>
      <c r="J549" s="25"/>
      <c r="K549" s="25"/>
      <c r="L549" s="25"/>
      <c r="M549" s="25"/>
      <c r="N549" s="25"/>
      <c r="O549" s="25"/>
      <c r="P549" s="25"/>
      <c r="Q549" s="25"/>
      <c r="R549" s="25"/>
      <c r="S549" s="25"/>
      <c r="T549" s="25"/>
      <c r="U549" s="25"/>
      <c r="V549" s="25"/>
      <c r="W549" s="25"/>
      <c r="X549" s="25"/>
      <c r="Y549" s="25"/>
      <c r="Z549" s="25"/>
    </row>
    <row r="550" customFormat="false" ht="39.75" hidden="false" customHeight="true" outlineLevel="0" collapsed="false">
      <c r="A550" s="25"/>
      <c r="B550" s="25"/>
      <c r="C550" s="25"/>
      <c r="D550" s="25"/>
      <c r="E550" s="25"/>
      <c r="F550" s="25"/>
      <c r="G550" s="25"/>
      <c r="H550" s="25"/>
      <c r="I550" s="25"/>
      <c r="J550" s="25"/>
      <c r="K550" s="25"/>
      <c r="L550" s="25"/>
      <c r="M550" s="25"/>
      <c r="N550" s="25"/>
      <c r="O550" s="25"/>
      <c r="P550" s="25"/>
      <c r="Q550" s="25"/>
      <c r="R550" s="25"/>
      <c r="S550" s="25"/>
      <c r="T550" s="25"/>
      <c r="U550" s="25"/>
      <c r="V550" s="25"/>
      <c r="W550" s="25"/>
      <c r="X550" s="25"/>
      <c r="Y550" s="25"/>
      <c r="Z550" s="25"/>
    </row>
    <row r="551" customFormat="false" ht="39.75" hidden="false" customHeight="true" outlineLevel="0" collapsed="false">
      <c r="A551" s="25"/>
      <c r="B551" s="25"/>
      <c r="C551" s="25"/>
      <c r="D551" s="25"/>
      <c r="E551" s="25"/>
      <c r="F551" s="25"/>
      <c r="G551" s="25"/>
      <c r="H551" s="25"/>
      <c r="I551" s="25"/>
      <c r="J551" s="25"/>
      <c r="K551" s="25"/>
      <c r="L551" s="25"/>
      <c r="M551" s="25"/>
      <c r="N551" s="25"/>
      <c r="O551" s="25"/>
      <c r="P551" s="25"/>
      <c r="Q551" s="25"/>
      <c r="R551" s="25"/>
      <c r="S551" s="25"/>
      <c r="T551" s="25"/>
      <c r="U551" s="25"/>
      <c r="V551" s="25"/>
      <c r="W551" s="25"/>
      <c r="X551" s="25"/>
      <c r="Y551" s="25"/>
      <c r="Z551" s="25"/>
    </row>
    <row r="552" customFormat="false" ht="39.75" hidden="false" customHeight="true" outlineLevel="0" collapsed="false">
      <c r="A552" s="25"/>
      <c r="B552" s="25"/>
      <c r="C552" s="25"/>
      <c r="D552" s="25"/>
      <c r="E552" s="25"/>
      <c r="F552" s="25"/>
      <c r="G552" s="25"/>
      <c r="H552" s="25"/>
      <c r="I552" s="25"/>
      <c r="J552" s="25"/>
      <c r="K552" s="25"/>
      <c r="L552" s="25"/>
      <c r="M552" s="25"/>
      <c r="N552" s="25"/>
      <c r="O552" s="25"/>
      <c r="P552" s="25"/>
      <c r="Q552" s="25"/>
      <c r="R552" s="25"/>
      <c r="S552" s="25"/>
      <c r="T552" s="25"/>
      <c r="U552" s="25"/>
      <c r="V552" s="25"/>
      <c r="W552" s="25"/>
      <c r="X552" s="25"/>
      <c r="Y552" s="25"/>
      <c r="Z552" s="25"/>
    </row>
    <row r="553" customFormat="false" ht="39.75" hidden="false" customHeight="true" outlineLevel="0" collapsed="false">
      <c r="A553" s="25"/>
      <c r="B553" s="25"/>
      <c r="C553" s="25"/>
      <c r="D553" s="25"/>
      <c r="E553" s="25"/>
      <c r="F553" s="25"/>
      <c r="G553" s="25"/>
      <c r="H553" s="25"/>
      <c r="I553" s="25"/>
      <c r="J553" s="25"/>
      <c r="K553" s="25"/>
      <c r="L553" s="25"/>
      <c r="M553" s="25"/>
      <c r="N553" s="25"/>
      <c r="O553" s="25"/>
      <c r="P553" s="25"/>
      <c r="Q553" s="25"/>
      <c r="R553" s="25"/>
      <c r="S553" s="25"/>
      <c r="T553" s="25"/>
      <c r="U553" s="25"/>
      <c r="V553" s="25"/>
      <c r="W553" s="25"/>
      <c r="X553" s="25"/>
      <c r="Y553" s="25"/>
      <c r="Z553" s="25"/>
    </row>
    <row r="554" customFormat="false" ht="39.75" hidden="false" customHeight="true" outlineLevel="0" collapsed="false">
      <c r="A554" s="25"/>
      <c r="B554" s="25"/>
      <c r="C554" s="25"/>
      <c r="D554" s="25"/>
      <c r="E554" s="25"/>
      <c r="F554" s="25"/>
      <c r="G554" s="25"/>
      <c r="H554" s="25"/>
      <c r="I554" s="25"/>
      <c r="J554" s="25"/>
      <c r="K554" s="25"/>
      <c r="L554" s="25"/>
      <c r="M554" s="25"/>
      <c r="N554" s="25"/>
      <c r="O554" s="25"/>
      <c r="P554" s="25"/>
      <c r="Q554" s="25"/>
      <c r="R554" s="25"/>
      <c r="S554" s="25"/>
      <c r="T554" s="25"/>
      <c r="U554" s="25"/>
      <c r="V554" s="25"/>
      <c r="W554" s="25"/>
      <c r="X554" s="25"/>
      <c r="Y554" s="25"/>
      <c r="Z554" s="25"/>
    </row>
    <row r="555" customFormat="false" ht="39.75" hidden="false" customHeight="true" outlineLevel="0" collapsed="false">
      <c r="A555" s="25"/>
      <c r="B555" s="25"/>
      <c r="C555" s="25"/>
      <c r="D555" s="25"/>
      <c r="E555" s="25"/>
      <c r="F555" s="25"/>
      <c r="G555" s="25"/>
      <c r="H555" s="25"/>
      <c r="I555" s="25"/>
      <c r="J555" s="25"/>
      <c r="K555" s="25"/>
      <c r="L555" s="25"/>
      <c r="M555" s="25"/>
      <c r="N555" s="25"/>
      <c r="O555" s="25"/>
      <c r="P555" s="25"/>
      <c r="Q555" s="25"/>
      <c r="R555" s="25"/>
      <c r="S555" s="25"/>
      <c r="T555" s="25"/>
      <c r="U555" s="25"/>
      <c r="V555" s="25"/>
      <c r="W555" s="25"/>
      <c r="X555" s="25"/>
      <c r="Y555" s="25"/>
      <c r="Z555" s="25"/>
    </row>
    <row r="556" customFormat="false" ht="39.75" hidden="false" customHeight="true" outlineLevel="0" collapsed="false">
      <c r="A556" s="25"/>
      <c r="B556" s="25"/>
      <c r="C556" s="25"/>
      <c r="D556" s="25"/>
      <c r="E556" s="25"/>
      <c r="F556" s="25"/>
      <c r="G556" s="25"/>
      <c r="H556" s="25"/>
      <c r="I556" s="25"/>
      <c r="J556" s="25"/>
      <c r="K556" s="25"/>
      <c r="L556" s="25"/>
      <c r="M556" s="25"/>
      <c r="N556" s="25"/>
      <c r="O556" s="25"/>
      <c r="P556" s="25"/>
      <c r="Q556" s="25"/>
      <c r="R556" s="25"/>
      <c r="S556" s="25"/>
      <c r="T556" s="25"/>
      <c r="U556" s="25"/>
      <c r="V556" s="25"/>
      <c r="W556" s="25"/>
      <c r="X556" s="25"/>
      <c r="Y556" s="25"/>
      <c r="Z556" s="25"/>
    </row>
    <row r="557" customFormat="false" ht="39.75" hidden="false" customHeight="true" outlineLevel="0" collapsed="false">
      <c r="A557" s="25"/>
      <c r="B557" s="25"/>
      <c r="C557" s="25"/>
      <c r="D557" s="25"/>
      <c r="E557" s="25"/>
      <c r="F557" s="25"/>
      <c r="G557" s="25"/>
      <c r="H557" s="25"/>
      <c r="I557" s="25"/>
      <c r="J557" s="25"/>
      <c r="K557" s="25"/>
      <c r="L557" s="25"/>
      <c r="M557" s="25"/>
      <c r="N557" s="25"/>
      <c r="O557" s="25"/>
      <c r="P557" s="25"/>
      <c r="Q557" s="25"/>
      <c r="R557" s="25"/>
      <c r="S557" s="25"/>
      <c r="T557" s="25"/>
      <c r="U557" s="25"/>
      <c r="V557" s="25"/>
      <c r="W557" s="25"/>
      <c r="X557" s="25"/>
      <c r="Y557" s="25"/>
      <c r="Z557" s="25"/>
    </row>
    <row r="558" customFormat="false" ht="39.75" hidden="false" customHeight="true" outlineLevel="0" collapsed="false">
      <c r="A558" s="25"/>
      <c r="B558" s="25"/>
      <c r="C558" s="25"/>
      <c r="D558" s="25"/>
      <c r="E558" s="25"/>
      <c r="F558" s="25"/>
      <c r="G558" s="25"/>
      <c r="H558" s="25"/>
      <c r="I558" s="25"/>
      <c r="J558" s="25"/>
      <c r="K558" s="25"/>
      <c r="L558" s="25"/>
      <c r="M558" s="25"/>
      <c r="N558" s="25"/>
      <c r="O558" s="25"/>
      <c r="P558" s="25"/>
      <c r="Q558" s="25"/>
      <c r="R558" s="25"/>
      <c r="S558" s="25"/>
      <c r="T558" s="25"/>
      <c r="U558" s="25"/>
      <c r="V558" s="25"/>
      <c r="W558" s="25"/>
      <c r="X558" s="25"/>
      <c r="Y558" s="25"/>
      <c r="Z558" s="25"/>
    </row>
    <row r="559" customFormat="false" ht="39.75" hidden="false" customHeight="true" outlineLevel="0" collapsed="false">
      <c r="A559" s="25"/>
      <c r="B559" s="25"/>
      <c r="C559" s="25"/>
      <c r="D559" s="25"/>
      <c r="E559" s="25"/>
      <c r="F559" s="25"/>
      <c r="G559" s="25"/>
      <c r="H559" s="25"/>
      <c r="I559" s="25"/>
      <c r="J559" s="25"/>
      <c r="K559" s="25"/>
      <c r="L559" s="25"/>
      <c r="M559" s="25"/>
      <c r="N559" s="25"/>
      <c r="O559" s="25"/>
      <c r="P559" s="25"/>
      <c r="Q559" s="25"/>
      <c r="R559" s="25"/>
      <c r="S559" s="25"/>
      <c r="T559" s="25"/>
      <c r="U559" s="25"/>
      <c r="V559" s="25"/>
      <c r="W559" s="25"/>
      <c r="X559" s="25"/>
      <c r="Y559" s="25"/>
      <c r="Z559" s="25"/>
    </row>
    <row r="560" customFormat="false" ht="39.75" hidden="false" customHeight="true" outlineLevel="0" collapsed="false">
      <c r="A560" s="25"/>
      <c r="B560" s="25"/>
      <c r="C560" s="25"/>
      <c r="D560" s="25"/>
      <c r="E560" s="25"/>
      <c r="F560" s="25"/>
      <c r="G560" s="25"/>
      <c r="H560" s="25"/>
      <c r="I560" s="25"/>
      <c r="J560" s="25"/>
      <c r="K560" s="25"/>
      <c r="L560" s="25"/>
      <c r="M560" s="25"/>
      <c r="N560" s="25"/>
      <c r="O560" s="25"/>
      <c r="P560" s="25"/>
      <c r="Q560" s="25"/>
      <c r="R560" s="25"/>
      <c r="S560" s="25"/>
      <c r="T560" s="25"/>
      <c r="U560" s="25"/>
      <c r="V560" s="25"/>
      <c r="W560" s="25"/>
      <c r="X560" s="25"/>
      <c r="Y560" s="25"/>
      <c r="Z560" s="25"/>
    </row>
    <row r="561" customFormat="false" ht="39.75" hidden="false" customHeight="true" outlineLevel="0" collapsed="false">
      <c r="A561" s="25"/>
      <c r="B561" s="25"/>
      <c r="C561" s="25"/>
      <c r="D561" s="25"/>
      <c r="E561" s="25"/>
      <c r="F561" s="25"/>
      <c r="G561" s="25"/>
      <c r="H561" s="25"/>
      <c r="I561" s="25"/>
      <c r="J561" s="25"/>
      <c r="K561" s="25"/>
      <c r="L561" s="25"/>
      <c r="M561" s="25"/>
      <c r="N561" s="25"/>
      <c r="O561" s="25"/>
      <c r="P561" s="25"/>
      <c r="Q561" s="25"/>
      <c r="R561" s="25"/>
      <c r="S561" s="25"/>
      <c r="T561" s="25"/>
      <c r="U561" s="25"/>
      <c r="V561" s="25"/>
      <c r="W561" s="25"/>
      <c r="X561" s="25"/>
      <c r="Y561" s="25"/>
      <c r="Z561" s="25"/>
    </row>
    <row r="562" customFormat="false" ht="39.75" hidden="false" customHeight="true" outlineLevel="0" collapsed="false">
      <c r="A562" s="25"/>
      <c r="B562" s="25"/>
      <c r="C562" s="25"/>
      <c r="D562" s="25"/>
      <c r="E562" s="25"/>
      <c r="F562" s="25"/>
      <c r="G562" s="25"/>
      <c r="H562" s="25"/>
      <c r="I562" s="25"/>
      <c r="J562" s="25"/>
      <c r="K562" s="25"/>
      <c r="L562" s="25"/>
      <c r="M562" s="25"/>
      <c r="N562" s="25"/>
      <c r="O562" s="25"/>
      <c r="P562" s="25"/>
      <c r="Q562" s="25"/>
      <c r="R562" s="25"/>
      <c r="S562" s="25"/>
      <c r="T562" s="25"/>
      <c r="U562" s="25"/>
      <c r="V562" s="25"/>
      <c r="W562" s="25"/>
      <c r="X562" s="25"/>
      <c r="Y562" s="25"/>
      <c r="Z562" s="25"/>
    </row>
    <row r="563" customFormat="false" ht="39.75" hidden="false" customHeight="true" outlineLevel="0" collapsed="false">
      <c r="A563" s="25"/>
      <c r="B563" s="25"/>
      <c r="C563" s="25"/>
      <c r="D563" s="25"/>
      <c r="E563" s="25"/>
      <c r="F563" s="25"/>
      <c r="G563" s="25"/>
      <c r="H563" s="25"/>
      <c r="I563" s="25"/>
      <c r="J563" s="25"/>
      <c r="K563" s="25"/>
      <c r="L563" s="25"/>
      <c r="M563" s="25"/>
      <c r="N563" s="25"/>
      <c r="O563" s="25"/>
      <c r="P563" s="25"/>
      <c r="Q563" s="25"/>
      <c r="R563" s="25"/>
      <c r="S563" s="25"/>
      <c r="T563" s="25"/>
      <c r="U563" s="25"/>
      <c r="V563" s="25"/>
      <c r="W563" s="25"/>
      <c r="X563" s="25"/>
      <c r="Y563" s="25"/>
      <c r="Z563" s="25"/>
    </row>
    <row r="564" customFormat="false" ht="39.75" hidden="false" customHeight="true" outlineLevel="0" collapsed="false">
      <c r="A564" s="25"/>
      <c r="B564" s="25"/>
      <c r="C564" s="25"/>
      <c r="D564" s="25"/>
      <c r="E564" s="25"/>
      <c r="F564" s="25"/>
      <c r="G564" s="25"/>
      <c r="H564" s="25"/>
      <c r="I564" s="25"/>
      <c r="J564" s="25"/>
      <c r="K564" s="25"/>
      <c r="L564" s="25"/>
      <c r="M564" s="25"/>
      <c r="N564" s="25"/>
      <c r="O564" s="25"/>
      <c r="P564" s="25"/>
      <c r="Q564" s="25"/>
      <c r="R564" s="25"/>
      <c r="S564" s="25"/>
      <c r="T564" s="25"/>
      <c r="U564" s="25"/>
      <c r="V564" s="25"/>
      <c r="W564" s="25"/>
      <c r="X564" s="25"/>
      <c r="Y564" s="25"/>
      <c r="Z564" s="25"/>
    </row>
    <row r="565" customFormat="false" ht="39.75" hidden="false" customHeight="true" outlineLevel="0" collapsed="false">
      <c r="A565" s="25"/>
      <c r="B565" s="25"/>
      <c r="C565" s="25"/>
      <c r="D565" s="25"/>
      <c r="E565" s="25"/>
      <c r="F565" s="25"/>
      <c r="G565" s="25"/>
      <c r="H565" s="25"/>
      <c r="I565" s="25"/>
      <c r="J565" s="25"/>
      <c r="K565" s="25"/>
      <c r="L565" s="25"/>
      <c r="M565" s="25"/>
      <c r="N565" s="25"/>
      <c r="O565" s="25"/>
      <c r="P565" s="25"/>
      <c r="Q565" s="25"/>
      <c r="R565" s="25"/>
      <c r="S565" s="25"/>
      <c r="T565" s="25"/>
      <c r="U565" s="25"/>
      <c r="V565" s="25"/>
      <c r="W565" s="25"/>
      <c r="X565" s="25"/>
      <c r="Y565" s="25"/>
      <c r="Z565" s="25"/>
    </row>
    <row r="566" customFormat="false" ht="39.75" hidden="false" customHeight="true" outlineLevel="0" collapsed="false">
      <c r="A566" s="25"/>
      <c r="B566" s="25"/>
      <c r="C566" s="25"/>
      <c r="D566" s="25"/>
      <c r="E566" s="25"/>
      <c r="F566" s="25"/>
      <c r="G566" s="25"/>
      <c r="H566" s="25"/>
      <c r="I566" s="25"/>
      <c r="J566" s="25"/>
      <c r="K566" s="25"/>
      <c r="L566" s="25"/>
      <c r="M566" s="25"/>
      <c r="N566" s="25"/>
      <c r="O566" s="25"/>
      <c r="P566" s="25"/>
      <c r="Q566" s="25"/>
      <c r="R566" s="25"/>
      <c r="S566" s="25"/>
      <c r="T566" s="25"/>
      <c r="U566" s="25"/>
      <c r="V566" s="25"/>
      <c r="W566" s="25"/>
      <c r="X566" s="25"/>
      <c r="Y566" s="25"/>
      <c r="Z566" s="25"/>
    </row>
    <row r="567" customFormat="false" ht="39.75" hidden="false" customHeight="true" outlineLevel="0" collapsed="false">
      <c r="A567" s="25"/>
      <c r="B567" s="25"/>
      <c r="C567" s="25"/>
      <c r="D567" s="25"/>
      <c r="E567" s="25"/>
      <c r="F567" s="25"/>
      <c r="G567" s="25"/>
      <c r="H567" s="25"/>
      <c r="I567" s="25"/>
      <c r="J567" s="25"/>
      <c r="K567" s="25"/>
      <c r="L567" s="25"/>
      <c r="M567" s="25"/>
      <c r="N567" s="25"/>
      <c r="O567" s="25"/>
      <c r="P567" s="25"/>
      <c r="Q567" s="25"/>
      <c r="R567" s="25"/>
      <c r="S567" s="25"/>
      <c r="T567" s="25"/>
      <c r="U567" s="25"/>
      <c r="V567" s="25"/>
      <c r="W567" s="25"/>
      <c r="X567" s="25"/>
      <c r="Y567" s="25"/>
      <c r="Z567" s="25"/>
    </row>
    <row r="568" customFormat="false" ht="39.75" hidden="false" customHeight="true" outlineLevel="0" collapsed="false">
      <c r="A568" s="25"/>
      <c r="B568" s="25"/>
      <c r="C568" s="25"/>
      <c r="D568" s="25"/>
      <c r="E568" s="25"/>
      <c r="F568" s="25"/>
      <c r="G568" s="25"/>
      <c r="H568" s="25"/>
      <c r="I568" s="25"/>
      <c r="J568" s="25"/>
      <c r="K568" s="25"/>
      <c r="L568" s="25"/>
      <c r="M568" s="25"/>
      <c r="N568" s="25"/>
      <c r="O568" s="25"/>
      <c r="P568" s="25"/>
      <c r="Q568" s="25"/>
      <c r="R568" s="25"/>
      <c r="S568" s="25"/>
      <c r="T568" s="25"/>
      <c r="U568" s="25"/>
      <c r="V568" s="25"/>
      <c r="W568" s="25"/>
      <c r="X568" s="25"/>
      <c r="Y568" s="25"/>
      <c r="Z568" s="25"/>
    </row>
    <row r="569" customFormat="false" ht="39.75" hidden="false" customHeight="true" outlineLevel="0" collapsed="false">
      <c r="A569" s="25"/>
      <c r="B569" s="25"/>
      <c r="C569" s="25"/>
      <c r="D569" s="25"/>
      <c r="E569" s="25"/>
      <c r="F569" s="25"/>
      <c r="G569" s="25"/>
      <c r="H569" s="25"/>
      <c r="I569" s="25"/>
      <c r="J569" s="25"/>
      <c r="K569" s="25"/>
      <c r="L569" s="25"/>
      <c r="M569" s="25"/>
      <c r="N569" s="25"/>
      <c r="O569" s="25"/>
      <c r="P569" s="25"/>
      <c r="Q569" s="25"/>
      <c r="R569" s="25"/>
      <c r="S569" s="25"/>
      <c r="T569" s="25"/>
      <c r="U569" s="25"/>
      <c r="V569" s="25"/>
      <c r="W569" s="25"/>
      <c r="X569" s="25"/>
      <c r="Y569" s="25"/>
      <c r="Z569" s="25"/>
    </row>
    <row r="570" customFormat="false" ht="39.75" hidden="false" customHeight="true" outlineLevel="0" collapsed="false">
      <c r="A570" s="25"/>
      <c r="B570" s="25"/>
      <c r="C570" s="25"/>
      <c r="D570" s="25"/>
      <c r="E570" s="25"/>
      <c r="F570" s="25"/>
      <c r="G570" s="25"/>
      <c r="H570" s="25"/>
      <c r="I570" s="25"/>
      <c r="J570" s="25"/>
      <c r="K570" s="25"/>
      <c r="L570" s="25"/>
      <c r="M570" s="25"/>
      <c r="N570" s="25"/>
      <c r="O570" s="25"/>
      <c r="P570" s="25"/>
      <c r="Q570" s="25"/>
      <c r="R570" s="25"/>
      <c r="S570" s="25"/>
      <c r="T570" s="25"/>
      <c r="U570" s="25"/>
      <c r="V570" s="25"/>
      <c r="W570" s="25"/>
      <c r="X570" s="25"/>
      <c r="Y570" s="25"/>
      <c r="Z570" s="25"/>
    </row>
    <row r="571" customFormat="false" ht="39.75" hidden="false" customHeight="true" outlineLevel="0" collapsed="false">
      <c r="A571" s="25"/>
      <c r="B571" s="25"/>
      <c r="C571" s="25"/>
      <c r="D571" s="25"/>
      <c r="E571" s="25"/>
      <c r="F571" s="25"/>
      <c r="G571" s="25"/>
      <c r="H571" s="25"/>
      <c r="I571" s="25"/>
      <c r="J571" s="25"/>
      <c r="K571" s="25"/>
      <c r="L571" s="25"/>
      <c r="M571" s="25"/>
      <c r="N571" s="25"/>
      <c r="O571" s="25"/>
      <c r="P571" s="25"/>
      <c r="Q571" s="25"/>
      <c r="R571" s="25"/>
      <c r="S571" s="25"/>
      <c r="T571" s="25"/>
      <c r="U571" s="25"/>
      <c r="V571" s="25"/>
      <c r="W571" s="25"/>
      <c r="X571" s="25"/>
      <c r="Y571" s="25"/>
      <c r="Z571" s="25"/>
    </row>
    <row r="572" customFormat="false" ht="39.75" hidden="false" customHeight="true" outlineLevel="0" collapsed="false">
      <c r="A572" s="25"/>
      <c r="B572" s="25"/>
      <c r="C572" s="25"/>
      <c r="D572" s="25"/>
      <c r="E572" s="25"/>
      <c r="F572" s="25"/>
      <c r="G572" s="25"/>
      <c r="H572" s="25"/>
      <c r="I572" s="25"/>
      <c r="J572" s="25"/>
      <c r="K572" s="25"/>
      <c r="L572" s="25"/>
      <c r="M572" s="25"/>
      <c r="N572" s="25"/>
      <c r="O572" s="25"/>
      <c r="P572" s="25"/>
      <c r="Q572" s="25"/>
      <c r="R572" s="25"/>
      <c r="S572" s="25"/>
      <c r="T572" s="25"/>
      <c r="U572" s="25"/>
      <c r="V572" s="25"/>
      <c r="W572" s="25"/>
      <c r="X572" s="25"/>
      <c r="Y572" s="25"/>
      <c r="Z572" s="25"/>
    </row>
    <row r="573" customFormat="false" ht="39.75" hidden="false" customHeight="true" outlineLevel="0" collapsed="false">
      <c r="A573" s="25"/>
      <c r="B573" s="25"/>
      <c r="C573" s="25"/>
      <c r="D573" s="25"/>
      <c r="E573" s="25"/>
      <c r="F573" s="25"/>
      <c r="G573" s="25"/>
      <c r="H573" s="25"/>
      <c r="I573" s="25"/>
      <c r="J573" s="25"/>
      <c r="K573" s="25"/>
      <c r="L573" s="25"/>
      <c r="M573" s="25"/>
      <c r="N573" s="25"/>
      <c r="O573" s="25"/>
      <c r="P573" s="25"/>
      <c r="Q573" s="25"/>
      <c r="R573" s="25"/>
      <c r="S573" s="25"/>
      <c r="T573" s="25"/>
      <c r="U573" s="25"/>
      <c r="V573" s="25"/>
      <c r="W573" s="25"/>
      <c r="X573" s="25"/>
      <c r="Y573" s="25"/>
      <c r="Z573" s="25"/>
    </row>
    <row r="574" customFormat="false" ht="39.75" hidden="false" customHeight="true" outlineLevel="0" collapsed="false">
      <c r="A574" s="25"/>
      <c r="B574" s="25"/>
      <c r="C574" s="25"/>
      <c r="D574" s="25"/>
      <c r="E574" s="25"/>
      <c r="F574" s="25"/>
      <c r="G574" s="25"/>
      <c r="H574" s="25"/>
      <c r="I574" s="25"/>
      <c r="J574" s="25"/>
      <c r="K574" s="25"/>
      <c r="L574" s="25"/>
      <c r="M574" s="25"/>
      <c r="N574" s="25"/>
      <c r="O574" s="25"/>
      <c r="P574" s="25"/>
      <c r="Q574" s="25"/>
      <c r="R574" s="25"/>
      <c r="S574" s="25"/>
      <c r="T574" s="25"/>
      <c r="U574" s="25"/>
      <c r="V574" s="25"/>
      <c r="W574" s="25"/>
      <c r="X574" s="25"/>
      <c r="Y574" s="25"/>
      <c r="Z574" s="25"/>
    </row>
    <row r="575" customFormat="false" ht="39.75" hidden="false" customHeight="true" outlineLevel="0" collapsed="false">
      <c r="A575" s="25"/>
      <c r="B575" s="25"/>
      <c r="C575" s="25"/>
      <c r="D575" s="25"/>
      <c r="E575" s="25"/>
      <c r="F575" s="25"/>
      <c r="G575" s="25"/>
      <c r="H575" s="25"/>
      <c r="I575" s="25"/>
      <c r="J575" s="25"/>
      <c r="K575" s="25"/>
      <c r="L575" s="25"/>
      <c r="M575" s="25"/>
      <c r="N575" s="25"/>
      <c r="O575" s="25"/>
      <c r="P575" s="25"/>
      <c r="Q575" s="25"/>
      <c r="R575" s="25"/>
      <c r="S575" s="25"/>
      <c r="T575" s="25"/>
      <c r="U575" s="25"/>
      <c r="V575" s="25"/>
      <c r="W575" s="25"/>
      <c r="X575" s="25"/>
      <c r="Y575" s="25"/>
      <c r="Z575" s="25"/>
    </row>
    <row r="576" customFormat="false" ht="39.75" hidden="false" customHeight="true" outlineLevel="0" collapsed="false">
      <c r="A576" s="25"/>
      <c r="B576" s="25"/>
      <c r="C576" s="25"/>
      <c r="D576" s="25"/>
      <c r="E576" s="25"/>
      <c r="F576" s="25"/>
      <c r="G576" s="25"/>
      <c r="H576" s="25"/>
      <c r="I576" s="25"/>
      <c r="J576" s="25"/>
      <c r="K576" s="25"/>
      <c r="L576" s="25"/>
      <c r="M576" s="25"/>
      <c r="N576" s="25"/>
      <c r="O576" s="25"/>
      <c r="P576" s="25"/>
      <c r="Q576" s="25"/>
      <c r="R576" s="25"/>
      <c r="S576" s="25"/>
      <c r="T576" s="25"/>
      <c r="U576" s="25"/>
      <c r="V576" s="25"/>
      <c r="W576" s="25"/>
      <c r="X576" s="25"/>
      <c r="Y576" s="25"/>
      <c r="Z576" s="25"/>
    </row>
    <row r="577" customFormat="false" ht="39.75" hidden="false" customHeight="true" outlineLevel="0" collapsed="false">
      <c r="A577" s="25"/>
      <c r="B577" s="25"/>
      <c r="C577" s="25"/>
      <c r="D577" s="25"/>
      <c r="E577" s="25"/>
      <c r="F577" s="25"/>
      <c r="G577" s="25"/>
      <c r="H577" s="25"/>
      <c r="I577" s="25"/>
      <c r="J577" s="25"/>
      <c r="K577" s="25"/>
      <c r="L577" s="25"/>
      <c r="M577" s="25"/>
      <c r="N577" s="25"/>
      <c r="O577" s="25"/>
      <c r="P577" s="25"/>
      <c r="Q577" s="25"/>
      <c r="R577" s="25"/>
      <c r="S577" s="25"/>
      <c r="T577" s="25"/>
      <c r="U577" s="25"/>
      <c r="V577" s="25"/>
      <c r="W577" s="25"/>
      <c r="X577" s="25"/>
      <c r="Y577" s="25"/>
      <c r="Z577" s="25"/>
    </row>
    <row r="578" customFormat="false" ht="39.75" hidden="false" customHeight="true" outlineLevel="0" collapsed="false">
      <c r="A578" s="25"/>
      <c r="B578" s="25"/>
      <c r="C578" s="25"/>
      <c r="D578" s="25"/>
      <c r="E578" s="25"/>
      <c r="F578" s="25"/>
      <c r="G578" s="25"/>
      <c r="H578" s="25"/>
      <c r="I578" s="25"/>
      <c r="J578" s="25"/>
      <c r="K578" s="25"/>
      <c r="L578" s="25"/>
      <c r="M578" s="25"/>
      <c r="N578" s="25"/>
      <c r="O578" s="25"/>
      <c r="P578" s="25"/>
      <c r="Q578" s="25"/>
      <c r="R578" s="25"/>
      <c r="S578" s="25"/>
      <c r="T578" s="25"/>
      <c r="U578" s="25"/>
      <c r="V578" s="25"/>
      <c r="W578" s="25"/>
      <c r="X578" s="25"/>
      <c r="Y578" s="25"/>
      <c r="Z578" s="25"/>
    </row>
    <row r="579" customFormat="false" ht="39.75" hidden="false" customHeight="true" outlineLevel="0" collapsed="false">
      <c r="A579" s="25"/>
      <c r="B579" s="25"/>
      <c r="C579" s="25"/>
      <c r="D579" s="25"/>
      <c r="E579" s="25"/>
      <c r="F579" s="25"/>
      <c r="G579" s="25"/>
      <c r="H579" s="25"/>
      <c r="I579" s="25"/>
      <c r="J579" s="25"/>
      <c r="K579" s="25"/>
      <c r="L579" s="25"/>
      <c r="M579" s="25"/>
      <c r="N579" s="25"/>
      <c r="O579" s="25"/>
      <c r="P579" s="25"/>
      <c r="Q579" s="25"/>
      <c r="R579" s="25"/>
      <c r="S579" s="25"/>
      <c r="T579" s="25"/>
      <c r="U579" s="25"/>
      <c r="V579" s="25"/>
      <c r="W579" s="25"/>
      <c r="X579" s="25"/>
      <c r="Y579" s="25"/>
      <c r="Z579" s="25"/>
    </row>
    <row r="580" customFormat="false" ht="39.75" hidden="false" customHeight="true" outlineLevel="0" collapsed="false">
      <c r="A580" s="25"/>
      <c r="B580" s="25"/>
      <c r="C580" s="25"/>
      <c r="D580" s="25"/>
      <c r="E580" s="25"/>
      <c r="F580" s="25"/>
      <c r="G580" s="25"/>
      <c r="H580" s="25"/>
      <c r="I580" s="25"/>
      <c r="J580" s="25"/>
      <c r="K580" s="25"/>
      <c r="L580" s="25"/>
      <c r="M580" s="25"/>
      <c r="N580" s="25"/>
      <c r="O580" s="25"/>
      <c r="P580" s="25"/>
      <c r="Q580" s="25"/>
      <c r="R580" s="25"/>
      <c r="S580" s="25"/>
      <c r="T580" s="25"/>
      <c r="U580" s="25"/>
      <c r="V580" s="25"/>
      <c r="W580" s="25"/>
      <c r="X580" s="25"/>
      <c r="Y580" s="25"/>
      <c r="Z580" s="25"/>
    </row>
    <row r="581" customFormat="false" ht="39.75" hidden="false" customHeight="true" outlineLevel="0" collapsed="false">
      <c r="A581" s="25"/>
      <c r="B581" s="25"/>
      <c r="C581" s="25"/>
      <c r="D581" s="25"/>
      <c r="E581" s="25"/>
      <c r="F581" s="25"/>
      <c r="G581" s="25"/>
      <c r="H581" s="25"/>
      <c r="I581" s="25"/>
      <c r="J581" s="25"/>
      <c r="K581" s="25"/>
      <c r="L581" s="25"/>
      <c r="M581" s="25"/>
      <c r="N581" s="25"/>
      <c r="O581" s="25"/>
      <c r="P581" s="25"/>
      <c r="Q581" s="25"/>
      <c r="R581" s="25"/>
      <c r="S581" s="25"/>
      <c r="T581" s="25"/>
      <c r="U581" s="25"/>
      <c r="V581" s="25"/>
      <c r="W581" s="25"/>
      <c r="X581" s="25"/>
      <c r="Y581" s="25"/>
      <c r="Z581" s="25"/>
    </row>
    <row r="582" customFormat="false" ht="39.75" hidden="false" customHeight="true" outlineLevel="0" collapsed="false">
      <c r="A582" s="25"/>
      <c r="B582" s="25"/>
      <c r="C582" s="25"/>
      <c r="D582" s="25"/>
      <c r="E582" s="25"/>
      <c r="F582" s="25"/>
      <c r="G582" s="25"/>
      <c r="H582" s="25"/>
      <c r="I582" s="25"/>
      <c r="J582" s="25"/>
      <c r="K582" s="25"/>
      <c r="L582" s="25"/>
      <c r="M582" s="25"/>
      <c r="N582" s="25"/>
      <c r="O582" s="25"/>
      <c r="P582" s="25"/>
      <c r="Q582" s="25"/>
      <c r="R582" s="25"/>
      <c r="S582" s="25"/>
      <c r="T582" s="25"/>
      <c r="U582" s="25"/>
      <c r="V582" s="25"/>
      <c r="W582" s="25"/>
      <c r="X582" s="25"/>
      <c r="Y582" s="25"/>
      <c r="Z582" s="25"/>
    </row>
    <row r="583" customFormat="false" ht="39.75" hidden="false" customHeight="true" outlineLevel="0" collapsed="false">
      <c r="A583" s="25"/>
      <c r="B583" s="25"/>
      <c r="C583" s="25"/>
      <c r="D583" s="25"/>
      <c r="E583" s="25"/>
      <c r="F583" s="25"/>
      <c r="G583" s="25"/>
      <c r="H583" s="25"/>
      <c r="I583" s="25"/>
      <c r="J583" s="25"/>
      <c r="K583" s="25"/>
      <c r="L583" s="25"/>
      <c r="M583" s="25"/>
      <c r="N583" s="25"/>
      <c r="O583" s="25"/>
      <c r="P583" s="25"/>
      <c r="Q583" s="25"/>
      <c r="R583" s="25"/>
      <c r="S583" s="25"/>
      <c r="T583" s="25"/>
      <c r="U583" s="25"/>
      <c r="V583" s="25"/>
      <c r="W583" s="25"/>
      <c r="X583" s="25"/>
      <c r="Y583" s="25"/>
      <c r="Z583" s="25"/>
    </row>
    <row r="584" customFormat="false" ht="39.75" hidden="false" customHeight="true" outlineLevel="0" collapsed="false">
      <c r="A584" s="25"/>
      <c r="B584" s="25"/>
      <c r="C584" s="25"/>
      <c r="D584" s="25"/>
      <c r="E584" s="25"/>
      <c r="F584" s="25"/>
      <c r="G584" s="25"/>
      <c r="H584" s="25"/>
      <c r="I584" s="25"/>
      <c r="J584" s="25"/>
      <c r="K584" s="25"/>
      <c r="L584" s="25"/>
      <c r="M584" s="25"/>
      <c r="N584" s="25"/>
      <c r="O584" s="25"/>
      <c r="P584" s="25"/>
      <c r="Q584" s="25"/>
      <c r="R584" s="25"/>
      <c r="S584" s="25"/>
      <c r="T584" s="25"/>
      <c r="U584" s="25"/>
      <c r="V584" s="25"/>
      <c r="W584" s="25"/>
      <c r="X584" s="25"/>
      <c r="Y584" s="25"/>
      <c r="Z584" s="25"/>
    </row>
    <row r="585" customFormat="false" ht="39.75" hidden="false" customHeight="true" outlineLevel="0" collapsed="false">
      <c r="A585" s="25"/>
      <c r="B585" s="25"/>
      <c r="C585" s="25"/>
      <c r="D585" s="25"/>
      <c r="E585" s="25"/>
      <c r="F585" s="25"/>
      <c r="G585" s="25"/>
      <c r="H585" s="25"/>
      <c r="I585" s="25"/>
      <c r="J585" s="25"/>
      <c r="K585" s="25"/>
      <c r="L585" s="25"/>
      <c r="M585" s="25"/>
      <c r="N585" s="25"/>
      <c r="O585" s="25"/>
      <c r="P585" s="25"/>
      <c r="Q585" s="25"/>
      <c r="R585" s="25"/>
      <c r="S585" s="25"/>
      <c r="T585" s="25"/>
      <c r="U585" s="25"/>
      <c r="V585" s="25"/>
      <c r="W585" s="25"/>
      <c r="X585" s="25"/>
      <c r="Y585" s="25"/>
      <c r="Z585" s="25"/>
    </row>
    <row r="586" customFormat="false" ht="39.75" hidden="false" customHeight="true" outlineLevel="0" collapsed="false">
      <c r="A586" s="25"/>
      <c r="B586" s="25"/>
      <c r="C586" s="25"/>
      <c r="D586" s="25"/>
      <c r="E586" s="25"/>
      <c r="F586" s="25"/>
      <c r="G586" s="25"/>
      <c r="H586" s="25"/>
      <c r="I586" s="25"/>
      <c r="J586" s="25"/>
      <c r="K586" s="25"/>
      <c r="L586" s="25"/>
      <c r="M586" s="25"/>
      <c r="N586" s="25"/>
      <c r="O586" s="25"/>
      <c r="P586" s="25"/>
      <c r="Q586" s="25"/>
      <c r="R586" s="25"/>
      <c r="S586" s="25"/>
      <c r="T586" s="25"/>
      <c r="U586" s="25"/>
      <c r="V586" s="25"/>
      <c r="W586" s="25"/>
      <c r="X586" s="25"/>
      <c r="Y586" s="25"/>
      <c r="Z586" s="25"/>
    </row>
    <row r="587" customFormat="false" ht="39.75" hidden="false" customHeight="true" outlineLevel="0" collapsed="false">
      <c r="A587" s="25"/>
      <c r="B587" s="25"/>
      <c r="C587" s="25"/>
      <c r="D587" s="25"/>
      <c r="E587" s="25"/>
      <c r="F587" s="25"/>
      <c r="G587" s="25"/>
      <c r="H587" s="25"/>
      <c r="I587" s="25"/>
      <c r="J587" s="25"/>
      <c r="K587" s="25"/>
      <c r="L587" s="25"/>
      <c r="M587" s="25"/>
      <c r="N587" s="25"/>
      <c r="O587" s="25"/>
      <c r="P587" s="25"/>
      <c r="Q587" s="25"/>
      <c r="R587" s="25"/>
      <c r="S587" s="25"/>
      <c r="T587" s="25"/>
      <c r="U587" s="25"/>
      <c r="V587" s="25"/>
      <c r="W587" s="25"/>
      <c r="X587" s="25"/>
      <c r="Y587" s="25"/>
      <c r="Z587" s="25"/>
    </row>
    <row r="588" customFormat="false" ht="39.75" hidden="false" customHeight="true" outlineLevel="0" collapsed="false">
      <c r="A588" s="25"/>
      <c r="B588" s="25"/>
      <c r="C588" s="25"/>
      <c r="D588" s="25"/>
      <c r="E588" s="25"/>
      <c r="F588" s="25"/>
      <c r="G588" s="25"/>
      <c r="H588" s="25"/>
      <c r="I588" s="25"/>
      <c r="J588" s="25"/>
      <c r="K588" s="25"/>
      <c r="L588" s="25"/>
      <c r="M588" s="25"/>
      <c r="N588" s="25"/>
      <c r="O588" s="25"/>
      <c r="P588" s="25"/>
      <c r="Q588" s="25"/>
      <c r="R588" s="25"/>
      <c r="S588" s="25"/>
      <c r="T588" s="25"/>
      <c r="U588" s="25"/>
      <c r="V588" s="25"/>
      <c r="W588" s="25"/>
      <c r="X588" s="25"/>
      <c r="Y588" s="25"/>
      <c r="Z588" s="25"/>
    </row>
    <row r="589" customFormat="false" ht="39.75" hidden="false" customHeight="true" outlineLevel="0" collapsed="false">
      <c r="A589" s="25"/>
      <c r="B589" s="25"/>
      <c r="C589" s="25"/>
      <c r="D589" s="25"/>
      <c r="E589" s="25"/>
      <c r="F589" s="25"/>
      <c r="G589" s="25"/>
      <c r="H589" s="25"/>
      <c r="I589" s="25"/>
      <c r="J589" s="25"/>
      <c r="K589" s="25"/>
      <c r="L589" s="25"/>
      <c r="M589" s="25"/>
      <c r="N589" s="25"/>
      <c r="O589" s="25"/>
      <c r="P589" s="25"/>
      <c r="Q589" s="25"/>
      <c r="R589" s="25"/>
      <c r="S589" s="25"/>
      <c r="T589" s="25"/>
      <c r="U589" s="25"/>
      <c r="V589" s="25"/>
      <c r="W589" s="25"/>
      <c r="X589" s="25"/>
      <c r="Y589" s="25"/>
      <c r="Z589" s="25"/>
    </row>
    <row r="590" customFormat="false" ht="39.75" hidden="false" customHeight="true" outlineLevel="0" collapsed="false">
      <c r="A590" s="25"/>
      <c r="B590" s="25"/>
      <c r="C590" s="25"/>
      <c r="D590" s="25"/>
      <c r="E590" s="25"/>
      <c r="F590" s="25"/>
      <c r="G590" s="25"/>
      <c r="H590" s="25"/>
      <c r="I590" s="25"/>
      <c r="J590" s="25"/>
      <c r="K590" s="25"/>
      <c r="L590" s="25"/>
      <c r="M590" s="25"/>
      <c r="N590" s="25"/>
      <c r="O590" s="25"/>
      <c r="P590" s="25"/>
      <c r="Q590" s="25"/>
      <c r="R590" s="25"/>
      <c r="S590" s="25"/>
      <c r="T590" s="25"/>
      <c r="U590" s="25"/>
      <c r="V590" s="25"/>
      <c r="W590" s="25"/>
      <c r="X590" s="25"/>
      <c r="Y590" s="25"/>
      <c r="Z590" s="25"/>
    </row>
    <row r="591" customFormat="false" ht="39.75" hidden="false" customHeight="true" outlineLevel="0" collapsed="false">
      <c r="A591" s="25"/>
      <c r="B591" s="25"/>
      <c r="C591" s="25"/>
      <c r="D591" s="25"/>
      <c r="E591" s="25"/>
      <c r="F591" s="25"/>
      <c r="G591" s="25"/>
      <c r="H591" s="25"/>
      <c r="I591" s="25"/>
      <c r="J591" s="25"/>
      <c r="K591" s="25"/>
      <c r="L591" s="25"/>
      <c r="M591" s="25"/>
      <c r="N591" s="25"/>
      <c r="O591" s="25"/>
      <c r="P591" s="25"/>
      <c r="Q591" s="25"/>
      <c r="R591" s="25"/>
      <c r="S591" s="25"/>
      <c r="T591" s="25"/>
      <c r="U591" s="25"/>
      <c r="V591" s="25"/>
      <c r="W591" s="25"/>
      <c r="X591" s="25"/>
      <c r="Y591" s="25"/>
      <c r="Z591" s="25"/>
    </row>
    <row r="592" customFormat="false" ht="39.75" hidden="false" customHeight="true" outlineLevel="0" collapsed="false">
      <c r="A592" s="25"/>
      <c r="B592" s="25"/>
      <c r="C592" s="25"/>
      <c r="D592" s="25"/>
      <c r="E592" s="25"/>
      <c r="F592" s="25"/>
      <c r="G592" s="25"/>
      <c r="H592" s="25"/>
      <c r="I592" s="25"/>
      <c r="J592" s="25"/>
      <c r="K592" s="25"/>
      <c r="L592" s="25"/>
      <c r="M592" s="25"/>
      <c r="N592" s="25"/>
      <c r="O592" s="25"/>
      <c r="P592" s="25"/>
      <c r="Q592" s="25"/>
      <c r="R592" s="25"/>
      <c r="S592" s="25"/>
      <c r="T592" s="25"/>
      <c r="U592" s="25"/>
      <c r="V592" s="25"/>
      <c r="W592" s="25"/>
      <c r="X592" s="25"/>
      <c r="Y592" s="25"/>
      <c r="Z592" s="25"/>
    </row>
    <row r="593" customFormat="false" ht="39.75" hidden="false" customHeight="true" outlineLevel="0" collapsed="false">
      <c r="A593" s="25"/>
      <c r="B593" s="25"/>
      <c r="C593" s="25"/>
      <c r="D593" s="25"/>
      <c r="E593" s="25"/>
      <c r="F593" s="25"/>
      <c r="G593" s="25"/>
      <c r="H593" s="25"/>
      <c r="I593" s="25"/>
      <c r="J593" s="25"/>
      <c r="K593" s="25"/>
      <c r="L593" s="25"/>
      <c r="M593" s="25"/>
      <c r="N593" s="25"/>
      <c r="O593" s="25"/>
      <c r="P593" s="25"/>
      <c r="Q593" s="25"/>
      <c r="R593" s="25"/>
      <c r="S593" s="25"/>
      <c r="T593" s="25"/>
      <c r="U593" s="25"/>
      <c r="V593" s="25"/>
      <c r="W593" s="25"/>
      <c r="X593" s="25"/>
      <c r="Y593" s="25"/>
      <c r="Z593" s="25"/>
    </row>
    <row r="594" customFormat="false" ht="39.75" hidden="false" customHeight="true" outlineLevel="0" collapsed="false">
      <c r="A594" s="25"/>
      <c r="B594" s="25"/>
      <c r="C594" s="25"/>
      <c r="D594" s="25"/>
      <c r="E594" s="25"/>
      <c r="F594" s="25"/>
      <c r="G594" s="25"/>
      <c r="H594" s="25"/>
      <c r="I594" s="25"/>
      <c r="J594" s="25"/>
      <c r="K594" s="25"/>
      <c r="L594" s="25"/>
      <c r="M594" s="25"/>
      <c r="N594" s="25"/>
      <c r="O594" s="25"/>
      <c r="P594" s="25"/>
      <c r="Q594" s="25"/>
      <c r="R594" s="25"/>
      <c r="S594" s="25"/>
      <c r="T594" s="25"/>
      <c r="U594" s="25"/>
      <c r="V594" s="25"/>
      <c r="W594" s="25"/>
      <c r="X594" s="25"/>
      <c r="Y594" s="25"/>
      <c r="Z594" s="25"/>
    </row>
    <row r="595" customFormat="false" ht="39.75" hidden="false" customHeight="true" outlineLevel="0" collapsed="false">
      <c r="A595" s="25"/>
      <c r="B595" s="25"/>
      <c r="C595" s="25"/>
      <c r="D595" s="25"/>
      <c r="E595" s="25"/>
      <c r="F595" s="25"/>
      <c r="G595" s="25"/>
      <c r="H595" s="25"/>
      <c r="I595" s="25"/>
      <c r="J595" s="25"/>
      <c r="K595" s="25"/>
      <c r="L595" s="25"/>
      <c r="M595" s="25"/>
      <c r="N595" s="25"/>
      <c r="O595" s="25"/>
      <c r="P595" s="25"/>
      <c r="Q595" s="25"/>
      <c r="R595" s="25"/>
      <c r="S595" s="25"/>
      <c r="T595" s="25"/>
      <c r="U595" s="25"/>
      <c r="V595" s="25"/>
      <c r="W595" s="25"/>
      <c r="X595" s="25"/>
      <c r="Y595" s="25"/>
      <c r="Z595" s="25"/>
    </row>
    <row r="596" customFormat="false" ht="39.75" hidden="false" customHeight="true" outlineLevel="0" collapsed="false">
      <c r="A596" s="25"/>
      <c r="B596" s="25"/>
      <c r="C596" s="25"/>
      <c r="D596" s="25"/>
      <c r="E596" s="25"/>
      <c r="F596" s="25"/>
      <c r="G596" s="25"/>
      <c r="H596" s="25"/>
      <c r="I596" s="25"/>
      <c r="J596" s="25"/>
      <c r="K596" s="25"/>
      <c r="L596" s="25"/>
      <c r="M596" s="25"/>
      <c r="N596" s="25"/>
      <c r="O596" s="25"/>
      <c r="P596" s="25"/>
      <c r="Q596" s="25"/>
      <c r="R596" s="25"/>
      <c r="S596" s="25"/>
      <c r="T596" s="25"/>
      <c r="U596" s="25"/>
      <c r="V596" s="25"/>
      <c r="W596" s="25"/>
      <c r="X596" s="25"/>
      <c r="Y596" s="25"/>
      <c r="Z596" s="25"/>
    </row>
    <row r="597" customFormat="false" ht="39.75" hidden="false" customHeight="true" outlineLevel="0" collapsed="false">
      <c r="A597" s="25"/>
      <c r="B597" s="25"/>
      <c r="C597" s="25"/>
      <c r="D597" s="25"/>
      <c r="E597" s="25"/>
      <c r="F597" s="25"/>
      <c r="G597" s="25"/>
      <c r="H597" s="25"/>
      <c r="I597" s="25"/>
      <c r="J597" s="25"/>
      <c r="K597" s="25"/>
      <c r="L597" s="25"/>
      <c r="M597" s="25"/>
      <c r="N597" s="25"/>
      <c r="O597" s="25"/>
      <c r="P597" s="25"/>
      <c r="Q597" s="25"/>
      <c r="R597" s="25"/>
      <c r="S597" s="25"/>
      <c r="T597" s="25"/>
      <c r="U597" s="25"/>
      <c r="V597" s="25"/>
      <c r="W597" s="25"/>
      <c r="X597" s="25"/>
      <c r="Y597" s="25"/>
      <c r="Z597" s="25"/>
    </row>
    <row r="598" customFormat="false" ht="39.75" hidden="false" customHeight="true" outlineLevel="0" collapsed="false">
      <c r="A598" s="25"/>
      <c r="B598" s="25"/>
      <c r="C598" s="25"/>
      <c r="D598" s="25"/>
      <c r="E598" s="25"/>
      <c r="F598" s="25"/>
      <c r="G598" s="25"/>
      <c r="H598" s="25"/>
      <c r="I598" s="25"/>
      <c r="J598" s="25"/>
      <c r="K598" s="25"/>
      <c r="L598" s="25"/>
      <c r="M598" s="25"/>
      <c r="N598" s="25"/>
      <c r="O598" s="25"/>
      <c r="P598" s="25"/>
      <c r="Q598" s="25"/>
      <c r="R598" s="25"/>
      <c r="S598" s="25"/>
      <c r="T598" s="25"/>
      <c r="U598" s="25"/>
      <c r="V598" s="25"/>
      <c r="W598" s="25"/>
      <c r="X598" s="25"/>
      <c r="Y598" s="25"/>
      <c r="Z598" s="25"/>
    </row>
    <row r="599" customFormat="false" ht="39.75" hidden="false" customHeight="true" outlineLevel="0" collapsed="false">
      <c r="A599" s="25"/>
      <c r="B599" s="25"/>
      <c r="C599" s="25"/>
      <c r="D599" s="25"/>
      <c r="E599" s="25"/>
      <c r="F599" s="25"/>
      <c r="G599" s="25"/>
      <c r="H599" s="25"/>
      <c r="I599" s="25"/>
      <c r="J599" s="25"/>
      <c r="K599" s="25"/>
      <c r="L599" s="25"/>
      <c r="M599" s="25"/>
      <c r="N599" s="25"/>
      <c r="O599" s="25"/>
      <c r="P599" s="25"/>
      <c r="Q599" s="25"/>
      <c r="R599" s="25"/>
      <c r="S599" s="25"/>
      <c r="T599" s="25"/>
      <c r="U599" s="25"/>
      <c r="V599" s="25"/>
      <c r="W599" s="25"/>
      <c r="X599" s="25"/>
      <c r="Y599" s="25"/>
      <c r="Z599" s="25"/>
    </row>
    <row r="600" customFormat="false" ht="39.75" hidden="false" customHeight="true" outlineLevel="0" collapsed="false">
      <c r="A600" s="25"/>
      <c r="B600" s="25"/>
      <c r="C600" s="25"/>
      <c r="D600" s="25"/>
      <c r="E600" s="25"/>
      <c r="F600" s="25"/>
      <c r="G600" s="25"/>
      <c r="H600" s="25"/>
      <c r="I600" s="25"/>
      <c r="J600" s="25"/>
      <c r="K600" s="25"/>
      <c r="L600" s="25"/>
      <c r="M600" s="25"/>
      <c r="N600" s="25"/>
      <c r="O600" s="25"/>
      <c r="P600" s="25"/>
      <c r="Q600" s="25"/>
      <c r="R600" s="25"/>
      <c r="S600" s="25"/>
      <c r="T600" s="25"/>
      <c r="U600" s="25"/>
      <c r="V600" s="25"/>
      <c r="W600" s="25"/>
      <c r="X600" s="25"/>
      <c r="Y600" s="25"/>
      <c r="Z600" s="25"/>
    </row>
    <row r="601" customFormat="false" ht="39.75" hidden="false" customHeight="true" outlineLevel="0" collapsed="false">
      <c r="A601" s="25"/>
      <c r="B601" s="25"/>
      <c r="C601" s="25"/>
      <c r="D601" s="25"/>
      <c r="E601" s="25"/>
      <c r="F601" s="25"/>
      <c r="G601" s="25"/>
      <c r="H601" s="25"/>
      <c r="I601" s="25"/>
      <c r="J601" s="25"/>
      <c r="K601" s="25"/>
      <c r="L601" s="25"/>
      <c r="M601" s="25"/>
      <c r="N601" s="25"/>
      <c r="O601" s="25"/>
      <c r="P601" s="25"/>
      <c r="Q601" s="25"/>
      <c r="R601" s="25"/>
      <c r="S601" s="25"/>
      <c r="T601" s="25"/>
      <c r="U601" s="25"/>
      <c r="V601" s="25"/>
      <c r="W601" s="25"/>
      <c r="X601" s="25"/>
      <c r="Y601" s="25"/>
      <c r="Z601" s="25"/>
    </row>
    <row r="602" customFormat="false" ht="39.75" hidden="false" customHeight="true" outlineLevel="0" collapsed="false">
      <c r="A602" s="25"/>
      <c r="B602" s="25"/>
      <c r="C602" s="25"/>
      <c r="D602" s="25"/>
      <c r="E602" s="25"/>
      <c r="F602" s="25"/>
      <c r="G602" s="25"/>
      <c r="H602" s="25"/>
      <c r="I602" s="25"/>
      <c r="J602" s="25"/>
      <c r="K602" s="25"/>
      <c r="L602" s="25"/>
      <c r="M602" s="25"/>
      <c r="N602" s="25"/>
      <c r="O602" s="25"/>
      <c r="P602" s="25"/>
      <c r="Q602" s="25"/>
      <c r="R602" s="25"/>
      <c r="S602" s="25"/>
      <c r="T602" s="25"/>
      <c r="U602" s="25"/>
      <c r="V602" s="25"/>
      <c r="W602" s="25"/>
      <c r="X602" s="25"/>
      <c r="Y602" s="25"/>
      <c r="Z602" s="25"/>
    </row>
    <row r="603" customFormat="false" ht="39.75" hidden="false" customHeight="true" outlineLevel="0" collapsed="false">
      <c r="A603" s="25"/>
      <c r="B603" s="25"/>
      <c r="C603" s="25"/>
      <c r="D603" s="25"/>
      <c r="E603" s="25"/>
      <c r="F603" s="25"/>
      <c r="G603" s="25"/>
      <c r="H603" s="25"/>
      <c r="I603" s="25"/>
      <c r="J603" s="25"/>
      <c r="K603" s="25"/>
      <c r="L603" s="25"/>
      <c r="M603" s="25"/>
      <c r="N603" s="25"/>
      <c r="O603" s="25"/>
      <c r="P603" s="25"/>
      <c r="Q603" s="25"/>
      <c r="R603" s="25"/>
      <c r="S603" s="25"/>
      <c r="T603" s="25"/>
      <c r="U603" s="25"/>
      <c r="V603" s="25"/>
      <c r="W603" s="25"/>
      <c r="X603" s="25"/>
      <c r="Y603" s="25"/>
      <c r="Z603" s="25"/>
    </row>
    <row r="604" customFormat="false" ht="39.75" hidden="false" customHeight="true" outlineLevel="0" collapsed="false">
      <c r="A604" s="25"/>
      <c r="B604" s="25"/>
      <c r="C604" s="25"/>
      <c r="D604" s="25"/>
      <c r="E604" s="25"/>
      <c r="F604" s="25"/>
      <c r="G604" s="25"/>
      <c r="H604" s="25"/>
      <c r="I604" s="25"/>
      <c r="J604" s="25"/>
      <c r="K604" s="25"/>
      <c r="L604" s="25"/>
      <c r="M604" s="25"/>
      <c r="N604" s="25"/>
      <c r="O604" s="25"/>
      <c r="P604" s="25"/>
      <c r="Q604" s="25"/>
      <c r="R604" s="25"/>
      <c r="S604" s="25"/>
      <c r="T604" s="25"/>
      <c r="U604" s="25"/>
      <c r="V604" s="25"/>
      <c r="W604" s="25"/>
      <c r="X604" s="25"/>
      <c r="Y604" s="25"/>
      <c r="Z604" s="25"/>
    </row>
    <row r="605" customFormat="false" ht="39.75" hidden="false" customHeight="true" outlineLevel="0" collapsed="false">
      <c r="A605" s="25"/>
      <c r="B605" s="25"/>
      <c r="C605" s="25"/>
      <c r="D605" s="25"/>
      <c r="E605" s="25"/>
      <c r="F605" s="25"/>
      <c r="G605" s="25"/>
      <c r="H605" s="25"/>
      <c r="I605" s="25"/>
      <c r="J605" s="25"/>
      <c r="K605" s="25"/>
      <c r="L605" s="25"/>
      <c r="M605" s="25"/>
      <c r="N605" s="25"/>
      <c r="O605" s="25"/>
      <c r="P605" s="25"/>
      <c r="Q605" s="25"/>
      <c r="R605" s="25"/>
      <c r="S605" s="25"/>
      <c r="T605" s="25"/>
      <c r="U605" s="25"/>
      <c r="V605" s="25"/>
      <c r="W605" s="25"/>
      <c r="X605" s="25"/>
      <c r="Y605" s="25"/>
      <c r="Z605" s="25"/>
    </row>
    <row r="606" customFormat="false" ht="39.75" hidden="false" customHeight="true" outlineLevel="0" collapsed="false">
      <c r="A606" s="25"/>
      <c r="B606" s="25"/>
      <c r="C606" s="25"/>
      <c r="D606" s="25"/>
      <c r="E606" s="25"/>
      <c r="F606" s="25"/>
      <c r="G606" s="25"/>
      <c r="H606" s="25"/>
      <c r="I606" s="25"/>
      <c r="J606" s="25"/>
      <c r="K606" s="25"/>
      <c r="L606" s="25"/>
      <c r="M606" s="25"/>
      <c r="N606" s="25"/>
      <c r="O606" s="25"/>
      <c r="P606" s="25"/>
      <c r="Q606" s="25"/>
      <c r="R606" s="25"/>
      <c r="S606" s="25"/>
      <c r="T606" s="25"/>
      <c r="U606" s="25"/>
      <c r="V606" s="25"/>
      <c r="W606" s="25"/>
      <c r="X606" s="25"/>
      <c r="Y606" s="25"/>
      <c r="Z606" s="25"/>
    </row>
    <row r="607" customFormat="false" ht="39.75" hidden="false" customHeight="true" outlineLevel="0" collapsed="false">
      <c r="A607" s="25"/>
      <c r="B607" s="25"/>
      <c r="C607" s="25"/>
      <c r="D607" s="25"/>
      <c r="E607" s="25"/>
      <c r="F607" s="25"/>
      <c r="G607" s="25"/>
      <c r="H607" s="25"/>
      <c r="I607" s="25"/>
      <c r="J607" s="25"/>
      <c r="K607" s="25"/>
      <c r="L607" s="25"/>
      <c r="M607" s="25"/>
      <c r="N607" s="25"/>
      <c r="O607" s="25"/>
      <c r="P607" s="25"/>
      <c r="Q607" s="25"/>
      <c r="R607" s="25"/>
      <c r="S607" s="25"/>
      <c r="T607" s="25"/>
      <c r="U607" s="25"/>
      <c r="V607" s="25"/>
      <c r="W607" s="25"/>
      <c r="X607" s="25"/>
      <c r="Y607" s="25"/>
      <c r="Z607" s="25"/>
    </row>
    <row r="608" customFormat="false" ht="39.75" hidden="false" customHeight="true" outlineLevel="0" collapsed="false">
      <c r="A608" s="25"/>
      <c r="B608" s="25"/>
      <c r="C608" s="25"/>
      <c r="D608" s="25"/>
      <c r="E608" s="25"/>
      <c r="F608" s="25"/>
      <c r="G608" s="25"/>
      <c r="H608" s="25"/>
      <c r="I608" s="25"/>
      <c r="J608" s="25"/>
      <c r="K608" s="25"/>
      <c r="L608" s="25"/>
      <c r="M608" s="25"/>
      <c r="N608" s="25"/>
      <c r="O608" s="25"/>
      <c r="P608" s="25"/>
      <c r="Q608" s="25"/>
      <c r="R608" s="25"/>
      <c r="S608" s="25"/>
      <c r="T608" s="25"/>
      <c r="U608" s="25"/>
      <c r="V608" s="25"/>
      <c r="W608" s="25"/>
      <c r="X608" s="25"/>
      <c r="Y608" s="25"/>
      <c r="Z608" s="25"/>
    </row>
    <row r="609" customFormat="false" ht="39.75" hidden="false" customHeight="true" outlineLevel="0" collapsed="false">
      <c r="A609" s="25"/>
      <c r="B609" s="25"/>
      <c r="C609" s="25"/>
      <c r="D609" s="25"/>
      <c r="E609" s="25"/>
      <c r="F609" s="25"/>
      <c r="G609" s="25"/>
      <c r="H609" s="25"/>
      <c r="I609" s="25"/>
      <c r="J609" s="25"/>
      <c r="K609" s="25"/>
      <c r="L609" s="25"/>
      <c r="M609" s="25"/>
      <c r="N609" s="25"/>
      <c r="O609" s="25"/>
      <c r="P609" s="25"/>
      <c r="Q609" s="25"/>
      <c r="R609" s="25"/>
      <c r="S609" s="25"/>
      <c r="T609" s="25"/>
      <c r="U609" s="25"/>
      <c r="V609" s="25"/>
      <c r="W609" s="25"/>
      <c r="X609" s="25"/>
      <c r="Y609" s="25"/>
      <c r="Z609" s="25"/>
    </row>
    <row r="610" customFormat="false" ht="39.75" hidden="false" customHeight="true" outlineLevel="0" collapsed="false">
      <c r="A610" s="25"/>
      <c r="B610" s="25"/>
      <c r="C610" s="25"/>
      <c r="D610" s="25"/>
      <c r="E610" s="25"/>
      <c r="F610" s="25"/>
      <c r="G610" s="25"/>
      <c r="H610" s="25"/>
      <c r="I610" s="25"/>
      <c r="J610" s="25"/>
      <c r="K610" s="25"/>
      <c r="L610" s="25"/>
      <c r="M610" s="25"/>
      <c r="N610" s="25"/>
      <c r="O610" s="25"/>
      <c r="P610" s="25"/>
      <c r="Q610" s="25"/>
      <c r="R610" s="25"/>
      <c r="S610" s="25"/>
      <c r="T610" s="25"/>
      <c r="U610" s="25"/>
      <c r="V610" s="25"/>
      <c r="W610" s="25"/>
      <c r="X610" s="25"/>
      <c r="Y610" s="25"/>
      <c r="Z610" s="25"/>
    </row>
    <row r="611" customFormat="false" ht="39.75" hidden="false" customHeight="true" outlineLevel="0" collapsed="false">
      <c r="A611" s="25"/>
      <c r="B611" s="25"/>
      <c r="C611" s="25"/>
      <c r="D611" s="25"/>
      <c r="E611" s="25"/>
      <c r="F611" s="25"/>
      <c r="G611" s="25"/>
      <c r="H611" s="25"/>
      <c r="I611" s="25"/>
      <c r="J611" s="25"/>
      <c r="K611" s="25"/>
      <c r="L611" s="25"/>
      <c r="M611" s="25"/>
      <c r="N611" s="25"/>
      <c r="O611" s="25"/>
      <c r="P611" s="25"/>
      <c r="Q611" s="25"/>
      <c r="R611" s="25"/>
      <c r="S611" s="25"/>
      <c r="T611" s="25"/>
      <c r="U611" s="25"/>
      <c r="V611" s="25"/>
      <c r="W611" s="25"/>
      <c r="X611" s="25"/>
      <c r="Y611" s="25"/>
      <c r="Z611" s="25"/>
    </row>
    <row r="612" customFormat="false" ht="39.75" hidden="false" customHeight="true" outlineLevel="0" collapsed="false">
      <c r="A612" s="25"/>
      <c r="B612" s="25"/>
      <c r="C612" s="25"/>
      <c r="D612" s="25"/>
      <c r="E612" s="25"/>
      <c r="F612" s="25"/>
      <c r="G612" s="25"/>
      <c r="H612" s="25"/>
      <c r="I612" s="25"/>
      <c r="J612" s="25"/>
      <c r="K612" s="25"/>
      <c r="L612" s="25"/>
      <c r="M612" s="25"/>
      <c r="N612" s="25"/>
      <c r="O612" s="25"/>
      <c r="P612" s="25"/>
      <c r="Q612" s="25"/>
      <c r="R612" s="25"/>
      <c r="S612" s="25"/>
      <c r="T612" s="25"/>
      <c r="U612" s="25"/>
      <c r="V612" s="25"/>
      <c r="W612" s="25"/>
      <c r="X612" s="25"/>
      <c r="Y612" s="25"/>
      <c r="Z612" s="25"/>
    </row>
    <row r="613" customFormat="false" ht="39.75" hidden="false" customHeight="true" outlineLevel="0" collapsed="false">
      <c r="A613" s="25"/>
      <c r="B613" s="25"/>
      <c r="C613" s="25"/>
      <c r="D613" s="25"/>
      <c r="E613" s="25"/>
      <c r="F613" s="25"/>
      <c r="G613" s="25"/>
      <c r="H613" s="25"/>
      <c r="I613" s="25"/>
      <c r="J613" s="25"/>
      <c r="K613" s="25"/>
      <c r="L613" s="25"/>
      <c r="M613" s="25"/>
      <c r="N613" s="25"/>
      <c r="O613" s="25"/>
      <c r="P613" s="25"/>
      <c r="Q613" s="25"/>
      <c r="R613" s="25"/>
      <c r="S613" s="25"/>
      <c r="T613" s="25"/>
      <c r="U613" s="25"/>
      <c r="V613" s="25"/>
      <c r="W613" s="25"/>
      <c r="X613" s="25"/>
      <c r="Y613" s="25"/>
      <c r="Z613" s="25"/>
    </row>
    <row r="614" customFormat="false" ht="39.75" hidden="false" customHeight="true" outlineLevel="0" collapsed="false">
      <c r="A614" s="25"/>
      <c r="B614" s="25"/>
      <c r="C614" s="25"/>
      <c r="D614" s="25"/>
      <c r="E614" s="25"/>
      <c r="F614" s="25"/>
      <c r="G614" s="25"/>
      <c r="H614" s="25"/>
      <c r="I614" s="25"/>
      <c r="J614" s="25"/>
      <c r="K614" s="25"/>
      <c r="L614" s="25"/>
      <c r="M614" s="25"/>
      <c r="N614" s="25"/>
      <c r="O614" s="25"/>
      <c r="P614" s="25"/>
      <c r="Q614" s="25"/>
      <c r="R614" s="25"/>
      <c r="S614" s="25"/>
      <c r="T614" s="25"/>
      <c r="U614" s="25"/>
      <c r="V614" s="25"/>
      <c r="W614" s="25"/>
      <c r="X614" s="25"/>
      <c r="Y614" s="25"/>
      <c r="Z614" s="25"/>
    </row>
    <row r="615" customFormat="false" ht="39.75" hidden="false" customHeight="true" outlineLevel="0" collapsed="false">
      <c r="A615" s="25"/>
      <c r="B615" s="25"/>
      <c r="C615" s="25"/>
      <c r="D615" s="25"/>
      <c r="E615" s="25"/>
      <c r="F615" s="25"/>
      <c r="G615" s="25"/>
      <c r="H615" s="25"/>
      <c r="I615" s="25"/>
      <c r="J615" s="25"/>
      <c r="K615" s="25"/>
      <c r="L615" s="25"/>
      <c r="M615" s="25"/>
      <c r="N615" s="25"/>
      <c r="O615" s="25"/>
      <c r="P615" s="25"/>
      <c r="Q615" s="25"/>
      <c r="R615" s="25"/>
      <c r="S615" s="25"/>
      <c r="T615" s="25"/>
      <c r="U615" s="25"/>
      <c r="V615" s="25"/>
      <c r="W615" s="25"/>
      <c r="X615" s="25"/>
      <c r="Y615" s="25"/>
      <c r="Z615" s="25"/>
    </row>
    <row r="616" customFormat="false" ht="39.75" hidden="false" customHeight="true" outlineLevel="0" collapsed="false">
      <c r="A616" s="25"/>
      <c r="B616" s="25"/>
      <c r="C616" s="25"/>
      <c r="D616" s="25"/>
      <c r="E616" s="25"/>
      <c r="F616" s="25"/>
      <c r="G616" s="25"/>
      <c r="H616" s="25"/>
      <c r="I616" s="25"/>
      <c r="J616" s="25"/>
      <c r="K616" s="25"/>
      <c r="L616" s="25"/>
      <c r="M616" s="25"/>
      <c r="N616" s="25"/>
      <c r="O616" s="25"/>
      <c r="P616" s="25"/>
      <c r="Q616" s="25"/>
      <c r="R616" s="25"/>
      <c r="S616" s="25"/>
      <c r="T616" s="25"/>
      <c r="U616" s="25"/>
      <c r="V616" s="25"/>
      <c r="W616" s="25"/>
      <c r="X616" s="25"/>
      <c r="Y616" s="25"/>
      <c r="Z616" s="25"/>
    </row>
    <row r="617" customFormat="false" ht="39.75" hidden="false" customHeight="true" outlineLevel="0" collapsed="false">
      <c r="A617" s="25"/>
      <c r="B617" s="25"/>
      <c r="C617" s="25"/>
      <c r="D617" s="25"/>
      <c r="E617" s="25"/>
      <c r="F617" s="25"/>
      <c r="G617" s="25"/>
      <c r="H617" s="25"/>
      <c r="I617" s="25"/>
      <c r="J617" s="25"/>
      <c r="K617" s="25"/>
      <c r="L617" s="25"/>
      <c r="M617" s="25"/>
      <c r="N617" s="25"/>
      <c r="O617" s="25"/>
      <c r="P617" s="25"/>
      <c r="Q617" s="25"/>
      <c r="R617" s="25"/>
      <c r="S617" s="25"/>
      <c r="T617" s="25"/>
      <c r="U617" s="25"/>
      <c r="V617" s="25"/>
      <c r="W617" s="25"/>
      <c r="X617" s="25"/>
      <c r="Y617" s="25"/>
      <c r="Z617" s="25"/>
    </row>
    <row r="618" customFormat="false" ht="39.75" hidden="false" customHeight="true" outlineLevel="0" collapsed="false">
      <c r="A618" s="25"/>
      <c r="B618" s="25"/>
      <c r="C618" s="25"/>
      <c r="D618" s="25"/>
      <c r="E618" s="25"/>
      <c r="F618" s="25"/>
      <c r="G618" s="25"/>
      <c r="H618" s="25"/>
      <c r="I618" s="25"/>
      <c r="J618" s="25"/>
      <c r="K618" s="25"/>
      <c r="L618" s="25"/>
      <c r="M618" s="25"/>
      <c r="N618" s="25"/>
      <c r="O618" s="25"/>
      <c r="P618" s="25"/>
      <c r="Q618" s="25"/>
      <c r="R618" s="25"/>
      <c r="S618" s="25"/>
      <c r="T618" s="25"/>
      <c r="U618" s="25"/>
      <c r="V618" s="25"/>
      <c r="W618" s="25"/>
      <c r="X618" s="25"/>
      <c r="Y618" s="25"/>
      <c r="Z618" s="25"/>
    </row>
    <row r="619" customFormat="false" ht="39.75" hidden="false" customHeight="true" outlineLevel="0" collapsed="false">
      <c r="A619" s="25"/>
      <c r="B619" s="25"/>
      <c r="C619" s="25"/>
      <c r="D619" s="25"/>
      <c r="E619" s="25"/>
      <c r="F619" s="25"/>
      <c r="G619" s="25"/>
      <c r="H619" s="25"/>
      <c r="I619" s="25"/>
      <c r="J619" s="25"/>
      <c r="K619" s="25"/>
      <c r="L619" s="25"/>
      <c r="M619" s="25"/>
      <c r="N619" s="25"/>
      <c r="O619" s="25"/>
      <c r="P619" s="25"/>
      <c r="Q619" s="25"/>
      <c r="R619" s="25"/>
      <c r="S619" s="25"/>
      <c r="T619" s="25"/>
      <c r="U619" s="25"/>
      <c r="V619" s="25"/>
      <c r="W619" s="25"/>
      <c r="X619" s="25"/>
      <c r="Y619" s="25"/>
      <c r="Z619" s="25"/>
    </row>
    <row r="620" customFormat="false" ht="39.75" hidden="false" customHeight="true" outlineLevel="0" collapsed="false">
      <c r="A620" s="25"/>
      <c r="B620" s="25"/>
      <c r="C620" s="25"/>
      <c r="D620" s="25"/>
      <c r="E620" s="25"/>
      <c r="F620" s="25"/>
      <c r="G620" s="25"/>
      <c r="H620" s="25"/>
      <c r="I620" s="25"/>
      <c r="J620" s="25"/>
      <c r="K620" s="25"/>
      <c r="L620" s="25"/>
      <c r="M620" s="25"/>
      <c r="N620" s="25"/>
      <c r="O620" s="25"/>
      <c r="P620" s="25"/>
      <c r="Q620" s="25"/>
      <c r="R620" s="25"/>
      <c r="S620" s="25"/>
      <c r="T620" s="25"/>
      <c r="U620" s="25"/>
      <c r="V620" s="25"/>
      <c r="W620" s="25"/>
      <c r="X620" s="25"/>
      <c r="Y620" s="25"/>
      <c r="Z620" s="25"/>
    </row>
    <row r="621" customFormat="false" ht="39.75" hidden="false" customHeight="true" outlineLevel="0" collapsed="false">
      <c r="A621" s="25"/>
      <c r="B621" s="25"/>
      <c r="C621" s="25"/>
      <c r="D621" s="25"/>
      <c r="E621" s="25"/>
      <c r="F621" s="25"/>
      <c r="G621" s="25"/>
      <c r="H621" s="25"/>
      <c r="I621" s="25"/>
      <c r="J621" s="25"/>
      <c r="K621" s="25"/>
      <c r="L621" s="25"/>
      <c r="M621" s="25"/>
      <c r="N621" s="25"/>
      <c r="O621" s="25"/>
      <c r="P621" s="25"/>
      <c r="Q621" s="25"/>
      <c r="R621" s="25"/>
      <c r="S621" s="25"/>
      <c r="T621" s="25"/>
      <c r="U621" s="25"/>
      <c r="V621" s="25"/>
      <c r="W621" s="25"/>
      <c r="X621" s="25"/>
      <c r="Y621" s="25"/>
      <c r="Z621" s="25"/>
    </row>
    <row r="622" customFormat="false" ht="39.75" hidden="false" customHeight="true" outlineLevel="0" collapsed="false">
      <c r="A622" s="25"/>
      <c r="B622" s="25"/>
      <c r="C622" s="25"/>
      <c r="D622" s="25"/>
      <c r="E622" s="25"/>
      <c r="F622" s="25"/>
      <c r="G622" s="25"/>
      <c r="H622" s="25"/>
      <c r="I622" s="25"/>
      <c r="J622" s="25"/>
      <c r="K622" s="25"/>
      <c r="L622" s="25"/>
      <c r="M622" s="25"/>
      <c r="N622" s="25"/>
      <c r="O622" s="25"/>
      <c r="P622" s="25"/>
      <c r="Q622" s="25"/>
      <c r="R622" s="25"/>
      <c r="S622" s="25"/>
      <c r="T622" s="25"/>
      <c r="U622" s="25"/>
      <c r="V622" s="25"/>
      <c r="W622" s="25"/>
      <c r="X622" s="25"/>
      <c r="Y622" s="25"/>
      <c r="Z622" s="25"/>
    </row>
    <row r="623" customFormat="false" ht="39.75" hidden="false" customHeight="true" outlineLevel="0" collapsed="false">
      <c r="A623" s="25"/>
      <c r="B623" s="25"/>
      <c r="C623" s="25"/>
      <c r="D623" s="25"/>
      <c r="E623" s="25"/>
      <c r="F623" s="25"/>
      <c r="G623" s="25"/>
      <c r="H623" s="25"/>
      <c r="I623" s="25"/>
      <c r="J623" s="25"/>
      <c r="K623" s="25"/>
      <c r="L623" s="25"/>
      <c r="M623" s="25"/>
      <c r="N623" s="25"/>
      <c r="O623" s="25"/>
      <c r="P623" s="25"/>
      <c r="Q623" s="25"/>
      <c r="R623" s="25"/>
      <c r="S623" s="25"/>
      <c r="T623" s="25"/>
      <c r="U623" s="25"/>
      <c r="V623" s="25"/>
      <c r="W623" s="25"/>
      <c r="X623" s="25"/>
      <c r="Y623" s="25"/>
      <c r="Z623" s="25"/>
    </row>
    <row r="624" customFormat="false" ht="39.75" hidden="false" customHeight="true" outlineLevel="0" collapsed="false">
      <c r="A624" s="25"/>
      <c r="B624" s="25"/>
      <c r="C624" s="25"/>
      <c r="D624" s="25"/>
      <c r="E624" s="25"/>
      <c r="F624" s="25"/>
      <c r="G624" s="25"/>
      <c r="H624" s="25"/>
      <c r="I624" s="25"/>
      <c r="J624" s="25"/>
      <c r="K624" s="25"/>
      <c r="L624" s="25"/>
      <c r="M624" s="25"/>
      <c r="N624" s="25"/>
      <c r="O624" s="25"/>
      <c r="P624" s="25"/>
      <c r="Q624" s="25"/>
      <c r="R624" s="25"/>
      <c r="S624" s="25"/>
      <c r="T624" s="25"/>
      <c r="U624" s="25"/>
      <c r="V624" s="25"/>
      <c r="W624" s="25"/>
      <c r="X624" s="25"/>
      <c r="Y624" s="25"/>
      <c r="Z624" s="25"/>
    </row>
    <row r="625" customFormat="false" ht="39.75" hidden="false" customHeight="true" outlineLevel="0" collapsed="false">
      <c r="A625" s="25"/>
      <c r="B625" s="25"/>
      <c r="C625" s="25"/>
      <c r="D625" s="25"/>
      <c r="E625" s="25"/>
      <c r="F625" s="25"/>
      <c r="G625" s="25"/>
      <c r="H625" s="25"/>
      <c r="I625" s="25"/>
      <c r="J625" s="25"/>
      <c r="K625" s="25"/>
      <c r="L625" s="25"/>
      <c r="M625" s="25"/>
      <c r="N625" s="25"/>
      <c r="O625" s="25"/>
      <c r="P625" s="25"/>
      <c r="Q625" s="25"/>
      <c r="R625" s="25"/>
      <c r="S625" s="25"/>
      <c r="T625" s="25"/>
      <c r="U625" s="25"/>
      <c r="V625" s="25"/>
      <c r="W625" s="25"/>
      <c r="X625" s="25"/>
      <c r="Y625" s="25"/>
      <c r="Z625" s="25"/>
    </row>
    <row r="626" customFormat="false" ht="39.75" hidden="false" customHeight="true" outlineLevel="0" collapsed="false">
      <c r="A626" s="25"/>
      <c r="B626" s="25"/>
      <c r="C626" s="25"/>
      <c r="D626" s="25"/>
      <c r="E626" s="25"/>
      <c r="F626" s="25"/>
      <c r="G626" s="25"/>
      <c r="H626" s="25"/>
      <c r="I626" s="25"/>
      <c r="J626" s="25"/>
      <c r="K626" s="25"/>
      <c r="L626" s="25"/>
      <c r="M626" s="25"/>
      <c r="N626" s="25"/>
      <c r="O626" s="25"/>
      <c r="P626" s="25"/>
      <c r="Q626" s="25"/>
      <c r="R626" s="25"/>
      <c r="S626" s="25"/>
      <c r="T626" s="25"/>
      <c r="U626" s="25"/>
      <c r="V626" s="25"/>
      <c r="W626" s="25"/>
      <c r="X626" s="25"/>
      <c r="Y626" s="25"/>
      <c r="Z626" s="25"/>
    </row>
    <row r="627" customFormat="false" ht="39.75" hidden="false" customHeight="true" outlineLevel="0" collapsed="false">
      <c r="A627" s="25"/>
      <c r="B627" s="25"/>
      <c r="C627" s="25"/>
      <c r="D627" s="25"/>
      <c r="E627" s="25"/>
      <c r="F627" s="25"/>
      <c r="G627" s="25"/>
      <c r="H627" s="25"/>
      <c r="I627" s="25"/>
      <c r="J627" s="25"/>
      <c r="K627" s="25"/>
      <c r="L627" s="25"/>
      <c r="M627" s="25"/>
      <c r="N627" s="25"/>
      <c r="O627" s="25"/>
      <c r="P627" s="25"/>
      <c r="Q627" s="25"/>
      <c r="R627" s="25"/>
      <c r="S627" s="25"/>
      <c r="T627" s="25"/>
      <c r="U627" s="25"/>
      <c r="V627" s="25"/>
      <c r="W627" s="25"/>
      <c r="X627" s="25"/>
      <c r="Y627" s="25"/>
      <c r="Z627" s="25"/>
    </row>
    <row r="628" customFormat="false" ht="39.75" hidden="false" customHeight="true" outlineLevel="0" collapsed="false">
      <c r="A628" s="25"/>
      <c r="B628" s="25"/>
      <c r="C628" s="25"/>
      <c r="D628" s="25"/>
      <c r="E628" s="25"/>
      <c r="F628" s="25"/>
      <c r="G628" s="25"/>
      <c r="H628" s="25"/>
      <c r="I628" s="25"/>
      <c r="J628" s="25"/>
      <c r="K628" s="25"/>
      <c r="L628" s="25"/>
      <c r="M628" s="25"/>
      <c r="N628" s="25"/>
      <c r="O628" s="25"/>
      <c r="P628" s="25"/>
      <c r="Q628" s="25"/>
      <c r="R628" s="25"/>
      <c r="S628" s="25"/>
      <c r="T628" s="25"/>
      <c r="U628" s="25"/>
      <c r="V628" s="25"/>
      <c r="W628" s="25"/>
      <c r="X628" s="25"/>
      <c r="Y628" s="25"/>
      <c r="Z628" s="25"/>
    </row>
    <row r="629" customFormat="false" ht="39.75" hidden="false" customHeight="true" outlineLevel="0" collapsed="false">
      <c r="A629" s="25"/>
      <c r="B629" s="25"/>
      <c r="C629" s="25"/>
      <c r="D629" s="25"/>
      <c r="E629" s="25"/>
      <c r="F629" s="25"/>
      <c r="G629" s="25"/>
      <c r="H629" s="25"/>
      <c r="I629" s="25"/>
      <c r="J629" s="25"/>
      <c r="K629" s="25"/>
      <c r="L629" s="25"/>
      <c r="M629" s="25"/>
      <c r="N629" s="25"/>
      <c r="O629" s="25"/>
      <c r="P629" s="25"/>
      <c r="Q629" s="25"/>
      <c r="R629" s="25"/>
      <c r="S629" s="25"/>
      <c r="T629" s="25"/>
      <c r="U629" s="25"/>
      <c r="V629" s="25"/>
      <c r="W629" s="25"/>
      <c r="X629" s="25"/>
      <c r="Y629" s="25"/>
      <c r="Z629" s="25"/>
    </row>
    <row r="630" customFormat="false" ht="39.75" hidden="false" customHeight="true" outlineLevel="0" collapsed="false">
      <c r="A630" s="25"/>
      <c r="B630" s="25"/>
      <c r="C630" s="25"/>
      <c r="D630" s="25"/>
      <c r="E630" s="25"/>
      <c r="F630" s="25"/>
      <c r="G630" s="25"/>
      <c r="H630" s="25"/>
      <c r="I630" s="25"/>
      <c r="J630" s="25"/>
      <c r="K630" s="25"/>
      <c r="L630" s="25"/>
      <c r="M630" s="25"/>
      <c r="N630" s="25"/>
      <c r="O630" s="25"/>
      <c r="P630" s="25"/>
      <c r="Q630" s="25"/>
      <c r="R630" s="25"/>
      <c r="S630" s="25"/>
      <c r="T630" s="25"/>
      <c r="U630" s="25"/>
      <c r="V630" s="25"/>
      <c r="W630" s="25"/>
      <c r="X630" s="25"/>
      <c r="Y630" s="25"/>
      <c r="Z630" s="25"/>
    </row>
    <row r="631" customFormat="false" ht="39.75" hidden="false" customHeight="true" outlineLevel="0" collapsed="false">
      <c r="A631" s="25"/>
      <c r="B631" s="25"/>
      <c r="C631" s="25"/>
      <c r="D631" s="25"/>
      <c r="E631" s="25"/>
      <c r="F631" s="25"/>
      <c r="G631" s="25"/>
      <c r="H631" s="25"/>
      <c r="I631" s="25"/>
      <c r="J631" s="25"/>
      <c r="K631" s="25"/>
      <c r="L631" s="25"/>
      <c r="M631" s="25"/>
      <c r="N631" s="25"/>
      <c r="O631" s="25"/>
      <c r="P631" s="25"/>
      <c r="Q631" s="25"/>
      <c r="R631" s="25"/>
      <c r="S631" s="25"/>
      <c r="T631" s="25"/>
      <c r="U631" s="25"/>
      <c r="V631" s="25"/>
      <c r="W631" s="25"/>
      <c r="X631" s="25"/>
      <c r="Y631" s="25"/>
      <c r="Z631" s="25"/>
    </row>
    <row r="632" customFormat="false" ht="39.75" hidden="false" customHeight="true" outlineLevel="0" collapsed="false">
      <c r="A632" s="25"/>
      <c r="B632" s="25"/>
      <c r="C632" s="25"/>
      <c r="D632" s="25"/>
      <c r="E632" s="25"/>
      <c r="F632" s="25"/>
      <c r="G632" s="25"/>
      <c r="H632" s="25"/>
      <c r="I632" s="25"/>
      <c r="J632" s="25"/>
      <c r="K632" s="25"/>
      <c r="L632" s="25"/>
      <c r="M632" s="25"/>
      <c r="N632" s="25"/>
      <c r="O632" s="25"/>
      <c r="P632" s="25"/>
      <c r="Q632" s="25"/>
      <c r="R632" s="25"/>
      <c r="S632" s="25"/>
      <c r="T632" s="25"/>
      <c r="U632" s="25"/>
      <c r="V632" s="25"/>
      <c r="W632" s="25"/>
      <c r="X632" s="25"/>
      <c r="Y632" s="25"/>
      <c r="Z632" s="25"/>
    </row>
    <row r="633" customFormat="false" ht="39.75" hidden="false" customHeight="true" outlineLevel="0" collapsed="false">
      <c r="A633" s="25"/>
      <c r="B633" s="25"/>
      <c r="C633" s="25"/>
      <c r="D633" s="25"/>
      <c r="E633" s="25"/>
      <c r="F633" s="25"/>
      <c r="G633" s="25"/>
      <c r="H633" s="25"/>
      <c r="I633" s="25"/>
      <c r="J633" s="25"/>
      <c r="K633" s="25"/>
      <c r="L633" s="25"/>
      <c r="M633" s="25"/>
      <c r="N633" s="25"/>
      <c r="O633" s="25"/>
      <c r="P633" s="25"/>
      <c r="Q633" s="25"/>
      <c r="R633" s="25"/>
      <c r="S633" s="25"/>
      <c r="T633" s="25"/>
      <c r="U633" s="25"/>
      <c r="V633" s="25"/>
      <c r="W633" s="25"/>
      <c r="X633" s="25"/>
      <c r="Y633" s="25"/>
      <c r="Z633" s="25"/>
    </row>
    <row r="634" customFormat="false" ht="39.75" hidden="false" customHeight="true" outlineLevel="0" collapsed="false">
      <c r="A634" s="25"/>
      <c r="B634" s="25"/>
      <c r="C634" s="25"/>
      <c r="D634" s="25"/>
      <c r="E634" s="25"/>
      <c r="F634" s="25"/>
      <c r="G634" s="25"/>
      <c r="H634" s="25"/>
      <c r="I634" s="25"/>
      <c r="J634" s="25"/>
      <c r="K634" s="25"/>
      <c r="L634" s="25"/>
      <c r="M634" s="25"/>
      <c r="N634" s="25"/>
      <c r="O634" s="25"/>
      <c r="P634" s="25"/>
      <c r="Q634" s="25"/>
      <c r="R634" s="25"/>
      <c r="S634" s="25"/>
      <c r="T634" s="25"/>
      <c r="U634" s="25"/>
      <c r="V634" s="25"/>
      <c r="W634" s="25"/>
      <c r="X634" s="25"/>
      <c r="Y634" s="25"/>
      <c r="Z634" s="25"/>
    </row>
    <row r="635" customFormat="false" ht="39.75" hidden="false" customHeight="true" outlineLevel="0" collapsed="false">
      <c r="A635" s="25"/>
      <c r="B635" s="25"/>
      <c r="C635" s="25"/>
      <c r="D635" s="25"/>
      <c r="E635" s="25"/>
      <c r="F635" s="25"/>
      <c r="G635" s="25"/>
      <c r="H635" s="25"/>
      <c r="I635" s="25"/>
      <c r="J635" s="25"/>
      <c r="K635" s="25"/>
      <c r="L635" s="25"/>
      <c r="M635" s="25"/>
      <c r="N635" s="25"/>
      <c r="O635" s="25"/>
      <c r="P635" s="25"/>
      <c r="Q635" s="25"/>
      <c r="R635" s="25"/>
      <c r="S635" s="25"/>
      <c r="T635" s="25"/>
      <c r="U635" s="25"/>
      <c r="V635" s="25"/>
      <c r="W635" s="25"/>
      <c r="X635" s="25"/>
      <c r="Y635" s="25"/>
      <c r="Z635" s="25"/>
    </row>
    <row r="636" customFormat="false" ht="39.75" hidden="false" customHeight="true" outlineLevel="0" collapsed="false">
      <c r="A636" s="25"/>
      <c r="B636" s="25"/>
      <c r="C636" s="25"/>
      <c r="D636" s="25"/>
      <c r="E636" s="25"/>
      <c r="F636" s="25"/>
      <c r="G636" s="25"/>
      <c r="H636" s="25"/>
      <c r="I636" s="25"/>
      <c r="J636" s="25"/>
      <c r="K636" s="25"/>
      <c r="L636" s="25"/>
      <c r="M636" s="25"/>
      <c r="N636" s="25"/>
      <c r="O636" s="25"/>
      <c r="P636" s="25"/>
      <c r="Q636" s="25"/>
      <c r="R636" s="25"/>
      <c r="S636" s="25"/>
      <c r="T636" s="25"/>
      <c r="U636" s="25"/>
      <c r="V636" s="25"/>
      <c r="W636" s="25"/>
      <c r="X636" s="25"/>
      <c r="Y636" s="25"/>
      <c r="Z636" s="25"/>
    </row>
    <row r="637" customFormat="false" ht="39.75" hidden="false" customHeight="true" outlineLevel="0" collapsed="false">
      <c r="A637" s="25"/>
      <c r="B637" s="25"/>
      <c r="C637" s="25"/>
      <c r="D637" s="25"/>
      <c r="E637" s="25"/>
      <c r="F637" s="25"/>
      <c r="G637" s="25"/>
      <c r="H637" s="25"/>
      <c r="I637" s="25"/>
      <c r="J637" s="25"/>
      <c r="K637" s="25"/>
      <c r="L637" s="25"/>
      <c r="M637" s="25"/>
      <c r="N637" s="25"/>
      <c r="O637" s="25"/>
      <c r="P637" s="25"/>
      <c r="Q637" s="25"/>
      <c r="R637" s="25"/>
      <c r="S637" s="25"/>
      <c r="T637" s="25"/>
      <c r="U637" s="25"/>
      <c r="V637" s="25"/>
      <c r="W637" s="25"/>
      <c r="X637" s="25"/>
      <c r="Y637" s="25"/>
      <c r="Z637" s="25"/>
    </row>
    <row r="638" customFormat="false" ht="39.75" hidden="false" customHeight="true" outlineLevel="0" collapsed="false">
      <c r="A638" s="25"/>
      <c r="B638" s="25"/>
      <c r="C638" s="25"/>
      <c r="D638" s="25"/>
      <c r="E638" s="25"/>
      <c r="F638" s="25"/>
      <c r="G638" s="25"/>
      <c r="H638" s="25"/>
      <c r="I638" s="25"/>
      <c r="J638" s="25"/>
      <c r="K638" s="25"/>
      <c r="L638" s="25"/>
      <c r="M638" s="25"/>
      <c r="N638" s="25"/>
      <c r="O638" s="25"/>
      <c r="P638" s="25"/>
      <c r="Q638" s="25"/>
      <c r="R638" s="25"/>
      <c r="S638" s="25"/>
      <c r="T638" s="25"/>
      <c r="U638" s="25"/>
      <c r="V638" s="25"/>
      <c r="W638" s="25"/>
      <c r="X638" s="25"/>
      <c r="Y638" s="25"/>
      <c r="Z638" s="25"/>
    </row>
    <row r="639" customFormat="false" ht="39.75" hidden="false" customHeight="true" outlineLevel="0" collapsed="false">
      <c r="A639" s="25"/>
      <c r="B639" s="25"/>
      <c r="C639" s="25"/>
      <c r="D639" s="25"/>
      <c r="E639" s="25"/>
      <c r="F639" s="25"/>
      <c r="G639" s="25"/>
      <c r="H639" s="25"/>
      <c r="I639" s="25"/>
      <c r="J639" s="25"/>
      <c r="K639" s="25"/>
      <c r="L639" s="25"/>
      <c r="M639" s="25"/>
      <c r="N639" s="25"/>
      <c r="O639" s="25"/>
      <c r="P639" s="25"/>
      <c r="Q639" s="25"/>
      <c r="R639" s="25"/>
      <c r="S639" s="25"/>
      <c r="T639" s="25"/>
      <c r="U639" s="25"/>
      <c r="V639" s="25"/>
      <c r="W639" s="25"/>
      <c r="X639" s="25"/>
      <c r="Y639" s="25"/>
      <c r="Z639" s="25"/>
    </row>
    <row r="640" customFormat="false" ht="39.75" hidden="false" customHeight="true" outlineLevel="0" collapsed="false">
      <c r="A640" s="25"/>
      <c r="B640" s="25"/>
      <c r="C640" s="25"/>
      <c r="D640" s="25"/>
      <c r="E640" s="25"/>
      <c r="F640" s="25"/>
      <c r="G640" s="25"/>
      <c r="H640" s="25"/>
      <c r="I640" s="25"/>
      <c r="J640" s="25"/>
      <c r="K640" s="25"/>
      <c r="L640" s="25"/>
      <c r="M640" s="25"/>
      <c r="N640" s="25"/>
      <c r="O640" s="25"/>
      <c r="P640" s="25"/>
      <c r="Q640" s="25"/>
      <c r="R640" s="25"/>
      <c r="S640" s="25"/>
      <c r="T640" s="25"/>
      <c r="U640" s="25"/>
      <c r="V640" s="25"/>
      <c r="W640" s="25"/>
      <c r="X640" s="25"/>
      <c r="Y640" s="25"/>
      <c r="Z640" s="25"/>
    </row>
    <row r="641" customFormat="false" ht="39.75" hidden="false" customHeight="true" outlineLevel="0" collapsed="false">
      <c r="A641" s="25"/>
      <c r="B641" s="25"/>
      <c r="C641" s="25"/>
      <c r="D641" s="25"/>
      <c r="E641" s="25"/>
      <c r="F641" s="25"/>
      <c r="G641" s="25"/>
      <c r="H641" s="25"/>
      <c r="I641" s="25"/>
      <c r="J641" s="25"/>
      <c r="K641" s="25"/>
      <c r="L641" s="25"/>
      <c r="M641" s="25"/>
      <c r="N641" s="25"/>
      <c r="O641" s="25"/>
      <c r="P641" s="25"/>
      <c r="Q641" s="25"/>
      <c r="R641" s="25"/>
      <c r="S641" s="25"/>
      <c r="T641" s="25"/>
      <c r="U641" s="25"/>
      <c r="V641" s="25"/>
      <c r="W641" s="25"/>
      <c r="X641" s="25"/>
      <c r="Y641" s="25"/>
      <c r="Z641" s="25"/>
    </row>
    <row r="642" customFormat="false" ht="39.75" hidden="false" customHeight="true" outlineLevel="0" collapsed="false">
      <c r="A642" s="25"/>
      <c r="B642" s="25"/>
      <c r="C642" s="25"/>
      <c r="D642" s="25"/>
      <c r="E642" s="25"/>
      <c r="F642" s="25"/>
      <c r="G642" s="25"/>
      <c r="H642" s="25"/>
      <c r="I642" s="25"/>
      <c r="J642" s="25"/>
      <c r="K642" s="25"/>
      <c r="L642" s="25"/>
      <c r="M642" s="25"/>
      <c r="N642" s="25"/>
      <c r="O642" s="25"/>
      <c r="P642" s="25"/>
      <c r="Q642" s="25"/>
      <c r="R642" s="25"/>
      <c r="S642" s="25"/>
      <c r="T642" s="25"/>
      <c r="U642" s="25"/>
      <c r="V642" s="25"/>
      <c r="W642" s="25"/>
      <c r="X642" s="25"/>
      <c r="Y642" s="25"/>
      <c r="Z642" s="25"/>
    </row>
    <row r="643" customFormat="false" ht="39.75" hidden="false" customHeight="true" outlineLevel="0" collapsed="false">
      <c r="A643" s="25"/>
      <c r="B643" s="25"/>
      <c r="C643" s="25"/>
      <c r="D643" s="25"/>
      <c r="E643" s="25"/>
      <c r="F643" s="25"/>
      <c r="G643" s="25"/>
      <c r="H643" s="25"/>
      <c r="I643" s="25"/>
      <c r="J643" s="25"/>
      <c r="K643" s="25"/>
      <c r="L643" s="25"/>
      <c r="M643" s="25"/>
      <c r="N643" s="25"/>
      <c r="O643" s="25"/>
      <c r="P643" s="25"/>
      <c r="Q643" s="25"/>
      <c r="R643" s="25"/>
      <c r="S643" s="25"/>
      <c r="T643" s="25"/>
      <c r="U643" s="25"/>
      <c r="V643" s="25"/>
      <c r="W643" s="25"/>
      <c r="X643" s="25"/>
      <c r="Y643" s="25"/>
      <c r="Z643" s="25"/>
    </row>
    <row r="644" customFormat="false" ht="39.75" hidden="false" customHeight="true" outlineLevel="0" collapsed="false">
      <c r="A644" s="25"/>
      <c r="B644" s="25"/>
      <c r="C644" s="25"/>
      <c r="D644" s="25"/>
      <c r="E644" s="25"/>
      <c r="F644" s="25"/>
      <c r="G644" s="25"/>
      <c r="H644" s="25"/>
      <c r="I644" s="25"/>
      <c r="J644" s="25"/>
      <c r="K644" s="25"/>
      <c r="L644" s="25"/>
      <c r="M644" s="25"/>
      <c r="N644" s="25"/>
      <c r="O644" s="25"/>
      <c r="P644" s="25"/>
      <c r="Q644" s="25"/>
      <c r="R644" s="25"/>
      <c r="S644" s="25"/>
      <c r="T644" s="25"/>
      <c r="U644" s="25"/>
      <c r="V644" s="25"/>
      <c r="W644" s="25"/>
      <c r="X644" s="25"/>
      <c r="Y644" s="25"/>
      <c r="Z644" s="25"/>
    </row>
    <row r="645" customFormat="false" ht="39.75" hidden="false" customHeight="true" outlineLevel="0" collapsed="false">
      <c r="A645" s="25"/>
      <c r="B645" s="25"/>
      <c r="C645" s="25"/>
      <c r="D645" s="25"/>
      <c r="E645" s="25"/>
      <c r="F645" s="25"/>
      <c r="G645" s="25"/>
      <c r="H645" s="25"/>
      <c r="I645" s="25"/>
      <c r="J645" s="25"/>
      <c r="K645" s="25"/>
      <c r="L645" s="25"/>
      <c r="M645" s="25"/>
      <c r="N645" s="25"/>
      <c r="O645" s="25"/>
      <c r="P645" s="25"/>
      <c r="Q645" s="25"/>
      <c r="R645" s="25"/>
      <c r="S645" s="25"/>
      <c r="T645" s="25"/>
      <c r="U645" s="25"/>
      <c r="V645" s="25"/>
      <c r="W645" s="25"/>
      <c r="X645" s="25"/>
      <c r="Y645" s="25"/>
      <c r="Z645" s="25"/>
    </row>
    <row r="646" customFormat="false" ht="39.75" hidden="false" customHeight="true" outlineLevel="0" collapsed="false">
      <c r="A646" s="25"/>
      <c r="B646" s="25"/>
      <c r="C646" s="25"/>
      <c r="D646" s="25"/>
      <c r="E646" s="25"/>
      <c r="F646" s="25"/>
      <c r="G646" s="25"/>
      <c r="H646" s="25"/>
      <c r="I646" s="25"/>
      <c r="J646" s="25"/>
      <c r="K646" s="25"/>
      <c r="L646" s="25"/>
      <c r="M646" s="25"/>
      <c r="N646" s="25"/>
      <c r="O646" s="25"/>
      <c r="P646" s="25"/>
      <c r="Q646" s="25"/>
      <c r="R646" s="25"/>
      <c r="S646" s="25"/>
      <c r="T646" s="25"/>
      <c r="U646" s="25"/>
      <c r="V646" s="25"/>
      <c r="W646" s="25"/>
      <c r="X646" s="25"/>
      <c r="Y646" s="25"/>
      <c r="Z646" s="25"/>
    </row>
    <row r="647" customFormat="false" ht="39.75" hidden="false" customHeight="true" outlineLevel="0" collapsed="false">
      <c r="A647" s="25"/>
      <c r="B647" s="25"/>
      <c r="C647" s="25"/>
      <c r="D647" s="25"/>
      <c r="E647" s="25"/>
      <c r="F647" s="25"/>
      <c r="G647" s="25"/>
      <c r="H647" s="25"/>
      <c r="I647" s="25"/>
      <c r="J647" s="25"/>
      <c r="K647" s="25"/>
      <c r="L647" s="25"/>
      <c r="M647" s="25"/>
      <c r="N647" s="25"/>
      <c r="O647" s="25"/>
      <c r="P647" s="25"/>
      <c r="Q647" s="25"/>
      <c r="R647" s="25"/>
      <c r="S647" s="25"/>
      <c r="T647" s="25"/>
      <c r="U647" s="25"/>
      <c r="V647" s="25"/>
      <c r="W647" s="25"/>
      <c r="X647" s="25"/>
      <c r="Y647" s="25"/>
      <c r="Z647" s="25"/>
    </row>
    <row r="648" customFormat="false" ht="39.75" hidden="false" customHeight="true" outlineLevel="0" collapsed="false">
      <c r="A648" s="25"/>
      <c r="B648" s="25"/>
      <c r="C648" s="25"/>
      <c r="D648" s="25"/>
      <c r="E648" s="25"/>
      <c r="F648" s="25"/>
      <c r="G648" s="25"/>
      <c r="H648" s="25"/>
      <c r="I648" s="25"/>
      <c r="J648" s="25"/>
      <c r="K648" s="25"/>
      <c r="L648" s="25"/>
      <c r="M648" s="25"/>
      <c r="N648" s="25"/>
      <c r="O648" s="25"/>
      <c r="P648" s="25"/>
      <c r="Q648" s="25"/>
      <c r="R648" s="25"/>
      <c r="S648" s="25"/>
      <c r="T648" s="25"/>
      <c r="U648" s="25"/>
      <c r="V648" s="25"/>
      <c r="W648" s="25"/>
      <c r="X648" s="25"/>
      <c r="Y648" s="25"/>
      <c r="Z648" s="25"/>
    </row>
    <row r="649" customFormat="false" ht="39.75" hidden="false" customHeight="true" outlineLevel="0" collapsed="false">
      <c r="A649" s="25"/>
      <c r="B649" s="25"/>
      <c r="C649" s="25"/>
      <c r="D649" s="25"/>
      <c r="E649" s="25"/>
      <c r="F649" s="25"/>
      <c r="G649" s="25"/>
      <c r="H649" s="25"/>
      <c r="I649" s="25"/>
      <c r="J649" s="25"/>
      <c r="K649" s="25"/>
      <c r="L649" s="25"/>
      <c r="M649" s="25"/>
      <c r="N649" s="25"/>
      <c r="O649" s="25"/>
      <c r="P649" s="25"/>
      <c r="Q649" s="25"/>
      <c r="R649" s="25"/>
      <c r="S649" s="25"/>
      <c r="T649" s="25"/>
      <c r="U649" s="25"/>
      <c r="V649" s="25"/>
      <c r="W649" s="25"/>
      <c r="X649" s="25"/>
      <c r="Y649" s="25"/>
      <c r="Z649" s="25"/>
    </row>
    <row r="650" customFormat="false" ht="39.75" hidden="false" customHeight="true" outlineLevel="0" collapsed="false">
      <c r="A650" s="25"/>
      <c r="B650" s="25"/>
      <c r="C650" s="25"/>
      <c r="D650" s="25"/>
      <c r="E650" s="25"/>
      <c r="F650" s="25"/>
      <c r="G650" s="25"/>
      <c r="H650" s="25"/>
      <c r="I650" s="25"/>
      <c r="J650" s="25"/>
      <c r="K650" s="25"/>
      <c r="L650" s="25"/>
      <c r="M650" s="25"/>
      <c r="N650" s="25"/>
      <c r="O650" s="25"/>
      <c r="P650" s="25"/>
      <c r="Q650" s="25"/>
      <c r="R650" s="25"/>
      <c r="S650" s="25"/>
      <c r="T650" s="25"/>
      <c r="U650" s="25"/>
      <c r="V650" s="25"/>
      <c r="W650" s="25"/>
      <c r="X650" s="25"/>
      <c r="Y650" s="25"/>
      <c r="Z650" s="25"/>
    </row>
    <row r="651" customFormat="false" ht="39.75" hidden="false" customHeight="true" outlineLevel="0" collapsed="false">
      <c r="A651" s="25"/>
      <c r="B651" s="25"/>
      <c r="C651" s="25"/>
      <c r="D651" s="25"/>
      <c r="E651" s="25"/>
      <c r="F651" s="25"/>
      <c r="G651" s="25"/>
      <c r="H651" s="25"/>
      <c r="I651" s="25"/>
      <c r="J651" s="25"/>
      <c r="K651" s="25"/>
      <c r="L651" s="25"/>
      <c r="M651" s="25"/>
      <c r="N651" s="25"/>
      <c r="O651" s="25"/>
      <c r="P651" s="25"/>
      <c r="Q651" s="25"/>
      <c r="R651" s="25"/>
      <c r="S651" s="25"/>
      <c r="T651" s="25"/>
      <c r="U651" s="25"/>
      <c r="V651" s="25"/>
      <c r="W651" s="25"/>
      <c r="X651" s="25"/>
      <c r="Y651" s="25"/>
      <c r="Z651" s="25"/>
    </row>
    <row r="652" customFormat="false" ht="39.75" hidden="false" customHeight="true" outlineLevel="0" collapsed="false">
      <c r="A652" s="25"/>
      <c r="B652" s="25"/>
      <c r="C652" s="25"/>
      <c r="D652" s="25"/>
      <c r="E652" s="25"/>
      <c r="F652" s="25"/>
      <c r="G652" s="25"/>
      <c r="H652" s="25"/>
      <c r="I652" s="25"/>
      <c r="J652" s="25"/>
      <c r="K652" s="25"/>
      <c r="L652" s="25"/>
      <c r="M652" s="25"/>
      <c r="N652" s="25"/>
      <c r="O652" s="25"/>
      <c r="P652" s="25"/>
      <c r="Q652" s="25"/>
      <c r="R652" s="25"/>
      <c r="S652" s="25"/>
      <c r="T652" s="25"/>
      <c r="U652" s="25"/>
      <c r="V652" s="25"/>
      <c r="W652" s="25"/>
      <c r="X652" s="25"/>
      <c r="Y652" s="25"/>
      <c r="Z652" s="25"/>
    </row>
    <row r="653" customFormat="false" ht="39.75" hidden="false" customHeight="true" outlineLevel="0" collapsed="false">
      <c r="A653" s="25"/>
      <c r="B653" s="25"/>
      <c r="C653" s="25"/>
      <c r="D653" s="25"/>
      <c r="E653" s="25"/>
      <c r="F653" s="25"/>
      <c r="G653" s="25"/>
      <c r="H653" s="25"/>
      <c r="I653" s="25"/>
      <c r="J653" s="25"/>
      <c r="K653" s="25"/>
      <c r="L653" s="25"/>
      <c r="M653" s="25"/>
      <c r="N653" s="25"/>
      <c r="O653" s="25"/>
      <c r="P653" s="25"/>
      <c r="Q653" s="25"/>
      <c r="R653" s="25"/>
      <c r="S653" s="25"/>
      <c r="T653" s="25"/>
      <c r="U653" s="25"/>
      <c r="V653" s="25"/>
      <c r="W653" s="25"/>
      <c r="X653" s="25"/>
      <c r="Y653" s="25"/>
      <c r="Z653" s="25"/>
    </row>
    <row r="654" customFormat="false" ht="39.75" hidden="false" customHeight="true" outlineLevel="0" collapsed="false">
      <c r="A654" s="25"/>
      <c r="B654" s="25"/>
      <c r="C654" s="25"/>
      <c r="D654" s="25"/>
      <c r="E654" s="25"/>
      <c r="F654" s="25"/>
      <c r="G654" s="25"/>
      <c r="H654" s="25"/>
      <c r="I654" s="25"/>
      <c r="J654" s="25"/>
      <c r="K654" s="25"/>
      <c r="L654" s="25"/>
      <c r="M654" s="25"/>
      <c r="N654" s="25"/>
      <c r="O654" s="25"/>
      <c r="P654" s="25"/>
      <c r="Q654" s="25"/>
      <c r="R654" s="25"/>
      <c r="S654" s="25"/>
      <c r="T654" s="25"/>
      <c r="U654" s="25"/>
      <c r="V654" s="25"/>
      <c r="W654" s="25"/>
      <c r="X654" s="25"/>
      <c r="Y654" s="25"/>
      <c r="Z654" s="25"/>
    </row>
    <row r="655" customFormat="false" ht="39.75" hidden="false" customHeight="true" outlineLevel="0" collapsed="false">
      <c r="A655" s="25"/>
      <c r="B655" s="25"/>
      <c r="C655" s="25"/>
      <c r="D655" s="25"/>
      <c r="E655" s="25"/>
      <c r="F655" s="25"/>
      <c r="G655" s="25"/>
      <c r="H655" s="25"/>
      <c r="I655" s="25"/>
      <c r="J655" s="25"/>
      <c r="K655" s="25"/>
      <c r="L655" s="25"/>
      <c r="M655" s="25"/>
      <c r="N655" s="25"/>
      <c r="O655" s="25"/>
      <c r="P655" s="25"/>
      <c r="Q655" s="25"/>
      <c r="R655" s="25"/>
      <c r="S655" s="25"/>
      <c r="T655" s="25"/>
      <c r="U655" s="25"/>
      <c r="V655" s="25"/>
      <c r="W655" s="25"/>
      <c r="X655" s="25"/>
      <c r="Y655" s="25"/>
      <c r="Z655" s="25"/>
    </row>
    <row r="656" customFormat="false" ht="39.75" hidden="false" customHeight="true" outlineLevel="0" collapsed="false">
      <c r="A656" s="25"/>
      <c r="B656" s="25"/>
      <c r="C656" s="25"/>
      <c r="D656" s="25"/>
      <c r="E656" s="25"/>
      <c r="F656" s="25"/>
      <c r="G656" s="25"/>
      <c r="H656" s="25"/>
      <c r="I656" s="25"/>
      <c r="J656" s="25"/>
      <c r="K656" s="25"/>
      <c r="L656" s="25"/>
      <c r="M656" s="25"/>
      <c r="N656" s="25"/>
      <c r="O656" s="25"/>
      <c r="P656" s="25"/>
      <c r="Q656" s="25"/>
      <c r="R656" s="25"/>
      <c r="S656" s="25"/>
      <c r="T656" s="25"/>
      <c r="U656" s="25"/>
      <c r="V656" s="25"/>
      <c r="W656" s="25"/>
      <c r="X656" s="25"/>
      <c r="Y656" s="25"/>
      <c r="Z656" s="25"/>
    </row>
    <row r="657" customFormat="false" ht="39.75" hidden="false" customHeight="true" outlineLevel="0" collapsed="false">
      <c r="A657" s="25"/>
      <c r="B657" s="25"/>
      <c r="C657" s="25"/>
      <c r="D657" s="25"/>
      <c r="E657" s="25"/>
      <c r="F657" s="25"/>
      <c r="G657" s="25"/>
      <c r="H657" s="25"/>
      <c r="I657" s="25"/>
      <c r="J657" s="25"/>
      <c r="K657" s="25"/>
      <c r="L657" s="25"/>
      <c r="M657" s="25"/>
      <c r="N657" s="25"/>
      <c r="O657" s="25"/>
      <c r="P657" s="25"/>
      <c r="Q657" s="25"/>
      <c r="R657" s="25"/>
      <c r="S657" s="25"/>
      <c r="T657" s="25"/>
      <c r="U657" s="25"/>
      <c r="V657" s="25"/>
      <c r="W657" s="25"/>
      <c r="X657" s="25"/>
      <c r="Y657" s="25"/>
      <c r="Z657" s="25"/>
    </row>
    <row r="658" customFormat="false" ht="39.75" hidden="false" customHeight="true" outlineLevel="0" collapsed="false">
      <c r="A658" s="25"/>
      <c r="B658" s="25"/>
      <c r="C658" s="25"/>
      <c r="D658" s="25"/>
      <c r="E658" s="25"/>
      <c r="F658" s="25"/>
      <c r="G658" s="25"/>
      <c r="H658" s="25"/>
      <c r="I658" s="25"/>
      <c r="J658" s="25"/>
      <c r="K658" s="25"/>
      <c r="L658" s="25"/>
      <c r="M658" s="25"/>
      <c r="N658" s="25"/>
      <c r="O658" s="25"/>
      <c r="P658" s="25"/>
      <c r="Q658" s="25"/>
      <c r="R658" s="25"/>
      <c r="S658" s="25"/>
      <c r="T658" s="25"/>
      <c r="U658" s="25"/>
      <c r="V658" s="25"/>
      <c r="W658" s="25"/>
      <c r="X658" s="25"/>
      <c r="Y658" s="25"/>
      <c r="Z658" s="25"/>
    </row>
    <row r="659" customFormat="false" ht="39.75" hidden="false" customHeight="true" outlineLevel="0" collapsed="false">
      <c r="A659" s="25"/>
      <c r="B659" s="25"/>
      <c r="C659" s="25"/>
      <c r="D659" s="25"/>
      <c r="E659" s="25"/>
      <c r="F659" s="25"/>
      <c r="G659" s="25"/>
      <c r="H659" s="25"/>
      <c r="I659" s="25"/>
      <c r="J659" s="25"/>
      <c r="K659" s="25"/>
      <c r="L659" s="25"/>
      <c r="M659" s="25"/>
      <c r="N659" s="25"/>
      <c r="O659" s="25"/>
      <c r="P659" s="25"/>
      <c r="Q659" s="25"/>
      <c r="R659" s="25"/>
      <c r="S659" s="25"/>
      <c r="T659" s="25"/>
      <c r="U659" s="25"/>
      <c r="V659" s="25"/>
      <c r="W659" s="25"/>
      <c r="X659" s="25"/>
      <c r="Y659" s="25"/>
      <c r="Z659" s="25"/>
    </row>
    <row r="660" customFormat="false" ht="39.75" hidden="false" customHeight="true" outlineLevel="0" collapsed="false">
      <c r="A660" s="25"/>
      <c r="B660" s="25"/>
      <c r="C660" s="25"/>
      <c r="D660" s="25"/>
      <c r="E660" s="25"/>
      <c r="F660" s="25"/>
      <c r="G660" s="25"/>
      <c r="H660" s="25"/>
      <c r="I660" s="25"/>
      <c r="J660" s="25"/>
      <c r="K660" s="25"/>
      <c r="L660" s="25"/>
      <c r="M660" s="25"/>
      <c r="N660" s="25"/>
      <c r="O660" s="25"/>
      <c r="P660" s="25"/>
      <c r="Q660" s="25"/>
      <c r="R660" s="25"/>
      <c r="S660" s="25"/>
      <c r="T660" s="25"/>
      <c r="U660" s="25"/>
      <c r="V660" s="25"/>
      <c r="W660" s="25"/>
      <c r="X660" s="25"/>
      <c r="Y660" s="25"/>
      <c r="Z660" s="25"/>
    </row>
    <row r="661" customFormat="false" ht="39.75" hidden="false" customHeight="true" outlineLevel="0" collapsed="false">
      <c r="A661" s="25"/>
      <c r="B661" s="25"/>
      <c r="C661" s="25"/>
      <c r="D661" s="25"/>
      <c r="E661" s="25"/>
      <c r="F661" s="25"/>
      <c r="G661" s="25"/>
      <c r="H661" s="25"/>
      <c r="I661" s="25"/>
      <c r="J661" s="25"/>
      <c r="K661" s="25"/>
      <c r="L661" s="25"/>
      <c r="M661" s="25"/>
      <c r="N661" s="25"/>
      <c r="O661" s="25"/>
      <c r="P661" s="25"/>
      <c r="Q661" s="25"/>
      <c r="R661" s="25"/>
      <c r="S661" s="25"/>
      <c r="T661" s="25"/>
      <c r="U661" s="25"/>
      <c r="V661" s="25"/>
      <c r="W661" s="25"/>
      <c r="X661" s="25"/>
      <c r="Y661" s="25"/>
      <c r="Z661" s="25"/>
    </row>
    <row r="662" customFormat="false" ht="39.75" hidden="false" customHeight="true" outlineLevel="0" collapsed="false">
      <c r="A662" s="25"/>
      <c r="B662" s="25"/>
      <c r="C662" s="25"/>
      <c r="D662" s="25"/>
      <c r="E662" s="25"/>
      <c r="F662" s="25"/>
      <c r="G662" s="25"/>
      <c r="H662" s="25"/>
      <c r="I662" s="25"/>
      <c r="J662" s="25"/>
      <c r="K662" s="25"/>
      <c r="L662" s="25"/>
      <c r="M662" s="25"/>
      <c r="N662" s="25"/>
      <c r="O662" s="25"/>
      <c r="P662" s="25"/>
      <c r="Q662" s="25"/>
      <c r="R662" s="25"/>
      <c r="S662" s="25"/>
      <c r="T662" s="25"/>
      <c r="U662" s="25"/>
      <c r="V662" s="25"/>
      <c r="W662" s="25"/>
      <c r="X662" s="25"/>
      <c r="Y662" s="25"/>
      <c r="Z662" s="25"/>
    </row>
    <row r="663" customFormat="false" ht="39.75" hidden="false" customHeight="true" outlineLevel="0" collapsed="false">
      <c r="A663" s="25"/>
      <c r="B663" s="25"/>
      <c r="C663" s="25"/>
      <c r="D663" s="25"/>
      <c r="E663" s="25"/>
      <c r="F663" s="25"/>
      <c r="G663" s="25"/>
      <c r="H663" s="25"/>
      <c r="I663" s="25"/>
      <c r="J663" s="25"/>
      <c r="K663" s="25"/>
      <c r="L663" s="25"/>
      <c r="M663" s="25"/>
      <c r="N663" s="25"/>
      <c r="O663" s="25"/>
      <c r="P663" s="25"/>
      <c r="Q663" s="25"/>
      <c r="R663" s="25"/>
      <c r="S663" s="25"/>
      <c r="T663" s="25"/>
      <c r="U663" s="25"/>
      <c r="V663" s="25"/>
      <c r="W663" s="25"/>
      <c r="X663" s="25"/>
      <c r="Y663" s="25"/>
      <c r="Z663" s="25"/>
    </row>
    <row r="664" customFormat="false" ht="39.75" hidden="false" customHeight="true" outlineLevel="0" collapsed="false">
      <c r="A664" s="25"/>
      <c r="B664" s="25"/>
      <c r="C664" s="25"/>
      <c r="D664" s="25"/>
      <c r="E664" s="25"/>
      <c r="F664" s="25"/>
      <c r="G664" s="25"/>
      <c r="H664" s="25"/>
      <c r="I664" s="25"/>
      <c r="J664" s="25"/>
      <c r="K664" s="25"/>
      <c r="L664" s="25"/>
      <c r="M664" s="25"/>
      <c r="N664" s="25"/>
      <c r="O664" s="25"/>
      <c r="P664" s="25"/>
      <c r="Q664" s="25"/>
      <c r="R664" s="25"/>
      <c r="S664" s="25"/>
      <c r="T664" s="25"/>
      <c r="U664" s="25"/>
      <c r="V664" s="25"/>
      <c r="W664" s="25"/>
      <c r="X664" s="25"/>
      <c r="Y664" s="25"/>
      <c r="Z664" s="25"/>
    </row>
    <row r="665" customFormat="false" ht="39.75" hidden="false" customHeight="true" outlineLevel="0" collapsed="false">
      <c r="A665" s="25"/>
      <c r="B665" s="25"/>
      <c r="C665" s="25"/>
      <c r="D665" s="25"/>
      <c r="E665" s="25"/>
      <c r="F665" s="25"/>
      <c r="G665" s="25"/>
      <c r="H665" s="25"/>
      <c r="I665" s="25"/>
      <c r="J665" s="25"/>
      <c r="K665" s="25"/>
      <c r="L665" s="25"/>
      <c r="M665" s="25"/>
      <c r="N665" s="25"/>
      <c r="O665" s="25"/>
      <c r="P665" s="25"/>
      <c r="Q665" s="25"/>
      <c r="R665" s="25"/>
      <c r="S665" s="25"/>
      <c r="T665" s="25"/>
      <c r="U665" s="25"/>
      <c r="V665" s="25"/>
      <c r="W665" s="25"/>
      <c r="X665" s="25"/>
      <c r="Y665" s="25"/>
      <c r="Z665" s="25"/>
    </row>
    <row r="666" customFormat="false" ht="39.75" hidden="false" customHeight="true" outlineLevel="0" collapsed="false">
      <c r="A666" s="25"/>
      <c r="B666" s="25"/>
      <c r="C666" s="25"/>
      <c r="D666" s="25"/>
      <c r="E666" s="25"/>
      <c r="F666" s="25"/>
      <c r="G666" s="25"/>
      <c r="H666" s="25"/>
      <c r="I666" s="25"/>
      <c r="J666" s="25"/>
      <c r="K666" s="25"/>
      <c r="L666" s="25"/>
      <c r="M666" s="25"/>
      <c r="N666" s="25"/>
      <c r="O666" s="25"/>
      <c r="P666" s="25"/>
      <c r="Q666" s="25"/>
      <c r="R666" s="25"/>
      <c r="S666" s="25"/>
      <c r="T666" s="25"/>
      <c r="U666" s="25"/>
      <c r="V666" s="25"/>
      <c r="W666" s="25"/>
      <c r="X666" s="25"/>
      <c r="Y666" s="25"/>
      <c r="Z666" s="25"/>
    </row>
    <row r="667" customFormat="false" ht="39.75" hidden="false" customHeight="true" outlineLevel="0" collapsed="false">
      <c r="A667" s="25"/>
      <c r="B667" s="25"/>
      <c r="C667" s="25"/>
      <c r="D667" s="25"/>
      <c r="E667" s="25"/>
      <c r="F667" s="25"/>
      <c r="G667" s="25"/>
      <c r="H667" s="25"/>
      <c r="I667" s="25"/>
      <c r="J667" s="25"/>
      <c r="K667" s="25"/>
      <c r="L667" s="25"/>
      <c r="M667" s="25"/>
      <c r="N667" s="25"/>
      <c r="O667" s="25"/>
      <c r="P667" s="25"/>
      <c r="Q667" s="25"/>
      <c r="R667" s="25"/>
      <c r="S667" s="25"/>
      <c r="T667" s="25"/>
      <c r="U667" s="25"/>
      <c r="V667" s="25"/>
      <c r="W667" s="25"/>
      <c r="X667" s="25"/>
      <c r="Y667" s="25"/>
      <c r="Z667" s="25"/>
    </row>
    <row r="668" customFormat="false" ht="39.75" hidden="false" customHeight="true" outlineLevel="0" collapsed="false">
      <c r="A668" s="25"/>
      <c r="B668" s="25"/>
      <c r="C668" s="25"/>
      <c r="D668" s="25"/>
      <c r="E668" s="25"/>
      <c r="F668" s="25"/>
      <c r="G668" s="25"/>
      <c r="H668" s="25"/>
      <c r="I668" s="25"/>
      <c r="J668" s="25"/>
      <c r="K668" s="25"/>
      <c r="L668" s="25"/>
      <c r="M668" s="25"/>
      <c r="N668" s="25"/>
      <c r="O668" s="25"/>
      <c r="P668" s="25"/>
      <c r="Q668" s="25"/>
      <c r="R668" s="25"/>
      <c r="S668" s="25"/>
      <c r="T668" s="25"/>
      <c r="U668" s="25"/>
      <c r="V668" s="25"/>
      <c r="W668" s="25"/>
      <c r="X668" s="25"/>
      <c r="Y668" s="25"/>
      <c r="Z668" s="25"/>
    </row>
    <row r="669" customFormat="false" ht="39.75" hidden="false" customHeight="true" outlineLevel="0" collapsed="false">
      <c r="A669" s="25"/>
      <c r="B669" s="25"/>
      <c r="C669" s="25"/>
      <c r="D669" s="25"/>
      <c r="E669" s="25"/>
      <c r="F669" s="25"/>
      <c r="G669" s="25"/>
      <c r="H669" s="25"/>
      <c r="I669" s="25"/>
      <c r="J669" s="25"/>
      <c r="K669" s="25"/>
      <c r="L669" s="25"/>
      <c r="M669" s="25"/>
      <c r="N669" s="25"/>
      <c r="O669" s="25"/>
      <c r="P669" s="25"/>
      <c r="Q669" s="25"/>
      <c r="R669" s="25"/>
      <c r="S669" s="25"/>
      <c r="T669" s="25"/>
      <c r="U669" s="25"/>
      <c r="V669" s="25"/>
      <c r="W669" s="25"/>
      <c r="X669" s="25"/>
      <c r="Y669" s="25"/>
      <c r="Z669" s="25"/>
    </row>
    <row r="670" customFormat="false" ht="39.75" hidden="false" customHeight="true" outlineLevel="0" collapsed="false">
      <c r="A670" s="25"/>
      <c r="B670" s="25"/>
      <c r="C670" s="25"/>
      <c r="D670" s="25"/>
      <c r="E670" s="25"/>
      <c r="F670" s="25"/>
      <c r="G670" s="25"/>
      <c r="H670" s="25"/>
      <c r="I670" s="25"/>
      <c r="J670" s="25"/>
      <c r="K670" s="25"/>
      <c r="L670" s="25"/>
      <c r="M670" s="25"/>
      <c r="N670" s="25"/>
      <c r="O670" s="25"/>
      <c r="P670" s="25"/>
      <c r="Q670" s="25"/>
      <c r="R670" s="25"/>
      <c r="S670" s="25"/>
      <c r="T670" s="25"/>
      <c r="U670" s="25"/>
      <c r="V670" s="25"/>
      <c r="W670" s="25"/>
      <c r="X670" s="25"/>
      <c r="Y670" s="25"/>
      <c r="Z670" s="25"/>
    </row>
    <row r="671" customFormat="false" ht="39.75" hidden="false" customHeight="true" outlineLevel="0" collapsed="false">
      <c r="A671" s="25"/>
      <c r="B671" s="25"/>
      <c r="C671" s="25"/>
      <c r="D671" s="25"/>
      <c r="E671" s="25"/>
      <c r="F671" s="25"/>
      <c r="G671" s="25"/>
      <c r="H671" s="25"/>
      <c r="I671" s="25"/>
      <c r="J671" s="25"/>
      <c r="K671" s="25"/>
      <c r="L671" s="25"/>
      <c r="M671" s="25"/>
      <c r="N671" s="25"/>
      <c r="O671" s="25"/>
      <c r="P671" s="25"/>
      <c r="Q671" s="25"/>
      <c r="R671" s="25"/>
      <c r="S671" s="25"/>
      <c r="T671" s="25"/>
      <c r="U671" s="25"/>
      <c r="V671" s="25"/>
      <c r="W671" s="25"/>
      <c r="X671" s="25"/>
      <c r="Y671" s="25"/>
      <c r="Z671" s="25"/>
    </row>
    <row r="672" customFormat="false" ht="39.75" hidden="false" customHeight="true" outlineLevel="0" collapsed="false">
      <c r="A672" s="25"/>
      <c r="B672" s="25"/>
      <c r="C672" s="25"/>
      <c r="D672" s="25"/>
      <c r="E672" s="25"/>
      <c r="F672" s="25"/>
      <c r="G672" s="25"/>
      <c r="H672" s="25"/>
      <c r="I672" s="25"/>
      <c r="J672" s="25"/>
      <c r="K672" s="25"/>
      <c r="L672" s="25"/>
      <c r="M672" s="25"/>
      <c r="N672" s="25"/>
      <c r="O672" s="25"/>
      <c r="P672" s="25"/>
      <c r="Q672" s="25"/>
      <c r="R672" s="25"/>
      <c r="S672" s="25"/>
      <c r="T672" s="25"/>
      <c r="U672" s="25"/>
      <c r="V672" s="25"/>
      <c r="W672" s="25"/>
      <c r="X672" s="25"/>
      <c r="Y672" s="25"/>
      <c r="Z672" s="25"/>
    </row>
    <row r="673" customFormat="false" ht="39.75" hidden="false" customHeight="true" outlineLevel="0" collapsed="false">
      <c r="A673" s="25"/>
      <c r="B673" s="25"/>
      <c r="C673" s="25"/>
      <c r="D673" s="25"/>
      <c r="E673" s="25"/>
      <c r="F673" s="25"/>
      <c r="G673" s="25"/>
      <c r="H673" s="25"/>
      <c r="I673" s="25"/>
      <c r="J673" s="25"/>
      <c r="K673" s="25"/>
      <c r="L673" s="25"/>
      <c r="M673" s="25"/>
      <c r="N673" s="25"/>
      <c r="O673" s="25"/>
      <c r="P673" s="25"/>
      <c r="Q673" s="25"/>
      <c r="R673" s="25"/>
      <c r="S673" s="25"/>
      <c r="T673" s="25"/>
      <c r="U673" s="25"/>
      <c r="V673" s="25"/>
      <c r="W673" s="25"/>
      <c r="X673" s="25"/>
      <c r="Y673" s="25"/>
      <c r="Z673" s="25"/>
    </row>
    <row r="674" customFormat="false" ht="39.75" hidden="false" customHeight="true" outlineLevel="0" collapsed="false">
      <c r="A674" s="25"/>
      <c r="B674" s="25"/>
      <c r="C674" s="25"/>
      <c r="D674" s="25"/>
      <c r="E674" s="25"/>
      <c r="F674" s="25"/>
      <c r="G674" s="25"/>
      <c r="H674" s="25"/>
      <c r="I674" s="25"/>
      <c r="J674" s="25"/>
      <c r="K674" s="25"/>
      <c r="L674" s="25"/>
      <c r="M674" s="25"/>
      <c r="N674" s="25"/>
      <c r="O674" s="25"/>
      <c r="P674" s="25"/>
      <c r="Q674" s="25"/>
      <c r="R674" s="25"/>
      <c r="S674" s="25"/>
      <c r="T674" s="25"/>
      <c r="U674" s="25"/>
      <c r="V674" s="25"/>
      <c r="W674" s="25"/>
      <c r="X674" s="25"/>
      <c r="Y674" s="25"/>
      <c r="Z674" s="25"/>
    </row>
    <row r="675" customFormat="false" ht="39.75" hidden="false" customHeight="true" outlineLevel="0" collapsed="false">
      <c r="A675" s="25"/>
      <c r="B675" s="25"/>
      <c r="C675" s="25"/>
      <c r="D675" s="25"/>
      <c r="E675" s="25"/>
      <c r="F675" s="25"/>
      <c r="G675" s="25"/>
      <c r="H675" s="25"/>
      <c r="I675" s="25"/>
      <c r="J675" s="25"/>
      <c r="K675" s="25"/>
      <c r="L675" s="25"/>
      <c r="M675" s="25"/>
      <c r="N675" s="25"/>
      <c r="O675" s="25"/>
      <c r="P675" s="25"/>
      <c r="Q675" s="25"/>
      <c r="R675" s="25"/>
      <c r="S675" s="25"/>
      <c r="T675" s="25"/>
      <c r="U675" s="25"/>
      <c r="V675" s="25"/>
      <c r="W675" s="25"/>
      <c r="X675" s="25"/>
      <c r="Y675" s="25"/>
      <c r="Z675" s="25"/>
    </row>
    <row r="676" customFormat="false" ht="39.75" hidden="false" customHeight="true" outlineLevel="0" collapsed="false">
      <c r="A676" s="25"/>
      <c r="B676" s="25"/>
      <c r="C676" s="25"/>
      <c r="D676" s="25"/>
      <c r="E676" s="25"/>
      <c r="F676" s="25"/>
      <c r="G676" s="25"/>
      <c r="H676" s="25"/>
      <c r="I676" s="25"/>
      <c r="J676" s="25"/>
      <c r="K676" s="25"/>
      <c r="L676" s="25"/>
      <c r="M676" s="25"/>
      <c r="N676" s="25"/>
      <c r="O676" s="25"/>
      <c r="P676" s="25"/>
      <c r="Q676" s="25"/>
      <c r="R676" s="25"/>
      <c r="S676" s="25"/>
      <c r="T676" s="25"/>
      <c r="U676" s="25"/>
      <c r="V676" s="25"/>
      <c r="W676" s="25"/>
      <c r="X676" s="25"/>
      <c r="Y676" s="25"/>
      <c r="Z676" s="25"/>
    </row>
    <row r="677" customFormat="false" ht="39.75" hidden="false" customHeight="true" outlineLevel="0" collapsed="false">
      <c r="A677" s="25"/>
      <c r="B677" s="25"/>
      <c r="C677" s="25"/>
      <c r="D677" s="25"/>
      <c r="E677" s="25"/>
      <c r="F677" s="25"/>
      <c r="G677" s="25"/>
      <c r="H677" s="25"/>
      <c r="I677" s="25"/>
      <c r="J677" s="25"/>
      <c r="K677" s="25"/>
      <c r="L677" s="25"/>
      <c r="M677" s="25"/>
      <c r="N677" s="25"/>
      <c r="O677" s="25"/>
      <c r="P677" s="25"/>
      <c r="Q677" s="25"/>
      <c r="R677" s="25"/>
      <c r="S677" s="25"/>
      <c r="T677" s="25"/>
      <c r="U677" s="25"/>
      <c r="V677" s="25"/>
      <c r="W677" s="25"/>
      <c r="X677" s="25"/>
      <c r="Y677" s="25"/>
      <c r="Z677" s="25"/>
    </row>
    <row r="678" customFormat="false" ht="39.75" hidden="false" customHeight="true" outlineLevel="0" collapsed="false">
      <c r="A678" s="25"/>
      <c r="B678" s="25"/>
      <c r="C678" s="25"/>
      <c r="D678" s="25"/>
      <c r="E678" s="25"/>
      <c r="F678" s="25"/>
      <c r="G678" s="25"/>
      <c r="H678" s="25"/>
      <c r="I678" s="25"/>
      <c r="J678" s="25"/>
      <c r="K678" s="25"/>
      <c r="L678" s="25"/>
      <c r="M678" s="25"/>
      <c r="N678" s="25"/>
      <c r="O678" s="25"/>
      <c r="P678" s="25"/>
      <c r="Q678" s="25"/>
      <c r="R678" s="25"/>
      <c r="S678" s="25"/>
      <c r="T678" s="25"/>
      <c r="U678" s="25"/>
      <c r="V678" s="25"/>
      <c r="W678" s="25"/>
      <c r="X678" s="25"/>
      <c r="Y678" s="25"/>
      <c r="Z678" s="25"/>
    </row>
    <row r="679" customFormat="false" ht="39.75" hidden="false" customHeight="true" outlineLevel="0" collapsed="false">
      <c r="A679" s="25"/>
      <c r="B679" s="25"/>
      <c r="C679" s="25"/>
      <c r="D679" s="25"/>
      <c r="E679" s="25"/>
      <c r="F679" s="25"/>
      <c r="G679" s="25"/>
      <c r="H679" s="25"/>
      <c r="I679" s="25"/>
      <c r="J679" s="25"/>
      <c r="K679" s="25"/>
      <c r="L679" s="25"/>
      <c r="M679" s="25"/>
      <c r="N679" s="25"/>
      <c r="O679" s="25"/>
      <c r="P679" s="25"/>
      <c r="Q679" s="25"/>
      <c r="R679" s="25"/>
      <c r="S679" s="25"/>
      <c r="T679" s="25"/>
      <c r="U679" s="25"/>
      <c r="V679" s="25"/>
      <c r="W679" s="25"/>
      <c r="X679" s="25"/>
      <c r="Y679" s="25"/>
      <c r="Z679" s="25"/>
    </row>
    <row r="680" customFormat="false" ht="39.75" hidden="false" customHeight="true" outlineLevel="0" collapsed="false">
      <c r="A680" s="25"/>
      <c r="B680" s="25"/>
      <c r="C680" s="25"/>
      <c r="D680" s="25"/>
      <c r="E680" s="25"/>
      <c r="F680" s="25"/>
      <c r="G680" s="25"/>
      <c r="H680" s="25"/>
      <c r="I680" s="25"/>
      <c r="J680" s="25"/>
      <c r="K680" s="25"/>
      <c r="L680" s="25"/>
      <c r="M680" s="25"/>
      <c r="N680" s="25"/>
      <c r="O680" s="25"/>
      <c r="P680" s="25"/>
      <c r="Q680" s="25"/>
      <c r="R680" s="25"/>
      <c r="S680" s="25"/>
      <c r="T680" s="25"/>
      <c r="U680" s="25"/>
      <c r="V680" s="25"/>
      <c r="W680" s="25"/>
      <c r="X680" s="25"/>
      <c r="Y680" s="25"/>
      <c r="Z680" s="25"/>
    </row>
    <row r="681" customFormat="false" ht="39.75" hidden="false" customHeight="true" outlineLevel="0" collapsed="false">
      <c r="A681" s="25"/>
      <c r="B681" s="25"/>
      <c r="C681" s="25"/>
      <c r="D681" s="25"/>
      <c r="E681" s="25"/>
      <c r="F681" s="25"/>
      <c r="G681" s="25"/>
      <c r="H681" s="25"/>
      <c r="I681" s="25"/>
      <c r="J681" s="25"/>
      <c r="K681" s="25"/>
      <c r="L681" s="25"/>
      <c r="M681" s="25"/>
      <c r="N681" s="25"/>
      <c r="O681" s="25"/>
      <c r="P681" s="25"/>
      <c r="Q681" s="25"/>
      <c r="R681" s="25"/>
      <c r="S681" s="25"/>
      <c r="T681" s="25"/>
      <c r="U681" s="25"/>
      <c r="V681" s="25"/>
      <c r="W681" s="25"/>
      <c r="X681" s="25"/>
      <c r="Y681" s="25"/>
      <c r="Z681" s="25"/>
    </row>
    <row r="682" customFormat="false" ht="39.75" hidden="false" customHeight="true" outlineLevel="0" collapsed="false">
      <c r="A682" s="25"/>
      <c r="B682" s="25"/>
      <c r="C682" s="25"/>
      <c r="D682" s="25"/>
      <c r="E682" s="25"/>
      <c r="F682" s="25"/>
      <c r="G682" s="25"/>
      <c r="H682" s="25"/>
      <c r="I682" s="25"/>
      <c r="J682" s="25"/>
      <c r="K682" s="25"/>
      <c r="L682" s="25"/>
      <c r="M682" s="25"/>
      <c r="N682" s="25"/>
      <c r="O682" s="25"/>
      <c r="P682" s="25"/>
      <c r="Q682" s="25"/>
      <c r="R682" s="25"/>
      <c r="S682" s="25"/>
      <c r="T682" s="25"/>
      <c r="U682" s="25"/>
      <c r="V682" s="25"/>
      <c r="W682" s="25"/>
      <c r="X682" s="25"/>
      <c r="Y682" s="25"/>
      <c r="Z682" s="25"/>
    </row>
    <row r="683" customFormat="false" ht="39.75" hidden="false" customHeight="true" outlineLevel="0" collapsed="false">
      <c r="A683" s="25"/>
      <c r="B683" s="25"/>
      <c r="C683" s="25"/>
      <c r="D683" s="25"/>
      <c r="E683" s="25"/>
      <c r="F683" s="25"/>
      <c r="G683" s="25"/>
      <c r="H683" s="25"/>
      <c r="I683" s="25"/>
      <c r="J683" s="25"/>
      <c r="K683" s="25"/>
      <c r="L683" s="25"/>
      <c r="M683" s="25"/>
      <c r="N683" s="25"/>
      <c r="O683" s="25"/>
      <c r="P683" s="25"/>
      <c r="Q683" s="25"/>
      <c r="R683" s="25"/>
      <c r="S683" s="25"/>
      <c r="T683" s="25"/>
      <c r="U683" s="25"/>
      <c r="V683" s="25"/>
      <c r="W683" s="25"/>
      <c r="X683" s="25"/>
      <c r="Y683" s="25"/>
      <c r="Z683" s="25"/>
    </row>
    <row r="684" customFormat="false" ht="39.75" hidden="false" customHeight="true" outlineLevel="0" collapsed="false">
      <c r="A684" s="25"/>
      <c r="B684" s="25"/>
      <c r="C684" s="25"/>
      <c r="D684" s="25"/>
      <c r="E684" s="25"/>
      <c r="F684" s="25"/>
      <c r="G684" s="25"/>
      <c r="H684" s="25"/>
      <c r="I684" s="25"/>
      <c r="J684" s="25"/>
      <c r="K684" s="25"/>
      <c r="L684" s="25"/>
      <c r="M684" s="25"/>
      <c r="N684" s="25"/>
      <c r="O684" s="25"/>
      <c r="P684" s="25"/>
      <c r="Q684" s="25"/>
      <c r="R684" s="25"/>
      <c r="S684" s="25"/>
      <c r="T684" s="25"/>
      <c r="U684" s="25"/>
      <c r="V684" s="25"/>
      <c r="W684" s="25"/>
      <c r="X684" s="25"/>
      <c r="Y684" s="25"/>
      <c r="Z684" s="25"/>
    </row>
    <row r="685" customFormat="false" ht="39.75" hidden="false" customHeight="true" outlineLevel="0" collapsed="false">
      <c r="A685" s="25"/>
      <c r="B685" s="25"/>
      <c r="C685" s="25"/>
      <c r="D685" s="25"/>
      <c r="E685" s="25"/>
      <c r="F685" s="25"/>
      <c r="G685" s="25"/>
      <c r="H685" s="25"/>
      <c r="I685" s="25"/>
      <c r="J685" s="25"/>
      <c r="K685" s="25"/>
      <c r="L685" s="25"/>
      <c r="M685" s="25"/>
      <c r="N685" s="25"/>
      <c r="O685" s="25"/>
      <c r="P685" s="25"/>
      <c r="Q685" s="25"/>
      <c r="R685" s="25"/>
      <c r="S685" s="25"/>
      <c r="T685" s="25"/>
      <c r="U685" s="25"/>
      <c r="V685" s="25"/>
      <c r="W685" s="25"/>
      <c r="X685" s="25"/>
      <c r="Y685" s="25"/>
      <c r="Z685" s="25"/>
    </row>
    <row r="686" customFormat="false" ht="39.75" hidden="false" customHeight="true" outlineLevel="0" collapsed="false">
      <c r="A686" s="25"/>
      <c r="B686" s="25"/>
      <c r="C686" s="25"/>
      <c r="D686" s="25"/>
      <c r="E686" s="25"/>
      <c r="F686" s="25"/>
      <c r="G686" s="25"/>
      <c r="H686" s="25"/>
      <c r="I686" s="25"/>
      <c r="J686" s="25"/>
      <c r="K686" s="25"/>
      <c r="L686" s="25"/>
      <c r="M686" s="25"/>
      <c r="N686" s="25"/>
      <c r="O686" s="25"/>
      <c r="P686" s="25"/>
      <c r="Q686" s="25"/>
      <c r="R686" s="25"/>
      <c r="S686" s="25"/>
      <c r="T686" s="25"/>
      <c r="U686" s="25"/>
      <c r="V686" s="25"/>
      <c r="W686" s="25"/>
      <c r="X686" s="25"/>
      <c r="Y686" s="25"/>
      <c r="Z686" s="25"/>
    </row>
    <row r="687" customFormat="false" ht="39.75" hidden="false" customHeight="true" outlineLevel="0" collapsed="false">
      <c r="A687" s="25"/>
      <c r="B687" s="25"/>
      <c r="C687" s="25"/>
      <c r="D687" s="25"/>
      <c r="E687" s="25"/>
      <c r="F687" s="25"/>
      <c r="G687" s="25"/>
      <c r="H687" s="25"/>
      <c r="I687" s="25"/>
      <c r="J687" s="25"/>
      <c r="K687" s="25"/>
      <c r="L687" s="25"/>
      <c r="M687" s="25"/>
      <c r="N687" s="25"/>
      <c r="O687" s="25"/>
      <c r="P687" s="25"/>
      <c r="Q687" s="25"/>
      <c r="R687" s="25"/>
      <c r="S687" s="25"/>
      <c r="T687" s="25"/>
      <c r="U687" s="25"/>
      <c r="V687" s="25"/>
      <c r="W687" s="25"/>
      <c r="X687" s="25"/>
      <c r="Y687" s="25"/>
      <c r="Z687" s="25"/>
    </row>
    <row r="688" customFormat="false" ht="39.75" hidden="false" customHeight="true" outlineLevel="0" collapsed="false">
      <c r="A688" s="25"/>
      <c r="B688" s="25"/>
      <c r="C688" s="25"/>
      <c r="D688" s="25"/>
      <c r="E688" s="25"/>
      <c r="F688" s="25"/>
      <c r="G688" s="25"/>
      <c r="H688" s="25"/>
      <c r="I688" s="25"/>
      <c r="J688" s="25"/>
      <c r="K688" s="25"/>
      <c r="L688" s="25"/>
      <c r="M688" s="25"/>
      <c r="N688" s="25"/>
      <c r="O688" s="25"/>
      <c r="P688" s="25"/>
      <c r="Q688" s="25"/>
      <c r="R688" s="25"/>
      <c r="S688" s="25"/>
      <c r="T688" s="25"/>
      <c r="U688" s="25"/>
      <c r="V688" s="25"/>
      <c r="W688" s="25"/>
      <c r="X688" s="25"/>
      <c r="Y688" s="25"/>
      <c r="Z688" s="25"/>
    </row>
    <row r="689" customFormat="false" ht="39.75" hidden="false" customHeight="true" outlineLevel="0" collapsed="false">
      <c r="A689" s="25"/>
      <c r="B689" s="25"/>
      <c r="C689" s="25"/>
      <c r="D689" s="25"/>
      <c r="E689" s="25"/>
      <c r="F689" s="25"/>
      <c r="G689" s="25"/>
      <c r="H689" s="25"/>
      <c r="I689" s="25"/>
      <c r="J689" s="25"/>
      <c r="K689" s="25"/>
      <c r="L689" s="25"/>
      <c r="M689" s="25"/>
      <c r="N689" s="25"/>
      <c r="O689" s="25"/>
      <c r="P689" s="25"/>
      <c r="Q689" s="25"/>
      <c r="R689" s="25"/>
      <c r="S689" s="25"/>
      <c r="T689" s="25"/>
      <c r="U689" s="25"/>
      <c r="V689" s="25"/>
      <c r="W689" s="25"/>
      <c r="X689" s="25"/>
      <c r="Y689" s="25"/>
      <c r="Z689" s="25"/>
    </row>
    <row r="690" customFormat="false" ht="39.75" hidden="false" customHeight="true" outlineLevel="0" collapsed="false">
      <c r="A690" s="25"/>
      <c r="B690" s="25"/>
      <c r="C690" s="25"/>
      <c r="D690" s="25"/>
      <c r="E690" s="25"/>
      <c r="F690" s="25"/>
      <c r="G690" s="25"/>
      <c r="H690" s="25"/>
      <c r="I690" s="25"/>
      <c r="J690" s="25"/>
      <c r="K690" s="25"/>
      <c r="L690" s="25"/>
      <c r="M690" s="25"/>
      <c r="N690" s="25"/>
      <c r="O690" s="25"/>
      <c r="P690" s="25"/>
      <c r="Q690" s="25"/>
      <c r="R690" s="25"/>
      <c r="S690" s="25"/>
      <c r="T690" s="25"/>
      <c r="U690" s="25"/>
      <c r="V690" s="25"/>
      <c r="W690" s="25"/>
      <c r="X690" s="25"/>
      <c r="Y690" s="25"/>
      <c r="Z690" s="25"/>
    </row>
    <row r="691" customFormat="false" ht="39.75" hidden="false" customHeight="true" outlineLevel="0" collapsed="false">
      <c r="A691" s="25"/>
      <c r="B691" s="25"/>
      <c r="C691" s="25"/>
      <c r="D691" s="25"/>
      <c r="E691" s="25"/>
      <c r="F691" s="25"/>
      <c r="G691" s="25"/>
      <c r="H691" s="25"/>
      <c r="I691" s="25"/>
      <c r="J691" s="25"/>
      <c r="K691" s="25"/>
      <c r="L691" s="25"/>
      <c r="M691" s="25"/>
      <c r="N691" s="25"/>
      <c r="O691" s="25"/>
      <c r="P691" s="25"/>
      <c r="Q691" s="25"/>
      <c r="R691" s="25"/>
      <c r="S691" s="25"/>
      <c r="T691" s="25"/>
      <c r="U691" s="25"/>
      <c r="V691" s="25"/>
      <c r="W691" s="25"/>
      <c r="X691" s="25"/>
      <c r="Y691" s="25"/>
      <c r="Z691" s="25"/>
    </row>
    <row r="692" customFormat="false" ht="39.75" hidden="false" customHeight="true" outlineLevel="0" collapsed="false">
      <c r="A692" s="25"/>
      <c r="B692" s="25"/>
      <c r="C692" s="25"/>
      <c r="D692" s="25"/>
      <c r="E692" s="25"/>
      <c r="F692" s="25"/>
      <c r="G692" s="25"/>
      <c r="H692" s="25"/>
      <c r="I692" s="25"/>
      <c r="J692" s="25"/>
      <c r="K692" s="25"/>
      <c r="L692" s="25"/>
      <c r="M692" s="25"/>
      <c r="N692" s="25"/>
      <c r="O692" s="25"/>
      <c r="P692" s="25"/>
      <c r="Q692" s="25"/>
      <c r="R692" s="25"/>
      <c r="S692" s="25"/>
      <c r="T692" s="25"/>
      <c r="U692" s="25"/>
      <c r="V692" s="25"/>
      <c r="W692" s="25"/>
      <c r="X692" s="25"/>
      <c r="Y692" s="25"/>
      <c r="Z692" s="25"/>
    </row>
    <row r="693" customFormat="false" ht="39.75" hidden="false" customHeight="true" outlineLevel="0" collapsed="false">
      <c r="A693" s="25"/>
      <c r="B693" s="25"/>
      <c r="C693" s="25"/>
      <c r="D693" s="25"/>
      <c r="E693" s="25"/>
      <c r="F693" s="25"/>
      <c r="G693" s="25"/>
      <c r="H693" s="25"/>
      <c r="I693" s="25"/>
      <c r="J693" s="25"/>
      <c r="K693" s="25"/>
      <c r="L693" s="25"/>
      <c r="M693" s="25"/>
      <c r="N693" s="25"/>
      <c r="O693" s="25"/>
      <c r="P693" s="25"/>
      <c r="Q693" s="25"/>
      <c r="R693" s="25"/>
      <c r="S693" s="25"/>
      <c r="T693" s="25"/>
      <c r="U693" s="25"/>
      <c r="V693" s="25"/>
      <c r="W693" s="25"/>
      <c r="X693" s="25"/>
      <c r="Y693" s="25"/>
      <c r="Z693" s="25"/>
    </row>
    <row r="694" customFormat="false" ht="39.75" hidden="false" customHeight="true" outlineLevel="0" collapsed="false">
      <c r="A694" s="25"/>
      <c r="B694" s="25"/>
      <c r="C694" s="25"/>
      <c r="D694" s="25"/>
      <c r="E694" s="25"/>
      <c r="F694" s="25"/>
      <c r="G694" s="25"/>
      <c r="H694" s="25"/>
      <c r="I694" s="25"/>
      <c r="J694" s="25"/>
      <c r="K694" s="25"/>
      <c r="L694" s="25"/>
      <c r="M694" s="25"/>
      <c r="N694" s="25"/>
      <c r="O694" s="25"/>
      <c r="P694" s="25"/>
      <c r="Q694" s="25"/>
      <c r="R694" s="25"/>
      <c r="S694" s="25"/>
      <c r="T694" s="25"/>
      <c r="U694" s="25"/>
      <c r="V694" s="25"/>
      <c r="W694" s="25"/>
      <c r="X694" s="25"/>
      <c r="Y694" s="25"/>
      <c r="Z694" s="25"/>
    </row>
    <row r="695" customFormat="false" ht="39.75" hidden="false" customHeight="true" outlineLevel="0" collapsed="false">
      <c r="A695" s="25"/>
      <c r="B695" s="25"/>
      <c r="C695" s="25"/>
      <c r="D695" s="25"/>
      <c r="E695" s="25"/>
      <c r="F695" s="25"/>
      <c r="G695" s="25"/>
      <c r="H695" s="25"/>
      <c r="I695" s="25"/>
      <c r="J695" s="25"/>
      <c r="K695" s="25"/>
      <c r="L695" s="25"/>
      <c r="M695" s="25"/>
      <c r="N695" s="25"/>
      <c r="O695" s="25"/>
      <c r="P695" s="25"/>
      <c r="Q695" s="25"/>
      <c r="R695" s="25"/>
      <c r="S695" s="25"/>
      <c r="T695" s="25"/>
      <c r="U695" s="25"/>
      <c r="V695" s="25"/>
      <c r="W695" s="25"/>
      <c r="X695" s="25"/>
      <c r="Y695" s="25"/>
      <c r="Z695" s="25"/>
    </row>
    <row r="696" customFormat="false" ht="39.75" hidden="false" customHeight="true" outlineLevel="0" collapsed="false">
      <c r="A696" s="25"/>
      <c r="B696" s="25"/>
      <c r="C696" s="25"/>
      <c r="D696" s="25"/>
      <c r="E696" s="25"/>
      <c r="F696" s="25"/>
      <c r="G696" s="25"/>
      <c r="H696" s="25"/>
      <c r="I696" s="25"/>
      <c r="J696" s="25"/>
      <c r="K696" s="25"/>
      <c r="L696" s="25"/>
      <c r="M696" s="25"/>
      <c r="N696" s="25"/>
      <c r="O696" s="25"/>
      <c r="P696" s="25"/>
      <c r="Q696" s="25"/>
      <c r="R696" s="25"/>
      <c r="S696" s="25"/>
      <c r="T696" s="25"/>
      <c r="U696" s="25"/>
      <c r="V696" s="25"/>
      <c r="W696" s="25"/>
      <c r="X696" s="25"/>
      <c r="Y696" s="25"/>
      <c r="Z696" s="25"/>
    </row>
    <row r="697" customFormat="false" ht="39.75" hidden="false" customHeight="true" outlineLevel="0" collapsed="false">
      <c r="A697" s="25"/>
      <c r="B697" s="25"/>
      <c r="C697" s="25"/>
      <c r="D697" s="25"/>
      <c r="E697" s="25"/>
      <c r="F697" s="25"/>
      <c r="G697" s="25"/>
      <c r="H697" s="25"/>
      <c r="I697" s="25"/>
      <c r="J697" s="25"/>
      <c r="K697" s="25"/>
      <c r="L697" s="25"/>
      <c r="M697" s="25"/>
      <c r="N697" s="25"/>
      <c r="O697" s="25"/>
      <c r="P697" s="25"/>
      <c r="Q697" s="25"/>
      <c r="R697" s="25"/>
      <c r="S697" s="25"/>
      <c r="T697" s="25"/>
      <c r="U697" s="25"/>
      <c r="V697" s="25"/>
      <c r="W697" s="25"/>
      <c r="X697" s="25"/>
      <c r="Y697" s="25"/>
      <c r="Z697" s="25"/>
    </row>
    <row r="698" customFormat="false" ht="39.75" hidden="false" customHeight="true" outlineLevel="0" collapsed="false">
      <c r="A698" s="25"/>
      <c r="B698" s="25"/>
      <c r="C698" s="25"/>
      <c r="D698" s="25"/>
      <c r="E698" s="25"/>
      <c r="F698" s="25"/>
      <c r="G698" s="25"/>
      <c r="H698" s="25"/>
      <c r="I698" s="25"/>
      <c r="J698" s="25"/>
      <c r="K698" s="25"/>
      <c r="L698" s="25"/>
      <c r="M698" s="25"/>
      <c r="N698" s="25"/>
      <c r="O698" s="25"/>
      <c r="P698" s="25"/>
      <c r="Q698" s="25"/>
      <c r="R698" s="25"/>
      <c r="S698" s="25"/>
      <c r="T698" s="25"/>
      <c r="U698" s="25"/>
      <c r="V698" s="25"/>
      <c r="W698" s="25"/>
      <c r="X698" s="25"/>
      <c r="Y698" s="25"/>
      <c r="Z698" s="25"/>
    </row>
    <row r="699" customFormat="false" ht="39.75" hidden="false" customHeight="true" outlineLevel="0" collapsed="false">
      <c r="A699" s="25"/>
      <c r="B699" s="25"/>
      <c r="C699" s="25"/>
      <c r="D699" s="25"/>
      <c r="E699" s="25"/>
      <c r="F699" s="25"/>
      <c r="G699" s="25"/>
      <c r="H699" s="25"/>
      <c r="I699" s="25"/>
      <c r="J699" s="25"/>
      <c r="K699" s="25"/>
      <c r="L699" s="25"/>
      <c r="M699" s="25"/>
      <c r="N699" s="25"/>
      <c r="O699" s="25"/>
      <c r="P699" s="25"/>
      <c r="Q699" s="25"/>
      <c r="R699" s="25"/>
      <c r="S699" s="25"/>
      <c r="T699" s="25"/>
      <c r="U699" s="25"/>
      <c r="V699" s="25"/>
      <c r="W699" s="25"/>
      <c r="X699" s="25"/>
      <c r="Y699" s="25"/>
      <c r="Z699" s="25"/>
    </row>
    <row r="700" customFormat="false" ht="39.75" hidden="false" customHeight="true" outlineLevel="0" collapsed="false">
      <c r="A700" s="25"/>
      <c r="B700" s="25"/>
      <c r="C700" s="25"/>
      <c r="D700" s="25"/>
      <c r="E700" s="25"/>
      <c r="F700" s="25"/>
      <c r="G700" s="25"/>
      <c r="H700" s="25"/>
      <c r="I700" s="25"/>
      <c r="J700" s="25"/>
      <c r="K700" s="25"/>
      <c r="L700" s="25"/>
      <c r="M700" s="25"/>
      <c r="N700" s="25"/>
      <c r="O700" s="25"/>
      <c r="P700" s="25"/>
      <c r="Q700" s="25"/>
      <c r="R700" s="25"/>
      <c r="S700" s="25"/>
      <c r="T700" s="25"/>
      <c r="U700" s="25"/>
      <c r="V700" s="25"/>
      <c r="W700" s="25"/>
      <c r="X700" s="25"/>
      <c r="Y700" s="25"/>
      <c r="Z700" s="25"/>
    </row>
    <row r="701" customFormat="false" ht="39.75" hidden="false" customHeight="true" outlineLevel="0" collapsed="false">
      <c r="A701" s="25"/>
      <c r="B701" s="25"/>
      <c r="C701" s="25"/>
      <c r="D701" s="25"/>
      <c r="E701" s="25"/>
      <c r="F701" s="25"/>
      <c r="G701" s="25"/>
      <c r="H701" s="25"/>
      <c r="I701" s="25"/>
      <c r="J701" s="25"/>
      <c r="K701" s="25"/>
      <c r="L701" s="25"/>
      <c r="M701" s="25"/>
      <c r="N701" s="25"/>
      <c r="O701" s="25"/>
      <c r="P701" s="25"/>
      <c r="Q701" s="25"/>
      <c r="R701" s="25"/>
      <c r="S701" s="25"/>
      <c r="T701" s="25"/>
      <c r="U701" s="25"/>
      <c r="V701" s="25"/>
      <c r="W701" s="25"/>
      <c r="X701" s="25"/>
      <c r="Y701" s="25"/>
      <c r="Z701" s="25"/>
    </row>
    <row r="702" customFormat="false" ht="39.75" hidden="false" customHeight="true" outlineLevel="0" collapsed="false">
      <c r="A702" s="25"/>
      <c r="B702" s="25"/>
      <c r="C702" s="25"/>
      <c r="D702" s="25"/>
      <c r="E702" s="25"/>
      <c r="F702" s="25"/>
      <c r="G702" s="25"/>
      <c r="H702" s="25"/>
      <c r="I702" s="25"/>
      <c r="J702" s="25"/>
      <c r="K702" s="25"/>
      <c r="L702" s="25"/>
      <c r="M702" s="25"/>
      <c r="N702" s="25"/>
      <c r="O702" s="25"/>
      <c r="P702" s="25"/>
      <c r="Q702" s="25"/>
      <c r="R702" s="25"/>
      <c r="S702" s="25"/>
      <c r="T702" s="25"/>
      <c r="U702" s="25"/>
      <c r="V702" s="25"/>
      <c r="W702" s="25"/>
      <c r="X702" s="25"/>
      <c r="Y702" s="25"/>
      <c r="Z702" s="25"/>
    </row>
    <row r="703" customFormat="false" ht="39.75" hidden="false" customHeight="true" outlineLevel="0" collapsed="false">
      <c r="A703" s="25"/>
      <c r="B703" s="25"/>
      <c r="C703" s="25"/>
      <c r="D703" s="25"/>
      <c r="E703" s="25"/>
      <c r="F703" s="25"/>
      <c r="G703" s="25"/>
      <c r="H703" s="25"/>
      <c r="I703" s="25"/>
      <c r="J703" s="25"/>
      <c r="K703" s="25"/>
      <c r="L703" s="25"/>
      <c r="M703" s="25"/>
      <c r="N703" s="25"/>
      <c r="O703" s="25"/>
      <c r="P703" s="25"/>
      <c r="Q703" s="25"/>
      <c r="R703" s="25"/>
      <c r="S703" s="25"/>
      <c r="T703" s="25"/>
      <c r="U703" s="25"/>
      <c r="V703" s="25"/>
      <c r="W703" s="25"/>
      <c r="X703" s="25"/>
      <c r="Y703" s="25"/>
      <c r="Z703" s="25"/>
    </row>
    <row r="704" customFormat="false" ht="39.75" hidden="false" customHeight="true" outlineLevel="0" collapsed="false">
      <c r="A704" s="25"/>
      <c r="B704" s="25"/>
      <c r="C704" s="25"/>
      <c r="D704" s="25"/>
      <c r="E704" s="25"/>
      <c r="F704" s="25"/>
      <c r="G704" s="25"/>
      <c r="H704" s="25"/>
      <c r="I704" s="25"/>
      <c r="J704" s="25"/>
      <c r="K704" s="25"/>
      <c r="L704" s="25"/>
      <c r="M704" s="25"/>
      <c r="N704" s="25"/>
      <c r="O704" s="25"/>
      <c r="P704" s="25"/>
      <c r="Q704" s="25"/>
      <c r="R704" s="25"/>
      <c r="S704" s="25"/>
      <c r="T704" s="25"/>
      <c r="U704" s="25"/>
      <c r="V704" s="25"/>
      <c r="W704" s="25"/>
      <c r="X704" s="25"/>
      <c r="Y704" s="25"/>
      <c r="Z704" s="25"/>
    </row>
    <row r="705" customFormat="false" ht="39.75" hidden="false" customHeight="true" outlineLevel="0" collapsed="false">
      <c r="A705" s="25"/>
      <c r="B705" s="25"/>
      <c r="C705" s="25"/>
      <c r="D705" s="25"/>
      <c r="E705" s="25"/>
      <c r="F705" s="25"/>
      <c r="G705" s="25"/>
      <c r="H705" s="25"/>
      <c r="I705" s="25"/>
      <c r="J705" s="25"/>
      <c r="K705" s="25"/>
      <c r="L705" s="25"/>
      <c r="M705" s="25"/>
      <c r="N705" s="25"/>
      <c r="O705" s="25"/>
      <c r="P705" s="25"/>
      <c r="Q705" s="25"/>
      <c r="R705" s="25"/>
      <c r="S705" s="25"/>
      <c r="T705" s="25"/>
      <c r="U705" s="25"/>
      <c r="V705" s="25"/>
      <c r="W705" s="25"/>
      <c r="X705" s="25"/>
      <c r="Y705" s="25"/>
      <c r="Z705" s="25"/>
    </row>
    <row r="706" customFormat="false" ht="39.75" hidden="false" customHeight="true" outlineLevel="0" collapsed="false">
      <c r="A706" s="25"/>
      <c r="B706" s="25"/>
      <c r="C706" s="25"/>
      <c r="D706" s="25"/>
      <c r="E706" s="25"/>
      <c r="F706" s="25"/>
      <c r="G706" s="25"/>
      <c r="H706" s="25"/>
      <c r="I706" s="25"/>
      <c r="J706" s="25"/>
      <c r="K706" s="25"/>
      <c r="L706" s="25"/>
      <c r="M706" s="25"/>
      <c r="N706" s="25"/>
      <c r="O706" s="25"/>
      <c r="P706" s="25"/>
      <c r="Q706" s="25"/>
      <c r="R706" s="25"/>
      <c r="S706" s="25"/>
      <c r="T706" s="25"/>
      <c r="U706" s="25"/>
      <c r="V706" s="25"/>
      <c r="W706" s="25"/>
      <c r="X706" s="25"/>
      <c r="Y706" s="25"/>
      <c r="Z706" s="25"/>
    </row>
    <row r="707" customFormat="false" ht="39.75" hidden="false" customHeight="true" outlineLevel="0" collapsed="false">
      <c r="A707" s="25"/>
      <c r="B707" s="25"/>
      <c r="C707" s="25"/>
      <c r="D707" s="25"/>
      <c r="E707" s="25"/>
      <c r="F707" s="25"/>
      <c r="G707" s="25"/>
      <c r="H707" s="25"/>
      <c r="I707" s="25"/>
      <c r="J707" s="25"/>
      <c r="K707" s="25"/>
      <c r="L707" s="25"/>
      <c r="M707" s="25"/>
      <c r="N707" s="25"/>
      <c r="O707" s="25"/>
      <c r="P707" s="25"/>
      <c r="Q707" s="25"/>
      <c r="R707" s="25"/>
      <c r="S707" s="25"/>
      <c r="T707" s="25"/>
      <c r="U707" s="25"/>
      <c r="V707" s="25"/>
      <c r="W707" s="25"/>
      <c r="X707" s="25"/>
      <c r="Y707" s="25"/>
      <c r="Z707" s="25"/>
    </row>
    <row r="708" customFormat="false" ht="39.75" hidden="false" customHeight="true" outlineLevel="0" collapsed="false">
      <c r="A708" s="25"/>
      <c r="B708" s="25"/>
      <c r="C708" s="25"/>
      <c r="D708" s="25"/>
      <c r="E708" s="25"/>
      <c r="F708" s="25"/>
      <c r="G708" s="25"/>
      <c r="H708" s="25"/>
      <c r="I708" s="25"/>
      <c r="J708" s="25"/>
      <c r="K708" s="25"/>
      <c r="L708" s="25"/>
      <c r="M708" s="25"/>
      <c r="N708" s="25"/>
      <c r="O708" s="25"/>
      <c r="P708" s="25"/>
      <c r="Q708" s="25"/>
      <c r="R708" s="25"/>
      <c r="S708" s="25"/>
      <c r="T708" s="25"/>
      <c r="U708" s="25"/>
      <c r="V708" s="25"/>
      <c r="W708" s="25"/>
      <c r="X708" s="25"/>
      <c r="Y708" s="25"/>
      <c r="Z708" s="25"/>
    </row>
    <row r="709" customFormat="false" ht="39.75" hidden="false" customHeight="true" outlineLevel="0" collapsed="false">
      <c r="A709" s="25"/>
      <c r="B709" s="25"/>
      <c r="C709" s="25"/>
      <c r="D709" s="25"/>
      <c r="E709" s="25"/>
      <c r="F709" s="25"/>
      <c r="G709" s="25"/>
      <c r="H709" s="25"/>
      <c r="I709" s="25"/>
      <c r="J709" s="25"/>
      <c r="K709" s="25"/>
      <c r="L709" s="25"/>
      <c r="M709" s="25"/>
      <c r="N709" s="25"/>
      <c r="O709" s="25"/>
      <c r="P709" s="25"/>
      <c r="Q709" s="25"/>
      <c r="R709" s="25"/>
      <c r="S709" s="25"/>
      <c r="T709" s="25"/>
      <c r="U709" s="25"/>
      <c r="V709" s="25"/>
      <c r="W709" s="25"/>
      <c r="X709" s="25"/>
      <c r="Y709" s="25"/>
      <c r="Z709" s="25"/>
    </row>
    <row r="710" customFormat="false" ht="39.75" hidden="false" customHeight="true" outlineLevel="0" collapsed="false">
      <c r="A710" s="25"/>
      <c r="B710" s="25"/>
      <c r="C710" s="25"/>
      <c r="D710" s="25"/>
      <c r="E710" s="25"/>
      <c r="F710" s="25"/>
      <c r="G710" s="25"/>
      <c r="H710" s="25"/>
      <c r="I710" s="25"/>
      <c r="J710" s="25"/>
      <c r="K710" s="25"/>
      <c r="L710" s="25"/>
      <c r="M710" s="25"/>
      <c r="N710" s="25"/>
      <c r="O710" s="25"/>
      <c r="P710" s="25"/>
      <c r="Q710" s="25"/>
      <c r="R710" s="25"/>
      <c r="S710" s="25"/>
      <c r="T710" s="25"/>
      <c r="U710" s="25"/>
      <c r="V710" s="25"/>
      <c r="W710" s="25"/>
      <c r="X710" s="25"/>
      <c r="Y710" s="25"/>
      <c r="Z710" s="25"/>
    </row>
    <row r="711" customFormat="false" ht="39.75" hidden="false" customHeight="true" outlineLevel="0" collapsed="false">
      <c r="A711" s="25"/>
      <c r="B711" s="25"/>
      <c r="C711" s="25"/>
      <c r="D711" s="25"/>
      <c r="E711" s="25"/>
      <c r="F711" s="25"/>
      <c r="G711" s="25"/>
      <c r="H711" s="25"/>
      <c r="I711" s="25"/>
      <c r="J711" s="25"/>
      <c r="K711" s="25"/>
      <c r="L711" s="25"/>
      <c r="M711" s="25"/>
      <c r="N711" s="25"/>
      <c r="O711" s="25"/>
      <c r="P711" s="25"/>
      <c r="Q711" s="25"/>
      <c r="R711" s="25"/>
      <c r="S711" s="25"/>
      <c r="T711" s="25"/>
      <c r="U711" s="25"/>
      <c r="V711" s="25"/>
      <c r="W711" s="25"/>
      <c r="X711" s="25"/>
      <c r="Y711" s="25"/>
      <c r="Z711" s="25"/>
    </row>
    <row r="712" customFormat="false" ht="39.75" hidden="false" customHeight="true" outlineLevel="0" collapsed="false">
      <c r="A712" s="25"/>
      <c r="B712" s="25"/>
      <c r="C712" s="25"/>
      <c r="D712" s="25"/>
      <c r="E712" s="25"/>
      <c r="F712" s="25"/>
      <c r="G712" s="25"/>
      <c r="H712" s="25"/>
      <c r="I712" s="25"/>
      <c r="J712" s="25"/>
      <c r="K712" s="25"/>
      <c r="L712" s="25"/>
      <c r="M712" s="25"/>
      <c r="N712" s="25"/>
      <c r="O712" s="25"/>
      <c r="P712" s="25"/>
      <c r="Q712" s="25"/>
      <c r="R712" s="25"/>
      <c r="S712" s="25"/>
      <c r="T712" s="25"/>
      <c r="U712" s="25"/>
      <c r="V712" s="25"/>
      <c r="W712" s="25"/>
      <c r="X712" s="25"/>
      <c r="Y712" s="25"/>
      <c r="Z712" s="25"/>
    </row>
    <row r="713" customFormat="false" ht="39.75" hidden="false" customHeight="true" outlineLevel="0" collapsed="false">
      <c r="A713" s="25"/>
      <c r="B713" s="25"/>
      <c r="C713" s="25"/>
      <c r="D713" s="25"/>
      <c r="E713" s="25"/>
      <c r="F713" s="25"/>
      <c r="G713" s="25"/>
      <c r="H713" s="25"/>
      <c r="I713" s="25"/>
      <c r="J713" s="25"/>
      <c r="K713" s="25"/>
      <c r="L713" s="25"/>
      <c r="M713" s="25"/>
      <c r="N713" s="25"/>
      <c r="O713" s="25"/>
      <c r="P713" s="25"/>
      <c r="Q713" s="25"/>
      <c r="R713" s="25"/>
      <c r="S713" s="25"/>
      <c r="T713" s="25"/>
      <c r="U713" s="25"/>
      <c r="V713" s="25"/>
      <c r="W713" s="25"/>
      <c r="X713" s="25"/>
      <c r="Y713" s="25"/>
      <c r="Z713" s="25"/>
    </row>
    <row r="714" customFormat="false" ht="39.75" hidden="false" customHeight="true" outlineLevel="0" collapsed="false">
      <c r="A714" s="25"/>
      <c r="B714" s="25"/>
      <c r="C714" s="25"/>
      <c r="D714" s="25"/>
      <c r="E714" s="25"/>
      <c r="F714" s="25"/>
      <c r="G714" s="25"/>
      <c r="H714" s="25"/>
      <c r="I714" s="25"/>
      <c r="J714" s="25"/>
      <c r="K714" s="25"/>
      <c r="L714" s="25"/>
      <c r="M714" s="25"/>
      <c r="N714" s="25"/>
      <c r="O714" s="25"/>
      <c r="P714" s="25"/>
      <c r="Q714" s="25"/>
      <c r="R714" s="25"/>
      <c r="S714" s="25"/>
      <c r="T714" s="25"/>
      <c r="U714" s="25"/>
      <c r="V714" s="25"/>
      <c r="W714" s="25"/>
      <c r="X714" s="25"/>
      <c r="Y714" s="25"/>
      <c r="Z714" s="25"/>
    </row>
    <row r="715" customFormat="false" ht="39.75" hidden="false" customHeight="true" outlineLevel="0" collapsed="false">
      <c r="A715" s="25"/>
      <c r="B715" s="25"/>
      <c r="C715" s="25"/>
      <c r="D715" s="25"/>
      <c r="E715" s="25"/>
      <c r="F715" s="25"/>
      <c r="G715" s="25"/>
      <c r="H715" s="25"/>
      <c r="I715" s="25"/>
      <c r="J715" s="25"/>
      <c r="K715" s="25"/>
      <c r="L715" s="25"/>
      <c r="M715" s="25"/>
      <c r="N715" s="25"/>
      <c r="O715" s="25"/>
      <c r="P715" s="25"/>
      <c r="Q715" s="25"/>
      <c r="R715" s="25"/>
      <c r="S715" s="25"/>
      <c r="T715" s="25"/>
      <c r="U715" s="25"/>
      <c r="V715" s="25"/>
      <c r="W715" s="25"/>
      <c r="X715" s="25"/>
      <c r="Y715" s="25"/>
      <c r="Z715" s="25"/>
    </row>
    <row r="716" customFormat="false" ht="39.75" hidden="false" customHeight="true" outlineLevel="0" collapsed="false">
      <c r="A716" s="25"/>
      <c r="B716" s="25"/>
      <c r="C716" s="25"/>
      <c r="D716" s="25"/>
      <c r="E716" s="25"/>
      <c r="F716" s="25"/>
      <c r="G716" s="25"/>
      <c r="H716" s="25"/>
      <c r="I716" s="25"/>
      <c r="J716" s="25"/>
      <c r="K716" s="25"/>
      <c r="L716" s="25"/>
      <c r="M716" s="25"/>
      <c r="N716" s="25"/>
      <c r="O716" s="25"/>
      <c r="P716" s="25"/>
      <c r="Q716" s="25"/>
      <c r="R716" s="25"/>
      <c r="S716" s="25"/>
      <c r="T716" s="25"/>
      <c r="U716" s="25"/>
      <c r="V716" s="25"/>
      <c r="W716" s="25"/>
      <c r="X716" s="25"/>
      <c r="Y716" s="25"/>
      <c r="Z716" s="25"/>
    </row>
    <row r="717" customFormat="false" ht="39.75" hidden="false" customHeight="true" outlineLevel="0" collapsed="false">
      <c r="A717" s="25"/>
      <c r="B717" s="25"/>
      <c r="C717" s="25"/>
      <c r="D717" s="25"/>
      <c r="E717" s="25"/>
      <c r="F717" s="25"/>
      <c r="G717" s="25"/>
      <c r="H717" s="25"/>
      <c r="I717" s="25"/>
      <c r="J717" s="25"/>
      <c r="K717" s="25"/>
      <c r="L717" s="25"/>
      <c r="M717" s="25"/>
      <c r="N717" s="25"/>
      <c r="O717" s="25"/>
      <c r="P717" s="25"/>
      <c r="Q717" s="25"/>
      <c r="R717" s="25"/>
      <c r="S717" s="25"/>
      <c r="T717" s="25"/>
      <c r="U717" s="25"/>
      <c r="V717" s="25"/>
      <c r="W717" s="25"/>
      <c r="X717" s="25"/>
      <c r="Y717" s="25"/>
      <c r="Z717" s="25"/>
    </row>
    <row r="718" customFormat="false" ht="39.75" hidden="false" customHeight="true" outlineLevel="0" collapsed="false">
      <c r="A718" s="25"/>
      <c r="B718" s="25"/>
      <c r="C718" s="25"/>
      <c r="D718" s="25"/>
      <c r="E718" s="25"/>
      <c r="F718" s="25"/>
      <c r="G718" s="25"/>
      <c r="H718" s="25"/>
      <c r="I718" s="25"/>
      <c r="J718" s="25"/>
      <c r="K718" s="25"/>
      <c r="L718" s="25"/>
      <c r="M718" s="25"/>
      <c r="N718" s="25"/>
      <c r="O718" s="25"/>
      <c r="P718" s="25"/>
      <c r="Q718" s="25"/>
      <c r="R718" s="25"/>
      <c r="S718" s="25"/>
      <c r="T718" s="25"/>
      <c r="U718" s="25"/>
      <c r="V718" s="25"/>
      <c r="W718" s="25"/>
      <c r="X718" s="25"/>
      <c r="Y718" s="25"/>
      <c r="Z718" s="25"/>
    </row>
    <row r="719" customFormat="false" ht="39.75" hidden="false" customHeight="true" outlineLevel="0" collapsed="false">
      <c r="A719" s="25"/>
      <c r="B719" s="25"/>
      <c r="C719" s="25"/>
      <c r="D719" s="25"/>
      <c r="E719" s="25"/>
      <c r="F719" s="25"/>
      <c r="G719" s="25"/>
      <c r="H719" s="25"/>
      <c r="I719" s="25"/>
      <c r="J719" s="25"/>
      <c r="K719" s="25"/>
      <c r="L719" s="25"/>
      <c r="M719" s="25"/>
      <c r="N719" s="25"/>
      <c r="O719" s="25"/>
      <c r="P719" s="25"/>
      <c r="Q719" s="25"/>
      <c r="R719" s="25"/>
      <c r="S719" s="25"/>
      <c r="T719" s="25"/>
      <c r="U719" s="25"/>
      <c r="V719" s="25"/>
      <c r="W719" s="25"/>
      <c r="X719" s="25"/>
      <c r="Y719" s="25"/>
      <c r="Z719" s="25"/>
    </row>
    <row r="720" customFormat="false" ht="39.75" hidden="false" customHeight="true" outlineLevel="0" collapsed="false">
      <c r="A720" s="25"/>
      <c r="B720" s="25"/>
      <c r="C720" s="25"/>
      <c r="D720" s="25"/>
      <c r="E720" s="25"/>
      <c r="F720" s="25"/>
      <c r="G720" s="25"/>
      <c r="H720" s="25"/>
      <c r="I720" s="25"/>
      <c r="J720" s="25"/>
      <c r="K720" s="25"/>
      <c r="L720" s="25"/>
      <c r="M720" s="25"/>
      <c r="N720" s="25"/>
      <c r="O720" s="25"/>
      <c r="P720" s="25"/>
      <c r="Q720" s="25"/>
      <c r="R720" s="25"/>
      <c r="S720" s="25"/>
      <c r="T720" s="25"/>
      <c r="U720" s="25"/>
      <c r="V720" s="25"/>
      <c r="W720" s="25"/>
      <c r="X720" s="25"/>
      <c r="Y720" s="25"/>
      <c r="Z720" s="25"/>
    </row>
    <row r="721" customFormat="false" ht="39.75" hidden="false" customHeight="true" outlineLevel="0" collapsed="false">
      <c r="A721" s="25"/>
      <c r="B721" s="25"/>
      <c r="C721" s="25"/>
      <c r="D721" s="25"/>
      <c r="E721" s="25"/>
      <c r="F721" s="25"/>
      <c r="G721" s="25"/>
      <c r="H721" s="25"/>
      <c r="I721" s="25"/>
      <c r="J721" s="25"/>
      <c r="K721" s="25"/>
      <c r="L721" s="25"/>
      <c r="M721" s="25"/>
      <c r="N721" s="25"/>
      <c r="O721" s="25"/>
      <c r="P721" s="25"/>
      <c r="Q721" s="25"/>
      <c r="R721" s="25"/>
      <c r="S721" s="25"/>
      <c r="T721" s="25"/>
      <c r="U721" s="25"/>
      <c r="V721" s="25"/>
      <c r="W721" s="25"/>
      <c r="X721" s="25"/>
      <c r="Y721" s="25"/>
      <c r="Z721" s="25"/>
    </row>
    <row r="722" customFormat="false" ht="39.75" hidden="false" customHeight="true" outlineLevel="0" collapsed="false">
      <c r="A722" s="25"/>
      <c r="B722" s="25"/>
      <c r="C722" s="25"/>
      <c r="D722" s="25"/>
      <c r="E722" s="25"/>
      <c r="F722" s="25"/>
      <c r="G722" s="25"/>
      <c r="H722" s="25"/>
      <c r="I722" s="25"/>
      <c r="J722" s="25"/>
      <c r="K722" s="25"/>
      <c r="L722" s="25"/>
      <c r="M722" s="25"/>
      <c r="N722" s="25"/>
      <c r="O722" s="25"/>
      <c r="P722" s="25"/>
      <c r="Q722" s="25"/>
      <c r="R722" s="25"/>
      <c r="S722" s="25"/>
      <c r="T722" s="25"/>
      <c r="U722" s="25"/>
      <c r="V722" s="25"/>
      <c r="W722" s="25"/>
      <c r="X722" s="25"/>
      <c r="Y722" s="25"/>
      <c r="Z722" s="25"/>
    </row>
    <row r="723" customFormat="false" ht="39.75" hidden="false" customHeight="true" outlineLevel="0" collapsed="false">
      <c r="A723" s="25"/>
      <c r="B723" s="25"/>
      <c r="C723" s="25"/>
      <c r="D723" s="25"/>
      <c r="E723" s="25"/>
      <c r="F723" s="25"/>
      <c r="G723" s="25"/>
      <c r="H723" s="25"/>
      <c r="I723" s="25"/>
      <c r="J723" s="25"/>
      <c r="K723" s="25"/>
      <c r="L723" s="25"/>
      <c r="M723" s="25"/>
      <c r="N723" s="25"/>
      <c r="O723" s="25"/>
      <c r="P723" s="25"/>
      <c r="Q723" s="25"/>
      <c r="R723" s="25"/>
      <c r="S723" s="25"/>
      <c r="T723" s="25"/>
      <c r="U723" s="25"/>
      <c r="V723" s="25"/>
      <c r="W723" s="25"/>
      <c r="X723" s="25"/>
      <c r="Y723" s="25"/>
      <c r="Z723" s="25"/>
    </row>
    <row r="724" customFormat="false" ht="39.75" hidden="false" customHeight="true" outlineLevel="0" collapsed="false">
      <c r="A724" s="25"/>
      <c r="B724" s="25"/>
      <c r="C724" s="25"/>
      <c r="D724" s="25"/>
      <c r="E724" s="25"/>
      <c r="F724" s="25"/>
      <c r="G724" s="25"/>
      <c r="H724" s="25"/>
      <c r="I724" s="25"/>
      <c r="J724" s="25"/>
      <c r="K724" s="25"/>
      <c r="L724" s="25"/>
      <c r="M724" s="25"/>
      <c r="N724" s="25"/>
      <c r="O724" s="25"/>
      <c r="P724" s="25"/>
      <c r="Q724" s="25"/>
      <c r="R724" s="25"/>
      <c r="S724" s="25"/>
      <c r="T724" s="25"/>
      <c r="U724" s="25"/>
      <c r="V724" s="25"/>
      <c r="W724" s="25"/>
      <c r="X724" s="25"/>
      <c r="Y724" s="25"/>
      <c r="Z724" s="25"/>
    </row>
    <row r="725" customFormat="false" ht="39.75" hidden="false" customHeight="true" outlineLevel="0" collapsed="false">
      <c r="A725" s="25"/>
      <c r="B725" s="25"/>
      <c r="C725" s="25"/>
      <c r="D725" s="25"/>
      <c r="E725" s="25"/>
      <c r="F725" s="25"/>
      <c r="G725" s="25"/>
      <c r="H725" s="25"/>
      <c r="I725" s="25"/>
      <c r="J725" s="25"/>
      <c r="K725" s="25"/>
      <c r="L725" s="25"/>
      <c r="M725" s="25"/>
      <c r="N725" s="25"/>
      <c r="O725" s="25"/>
      <c r="P725" s="25"/>
      <c r="Q725" s="25"/>
      <c r="R725" s="25"/>
      <c r="S725" s="25"/>
      <c r="T725" s="25"/>
      <c r="U725" s="25"/>
      <c r="V725" s="25"/>
      <c r="W725" s="25"/>
      <c r="X725" s="25"/>
      <c r="Y725" s="25"/>
      <c r="Z725" s="25"/>
    </row>
    <row r="726" customFormat="false" ht="39.75" hidden="false" customHeight="true" outlineLevel="0" collapsed="false">
      <c r="A726" s="25"/>
      <c r="B726" s="25"/>
      <c r="C726" s="25"/>
      <c r="D726" s="25"/>
      <c r="E726" s="25"/>
      <c r="F726" s="25"/>
      <c r="G726" s="25"/>
      <c r="H726" s="25"/>
      <c r="I726" s="25"/>
      <c r="J726" s="25"/>
      <c r="K726" s="25"/>
      <c r="L726" s="25"/>
      <c r="M726" s="25"/>
      <c r="N726" s="25"/>
      <c r="O726" s="25"/>
      <c r="P726" s="25"/>
      <c r="Q726" s="25"/>
      <c r="R726" s="25"/>
      <c r="S726" s="25"/>
      <c r="T726" s="25"/>
      <c r="U726" s="25"/>
      <c r="V726" s="25"/>
      <c r="W726" s="25"/>
      <c r="X726" s="25"/>
      <c r="Y726" s="25"/>
      <c r="Z726" s="25"/>
    </row>
    <row r="727" customFormat="false" ht="39.75" hidden="false" customHeight="true" outlineLevel="0" collapsed="false">
      <c r="A727" s="25"/>
      <c r="B727" s="25"/>
      <c r="C727" s="25"/>
      <c r="D727" s="25"/>
      <c r="E727" s="25"/>
      <c r="F727" s="25"/>
      <c r="G727" s="25"/>
      <c r="H727" s="25"/>
      <c r="I727" s="25"/>
      <c r="J727" s="25"/>
      <c r="K727" s="25"/>
      <c r="L727" s="25"/>
      <c r="M727" s="25"/>
      <c r="N727" s="25"/>
      <c r="O727" s="25"/>
      <c r="P727" s="25"/>
      <c r="Q727" s="25"/>
      <c r="R727" s="25"/>
      <c r="S727" s="25"/>
      <c r="T727" s="25"/>
      <c r="U727" s="25"/>
      <c r="V727" s="25"/>
      <c r="W727" s="25"/>
      <c r="X727" s="25"/>
      <c r="Y727" s="25"/>
      <c r="Z727" s="25"/>
    </row>
    <row r="728" customFormat="false" ht="39.75" hidden="false" customHeight="true" outlineLevel="0" collapsed="false">
      <c r="A728" s="25"/>
      <c r="B728" s="25"/>
      <c r="C728" s="25"/>
      <c r="D728" s="25"/>
      <c r="E728" s="25"/>
      <c r="F728" s="25"/>
      <c r="G728" s="25"/>
      <c r="H728" s="25"/>
      <c r="I728" s="25"/>
      <c r="J728" s="25"/>
      <c r="K728" s="25"/>
      <c r="L728" s="25"/>
      <c r="M728" s="25"/>
      <c r="N728" s="25"/>
      <c r="O728" s="25"/>
      <c r="P728" s="25"/>
      <c r="Q728" s="25"/>
      <c r="R728" s="25"/>
      <c r="S728" s="25"/>
      <c r="T728" s="25"/>
      <c r="U728" s="25"/>
      <c r="V728" s="25"/>
      <c r="W728" s="25"/>
      <c r="X728" s="25"/>
      <c r="Y728" s="25"/>
      <c r="Z728" s="25"/>
    </row>
    <row r="729" customFormat="false" ht="39.75" hidden="false" customHeight="true" outlineLevel="0" collapsed="false">
      <c r="A729" s="25"/>
      <c r="B729" s="25"/>
      <c r="C729" s="25"/>
      <c r="D729" s="25"/>
      <c r="E729" s="25"/>
      <c r="F729" s="25"/>
      <c r="G729" s="25"/>
      <c r="H729" s="25"/>
      <c r="I729" s="25"/>
      <c r="J729" s="25"/>
      <c r="K729" s="25"/>
      <c r="L729" s="25"/>
      <c r="M729" s="25"/>
      <c r="N729" s="25"/>
      <c r="O729" s="25"/>
      <c r="P729" s="25"/>
      <c r="Q729" s="25"/>
      <c r="R729" s="25"/>
      <c r="S729" s="25"/>
      <c r="T729" s="25"/>
      <c r="U729" s="25"/>
      <c r="V729" s="25"/>
      <c r="W729" s="25"/>
      <c r="X729" s="25"/>
      <c r="Y729" s="25"/>
      <c r="Z729" s="25"/>
    </row>
    <row r="730" customFormat="false" ht="39.75" hidden="false" customHeight="true" outlineLevel="0" collapsed="false">
      <c r="A730" s="25"/>
      <c r="B730" s="25"/>
      <c r="C730" s="25"/>
      <c r="D730" s="25"/>
      <c r="E730" s="25"/>
      <c r="F730" s="25"/>
      <c r="G730" s="25"/>
      <c r="H730" s="25"/>
      <c r="I730" s="25"/>
      <c r="J730" s="25"/>
      <c r="K730" s="25"/>
      <c r="L730" s="25"/>
      <c r="M730" s="25"/>
      <c r="N730" s="25"/>
      <c r="O730" s="25"/>
      <c r="P730" s="25"/>
      <c r="Q730" s="25"/>
      <c r="R730" s="25"/>
      <c r="S730" s="25"/>
      <c r="T730" s="25"/>
      <c r="U730" s="25"/>
      <c r="V730" s="25"/>
      <c r="W730" s="25"/>
      <c r="X730" s="25"/>
      <c r="Y730" s="25"/>
      <c r="Z730" s="25"/>
    </row>
    <row r="731" customFormat="false" ht="39.75" hidden="false" customHeight="true" outlineLevel="0" collapsed="false">
      <c r="A731" s="25"/>
      <c r="B731" s="25"/>
      <c r="C731" s="25"/>
      <c r="D731" s="25"/>
      <c r="E731" s="25"/>
      <c r="F731" s="25"/>
      <c r="G731" s="25"/>
      <c r="H731" s="25"/>
      <c r="I731" s="25"/>
      <c r="J731" s="25"/>
      <c r="K731" s="25"/>
      <c r="L731" s="25"/>
      <c r="M731" s="25"/>
      <c r="N731" s="25"/>
      <c r="O731" s="25"/>
      <c r="P731" s="25"/>
      <c r="Q731" s="25"/>
      <c r="R731" s="25"/>
      <c r="S731" s="25"/>
      <c r="T731" s="25"/>
      <c r="U731" s="25"/>
      <c r="V731" s="25"/>
      <c r="W731" s="25"/>
      <c r="X731" s="25"/>
      <c r="Y731" s="25"/>
      <c r="Z731" s="25"/>
    </row>
    <row r="732" customFormat="false" ht="39.75" hidden="false" customHeight="true" outlineLevel="0" collapsed="false">
      <c r="A732" s="25"/>
      <c r="B732" s="25"/>
      <c r="C732" s="25"/>
      <c r="D732" s="25"/>
      <c r="E732" s="25"/>
      <c r="F732" s="25"/>
      <c r="G732" s="25"/>
      <c r="H732" s="25"/>
      <c r="I732" s="25"/>
      <c r="J732" s="25"/>
      <c r="K732" s="25"/>
      <c r="L732" s="25"/>
      <c r="M732" s="25"/>
      <c r="N732" s="25"/>
      <c r="O732" s="25"/>
      <c r="P732" s="25"/>
      <c r="Q732" s="25"/>
      <c r="R732" s="25"/>
      <c r="S732" s="25"/>
      <c r="T732" s="25"/>
      <c r="U732" s="25"/>
      <c r="V732" s="25"/>
      <c r="W732" s="25"/>
      <c r="X732" s="25"/>
      <c r="Y732" s="25"/>
      <c r="Z732" s="25"/>
    </row>
    <row r="733" customFormat="false" ht="39.75" hidden="false" customHeight="true" outlineLevel="0" collapsed="false">
      <c r="A733" s="25"/>
      <c r="B733" s="25"/>
      <c r="C733" s="25"/>
      <c r="D733" s="25"/>
      <c r="E733" s="25"/>
      <c r="F733" s="25"/>
      <c r="G733" s="25"/>
      <c r="H733" s="25"/>
      <c r="I733" s="25"/>
      <c r="J733" s="25"/>
      <c r="K733" s="25"/>
      <c r="L733" s="25"/>
      <c r="M733" s="25"/>
      <c r="N733" s="25"/>
      <c r="O733" s="25"/>
      <c r="P733" s="25"/>
      <c r="Q733" s="25"/>
      <c r="R733" s="25"/>
      <c r="S733" s="25"/>
      <c r="T733" s="25"/>
      <c r="U733" s="25"/>
      <c r="V733" s="25"/>
      <c r="W733" s="25"/>
      <c r="X733" s="25"/>
      <c r="Y733" s="25"/>
      <c r="Z733" s="25"/>
    </row>
    <row r="734" customFormat="false" ht="39.75" hidden="false" customHeight="true" outlineLevel="0" collapsed="false">
      <c r="A734" s="25"/>
      <c r="B734" s="25"/>
      <c r="C734" s="25"/>
      <c r="D734" s="25"/>
      <c r="E734" s="25"/>
      <c r="F734" s="25"/>
      <c r="G734" s="25"/>
      <c r="H734" s="25"/>
      <c r="I734" s="25"/>
      <c r="J734" s="25"/>
      <c r="K734" s="25"/>
      <c r="L734" s="25"/>
      <c r="M734" s="25"/>
      <c r="N734" s="25"/>
      <c r="O734" s="25"/>
      <c r="P734" s="25"/>
      <c r="Q734" s="25"/>
      <c r="R734" s="25"/>
      <c r="S734" s="25"/>
      <c r="T734" s="25"/>
      <c r="U734" s="25"/>
      <c r="V734" s="25"/>
      <c r="W734" s="25"/>
      <c r="X734" s="25"/>
      <c r="Y734" s="25"/>
      <c r="Z734" s="25"/>
    </row>
    <row r="735" customFormat="false" ht="39.75" hidden="false" customHeight="true" outlineLevel="0" collapsed="false">
      <c r="A735" s="25"/>
      <c r="B735" s="25"/>
      <c r="C735" s="25"/>
      <c r="D735" s="25"/>
      <c r="E735" s="25"/>
      <c r="F735" s="25"/>
      <c r="G735" s="25"/>
      <c r="H735" s="25"/>
      <c r="I735" s="25"/>
      <c r="J735" s="25"/>
      <c r="K735" s="25"/>
      <c r="L735" s="25"/>
      <c r="M735" s="25"/>
      <c r="N735" s="25"/>
      <c r="O735" s="25"/>
      <c r="P735" s="25"/>
      <c r="Q735" s="25"/>
      <c r="R735" s="25"/>
      <c r="S735" s="25"/>
      <c r="T735" s="25"/>
      <c r="U735" s="25"/>
      <c r="V735" s="25"/>
      <c r="W735" s="25"/>
      <c r="X735" s="25"/>
      <c r="Y735" s="25"/>
      <c r="Z735" s="25"/>
    </row>
    <row r="736" customFormat="false" ht="39.75" hidden="false" customHeight="true" outlineLevel="0" collapsed="false">
      <c r="A736" s="25"/>
      <c r="B736" s="25"/>
      <c r="C736" s="25"/>
      <c r="D736" s="25"/>
      <c r="E736" s="25"/>
      <c r="F736" s="25"/>
      <c r="G736" s="25"/>
      <c r="H736" s="25"/>
      <c r="I736" s="25"/>
      <c r="J736" s="25"/>
      <c r="K736" s="25"/>
      <c r="L736" s="25"/>
      <c r="M736" s="25"/>
      <c r="N736" s="25"/>
      <c r="O736" s="25"/>
      <c r="P736" s="25"/>
      <c r="Q736" s="25"/>
      <c r="R736" s="25"/>
      <c r="S736" s="25"/>
      <c r="T736" s="25"/>
      <c r="U736" s="25"/>
      <c r="V736" s="25"/>
      <c r="W736" s="25"/>
      <c r="X736" s="25"/>
      <c r="Y736" s="25"/>
      <c r="Z736" s="25"/>
    </row>
    <row r="737" customFormat="false" ht="39.75" hidden="false" customHeight="true" outlineLevel="0" collapsed="false">
      <c r="A737" s="25"/>
      <c r="B737" s="25"/>
      <c r="C737" s="25"/>
      <c r="D737" s="25"/>
      <c r="E737" s="25"/>
      <c r="F737" s="25"/>
      <c r="G737" s="25"/>
      <c r="H737" s="25"/>
      <c r="I737" s="25"/>
      <c r="J737" s="25"/>
      <c r="K737" s="25"/>
      <c r="L737" s="25"/>
      <c r="M737" s="25"/>
      <c r="N737" s="25"/>
      <c r="O737" s="25"/>
      <c r="P737" s="25"/>
      <c r="Q737" s="25"/>
      <c r="R737" s="25"/>
      <c r="S737" s="25"/>
      <c r="T737" s="25"/>
      <c r="U737" s="25"/>
      <c r="V737" s="25"/>
      <c r="W737" s="25"/>
      <c r="X737" s="25"/>
      <c r="Y737" s="25"/>
      <c r="Z737" s="25"/>
    </row>
    <row r="738" customFormat="false" ht="39.75" hidden="false" customHeight="true" outlineLevel="0" collapsed="false">
      <c r="A738" s="25"/>
      <c r="B738" s="25"/>
      <c r="C738" s="25"/>
      <c r="D738" s="25"/>
      <c r="E738" s="25"/>
      <c r="F738" s="25"/>
      <c r="G738" s="25"/>
      <c r="H738" s="25"/>
      <c r="I738" s="25"/>
      <c r="J738" s="25"/>
      <c r="K738" s="25"/>
      <c r="L738" s="25"/>
      <c r="M738" s="25"/>
      <c r="N738" s="25"/>
      <c r="O738" s="25"/>
      <c r="P738" s="25"/>
      <c r="Q738" s="25"/>
      <c r="R738" s="25"/>
      <c r="S738" s="25"/>
      <c r="T738" s="25"/>
      <c r="U738" s="25"/>
      <c r="V738" s="25"/>
      <c r="W738" s="25"/>
      <c r="X738" s="25"/>
      <c r="Y738" s="25"/>
      <c r="Z738" s="25"/>
    </row>
    <row r="739" customFormat="false" ht="39.75" hidden="false" customHeight="true" outlineLevel="0" collapsed="false">
      <c r="A739" s="25"/>
      <c r="B739" s="25"/>
      <c r="C739" s="25"/>
      <c r="D739" s="25"/>
      <c r="E739" s="25"/>
      <c r="F739" s="25"/>
      <c r="G739" s="25"/>
      <c r="H739" s="25"/>
      <c r="I739" s="25"/>
      <c r="J739" s="25"/>
      <c r="K739" s="25"/>
      <c r="L739" s="25"/>
      <c r="M739" s="25"/>
      <c r="N739" s="25"/>
      <c r="O739" s="25"/>
      <c r="P739" s="25"/>
      <c r="Q739" s="25"/>
      <c r="R739" s="25"/>
      <c r="S739" s="25"/>
      <c r="T739" s="25"/>
      <c r="U739" s="25"/>
      <c r="V739" s="25"/>
      <c r="W739" s="25"/>
      <c r="X739" s="25"/>
      <c r="Y739" s="25"/>
      <c r="Z739" s="25"/>
    </row>
    <row r="740" customFormat="false" ht="39.75" hidden="false" customHeight="true" outlineLevel="0" collapsed="false">
      <c r="A740" s="25"/>
      <c r="B740" s="25"/>
      <c r="C740" s="25"/>
      <c r="D740" s="25"/>
      <c r="E740" s="25"/>
      <c r="F740" s="25"/>
      <c r="G740" s="25"/>
      <c r="H740" s="25"/>
      <c r="I740" s="25"/>
      <c r="J740" s="25"/>
      <c r="K740" s="25"/>
      <c r="L740" s="25"/>
      <c r="M740" s="25"/>
      <c r="N740" s="25"/>
      <c r="O740" s="25"/>
      <c r="P740" s="25"/>
      <c r="Q740" s="25"/>
      <c r="R740" s="25"/>
      <c r="S740" s="25"/>
      <c r="T740" s="25"/>
      <c r="U740" s="25"/>
      <c r="V740" s="25"/>
      <c r="W740" s="25"/>
      <c r="X740" s="25"/>
      <c r="Y740" s="25"/>
      <c r="Z740" s="25"/>
    </row>
    <row r="741" customFormat="false" ht="39.75" hidden="false" customHeight="true" outlineLevel="0" collapsed="false">
      <c r="A741" s="25"/>
      <c r="B741" s="25"/>
      <c r="C741" s="25"/>
      <c r="D741" s="25"/>
      <c r="E741" s="25"/>
      <c r="F741" s="25"/>
      <c r="G741" s="25"/>
      <c r="H741" s="25"/>
      <c r="I741" s="25"/>
      <c r="J741" s="25"/>
      <c r="K741" s="25"/>
      <c r="L741" s="25"/>
      <c r="M741" s="25"/>
      <c r="N741" s="25"/>
      <c r="O741" s="25"/>
      <c r="P741" s="25"/>
      <c r="Q741" s="25"/>
      <c r="R741" s="25"/>
      <c r="S741" s="25"/>
      <c r="T741" s="25"/>
      <c r="U741" s="25"/>
      <c r="V741" s="25"/>
      <c r="W741" s="25"/>
      <c r="X741" s="25"/>
      <c r="Y741" s="25"/>
      <c r="Z741" s="25"/>
    </row>
    <row r="742" customFormat="false" ht="39.75" hidden="false" customHeight="true" outlineLevel="0" collapsed="false">
      <c r="A742" s="25"/>
      <c r="B742" s="25"/>
      <c r="C742" s="25"/>
      <c r="D742" s="25"/>
      <c r="E742" s="25"/>
      <c r="F742" s="25"/>
      <c r="G742" s="25"/>
      <c r="H742" s="25"/>
      <c r="I742" s="25"/>
      <c r="J742" s="25"/>
      <c r="K742" s="25"/>
      <c r="L742" s="25"/>
      <c r="M742" s="25"/>
      <c r="N742" s="25"/>
      <c r="O742" s="25"/>
      <c r="P742" s="25"/>
      <c r="Q742" s="25"/>
      <c r="R742" s="25"/>
      <c r="S742" s="25"/>
      <c r="T742" s="25"/>
      <c r="U742" s="25"/>
      <c r="V742" s="25"/>
      <c r="W742" s="25"/>
      <c r="X742" s="25"/>
      <c r="Y742" s="25"/>
      <c r="Z742" s="25"/>
    </row>
    <row r="743" customFormat="false" ht="39.75" hidden="false" customHeight="true" outlineLevel="0" collapsed="false">
      <c r="A743" s="25"/>
      <c r="B743" s="25"/>
      <c r="C743" s="25"/>
      <c r="D743" s="25"/>
      <c r="E743" s="25"/>
      <c r="F743" s="25"/>
      <c r="G743" s="25"/>
      <c r="H743" s="25"/>
      <c r="I743" s="25"/>
      <c r="J743" s="25"/>
      <c r="K743" s="25"/>
      <c r="L743" s="25"/>
      <c r="M743" s="25"/>
      <c r="N743" s="25"/>
      <c r="O743" s="25"/>
      <c r="P743" s="25"/>
      <c r="Q743" s="25"/>
      <c r="R743" s="25"/>
      <c r="S743" s="25"/>
      <c r="T743" s="25"/>
      <c r="U743" s="25"/>
      <c r="V743" s="25"/>
      <c r="W743" s="25"/>
      <c r="X743" s="25"/>
      <c r="Y743" s="25"/>
      <c r="Z743" s="25"/>
    </row>
    <row r="744" customFormat="false" ht="39.75" hidden="false" customHeight="true" outlineLevel="0" collapsed="false">
      <c r="A744" s="25"/>
      <c r="B744" s="25"/>
      <c r="C744" s="25"/>
      <c r="D744" s="25"/>
      <c r="E744" s="25"/>
      <c r="F744" s="25"/>
      <c r="G744" s="25"/>
      <c r="H744" s="25"/>
      <c r="I744" s="25"/>
      <c r="J744" s="25"/>
      <c r="K744" s="25"/>
      <c r="L744" s="25"/>
      <c r="M744" s="25"/>
      <c r="N744" s="25"/>
      <c r="O744" s="25"/>
      <c r="P744" s="25"/>
      <c r="Q744" s="25"/>
      <c r="R744" s="25"/>
      <c r="S744" s="25"/>
      <c r="T744" s="25"/>
      <c r="U744" s="25"/>
      <c r="V744" s="25"/>
      <c r="W744" s="25"/>
      <c r="X744" s="25"/>
      <c r="Y744" s="25"/>
      <c r="Z744" s="25"/>
    </row>
    <row r="745" customFormat="false" ht="39.75" hidden="false" customHeight="true" outlineLevel="0" collapsed="false">
      <c r="A745" s="25"/>
      <c r="B745" s="25"/>
      <c r="C745" s="25"/>
      <c r="D745" s="25"/>
      <c r="E745" s="25"/>
      <c r="F745" s="25"/>
      <c r="G745" s="25"/>
      <c r="H745" s="25"/>
      <c r="I745" s="25"/>
      <c r="J745" s="25"/>
      <c r="K745" s="25"/>
      <c r="L745" s="25"/>
      <c r="M745" s="25"/>
      <c r="N745" s="25"/>
      <c r="O745" s="25"/>
      <c r="P745" s="25"/>
      <c r="Q745" s="25"/>
      <c r="R745" s="25"/>
      <c r="S745" s="25"/>
      <c r="T745" s="25"/>
      <c r="U745" s="25"/>
      <c r="V745" s="25"/>
      <c r="W745" s="25"/>
      <c r="X745" s="25"/>
      <c r="Y745" s="25"/>
      <c r="Z745" s="25"/>
    </row>
    <row r="746" customFormat="false" ht="39.75" hidden="false" customHeight="true" outlineLevel="0" collapsed="false">
      <c r="A746" s="25"/>
      <c r="B746" s="25"/>
      <c r="C746" s="25"/>
      <c r="D746" s="25"/>
      <c r="E746" s="25"/>
      <c r="F746" s="25"/>
      <c r="G746" s="25"/>
      <c r="H746" s="25"/>
      <c r="I746" s="25"/>
      <c r="J746" s="25"/>
      <c r="K746" s="25"/>
      <c r="L746" s="25"/>
      <c r="M746" s="25"/>
      <c r="N746" s="25"/>
      <c r="O746" s="25"/>
      <c r="P746" s="25"/>
      <c r="Q746" s="25"/>
      <c r="R746" s="25"/>
      <c r="S746" s="25"/>
      <c r="T746" s="25"/>
      <c r="U746" s="25"/>
      <c r="V746" s="25"/>
      <c r="W746" s="25"/>
      <c r="X746" s="25"/>
      <c r="Y746" s="25"/>
      <c r="Z746" s="25"/>
    </row>
    <row r="747" customFormat="false" ht="39.75" hidden="false" customHeight="true" outlineLevel="0" collapsed="false">
      <c r="A747" s="25"/>
      <c r="B747" s="25"/>
      <c r="C747" s="25"/>
      <c r="D747" s="25"/>
      <c r="E747" s="25"/>
      <c r="F747" s="25"/>
      <c r="G747" s="25"/>
      <c r="H747" s="25"/>
      <c r="I747" s="25"/>
      <c r="J747" s="25"/>
      <c r="K747" s="25"/>
      <c r="L747" s="25"/>
      <c r="M747" s="25"/>
      <c r="N747" s="25"/>
      <c r="O747" s="25"/>
      <c r="P747" s="25"/>
      <c r="Q747" s="25"/>
      <c r="R747" s="25"/>
      <c r="S747" s="25"/>
      <c r="T747" s="25"/>
      <c r="U747" s="25"/>
      <c r="V747" s="25"/>
      <c r="W747" s="25"/>
      <c r="X747" s="25"/>
      <c r="Y747" s="25"/>
      <c r="Z747" s="25"/>
    </row>
    <row r="748" customFormat="false" ht="39.75" hidden="false" customHeight="true" outlineLevel="0" collapsed="false">
      <c r="A748" s="25"/>
      <c r="B748" s="25"/>
      <c r="C748" s="25"/>
      <c r="D748" s="25"/>
      <c r="E748" s="25"/>
      <c r="F748" s="25"/>
      <c r="G748" s="25"/>
      <c r="H748" s="25"/>
      <c r="I748" s="25"/>
      <c r="J748" s="25"/>
      <c r="K748" s="25"/>
      <c r="L748" s="25"/>
      <c r="M748" s="25"/>
      <c r="N748" s="25"/>
      <c r="O748" s="25"/>
      <c r="P748" s="25"/>
      <c r="Q748" s="25"/>
      <c r="R748" s="25"/>
      <c r="S748" s="25"/>
      <c r="T748" s="25"/>
      <c r="U748" s="25"/>
      <c r="V748" s="25"/>
      <c r="W748" s="25"/>
      <c r="X748" s="25"/>
      <c r="Y748" s="25"/>
      <c r="Z748" s="25"/>
    </row>
    <row r="749" customFormat="false" ht="39.75" hidden="false" customHeight="true" outlineLevel="0" collapsed="false">
      <c r="A749" s="25"/>
      <c r="B749" s="25"/>
      <c r="C749" s="25"/>
      <c r="D749" s="25"/>
      <c r="E749" s="25"/>
      <c r="F749" s="25"/>
      <c r="G749" s="25"/>
      <c r="H749" s="25"/>
      <c r="I749" s="25"/>
      <c r="J749" s="25"/>
      <c r="K749" s="25"/>
      <c r="L749" s="25"/>
      <c r="M749" s="25"/>
      <c r="N749" s="25"/>
      <c r="O749" s="25"/>
      <c r="P749" s="25"/>
      <c r="Q749" s="25"/>
      <c r="R749" s="25"/>
      <c r="S749" s="25"/>
      <c r="T749" s="25"/>
      <c r="U749" s="25"/>
      <c r="V749" s="25"/>
      <c r="W749" s="25"/>
      <c r="X749" s="25"/>
      <c r="Y749" s="25"/>
      <c r="Z749" s="25"/>
    </row>
    <row r="750" customFormat="false" ht="39.75" hidden="false" customHeight="true" outlineLevel="0" collapsed="false">
      <c r="A750" s="25"/>
      <c r="B750" s="25"/>
      <c r="C750" s="25"/>
      <c r="D750" s="25"/>
      <c r="E750" s="25"/>
      <c r="F750" s="25"/>
      <c r="G750" s="25"/>
      <c r="H750" s="25"/>
      <c r="I750" s="25"/>
      <c r="J750" s="25"/>
      <c r="K750" s="25"/>
      <c r="L750" s="25"/>
      <c r="M750" s="25"/>
      <c r="N750" s="25"/>
      <c r="O750" s="25"/>
      <c r="P750" s="25"/>
      <c r="Q750" s="25"/>
      <c r="R750" s="25"/>
      <c r="S750" s="25"/>
      <c r="T750" s="25"/>
      <c r="U750" s="25"/>
      <c r="V750" s="25"/>
      <c r="W750" s="25"/>
      <c r="X750" s="25"/>
      <c r="Y750" s="25"/>
      <c r="Z750" s="25"/>
    </row>
    <row r="751" customFormat="false" ht="39.75" hidden="false" customHeight="true" outlineLevel="0" collapsed="false">
      <c r="A751" s="25"/>
      <c r="B751" s="25"/>
      <c r="C751" s="25"/>
      <c r="D751" s="25"/>
      <c r="E751" s="25"/>
      <c r="F751" s="25"/>
      <c r="G751" s="25"/>
      <c r="H751" s="25"/>
      <c r="I751" s="25"/>
      <c r="J751" s="25"/>
      <c r="K751" s="25"/>
      <c r="L751" s="25"/>
      <c r="M751" s="25"/>
      <c r="N751" s="25"/>
      <c r="O751" s="25"/>
      <c r="P751" s="25"/>
      <c r="Q751" s="25"/>
      <c r="R751" s="25"/>
      <c r="S751" s="25"/>
      <c r="T751" s="25"/>
      <c r="U751" s="25"/>
      <c r="V751" s="25"/>
      <c r="W751" s="25"/>
      <c r="X751" s="25"/>
      <c r="Y751" s="25"/>
      <c r="Z751" s="25"/>
    </row>
    <row r="752" customFormat="false" ht="39.75" hidden="false" customHeight="true" outlineLevel="0" collapsed="false">
      <c r="A752" s="25"/>
      <c r="B752" s="25"/>
      <c r="C752" s="25"/>
      <c r="D752" s="25"/>
      <c r="E752" s="25"/>
      <c r="F752" s="25"/>
      <c r="G752" s="25"/>
      <c r="H752" s="25"/>
      <c r="I752" s="25"/>
      <c r="J752" s="25"/>
      <c r="K752" s="25"/>
      <c r="L752" s="25"/>
      <c r="M752" s="25"/>
      <c r="N752" s="25"/>
      <c r="O752" s="25"/>
      <c r="P752" s="25"/>
      <c r="Q752" s="25"/>
      <c r="R752" s="25"/>
      <c r="S752" s="25"/>
      <c r="T752" s="25"/>
      <c r="U752" s="25"/>
      <c r="V752" s="25"/>
      <c r="W752" s="25"/>
      <c r="X752" s="25"/>
      <c r="Y752" s="25"/>
      <c r="Z752" s="25"/>
    </row>
    <row r="753" customFormat="false" ht="39.75" hidden="false" customHeight="true" outlineLevel="0" collapsed="false">
      <c r="A753" s="25"/>
      <c r="B753" s="25"/>
      <c r="C753" s="25"/>
      <c r="D753" s="25"/>
      <c r="E753" s="25"/>
      <c r="F753" s="25"/>
      <c r="G753" s="25"/>
      <c r="H753" s="25"/>
      <c r="I753" s="25"/>
      <c r="J753" s="25"/>
      <c r="K753" s="25"/>
      <c r="L753" s="25"/>
      <c r="M753" s="25"/>
      <c r="N753" s="25"/>
      <c r="O753" s="25"/>
      <c r="P753" s="25"/>
      <c r="Q753" s="25"/>
      <c r="R753" s="25"/>
      <c r="S753" s="25"/>
      <c r="T753" s="25"/>
      <c r="U753" s="25"/>
      <c r="V753" s="25"/>
      <c r="W753" s="25"/>
      <c r="X753" s="25"/>
      <c r="Y753" s="25"/>
      <c r="Z753" s="25"/>
    </row>
    <row r="754" customFormat="false" ht="39.75" hidden="false" customHeight="true" outlineLevel="0" collapsed="false">
      <c r="A754" s="25"/>
      <c r="B754" s="25"/>
      <c r="C754" s="25"/>
      <c r="D754" s="25"/>
      <c r="E754" s="25"/>
      <c r="F754" s="25"/>
      <c r="G754" s="25"/>
      <c r="H754" s="25"/>
      <c r="I754" s="25"/>
      <c r="J754" s="25"/>
      <c r="K754" s="25"/>
      <c r="L754" s="25"/>
      <c r="M754" s="25"/>
      <c r="N754" s="25"/>
      <c r="O754" s="25"/>
      <c r="P754" s="25"/>
      <c r="Q754" s="25"/>
      <c r="R754" s="25"/>
      <c r="S754" s="25"/>
      <c r="T754" s="25"/>
      <c r="U754" s="25"/>
      <c r="V754" s="25"/>
      <c r="W754" s="25"/>
      <c r="X754" s="25"/>
      <c r="Y754" s="25"/>
      <c r="Z754" s="25"/>
    </row>
    <row r="755" customFormat="false" ht="39.75" hidden="false" customHeight="true" outlineLevel="0" collapsed="false">
      <c r="A755" s="25"/>
      <c r="B755" s="25"/>
      <c r="C755" s="25"/>
      <c r="D755" s="25"/>
      <c r="E755" s="25"/>
      <c r="F755" s="25"/>
      <c r="G755" s="25"/>
      <c r="H755" s="25"/>
      <c r="I755" s="25"/>
      <c r="J755" s="25"/>
      <c r="K755" s="25"/>
      <c r="L755" s="25"/>
      <c r="M755" s="25"/>
      <c r="N755" s="25"/>
      <c r="O755" s="25"/>
      <c r="P755" s="25"/>
      <c r="Q755" s="25"/>
      <c r="R755" s="25"/>
      <c r="S755" s="25"/>
      <c r="T755" s="25"/>
      <c r="U755" s="25"/>
      <c r="V755" s="25"/>
      <c r="W755" s="25"/>
      <c r="X755" s="25"/>
      <c r="Y755" s="25"/>
      <c r="Z755" s="25"/>
    </row>
    <row r="756" customFormat="false" ht="39.75" hidden="false" customHeight="true" outlineLevel="0" collapsed="false">
      <c r="A756" s="25"/>
      <c r="B756" s="25"/>
      <c r="C756" s="25"/>
      <c r="D756" s="25"/>
      <c r="E756" s="25"/>
      <c r="F756" s="25"/>
      <c r="G756" s="25"/>
      <c r="H756" s="25"/>
      <c r="I756" s="25"/>
      <c r="J756" s="25"/>
      <c r="K756" s="25"/>
      <c r="L756" s="25"/>
      <c r="M756" s="25"/>
      <c r="N756" s="25"/>
      <c r="O756" s="25"/>
      <c r="P756" s="25"/>
      <c r="Q756" s="25"/>
      <c r="R756" s="25"/>
      <c r="S756" s="25"/>
      <c r="T756" s="25"/>
      <c r="U756" s="25"/>
      <c r="V756" s="25"/>
      <c r="W756" s="25"/>
      <c r="X756" s="25"/>
      <c r="Y756" s="25"/>
      <c r="Z756" s="25"/>
    </row>
    <row r="757" customFormat="false" ht="39.75" hidden="false" customHeight="true" outlineLevel="0" collapsed="false">
      <c r="A757" s="25"/>
      <c r="B757" s="25"/>
      <c r="C757" s="25"/>
      <c r="D757" s="25"/>
      <c r="E757" s="25"/>
      <c r="F757" s="25"/>
      <c r="G757" s="25"/>
      <c r="H757" s="25"/>
      <c r="I757" s="25"/>
      <c r="J757" s="25"/>
      <c r="K757" s="25"/>
      <c r="L757" s="25"/>
      <c r="M757" s="25"/>
      <c r="N757" s="25"/>
      <c r="O757" s="25"/>
      <c r="P757" s="25"/>
      <c r="Q757" s="25"/>
      <c r="R757" s="25"/>
      <c r="S757" s="25"/>
      <c r="T757" s="25"/>
      <c r="U757" s="25"/>
      <c r="V757" s="25"/>
      <c r="W757" s="25"/>
      <c r="X757" s="25"/>
      <c r="Y757" s="25"/>
      <c r="Z757" s="25"/>
    </row>
    <row r="758" customFormat="false" ht="39.75" hidden="false" customHeight="true" outlineLevel="0" collapsed="false">
      <c r="A758" s="25"/>
      <c r="B758" s="25"/>
      <c r="C758" s="25"/>
      <c r="D758" s="25"/>
      <c r="E758" s="25"/>
      <c r="F758" s="25"/>
      <c r="G758" s="25"/>
      <c r="H758" s="25"/>
      <c r="I758" s="25"/>
      <c r="J758" s="25"/>
      <c r="K758" s="25"/>
      <c r="L758" s="25"/>
      <c r="M758" s="25"/>
      <c r="N758" s="25"/>
      <c r="O758" s="25"/>
      <c r="P758" s="25"/>
      <c r="Q758" s="25"/>
      <c r="R758" s="25"/>
      <c r="S758" s="25"/>
      <c r="T758" s="25"/>
      <c r="U758" s="25"/>
      <c r="V758" s="25"/>
      <c r="W758" s="25"/>
      <c r="X758" s="25"/>
      <c r="Y758" s="25"/>
      <c r="Z758" s="25"/>
    </row>
    <row r="759" customFormat="false" ht="39.75" hidden="false" customHeight="true" outlineLevel="0" collapsed="false">
      <c r="A759" s="25"/>
      <c r="B759" s="25"/>
      <c r="C759" s="25"/>
      <c r="D759" s="25"/>
      <c r="E759" s="25"/>
      <c r="F759" s="25"/>
      <c r="G759" s="25"/>
      <c r="H759" s="25"/>
      <c r="I759" s="25"/>
      <c r="J759" s="25"/>
      <c r="K759" s="25"/>
      <c r="L759" s="25"/>
      <c r="M759" s="25"/>
      <c r="N759" s="25"/>
      <c r="O759" s="25"/>
      <c r="P759" s="25"/>
      <c r="Q759" s="25"/>
      <c r="R759" s="25"/>
      <c r="S759" s="25"/>
      <c r="T759" s="25"/>
      <c r="U759" s="25"/>
      <c r="V759" s="25"/>
      <c r="W759" s="25"/>
      <c r="X759" s="25"/>
      <c r="Y759" s="25"/>
      <c r="Z759" s="25"/>
    </row>
    <row r="760" customFormat="false" ht="39.75" hidden="false" customHeight="true" outlineLevel="0" collapsed="false">
      <c r="A760" s="25"/>
      <c r="B760" s="25"/>
      <c r="C760" s="25"/>
      <c r="D760" s="25"/>
      <c r="E760" s="25"/>
      <c r="F760" s="25"/>
      <c r="G760" s="25"/>
      <c r="H760" s="25"/>
      <c r="I760" s="25"/>
      <c r="J760" s="25"/>
      <c r="K760" s="25"/>
      <c r="L760" s="25"/>
      <c r="M760" s="25"/>
      <c r="N760" s="25"/>
      <c r="O760" s="25"/>
      <c r="P760" s="25"/>
      <c r="Q760" s="25"/>
      <c r="R760" s="25"/>
      <c r="S760" s="25"/>
      <c r="T760" s="25"/>
      <c r="U760" s="25"/>
      <c r="V760" s="25"/>
      <c r="W760" s="25"/>
      <c r="X760" s="25"/>
      <c r="Y760" s="25"/>
      <c r="Z760" s="25"/>
    </row>
    <row r="761" customFormat="false" ht="39.75" hidden="false" customHeight="true" outlineLevel="0" collapsed="false">
      <c r="A761" s="25"/>
      <c r="B761" s="25"/>
      <c r="C761" s="25"/>
      <c r="D761" s="25"/>
      <c r="E761" s="25"/>
      <c r="F761" s="25"/>
      <c r="G761" s="25"/>
      <c r="H761" s="25"/>
      <c r="I761" s="25"/>
      <c r="J761" s="25"/>
      <c r="K761" s="25"/>
      <c r="L761" s="25"/>
      <c r="M761" s="25"/>
      <c r="N761" s="25"/>
      <c r="O761" s="25"/>
      <c r="P761" s="25"/>
      <c r="Q761" s="25"/>
      <c r="R761" s="25"/>
      <c r="S761" s="25"/>
      <c r="T761" s="25"/>
      <c r="U761" s="25"/>
      <c r="V761" s="25"/>
      <c r="W761" s="25"/>
      <c r="X761" s="25"/>
      <c r="Y761" s="25"/>
      <c r="Z761" s="25"/>
    </row>
    <row r="762" customFormat="false" ht="39.75" hidden="false" customHeight="true" outlineLevel="0" collapsed="false">
      <c r="A762" s="25"/>
      <c r="B762" s="25"/>
      <c r="C762" s="25"/>
      <c r="D762" s="25"/>
      <c r="E762" s="25"/>
      <c r="F762" s="25"/>
      <c r="G762" s="25"/>
      <c r="H762" s="25"/>
      <c r="I762" s="25"/>
      <c r="J762" s="25"/>
      <c r="K762" s="25"/>
      <c r="L762" s="25"/>
      <c r="M762" s="25"/>
      <c r="N762" s="25"/>
      <c r="O762" s="25"/>
      <c r="P762" s="25"/>
      <c r="Q762" s="25"/>
      <c r="R762" s="25"/>
      <c r="S762" s="25"/>
      <c r="T762" s="25"/>
      <c r="U762" s="25"/>
      <c r="V762" s="25"/>
      <c r="W762" s="25"/>
      <c r="X762" s="25"/>
      <c r="Y762" s="25"/>
      <c r="Z762" s="25"/>
    </row>
    <row r="763" customFormat="false" ht="39.75" hidden="false" customHeight="true" outlineLevel="0" collapsed="false">
      <c r="A763" s="25"/>
      <c r="B763" s="25"/>
      <c r="C763" s="25"/>
      <c r="D763" s="25"/>
      <c r="E763" s="25"/>
      <c r="F763" s="25"/>
      <c r="G763" s="25"/>
      <c r="H763" s="25"/>
      <c r="I763" s="25"/>
      <c r="J763" s="25"/>
      <c r="K763" s="25"/>
      <c r="L763" s="25"/>
      <c r="M763" s="25"/>
      <c r="N763" s="25"/>
      <c r="O763" s="25"/>
      <c r="P763" s="25"/>
      <c r="Q763" s="25"/>
      <c r="R763" s="25"/>
      <c r="S763" s="25"/>
      <c r="T763" s="25"/>
      <c r="U763" s="25"/>
      <c r="V763" s="25"/>
      <c r="W763" s="25"/>
      <c r="X763" s="25"/>
      <c r="Y763" s="25"/>
      <c r="Z763" s="25"/>
    </row>
    <row r="764" customFormat="false" ht="39.75" hidden="false" customHeight="true" outlineLevel="0" collapsed="false">
      <c r="A764" s="25"/>
      <c r="B764" s="25"/>
      <c r="C764" s="25"/>
      <c r="D764" s="25"/>
      <c r="E764" s="25"/>
      <c r="F764" s="25"/>
      <c r="G764" s="25"/>
      <c r="H764" s="25"/>
      <c r="I764" s="25"/>
      <c r="J764" s="25"/>
      <c r="K764" s="25"/>
      <c r="L764" s="25"/>
      <c r="M764" s="25"/>
      <c r="N764" s="25"/>
      <c r="O764" s="25"/>
      <c r="P764" s="25"/>
      <c r="Q764" s="25"/>
      <c r="R764" s="25"/>
      <c r="S764" s="25"/>
      <c r="T764" s="25"/>
      <c r="U764" s="25"/>
      <c r="V764" s="25"/>
      <c r="W764" s="25"/>
      <c r="X764" s="25"/>
      <c r="Y764" s="25"/>
      <c r="Z764" s="25"/>
    </row>
    <row r="765" customFormat="false" ht="39.75" hidden="false" customHeight="true" outlineLevel="0" collapsed="false">
      <c r="A765" s="25"/>
      <c r="B765" s="25"/>
      <c r="C765" s="25"/>
      <c r="D765" s="25"/>
      <c r="E765" s="25"/>
      <c r="F765" s="25"/>
      <c r="G765" s="25"/>
      <c r="H765" s="25"/>
      <c r="I765" s="25"/>
      <c r="J765" s="25"/>
      <c r="K765" s="25"/>
      <c r="L765" s="25"/>
      <c r="M765" s="25"/>
      <c r="N765" s="25"/>
      <c r="O765" s="25"/>
      <c r="P765" s="25"/>
      <c r="Q765" s="25"/>
      <c r="R765" s="25"/>
      <c r="S765" s="25"/>
      <c r="T765" s="25"/>
      <c r="U765" s="25"/>
      <c r="V765" s="25"/>
      <c r="W765" s="25"/>
      <c r="X765" s="25"/>
      <c r="Y765" s="25"/>
      <c r="Z765" s="25"/>
    </row>
    <row r="766" customFormat="false" ht="39.75" hidden="false" customHeight="true" outlineLevel="0" collapsed="false">
      <c r="A766" s="25"/>
      <c r="B766" s="25"/>
      <c r="C766" s="25"/>
      <c r="D766" s="25"/>
      <c r="E766" s="25"/>
      <c r="F766" s="25"/>
      <c r="G766" s="25"/>
      <c r="H766" s="25"/>
      <c r="I766" s="25"/>
      <c r="J766" s="25"/>
      <c r="K766" s="25"/>
      <c r="L766" s="25"/>
      <c r="M766" s="25"/>
      <c r="N766" s="25"/>
      <c r="O766" s="25"/>
      <c r="P766" s="25"/>
      <c r="Q766" s="25"/>
      <c r="R766" s="25"/>
      <c r="S766" s="25"/>
      <c r="T766" s="25"/>
      <c r="U766" s="25"/>
      <c r="V766" s="25"/>
      <c r="W766" s="25"/>
      <c r="X766" s="25"/>
      <c r="Y766" s="25"/>
      <c r="Z766" s="25"/>
    </row>
    <row r="767" customFormat="false" ht="39.75" hidden="false" customHeight="true" outlineLevel="0" collapsed="false">
      <c r="A767" s="25"/>
      <c r="B767" s="25"/>
      <c r="C767" s="25"/>
      <c r="D767" s="25"/>
      <c r="E767" s="25"/>
      <c r="F767" s="25"/>
      <c r="G767" s="25"/>
      <c r="H767" s="25"/>
      <c r="I767" s="25"/>
      <c r="J767" s="25"/>
      <c r="K767" s="25"/>
      <c r="L767" s="25"/>
      <c r="M767" s="25"/>
      <c r="N767" s="25"/>
      <c r="O767" s="25"/>
      <c r="P767" s="25"/>
      <c r="Q767" s="25"/>
      <c r="R767" s="25"/>
      <c r="S767" s="25"/>
      <c r="T767" s="25"/>
      <c r="U767" s="25"/>
      <c r="V767" s="25"/>
      <c r="W767" s="25"/>
      <c r="X767" s="25"/>
      <c r="Y767" s="25"/>
      <c r="Z767" s="25"/>
    </row>
    <row r="768" customFormat="false" ht="39.75" hidden="false" customHeight="true" outlineLevel="0" collapsed="false">
      <c r="A768" s="25"/>
      <c r="B768" s="25"/>
      <c r="C768" s="25"/>
      <c r="D768" s="25"/>
      <c r="E768" s="25"/>
      <c r="F768" s="25"/>
      <c r="G768" s="25"/>
      <c r="H768" s="25"/>
      <c r="I768" s="25"/>
      <c r="J768" s="25"/>
      <c r="K768" s="25"/>
      <c r="L768" s="25"/>
      <c r="M768" s="25"/>
      <c r="N768" s="25"/>
      <c r="O768" s="25"/>
      <c r="P768" s="25"/>
      <c r="Q768" s="25"/>
      <c r="R768" s="25"/>
      <c r="S768" s="25"/>
      <c r="T768" s="25"/>
      <c r="U768" s="25"/>
      <c r="V768" s="25"/>
      <c r="W768" s="25"/>
      <c r="X768" s="25"/>
      <c r="Y768" s="25"/>
      <c r="Z768" s="25"/>
    </row>
    <row r="769" customFormat="false" ht="39.75" hidden="false" customHeight="true" outlineLevel="0" collapsed="false">
      <c r="A769" s="25"/>
      <c r="B769" s="25"/>
      <c r="C769" s="25"/>
      <c r="D769" s="25"/>
      <c r="E769" s="25"/>
      <c r="F769" s="25"/>
      <c r="G769" s="25"/>
      <c r="H769" s="25"/>
      <c r="I769" s="25"/>
      <c r="J769" s="25"/>
      <c r="K769" s="25"/>
      <c r="L769" s="25"/>
      <c r="M769" s="25"/>
      <c r="N769" s="25"/>
      <c r="O769" s="25"/>
      <c r="P769" s="25"/>
      <c r="Q769" s="25"/>
      <c r="R769" s="25"/>
      <c r="S769" s="25"/>
      <c r="T769" s="25"/>
      <c r="U769" s="25"/>
      <c r="V769" s="25"/>
      <c r="W769" s="25"/>
      <c r="X769" s="25"/>
      <c r="Y769" s="25"/>
      <c r="Z769" s="25"/>
    </row>
    <row r="770" customFormat="false" ht="39.75" hidden="false" customHeight="true" outlineLevel="0" collapsed="false">
      <c r="A770" s="25"/>
      <c r="B770" s="25"/>
      <c r="C770" s="25"/>
      <c r="D770" s="25"/>
      <c r="E770" s="25"/>
      <c r="F770" s="25"/>
      <c r="G770" s="25"/>
      <c r="H770" s="25"/>
      <c r="I770" s="25"/>
      <c r="J770" s="25"/>
      <c r="K770" s="25"/>
      <c r="L770" s="25"/>
      <c r="M770" s="25"/>
      <c r="N770" s="25"/>
      <c r="O770" s="25"/>
      <c r="P770" s="25"/>
      <c r="Q770" s="25"/>
      <c r="R770" s="25"/>
      <c r="S770" s="25"/>
      <c r="T770" s="25"/>
      <c r="U770" s="25"/>
      <c r="V770" s="25"/>
      <c r="W770" s="25"/>
      <c r="X770" s="25"/>
      <c r="Y770" s="25"/>
      <c r="Z770" s="25"/>
    </row>
    <row r="771" customFormat="false" ht="39.75" hidden="false" customHeight="true" outlineLevel="0" collapsed="false">
      <c r="A771" s="25"/>
      <c r="B771" s="25"/>
      <c r="C771" s="25"/>
      <c r="D771" s="25"/>
      <c r="E771" s="25"/>
      <c r="F771" s="25"/>
      <c r="G771" s="25"/>
      <c r="H771" s="25"/>
      <c r="I771" s="25"/>
      <c r="J771" s="25"/>
      <c r="K771" s="25"/>
      <c r="L771" s="25"/>
      <c r="M771" s="25"/>
      <c r="N771" s="25"/>
      <c r="O771" s="25"/>
      <c r="P771" s="25"/>
      <c r="Q771" s="25"/>
      <c r="R771" s="25"/>
      <c r="S771" s="25"/>
      <c r="T771" s="25"/>
      <c r="U771" s="25"/>
      <c r="V771" s="25"/>
      <c r="W771" s="25"/>
      <c r="X771" s="25"/>
      <c r="Y771" s="25"/>
      <c r="Z771" s="25"/>
    </row>
    <row r="772" customFormat="false" ht="39.75" hidden="false" customHeight="true" outlineLevel="0" collapsed="false">
      <c r="A772" s="25"/>
      <c r="B772" s="25"/>
      <c r="C772" s="25"/>
      <c r="D772" s="25"/>
      <c r="E772" s="25"/>
      <c r="F772" s="25"/>
      <c r="G772" s="25"/>
      <c r="H772" s="25"/>
      <c r="I772" s="25"/>
      <c r="J772" s="25"/>
      <c r="K772" s="25"/>
      <c r="L772" s="25"/>
      <c r="M772" s="25"/>
      <c r="N772" s="25"/>
      <c r="O772" s="25"/>
      <c r="P772" s="25"/>
      <c r="Q772" s="25"/>
      <c r="R772" s="25"/>
      <c r="S772" s="25"/>
      <c r="T772" s="25"/>
      <c r="U772" s="25"/>
      <c r="V772" s="25"/>
      <c r="W772" s="25"/>
      <c r="X772" s="25"/>
      <c r="Y772" s="25"/>
      <c r="Z772" s="25"/>
    </row>
    <row r="773" customFormat="false" ht="39.75" hidden="false" customHeight="true" outlineLevel="0" collapsed="false">
      <c r="A773" s="25"/>
      <c r="B773" s="25"/>
      <c r="C773" s="25"/>
      <c r="D773" s="25"/>
      <c r="E773" s="25"/>
      <c r="F773" s="25"/>
      <c r="G773" s="25"/>
      <c r="H773" s="25"/>
      <c r="I773" s="25"/>
      <c r="J773" s="25"/>
      <c r="K773" s="25"/>
      <c r="L773" s="25"/>
      <c r="M773" s="25"/>
      <c r="N773" s="25"/>
      <c r="O773" s="25"/>
      <c r="P773" s="25"/>
      <c r="Q773" s="25"/>
      <c r="R773" s="25"/>
      <c r="S773" s="25"/>
      <c r="T773" s="25"/>
      <c r="U773" s="25"/>
      <c r="V773" s="25"/>
      <c r="W773" s="25"/>
      <c r="X773" s="25"/>
      <c r="Y773" s="25"/>
      <c r="Z773" s="25"/>
    </row>
    <row r="774" customFormat="false" ht="39.75" hidden="false" customHeight="true" outlineLevel="0" collapsed="false">
      <c r="A774" s="25"/>
      <c r="B774" s="25"/>
      <c r="C774" s="25"/>
      <c r="D774" s="25"/>
      <c r="E774" s="25"/>
      <c r="F774" s="25"/>
      <c r="G774" s="25"/>
      <c r="H774" s="25"/>
      <c r="I774" s="25"/>
      <c r="J774" s="25"/>
      <c r="K774" s="25"/>
      <c r="L774" s="25"/>
      <c r="M774" s="25"/>
      <c r="N774" s="25"/>
      <c r="O774" s="25"/>
      <c r="P774" s="25"/>
      <c r="Q774" s="25"/>
      <c r="R774" s="25"/>
      <c r="S774" s="25"/>
      <c r="T774" s="25"/>
      <c r="U774" s="25"/>
      <c r="V774" s="25"/>
      <c r="W774" s="25"/>
      <c r="X774" s="25"/>
      <c r="Y774" s="25"/>
      <c r="Z774" s="25"/>
    </row>
    <row r="775" customFormat="false" ht="39.75" hidden="false" customHeight="true" outlineLevel="0" collapsed="false">
      <c r="A775" s="25"/>
      <c r="B775" s="25"/>
      <c r="C775" s="25"/>
      <c r="D775" s="25"/>
      <c r="E775" s="25"/>
      <c r="F775" s="25"/>
      <c r="G775" s="25"/>
      <c r="H775" s="25"/>
      <c r="I775" s="25"/>
      <c r="J775" s="25"/>
      <c r="K775" s="25"/>
      <c r="L775" s="25"/>
      <c r="M775" s="25"/>
      <c r="N775" s="25"/>
      <c r="O775" s="25"/>
      <c r="P775" s="25"/>
      <c r="Q775" s="25"/>
      <c r="R775" s="25"/>
      <c r="S775" s="25"/>
      <c r="T775" s="25"/>
      <c r="U775" s="25"/>
      <c r="V775" s="25"/>
      <c r="W775" s="25"/>
      <c r="X775" s="25"/>
      <c r="Y775" s="25"/>
      <c r="Z775" s="25"/>
    </row>
    <row r="776" customFormat="false" ht="39.75" hidden="false" customHeight="true" outlineLevel="0" collapsed="false">
      <c r="A776" s="25"/>
      <c r="B776" s="25"/>
      <c r="C776" s="25"/>
      <c r="D776" s="25"/>
      <c r="E776" s="25"/>
      <c r="F776" s="25"/>
      <c r="G776" s="25"/>
      <c r="H776" s="25"/>
      <c r="I776" s="25"/>
      <c r="J776" s="25"/>
      <c r="K776" s="25"/>
      <c r="L776" s="25"/>
      <c r="M776" s="25"/>
      <c r="N776" s="25"/>
      <c r="O776" s="25"/>
      <c r="P776" s="25"/>
      <c r="Q776" s="25"/>
      <c r="R776" s="25"/>
      <c r="S776" s="25"/>
      <c r="T776" s="25"/>
      <c r="U776" s="25"/>
      <c r="V776" s="25"/>
      <c r="W776" s="25"/>
      <c r="X776" s="25"/>
      <c r="Y776" s="25"/>
      <c r="Z776" s="25"/>
    </row>
    <row r="777" customFormat="false" ht="39.75" hidden="false" customHeight="true" outlineLevel="0" collapsed="false">
      <c r="A777" s="25"/>
      <c r="B777" s="25"/>
      <c r="C777" s="25"/>
      <c r="D777" s="25"/>
      <c r="E777" s="25"/>
      <c r="F777" s="25"/>
      <c r="G777" s="25"/>
      <c r="H777" s="25"/>
      <c r="I777" s="25"/>
      <c r="J777" s="25"/>
      <c r="K777" s="25"/>
      <c r="L777" s="25"/>
      <c r="M777" s="25"/>
      <c r="N777" s="25"/>
      <c r="O777" s="25"/>
      <c r="P777" s="25"/>
      <c r="Q777" s="25"/>
      <c r="R777" s="25"/>
      <c r="S777" s="25"/>
      <c r="T777" s="25"/>
      <c r="U777" s="25"/>
      <c r="V777" s="25"/>
      <c r="W777" s="25"/>
      <c r="X777" s="25"/>
      <c r="Y777" s="25"/>
      <c r="Z777" s="25"/>
    </row>
    <row r="778" customFormat="false" ht="39.75" hidden="false" customHeight="true" outlineLevel="0" collapsed="false">
      <c r="A778" s="25"/>
      <c r="B778" s="25"/>
      <c r="C778" s="25"/>
      <c r="D778" s="25"/>
      <c r="E778" s="25"/>
      <c r="F778" s="25"/>
      <c r="G778" s="25"/>
      <c r="H778" s="25"/>
      <c r="I778" s="25"/>
      <c r="J778" s="25"/>
      <c r="K778" s="25"/>
      <c r="L778" s="25"/>
      <c r="M778" s="25"/>
      <c r="N778" s="25"/>
      <c r="O778" s="25"/>
      <c r="P778" s="25"/>
      <c r="Q778" s="25"/>
      <c r="R778" s="25"/>
      <c r="S778" s="25"/>
      <c r="T778" s="25"/>
      <c r="U778" s="25"/>
      <c r="V778" s="25"/>
      <c r="W778" s="25"/>
      <c r="X778" s="25"/>
      <c r="Y778" s="25"/>
      <c r="Z778" s="25"/>
    </row>
    <row r="779" customFormat="false" ht="39.75" hidden="false" customHeight="true" outlineLevel="0" collapsed="false">
      <c r="A779" s="25"/>
      <c r="B779" s="25"/>
      <c r="C779" s="25"/>
      <c r="D779" s="25"/>
      <c r="E779" s="25"/>
      <c r="F779" s="25"/>
      <c r="G779" s="25"/>
      <c r="H779" s="25"/>
      <c r="I779" s="25"/>
      <c r="J779" s="25"/>
      <c r="K779" s="25"/>
      <c r="L779" s="25"/>
      <c r="M779" s="25"/>
      <c r="N779" s="25"/>
      <c r="O779" s="25"/>
      <c r="P779" s="25"/>
      <c r="Q779" s="25"/>
      <c r="R779" s="25"/>
      <c r="S779" s="25"/>
      <c r="T779" s="25"/>
      <c r="U779" s="25"/>
      <c r="V779" s="25"/>
      <c r="W779" s="25"/>
      <c r="X779" s="25"/>
      <c r="Y779" s="25"/>
      <c r="Z779" s="25"/>
    </row>
    <row r="780" customFormat="false" ht="39.75" hidden="false" customHeight="true" outlineLevel="0" collapsed="false">
      <c r="A780" s="25"/>
      <c r="B780" s="25"/>
      <c r="C780" s="25"/>
      <c r="D780" s="25"/>
      <c r="E780" s="25"/>
      <c r="F780" s="25"/>
      <c r="G780" s="25"/>
      <c r="H780" s="25"/>
      <c r="I780" s="25"/>
      <c r="J780" s="25"/>
      <c r="K780" s="25"/>
      <c r="L780" s="25"/>
      <c r="M780" s="25"/>
      <c r="N780" s="25"/>
      <c r="O780" s="25"/>
      <c r="P780" s="25"/>
      <c r="Q780" s="25"/>
      <c r="R780" s="25"/>
      <c r="S780" s="25"/>
      <c r="T780" s="25"/>
      <c r="U780" s="25"/>
      <c r="V780" s="25"/>
      <c r="W780" s="25"/>
      <c r="X780" s="25"/>
      <c r="Y780" s="25"/>
      <c r="Z780" s="25"/>
    </row>
    <row r="781" customFormat="false" ht="39.75" hidden="false" customHeight="true" outlineLevel="0" collapsed="false">
      <c r="A781" s="25"/>
      <c r="B781" s="25"/>
      <c r="C781" s="25"/>
      <c r="D781" s="25"/>
      <c r="E781" s="25"/>
      <c r="F781" s="25"/>
      <c r="G781" s="25"/>
      <c r="H781" s="25"/>
      <c r="I781" s="25"/>
      <c r="J781" s="25"/>
      <c r="K781" s="25"/>
      <c r="L781" s="25"/>
      <c r="M781" s="25"/>
      <c r="N781" s="25"/>
      <c r="O781" s="25"/>
      <c r="P781" s="25"/>
      <c r="Q781" s="25"/>
      <c r="R781" s="25"/>
      <c r="S781" s="25"/>
      <c r="T781" s="25"/>
      <c r="U781" s="25"/>
      <c r="V781" s="25"/>
      <c r="W781" s="25"/>
      <c r="X781" s="25"/>
      <c r="Y781" s="25"/>
      <c r="Z781" s="25"/>
    </row>
    <row r="782" customFormat="false" ht="39.75" hidden="false" customHeight="true" outlineLevel="0" collapsed="false">
      <c r="A782" s="25"/>
      <c r="B782" s="25"/>
      <c r="C782" s="25"/>
      <c r="D782" s="25"/>
      <c r="E782" s="25"/>
      <c r="F782" s="25"/>
      <c r="G782" s="25"/>
      <c r="H782" s="25"/>
      <c r="I782" s="25"/>
      <c r="J782" s="25"/>
      <c r="K782" s="25"/>
      <c r="L782" s="25"/>
      <c r="M782" s="25"/>
      <c r="N782" s="25"/>
      <c r="O782" s="25"/>
      <c r="P782" s="25"/>
      <c r="Q782" s="25"/>
      <c r="R782" s="25"/>
      <c r="S782" s="25"/>
      <c r="T782" s="25"/>
      <c r="U782" s="25"/>
      <c r="V782" s="25"/>
      <c r="W782" s="25"/>
      <c r="X782" s="25"/>
      <c r="Y782" s="25"/>
      <c r="Z782" s="25"/>
    </row>
    <row r="783" customFormat="false" ht="39.75" hidden="false" customHeight="true" outlineLevel="0" collapsed="false">
      <c r="A783" s="25"/>
      <c r="B783" s="25"/>
      <c r="C783" s="25"/>
      <c r="D783" s="25"/>
      <c r="E783" s="25"/>
      <c r="F783" s="25"/>
      <c r="G783" s="25"/>
      <c r="H783" s="25"/>
      <c r="I783" s="25"/>
      <c r="J783" s="25"/>
      <c r="K783" s="25"/>
      <c r="L783" s="25"/>
      <c r="M783" s="25"/>
      <c r="N783" s="25"/>
      <c r="O783" s="25"/>
      <c r="P783" s="25"/>
      <c r="Q783" s="25"/>
      <c r="R783" s="25"/>
      <c r="S783" s="25"/>
      <c r="T783" s="25"/>
      <c r="U783" s="25"/>
      <c r="V783" s="25"/>
      <c r="W783" s="25"/>
      <c r="X783" s="25"/>
      <c r="Y783" s="25"/>
      <c r="Z783" s="25"/>
    </row>
    <row r="784" customFormat="false" ht="39.75" hidden="false" customHeight="true" outlineLevel="0" collapsed="false">
      <c r="A784" s="25"/>
      <c r="B784" s="25"/>
      <c r="C784" s="25"/>
      <c r="D784" s="25"/>
      <c r="E784" s="25"/>
      <c r="F784" s="25"/>
      <c r="G784" s="25"/>
      <c r="H784" s="25"/>
      <c r="I784" s="25"/>
      <c r="J784" s="25"/>
      <c r="K784" s="25"/>
      <c r="L784" s="25"/>
      <c r="M784" s="25"/>
      <c r="N784" s="25"/>
      <c r="O784" s="25"/>
      <c r="P784" s="25"/>
      <c r="Q784" s="25"/>
      <c r="R784" s="25"/>
      <c r="S784" s="25"/>
      <c r="T784" s="25"/>
      <c r="U784" s="25"/>
      <c r="V784" s="25"/>
      <c r="W784" s="25"/>
      <c r="X784" s="25"/>
      <c r="Y784" s="25"/>
      <c r="Z784" s="25"/>
    </row>
    <row r="785" customFormat="false" ht="39.75" hidden="false" customHeight="true" outlineLevel="0" collapsed="false">
      <c r="A785" s="25"/>
      <c r="B785" s="25"/>
      <c r="C785" s="25"/>
      <c r="D785" s="25"/>
      <c r="E785" s="25"/>
      <c r="F785" s="25"/>
      <c r="G785" s="25"/>
      <c r="H785" s="25"/>
      <c r="I785" s="25"/>
      <c r="J785" s="25"/>
      <c r="K785" s="25"/>
      <c r="L785" s="25"/>
      <c r="M785" s="25"/>
      <c r="N785" s="25"/>
      <c r="O785" s="25"/>
      <c r="P785" s="25"/>
      <c r="Q785" s="25"/>
      <c r="R785" s="25"/>
      <c r="S785" s="25"/>
      <c r="T785" s="25"/>
      <c r="U785" s="25"/>
      <c r="V785" s="25"/>
      <c r="W785" s="25"/>
      <c r="X785" s="25"/>
      <c r="Y785" s="25"/>
      <c r="Z785" s="25"/>
    </row>
    <row r="786" customFormat="false" ht="39.75" hidden="false" customHeight="true" outlineLevel="0" collapsed="false">
      <c r="A786" s="25"/>
      <c r="B786" s="25"/>
      <c r="C786" s="25"/>
      <c r="D786" s="25"/>
      <c r="E786" s="25"/>
      <c r="F786" s="25"/>
      <c r="G786" s="25"/>
      <c r="H786" s="25"/>
      <c r="I786" s="25"/>
      <c r="J786" s="25"/>
      <c r="K786" s="25"/>
      <c r="L786" s="25"/>
      <c r="M786" s="25"/>
      <c r="N786" s="25"/>
      <c r="O786" s="25"/>
      <c r="P786" s="25"/>
      <c r="Q786" s="25"/>
      <c r="R786" s="25"/>
      <c r="S786" s="25"/>
      <c r="T786" s="25"/>
      <c r="U786" s="25"/>
      <c r="V786" s="25"/>
      <c r="W786" s="25"/>
      <c r="X786" s="25"/>
      <c r="Y786" s="25"/>
      <c r="Z786" s="25"/>
    </row>
    <row r="787" customFormat="false" ht="39.75" hidden="false" customHeight="true" outlineLevel="0" collapsed="false">
      <c r="A787" s="25"/>
      <c r="B787" s="25"/>
      <c r="C787" s="25"/>
      <c r="D787" s="25"/>
      <c r="E787" s="25"/>
      <c r="F787" s="25"/>
      <c r="G787" s="25"/>
      <c r="H787" s="25"/>
      <c r="I787" s="25"/>
      <c r="J787" s="25"/>
      <c r="K787" s="25"/>
      <c r="L787" s="25"/>
      <c r="M787" s="25"/>
      <c r="N787" s="25"/>
      <c r="O787" s="25"/>
      <c r="P787" s="25"/>
      <c r="Q787" s="25"/>
      <c r="R787" s="25"/>
      <c r="S787" s="25"/>
      <c r="T787" s="25"/>
      <c r="U787" s="25"/>
      <c r="V787" s="25"/>
      <c r="W787" s="25"/>
      <c r="X787" s="25"/>
      <c r="Y787" s="25"/>
      <c r="Z787" s="25"/>
    </row>
    <row r="788" customFormat="false" ht="39.75" hidden="false" customHeight="true" outlineLevel="0" collapsed="false">
      <c r="A788" s="25"/>
      <c r="B788" s="25"/>
      <c r="C788" s="25"/>
      <c r="D788" s="25"/>
      <c r="E788" s="25"/>
      <c r="F788" s="25"/>
      <c r="G788" s="25"/>
      <c r="H788" s="25"/>
      <c r="I788" s="25"/>
      <c r="J788" s="25"/>
      <c r="K788" s="25"/>
      <c r="L788" s="25"/>
      <c r="M788" s="25"/>
      <c r="N788" s="25"/>
      <c r="O788" s="25"/>
      <c r="P788" s="25"/>
      <c r="Q788" s="25"/>
      <c r="R788" s="25"/>
      <c r="S788" s="25"/>
      <c r="T788" s="25"/>
      <c r="U788" s="25"/>
      <c r="V788" s="25"/>
      <c r="W788" s="25"/>
      <c r="X788" s="25"/>
      <c r="Y788" s="25"/>
      <c r="Z788" s="25"/>
    </row>
    <row r="789" customFormat="false" ht="39.75" hidden="false" customHeight="true" outlineLevel="0" collapsed="false">
      <c r="A789" s="25"/>
      <c r="B789" s="25"/>
      <c r="C789" s="25"/>
      <c r="D789" s="25"/>
      <c r="E789" s="25"/>
      <c r="F789" s="25"/>
      <c r="G789" s="25"/>
      <c r="H789" s="25"/>
      <c r="I789" s="25"/>
      <c r="J789" s="25"/>
      <c r="K789" s="25"/>
      <c r="L789" s="25"/>
      <c r="M789" s="25"/>
      <c r="N789" s="25"/>
      <c r="O789" s="25"/>
      <c r="P789" s="25"/>
      <c r="Q789" s="25"/>
      <c r="R789" s="25"/>
      <c r="S789" s="25"/>
      <c r="T789" s="25"/>
      <c r="U789" s="25"/>
      <c r="V789" s="25"/>
      <c r="W789" s="25"/>
      <c r="X789" s="25"/>
      <c r="Y789" s="25"/>
      <c r="Z789" s="25"/>
    </row>
    <row r="790" customFormat="false" ht="39.75" hidden="false" customHeight="true" outlineLevel="0" collapsed="false">
      <c r="A790" s="25"/>
      <c r="B790" s="25"/>
      <c r="C790" s="25"/>
      <c r="D790" s="25"/>
      <c r="E790" s="25"/>
      <c r="F790" s="25"/>
      <c r="G790" s="25"/>
      <c r="H790" s="25"/>
      <c r="I790" s="25"/>
      <c r="J790" s="25"/>
      <c r="K790" s="25"/>
      <c r="L790" s="25"/>
      <c r="M790" s="25"/>
      <c r="N790" s="25"/>
      <c r="O790" s="25"/>
      <c r="P790" s="25"/>
      <c r="Q790" s="25"/>
      <c r="R790" s="25"/>
      <c r="S790" s="25"/>
      <c r="T790" s="25"/>
      <c r="U790" s="25"/>
      <c r="V790" s="25"/>
      <c r="W790" s="25"/>
      <c r="X790" s="25"/>
      <c r="Y790" s="25"/>
      <c r="Z790" s="25"/>
    </row>
    <row r="791" customFormat="false" ht="39.75" hidden="false" customHeight="true" outlineLevel="0" collapsed="false">
      <c r="A791" s="25"/>
      <c r="B791" s="25"/>
      <c r="C791" s="25"/>
      <c r="D791" s="25"/>
      <c r="E791" s="25"/>
      <c r="F791" s="25"/>
      <c r="G791" s="25"/>
      <c r="H791" s="25"/>
      <c r="I791" s="25"/>
      <c r="J791" s="25"/>
      <c r="K791" s="25"/>
      <c r="L791" s="25"/>
      <c r="M791" s="25"/>
      <c r="N791" s="25"/>
      <c r="O791" s="25"/>
      <c r="P791" s="25"/>
      <c r="Q791" s="25"/>
      <c r="R791" s="25"/>
      <c r="S791" s="25"/>
      <c r="T791" s="25"/>
      <c r="U791" s="25"/>
      <c r="V791" s="25"/>
      <c r="W791" s="25"/>
      <c r="X791" s="25"/>
      <c r="Y791" s="25"/>
      <c r="Z791" s="25"/>
    </row>
    <row r="792" customFormat="false" ht="39.75" hidden="false" customHeight="true" outlineLevel="0" collapsed="false">
      <c r="A792" s="25"/>
      <c r="B792" s="25"/>
      <c r="C792" s="25"/>
      <c r="D792" s="25"/>
      <c r="E792" s="25"/>
      <c r="F792" s="25"/>
      <c r="G792" s="25"/>
      <c r="H792" s="25"/>
      <c r="I792" s="25"/>
      <c r="J792" s="25"/>
      <c r="K792" s="25"/>
      <c r="L792" s="25"/>
      <c r="M792" s="25"/>
      <c r="N792" s="25"/>
      <c r="O792" s="25"/>
      <c r="P792" s="25"/>
      <c r="Q792" s="25"/>
      <c r="R792" s="25"/>
      <c r="S792" s="25"/>
      <c r="T792" s="25"/>
      <c r="U792" s="25"/>
      <c r="V792" s="25"/>
      <c r="W792" s="25"/>
      <c r="X792" s="25"/>
      <c r="Y792" s="25"/>
      <c r="Z792" s="25"/>
    </row>
    <row r="793" customFormat="false" ht="39.75" hidden="false" customHeight="true" outlineLevel="0" collapsed="false">
      <c r="A793" s="25"/>
      <c r="B793" s="25"/>
      <c r="C793" s="25"/>
      <c r="D793" s="25"/>
      <c r="E793" s="25"/>
      <c r="F793" s="25"/>
      <c r="G793" s="25"/>
      <c r="H793" s="25"/>
      <c r="I793" s="25"/>
      <c r="J793" s="25"/>
      <c r="K793" s="25"/>
      <c r="L793" s="25"/>
      <c r="M793" s="25"/>
      <c r="N793" s="25"/>
      <c r="O793" s="25"/>
      <c r="P793" s="25"/>
      <c r="Q793" s="25"/>
      <c r="R793" s="25"/>
      <c r="S793" s="25"/>
      <c r="T793" s="25"/>
      <c r="U793" s="25"/>
      <c r="V793" s="25"/>
      <c r="W793" s="25"/>
      <c r="X793" s="25"/>
      <c r="Y793" s="25"/>
      <c r="Z793" s="25"/>
    </row>
    <row r="794" customFormat="false" ht="39.75" hidden="false" customHeight="true" outlineLevel="0" collapsed="false">
      <c r="A794" s="25"/>
      <c r="B794" s="25"/>
      <c r="C794" s="25"/>
      <c r="D794" s="25"/>
      <c r="E794" s="25"/>
      <c r="F794" s="25"/>
      <c r="G794" s="25"/>
      <c r="H794" s="25"/>
      <c r="I794" s="25"/>
      <c r="J794" s="25"/>
      <c r="K794" s="25"/>
      <c r="L794" s="25"/>
      <c r="M794" s="25"/>
      <c r="N794" s="25"/>
      <c r="O794" s="25"/>
      <c r="P794" s="25"/>
      <c r="Q794" s="25"/>
      <c r="R794" s="25"/>
      <c r="S794" s="25"/>
      <c r="T794" s="25"/>
      <c r="U794" s="25"/>
      <c r="V794" s="25"/>
      <c r="W794" s="25"/>
      <c r="X794" s="25"/>
      <c r="Y794" s="25"/>
      <c r="Z794" s="25"/>
    </row>
    <row r="795" customFormat="false" ht="39.75" hidden="false" customHeight="true" outlineLevel="0" collapsed="false">
      <c r="A795" s="25"/>
      <c r="B795" s="25"/>
      <c r="C795" s="25"/>
      <c r="D795" s="25"/>
      <c r="E795" s="25"/>
      <c r="F795" s="25"/>
      <c r="G795" s="25"/>
      <c r="H795" s="25"/>
      <c r="I795" s="25"/>
      <c r="J795" s="25"/>
      <c r="K795" s="25"/>
      <c r="L795" s="25"/>
      <c r="M795" s="25"/>
      <c r="N795" s="25"/>
      <c r="O795" s="25"/>
      <c r="P795" s="25"/>
      <c r="Q795" s="25"/>
      <c r="R795" s="25"/>
      <c r="S795" s="25"/>
      <c r="T795" s="25"/>
      <c r="U795" s="25"/>
      <c r="V795" s="25"/>
      <c r="W795" s="25"/>
      <c r="X795" s="25"/>
      <c r="Y795" s="25"/>
      <c r="Z795" s="25"/>
    </row>
    <row r="796" customFormat="false" ht="39.75" hidden="false" customHeight="true" outlineLevel="0" collapsed="false">
      <c r="A796" s="25"/>
      <c r="B796" s="25"/>
      <c r="C796" s="25"/>
      <c r="D796" s="25"/>
      <c r="E796" s="25"/>
      <c r="F796" s="25"/>
      <c r="G796" s="25"/>
      <c r="H796" s="25"/>
      <c r="I796" s="25"/>
      <c r="J796" s="25"/>
      <c r="K796" s="25"/>
      <c r="L796" s="25"/>
      <c r="M796" s="25"/>
      <c r="N796" s="25"/>
      <c r="O796" s="25"/>
      <c r="P796" s="25"/>
      <c r="Q796" s="25"/>
      <c r="R796" s="25"/>
      <c r="S796" s="25"/>
      <c r="T796" s="25"/>
      <c r="U796" s="25"/>
      <c r="V796" s="25"/>
      <c r="W796" s="25"/>
      <c r="X796" s="25"/>
      <c r="Y796" s="25"/>
      <c r="Z796" s="25"/>
    </row>
    <row r="797" customFormat="false" ht="39.75" hidden="false" customHeight="true" outlineLevel="0" collapsed="false">
      <c r="A797" s="25"/>
      <c r="B797" s="25"/>
      <c r="C797" s="25"/>
      <c r="D797" s="25"/>
      <c r="E797" s="25"/>
      <c r="F797" s="25"/>
      <c r="G797" s="25"/>
      <c r="H797" s="25"/>
      <c r="I797" s="25"/>
      <c r="J797" s="25"/>
      <c r="K797" s="25"/>
      <c r="L797" s="25"/>
      <c r="M797" s="25"/>
      <c r="N797" s="25"/>
      <c r="O797" s="25"/>
      <c r="P797" s="25"/>
      <c r="Q797" s="25"/>
      <c r="R797" s="25"/>
      <c r="S797" s="25"/>
      <c r="T797" s="25"/>
      <c r="U797" s="25"/>
      <c r="V797" s="25"/>
      <c r="W797" s="25"/>
      <c r="X797" s="25"/>
      <c r="Y797" s="25"/>
      <c r="Z797" s="25"/>
    </row>
    <row r="798" customFormat="false" ht="39.75" hidden="false" customHeight="true" outlineLevel="0" collapsed="false">
      <c r="A798" s="25"/>
      <c r="B798" s="25"/>
      <c r="C798" s="25"/>
      <c r="D798" s="25"/>
      <c r="E798" s="25"/>
      <c r="F798" s="25"/>
      <c r="G798" s="25"/>
      <c r="H798" s="25"/>
      <c r="I798" s="25"/>
      <c r="J798" s="25"/>
      <c r="K798" s="25"/>
      <c r="L798" s="25"/>
      <c r="M798" s="25"/>
      <c r="N798" s="25"/>
      <c r="O798" s="25"/>
      <c r="P798" s="25"/>
      <c r="Q798" s="25"/>
      <c r="R798" s="25"/>
      <c r="S798" s="25"/>
      <c r="T798" s="25"/>
      <c r="U798" s="25"/>
      <c r="V798" s="25"/>
      <c r="W798" s="25"/>
      <c r="X798" s="25"/>
      <c r="Y798" s="25"/>
      <c r="Z798" s="25"/>
    </row>
    <row r="799" customFormat="false" ht="39.75" hidden="false" customHeight="true" outlineLevel="0" collapsed="false">
      <c r="A799" s="25"/>
      <c r="B799" s="25"/>
      <c r="C799" s="25"/>
      <c r="D799" s="25"/>
      <c r="E799" s="25"/>
      <c r="F799" s="25"/>
      <c r="G799" s="25"/>
      <c r="H799" s="25"/>
      <c r="I799" s="25"/>
      <c r="J799" s="25"/>
      <c r="K799" s="25"/>
      <c r="L799" s="25"/>
      <c r="M799" s="25"/>
      <c r="N799" s="25"/>
      <c r="O799" s="25"/>
      <c r="P799" s="25"/>
      <c r="Q799" s="25"/>
      <c r="R799" s="25"/>
      <c r="S799" s="25"/>
      <c r="T799" s="25"/>
      <c r="U799" s="25"/>
      <c r="V799" s="25"/>
      <c r="W799" s="25"/>
      <c r="X799" s="25"/>
      <c r="Y799" s="25"/>
      <c r="Z799" s="25"/>
    </row>
    <row r="800" customFormat="false" ht="39.75" hidden="false" customHeight="true" outlineLevel="0" collapsed="false">
      <c r="A800" s="25"/>
      <c r="B800" s="25"/>
      <c r="C800" s="25"/>
      <c r="D800" s="25"/>
      <c r="E800" s="25"/>
      <c r="F800" s="25"/>
      <c r="G800" s="25"/>
      <c r="H800" s="25"/>
      <c r="I800" s="25"/>
      <c r="J800" s="25"/>
      <c r="K800" s="25"/>
      <c r="L800" s="25"/>
      <c r="M800" s="25"/>
      <c r="N800" s="25"/>
      <c r="O800" s="25"/>
      <c r="P800" s="25"/>
      <c r="Q800" s="25"/>
      <c r="R800" s="25"/>
      <c r="S800" s="25"/>
      <c r="T800" s="25"/>
      <c r="U800" s="25"/>
      <c r="V800" s="25"/>
      <c r="W800" s="25"/>
      <c r="X800" s="25"/>
      <c r="Y800" s="25"/>
      <c r="Z800" s="25"/>
    </row>
    <row r="801" customFormat="false" ht="39.75" hidden="false" customHeight="true" outlineLevel="0" collapsed="false">
      <c r="A801" s="25"/>
      <c r="B801" s="25"/>
      <c r="C801" s="25"/>
      <c r="D801" s="25"/>
      <c r="E801" s="25"/>
      <c r="F801" s="25"/>
      <c r="G801" s="25"/>
      <c r="H801" s="25"/>
      <c r="I801" s="25"/>
      <c r="J801" s="25"/>
      <c r="K801" s="25"/>
      <c r="L801" s="25"/>
      <c r="M801" s="25"/>
      <c r="N801" s="25"/>
      <c r="O801" s="25"/>
      <c r="P801" s="25"/>
      <c r="Q801" s="25"/>
      <c r="R801" s="25"/>
      <c r="S801" s="25"/>
      <c r="T801" s="25"/>
      <c r="U801" s="25"/>
      <c r="V801" s="25"/>
      <c r="W801" s="25"/>
      <c r="X801" s="25"/>
      <c r="Y801" s="25"/>
      <c r="Z801" s="25"/>
    </row>
    <row r="802" customFormat="false" ht="39.75" hidden="false" customHeight="true" outlineLevel="0" collapsed="false">
      <c r="A802" s="25"/>
      <c r="B802" s="25"/>
      <c r="C802" s="25"/>
      <c r="D802" s="25"/>
      <c r="E802" s="25"/>
      <c r="F802" s="25"/>
      <c r="G802" s="25"/>
      <c r="H802" s="25"/>
      <c r="I802" s="25"/>
      <c r="J802" s="25"/>
      <c r="K802" s="25"/>
      <c r="L802" s="25"/>
      <c r="M802" s="25"/>
      <c r="N802" s="25"/>
      <c r="O802" s="25"/>
      <c r="P802" s="25"/>
      <c r="Q802" s="25"/>
      <c r="R802" s="25"/>
      <c r="S802" s="25"/>
      <c r="T802" s="25"/>
      <c r="U802" s="25"/>
      <c r="V802" s="25"/>
      <c r="W802" s="25"/>
      <c r="X802" s="25"/>
      <c r="Y802" s="25"/>
      <c r="Z802" s="25"/>
    </row>
    <row r="803" customFormat="false" ht="39.75" hidden="false" customHeight="true" outlineLevel="0" collapsed="false">
      <c r="A803" s="25"/>
      <c r="B803" s="25"/>
      <c r="C803" s="25"/>
      <c r="D803" s="25"/>
      <c r="E803" s="25"/>
      <c r="F803" s="25"/>
      <c r="G803" s="25"/>
      <c r="H803" s="25"/>
      <c r="I803" s="25"/>
      <c r="J803" s="25"/>
      <c r="K803" s="25"/>
      <c r="L803" s="25"/>
      <c r="M803" s="25"/>
      <c r="N803" s="25"/>
      <c r="O803" s="25"/>
      <c r="P803" s="25"/>
      <c r="Q803" s="25"/>
      <c r="R803" s="25"/>
      <c r="S803" s="25"/>
      <c r="T803" s="25"/>
      <c r="U803" s="25"/>
      <c r="V803" s="25"/>
      <c r="W803" s="25"/>
      <c r="X803" s="25"/>
      <c r="Y803" s="25"/>
      <c r="Z803" s="25"/>
    </row>
    <row r="804" customFormat="false" ht="39.75" hidden="false" customHeight="true" outlineLevel="0" collapsed="false">
      <c r="A804" s="25"/>
      <c r="B804" s="25"/>
      <c r="C804" s="25"/>
      <c r="D804" s="25"/>
      <c r="E804" s="25"/>
      <c r="F804" s="25"/>
      <c r="G804" s="25"/>
      <c r="H804" s="25"/>
      <c r="I804" s="25"/>
      <c r="J804" s="25"/>
      <c r="K804" s="25"/>
      <c r="L804" s="25"/>
      <c r="M804" s="25"/>
      <c r="N804" s="25"/>
      <c r="O804" s="25"/>
      <c r="P804" s="25"/>
      <c r="Q804" s="25"/>
      <c r="R804" s="25"/>
      <c r="S804" s="25"/>
      <c r="T804" s="25"/>
      <c r="U804" s="25"/>
      <c r="V804" s="25"/>
      <c r="W804" s="25"/>
      <c r="X804" s="25"/>
      <c r="Y804" s="25"/>
      <c r="Z804" s="25"/>
    </row>
    <row r="805" customFormat="false" ht="39.75" hidden="false" customHeight="true" outlineLevel="0" collapsed="false">
      <c r="A805" s="25"/>
      <c r="B805" s="25"/>
      <c r="C805" s="25"/>
      <c r="D805" s="25"/>
      <c r="E805" s="25"/>
      <c r="F805" s="25"/>
      <c r="G805" s="25"/>
      <c r="H805" s="25"/>
      <c r="I805" s="25"/>
      <c r="J805" s="25"/>
      <c r="K805" s="25"/>
      <c r="L805" s="25"/>
      <c r="M805" s="25"/>
      <c r="N805" s="25"/>
      <c r="O805" s="25"/>
      <c r="P805" s="25"/>
      <c r="Q805" s="25"/>
      <c r="R805" s="25"/>
      <c r="S805" s="25"/>
      <c r="T805" s="25"/>
      <c r="U805" s="25"/>
      <c r="V805" s="25"/>
      <c r="W805" s="25"/>
      <c r="X805" s="25"/>
      <c r="Y805" s="25"/>
      <c r="Z805" s="25"/>
    </row>
    <row r="806" customFormat="false" ht="39.75" hidden="false" customHeight="true" outlineLevel="0" collapsed="false">
      <c r="A806" s="25"/>
      <c r="B806" s="25"/>
      <c r="C806" s="25"/>
      <c r="D806" s="25"/>
      <c r="E806" s="25"/>
      <c r="F806" s="25"/>
      <c r="G806" s="25"/>
      <c r="H806" s="25"/>
      <c r="I806" s="25"/>
      <c r="J806" s="25"/>
      <c r="K806" s="25"/>
      <c r="L806" s="25"/>
      <c r="M806" s="25"/>
      <c r="N806" s="25"/>
      <c r="O806" s="25"/>
      <c r="P806" s="25"/>
      <c r="Q806" s="25"/>
      <c r="R806" s="25"/>
      <c r="S806" s="25"/>
      <c r="T806" s="25"/>
      <c r="U806" s="25"/>
      <c r="V806" s="25"/>
      <c r="W806" s="25"/>
      <c r="X806" s="25"/>
      <c r="Y806" s="25"/>
      <c r="Z806" s="25"/>
    </row>
    <row r="807" customFormat="false" ht="39.75" hidden="false" customHeight="true" outlineLevel="0" collapsed="false">
      <c r="A807" s="25"/>
      <c r="B807" s="25"/>
      <c r="C807" s="25"/>
      <c r="D807" s="25"/>
      <c r="E807" s="25"/>
      <c r="F807" s="25"/>
      <c r="G807" s="25"/>
      <c r="H807" s="25"/>
      <c r="I807" s="25"/>
      <c r="J807" s="25"/>
      <c r="K807" s="25"/>
      <c r="L807" s="25"/>
      <c r="M807" s="25"/>
      <c r="N807" s="25"/>
      <c r="O807" s="25"/>
      <c r="P807" s="25"/>
      <c r="Q807" s="25"/>
      <c r="R807" s="25"/>
      <c r="S807" s="25"/>
      <c r="T807" s="25"/>
      <c r="U807" s="25"/>
      <c r="V807" s="25"/>
      <c r="W807" s="25"/>
      <c r="X807" s="25"/>
      <c r="Y807" s="25"/>
      <c r="Z807" s="25"/>
    </row>
    <row r="808" customFormat="false" ht="39.75" hidden="false" customHeight="true" outlineLevel="0" collapsed="false">
      <c r="A808" s="25"/>
      <c r="B808" s="25"/>
      <c r="C808" s="25"/>
      <c r="D808" s="25"/>
      <c r="E808" s="25"/>
      <c r="F808" s="25"/>
      <c r="G808" s="25"/>
      <c r="H808" s="25"/>
      <c r="I808" s="25"/>
      <c r="J808" s="25"/>
      <c r="K808" s="25"/>
      <c r="L808" s="25"/>
      <c r="M808" s="25"/>
      <c r="N808" s="25"/>
      <c r="O808" s="25"/>
      <c r="P808" s="25"/>
      <c r="Q808" s="25"/>
      <c r="R808" s="25"/>
      <c r="S808" s="25"/>
      <c r="T808" s="25"/>
      <c r="U808" s="25"/>
      <c r="V808" s="25"/>
      <c r="W808" s="25"/>
      <c r="X808" s="25"/>
      <c r="Y808" s="25"/>
      <c r="Z808" s="25"/>
    </row>
    <row r="809" customFormat="false" ht="39.75" hidden="false" customHeight="true" outlineLevel="0" collapsed="false">
      <c r="A809" s="25"/>
      <c r="B809" s="25"/>
      <c r="C809" s="25"/>
      <c r="D809" s="25"/>
      <c r="E809" s="25"/>
      <c r="F809" s="25"/>
      <c r="G809" s="25"/>
      <c r="H809" s="25"/>
      <c r="I809" s="25"/>
      <c r="J809" s="25"/>
      <c r="K809" s="25"/>
      <c r="L809" s="25"/>
      <c r="M809" s="25"/>
      <c r="N809" s="25"/>
      <c r="O809" s="25"/>
      <c r="P809" s="25"/>
      <c r="Q809" s="25"/>
      <c r="R809" s="25"/>
      <c r="S809" s="25"/>
      <c r="T809" s="25"/>
      <c r="U809" s="25"/>
      <c r="V809" s="25"/>
      <c r="W809" s="25"/>
      <c r="X809" s="25"/>
      <c r="Y809" s="25"/>
      <c r="Z809" s="25"/>
    </row>
    <row r="810" customFormat="false" ht="39.75" hidden="false" customHeight="true" outlineLevel="0" collapsed="false">
      <c r="A810" s="25"/>
      <c r="B810" s="25"/>
      <c r="C810" s="25"/>
      <c r="D810" s="25"/>
      <c r="E810" s="25"/>
      <c r="F810" s="25"/>
      <c r="G810" s="25"/>
      <c r="H810" s="25"/>
      <c r="I810" s="25"/>
      <c r="J810" s="25"/>
      <c r="K810" s="25"/>
      <c r="L810" s="25"/>
      <c r="M810" s="25"/>
      <c r="N810" s="25"/>
      <c r="O810" s="25"/>
      <c r="P810" s="25"/>
      <c r="Q810" s="25"/>
      <c r="R810" s="25"/>
      <c r="S810" s="25"/>
      <c r="T810" s="25"/>
      <c r="U810" s="25"/>
      <c r="V810" s="25"/>
      <c r="W810" s="25"/>
      <c r="X810" s="25"/>
      <c r="Y810" s="25"/>
      <c r="Z810" s="25"/>
    </row>
    <row r="811" customFormat="false" ht="39.75" hidden="false" customHeight="true" outlineLevel="0" collapsed="false">
      <c r="A811" s="25"/>
      <c r="B811" s="25"/>
      <c r="C811" s="25"/>
      <c r="D811" s="25"/>
      <c r="E811" s="25"/>
      <c r="F811" s="25"/>
      <c r="G811" s="25"/>
      <c r="H811" s="25"/>
      <c r="I811" s="25"/>
      <c r="J811" s="25"/>
      <c r="K811" s="25"/>
      <c r="L811" s="25"/>
      <c r="M811" s="25"/>
      <c r="N811" s="25"/>
      <c r="O811" s="25"/>
      <c r="P811" s="25"/>
      <c r="Q811" s="25"/>
      <c r="R811" s="25"/>
      <c r="S811" s="25"/>
      <c r="T811" s="25"/>
      <c r="U811" s="25"/>
      <c r="V811" s="25"/>
      <c r="W811" s="25"/>
      <c r="X811" s="25"/>
      <c r="Y811" s="25"/>
      <c r="Z811" s="25"/>
    </row>
    <row r="812" customFormat="false" ht="39.75" hidden="false" customHeight="true" outlineLevel="0" collapsed="false">
      <c r="A812" s="25"/>
      <c r="B812" s="25"/>
      <c r="C812" s="25"/>
      <c r="D812" s="25"/>
      <c r="E812" s="25"/>
      <c r="F812" s="25"/>
      <c r="G812" s="25"/>
      <c r="H812" s="25"/>
      <c r="I812" s="25"/>
      <c r="J812" s="25"/>
      <c r="K812" s="25"/>
      <c r="L812" s="25"/>
      <c r="M812" s="25"/>
      <c r="N812" s="25"/>
      <c r="O812" s="25"/>
      <c r="P812" s="25"/>
      <c r="Q812" s="25"/>
      <c r="R812" s="25"/>
      <c r="S812" s="25"/>
      <c r="T812" s="25"/>
      <c r="U812" s="25"/>
      <c r="V812" s="25"/>
      <c r="W812" s="25"/>
      <c r="X812" s="25"/>
      <c r="Y812" s="25"/>
      <c r="Z812" s="25"/>
    </row>
    <row r="813" customFormat="false" ht="39.75" hidden="false" customHeight="true" outlineLevel="0" collapsed="false">
      <c r="A813" s="25"/>
      <c r="B813" s="25"/>
      <c r="C813" s="25"/>
      <c r="D813" s="25"/>
      <c r="E813" s="25"/>
      <c r="F813" s="25"/>
      <c r="G813" s="25"/>
      <c r="H813" s="25"/>
      <c r="I813" s="25"/>
      <c r="J813" s="25"/>
      <c r="K813" s="25"/>
      <c r="L813" s="25"/>
      <c r="M813" s="25"/>
      <c r="N813" s="25"/>
      <c r="O813" s="25"/>
      <c r="P813" s="25"/>
      <c r="Q813" s="25"/>
      <c r="R813" s="25"/>
      <c r="S813" s="25"/>
      <c r="T813" s="25"/>
      <c r="U813" s="25"/>
      <c r="V813" s="25"/>
      <c r="W813" s="25"/>
      <c r="X813" s="25"/>
      <c r="Y813" s="25"/>
      <c r="Z813" s="25"/>
    </row>
    <row r="814" customFormat="false" ht="39.75" hidden="false" customHeight="true" outlineLevel="0" collapsed="false">
      <c r="A814" s="25"/>
      <c r="B814" s="25"/>
      <c r="C814" s="25"/>
      <c r="D814" s="25"/>
      <c r="E814" s="25"/>
      <c r="F814" s="25"/>
      <c r="G814" s="25"/>
      <c r="H814" s="25"/>
      <c r="I814" s="25"/>
      <c r="J814" s="25"/>
      <c r="K814" s="25"/>
      <c r="L814" s="25"/>
      <c r="M814" s="25"/>
      <c r="N814" s="25"/>
      <c r="O814" s="25"/>
      <c r="P814" s="25"/>
      <c r="Q814" s="25"/>
      <c r="R814" s="25"/>
      <c r="S814" s="25"/>
      <c r="T814" s="25"/>
      <c r="U814" s="25"/>
      <c r="V814" s="25"/>
      <c r="W814" s="25"/>
      <c r="X814" s="25"/>
      <c r="Y814" s="25"/>
      <c r="Z814" s="25"/>
    </row>
    <row r="815" customFormat="false" ht="39.75" hidden="false" customHeight="true" outlineLevel="0" collapsed="false">
      <c r="A815" s="25"/>
      <c r="B815" s="25"/>
      <c r="C815" s="25"/>
      <c r="D815" s="25"/>
      <c r="E815" s="25"/>
      <c r="F815" s="25"/>
      <c r="G815" s="25"/>
      <c r="H815" s="25"/>
      <c r="I815" s="25"/>
      <c r="J815" s="25"/>
      <c r="K815" s="25"/>
      <c r="L815" s="25"/>
      <c r="M815" s="25"/>
      <c r="N815" s="25"/>
      <c r="O815" s="25"/>
      <c r="P815" s="25"/>
      <c r="Q815" s="25"/>
      <c r="R815" s="25"/>
      <c r="S815" s="25"/>
      <c r="T815" s="25"/>
      <c r="U815" s="25"/>
      <c r="V815" s="25"/>
      <c r="W815" s="25"/>
      <c r="X815" s="25"/>
      <c r="Y815" s="25"/>
      <c r="Z815" s="25"/>
    </row>
    <row r="816" customFormat="false" ht="39.75" hidden="false" customHeight="true" outlineLevel="0" collapsed="false">
      <c r="A816" s="25"/>
      <c r="B816" s="25"/>
      <c r="C816" s="25"/>
      <c r="D816" s="25"/>
      <c r="E816" s="25"/>
      <c r="F816" s="25"/>
      <c r="G816" s="25"/>
      <c r="H816" s="25"/>
      <c r="I816" s="25"/>
      <c r="J816" s="25"/>
      <c r="K816" s="25"/>
      <c r="L816" s="25"/>
      <c r="M816" s="25"/>
      <c r="N816" s="25"/>
      <c r="O816" s="25"/>
      <c r="P816" s="25"/>
      <c r="Q816" s="25"/>
      <c r="R816" s="25"/>
      <c r="S816" s="25"/>
      <c r="T816" s="25"/>
      <c r="U816" s="25"/>
      <c r="V816" s="25"/>
      <c r="W816" s="25"/>
      <c r="X816" s="25"/>
      <c r="Y816" s="25"/>
      <c r="Z816" s="25"/>
    </row>
    <row r="817" customFormat="false" ht="39.75" hidden="false" customHeight="true" outlineLevel="0" collapsed="false">
      <c r="A817" s="25"/>
      <c r="B817" s="25"/>
      <c r="C817" s="25"/>
      <c r="D817" s="25"/>
      <c r="E817" s="25"/>
      <c r="F817" s="25"/>
      <c r="G817" s="25"/>
      <c r="H817" s="25"/>
      <c r="I817" s="25"/>
      <c r="J817" s="25"/>
      <c r="K817" s="25"/>
      <c r="L817" s="25"/>
      <c r="M817" s="25"/>
      <c r="N817" s="25"/>
      <c r="O817" s="25"/>
      <c r="P817" s="25"/>
      <c r="Q817" s="25"/>
      <c r="R817" s="25"/>
      <c r="S817" s="25"/>
      <c r="T817" s="25"/>
      <c r="U817" s="25"/>
      <c r="V817" s="25"/>
      <c r="W817" s="25"/>
      <c r="X817" s="25"/>
      <c r="Y817" s="25"/>
      <c r="Z817" s="25"/>
    </row>
    <row r="818" customFormat="false" ht="39.75" hidden="false" customHeight="true" outlineLevel="0" collapsed="false">
      <c r="A818" s="25"/>
      <c r="B818" s="25"/>
      <c r="C818" s="25"/>
      <c r="D818" s="25"/>
      <c r="E818" s="25"/>
      <c r="F818" s="25"/>
      <c r="G818" s="25"/>
      <c r="H818" s="25"/>
      <c r="I818" s="25"/>
      <c r="J818" s="25"/>
      <c r="K818" s="25"/>
      <c r="L818" s="25"/>
      <c r="M818" s="25"/>
      <c r="N818" s="25"/>
      <c r="O818" s="25"/>
      <c r="P818" s="25"/>
      <c r="Q818" s="25"/>
      <c r="R818" s="25"/>
      <c r="S818" s="25"/>
      <c r="T818" s="25"/>
      <c r="U818" s="25"/>
      <c r="V818" s="25"/>
      <c r="W818" s="25"/>
      <c r="X818" s="25"/>
      <c r="Y818" s="25"/>
      <c r="Z818" s="25"/>
    </row>
    <row r="819" customFormat="false" ht="39.75" hidden="false" customHeight="true" outlineLevel="0" collapsed="false">
      <c r="A819" s="25"/>
      <c r="B819" s="25"/>
      <c r="C819" s="25"/>
      <c r="D819" s="25"/>
      <c r="E819" s="25"/>
      <c r="F819" s="25"/>
      <c r="G819" s="25"/>
      <c r="H819" s="25"/>
      <c r="I819" s="25"/>
      <c r="J819" s="25"/>
      <c r="K819" s="25"/>
      <c r="L819" s="25"/>
      <c r="M819" s="25"/>
      <c r="N819" s="25"/>
      <c r="O819" s="25"/>
      <c r="P819" s="25"/>
      <c r="Q819" s="25"/>
      <c r="R819" s="25"/>
      <c r="S819" s="25"/>
      <c r="T819" s="25"/>
      <c r="U819" s="25"/>
      <c r="V819" s="25"/>
      <c r="W819" s="25"/>
      <c r="X819" s="25"/>
      <c r="Y819" s="25"/>
      <c r="Z819" s="25"/>
    </row>
    <row r="820" customFormat="false" ht="39.75" hidden="false" customHeight="true" outlineLevel="0" collapsed="false">
      <c r="A820" s="25"/>
      <c r="B820" s="25"/>
      <c r="C820" s="25"/>
      <c r="D820" s="25"/>
      <c r="E820" s="25"/>
      <c r="F820" s="25"/>
      <c r="G820" s="25"/>
      <c r="H820" s="25"/>
      <c r="I820" s="25"/>
      <c r="J820" s="25"/>
      <c r="K820" s="25"/>
      <c r="L820" s="25"/>
      <c r="M820" s="25"/>
      <c r="N820" s="25"/>
      <c r="O820" s="25"/>
      <c r="P820" s="25"/>
      <c r="Q820" s="25"/>
      <c r="R820" s="25"/>
      <c r="S820" s="25"/>
      <c r="T820" s="25"/>
      <c r="U820" s="25"/>
      <c r="V820" s="25"/>
      <c r="W820" s="25"/>
      <c r="X820" s="25"/>
      <c r="Y820" s="25"/>
      <c r="Z820" s="25"/>
    </row>
    <row r="821" customFormat="false" ht="39.75" hidden="false" customHeight="true" outlineLevel="0" collapsed="false">
      <c r="A821" s="25"/>
      <c r="B821" s="25"/>
      <c r="C821" s="25"/>
      <c r="D821" s="25"/>
      <c r="E821" s="25"/>
      <c r="F821" s="25"/>
      <c r="G821" s="25"/>
      <c r="H821" s="25"/>
      <c r="I821" s="25"/>
      <c r="J821" s="25"/>
      <c r="K821" s="25"/>
      <c r="L821" s="25"/>
      <c r="M821" s="25"/>
      <c r="N821" s="25"/>
      <c r="O821" s="25"/>
      <c r="P821" s="25"/>
      <c r="Q821" s="25"/>
      <c r="R821" s="25"/>
      <c r="S821" s="25"/>
      <c r="T821" s="25"/>
      <c r="U821" s="25"/>
      <c r="V821" s="25"/>
      <c r="W821" s="25"/>
      <c r="X821" s="25"/>
      <c r="Y821" s="25"/>
      <c r="Z821" s="25"/>
    </row>
    <row r="822" customFormat="false" ht="39.75" hidden="false" customHeight="true" outlineLevel="0" collapsed="false">
      <c r="A822" s="25"/>
      <c r="B822" s="25"/>
      <c r="C822" s="25"/>
      <c r="D822" s="25"/>
      <c r="E822" s="25"/>
      <c r="F822" s="25"/>
      <c r="G822" s="25"/>
      <c r="H822" s="25"/>
      <c r="I822" s="25"/>
      <c r="J822" s="25"/>
      <c r="K822" s="25"/>
      <c r="L822" s="25"/>
      <c r="M822" s="25"/>
      <c r="N822" s="25"/>
      <c r="O822" s="25"/>
      <c r="P822" s="25"/>
      <c r="Q822" s="25"/>
      <c r="R822" s="25"/>
      <c r="S822" s="25"/>
      <c r="T822" s="25"/>
      <c r="U822" s="25"/>
      <c r="V822" s="25"/>
      <c r="W822" s="25"/>
      <c r="X822" s="25"/>
      <c r="Y822" s="25"/>
      <c r="Z822" s="25"/>
    </row>
    <row r="823" customFormat="false" ht="39.75" hidden="false" customHeight="true" outlineLevel="0" collapsed="false">
      <c r="A823" s="25"/>
      <c r="B823" s="25"/>
      <c r="C823" s="25"/>
      <c r="D823" s="25"/>
      <c r="E823" s="25"/>
      <c r="F823" s="25"/>
      <c r="G823" s="25"/>
      <c r="H823" s="25"/>
      <c r="I823" s="25"/>
      <c r="J823" s="25"/>
      <c r="K823" s="25"/>
      <c r="L823" s="25"/>
      <c r="M823" s="25"/>
      <c r="N823" s="25"/>
      <c r="O823" s="25"/>
      <c r="P823" s="25"/>
      <c r="Q823" s="25"/>
      <c r="R823" s="25"/>
      <c r="S823" s="25"/>
      <c r="T823" s="25"/>
      <c r="U823" s="25"/>
      <c r="V823" s="25"/>
      <c r="W823" s="25"/>
      <c r="X823" s="25"/>
      <c r="Y823" s="25"/>
      <c r="Z823" s="25"/>
    </row>
    <row r="824" customFormat="false" ht="39.75" hidden="false" customHeight="true" outlineLevel="0" collapsed="false">
      <c r="A824" s="25"/>
      <c r="B824" s="25"/>
      <c r="C824" s="25"/>
      <c r="D824" s="25"/>
      <c r="E824" s="25"/>
      <c r="F824" s="25"/>
      <c r="G824" s="25"/>
      <c r="H824" s="25"/>
      <c r="I824" s="25"/>
      <c r="J824" s="25"/>
      <c r="K824" s="25"/>
      <c r="L824" s="25"/>
      <c r="M824" s="25"/>
      <c r="N824" s="25"/>
      <c r="O824" s="25"/>
      <c r="P824" s="25"/>
      <c r="Q824" s="25"/>
      <c r="R824" s="25"/>
      <c r="S824" s="25"/>
      <c r="T824" s="25"/>
      <c r="U824" s="25"/>
      <c r="V824" s="25"/>
      <c r="W824" s="25"/>
      <c r="X824" s="25"/>
      <c r="Y824" s="25"/>
      <c r="Z824" s="25"/>
    </row>
    <row r="825" customFormat="false" ht="39.75" hidden="false" customHeight="true" outlineLevel="0" collapsed="false">
      <c r="A825" s="25"/>
      <c r="B825" s="25"/>
      <c r="C825" s="25"/>
      <c r="D825" s="25"/>
      <c r="E825" s="25"/>
      <c r="F825" s="25"/>
      <c r="G825" s="25"/>
      <c r="H825" s="25"/>
      <c r="I825" s="25"/>
      <c r="J825" s="25"/>
      <c r="K825" s="25"/>
      <c r="L825" s="25"/>
      <c r="M825" s="25"/>
      <c r="N825" s="25"/>
      <c r="O825" s="25"/>
      <c r="P825" s="25"/>
      <c r="Q825" s="25"/>
      <c r="R825" s="25"/>
      <c r="S825" s="25"/>
      <c r="T825" s="25"/>
      <c r="U825" s="25"/>
      <c r="V825" s="25"/>
      <c r="W825" s="25"/>
      <c r="X825" s="25"/>
      <c r="Y825" s="25"/>
      <c r="Z825" s="25"/>
    </row>
    <row r="826" customFormat="false" ht="39.75" hidden="false" customHeight="true" outlineLevel="0" collapsed="false">
      <c r="A826" s="25"/>
      <c r="B826" s="25"/>
      <c r="C826" s="25"/>
      <c r="D826" s="25"/>
      <c r="E826" s="25"/>
      <c r="F826" s="25"/>
      <c r="G826" s="25"/>
      <c r="H826" s="25"/>
      <c r="I826" s="25"/>
      <c r="J826" s="25"/>
      <c r="K826" s="25"/>
      <c r="L826" s="25"/>
      <c r="M826" s="25"/>
      <c r="N826" s="25"/>
      <c r="O826" s="25"/>
      <c r="P826" s="25"/>
      <c r="Q826" s="25"/>
      <c r="R826" s="25"/>
      <c r="S826" s="25"/>
      <c r="T826" s="25"/>
      <c r="U826" s="25"/>
      <c r="V826" s="25"/>
      <c r="W826" s="25"/>
      <c r="X826" s="25"/>
      <c r="Y826" s="25"/>
      <c r="Z826" s="25"/>
    </row>
    <row r="827" customFormat="false" ht="39.75" hidden="false" customHeight="true" outlineLevel="0" collapsed="false">
      <c r="A827" s="25"/>
      <c r="B827" s="25"/>
      <c r="C827" s="25"/>
      <c r="D827" s="25"/>
      <c r="E827" s="25"/>
      <c r="F827" s="25"/>
      <c r="G827" s="25"/>
      <c r="H827" s="25"/>
      <c r="I827" s="25"/>
      <c r="J827" s="25"/>
      <c r="K827" s="25"/>
      <c r="L827" s="25"/>
      <c r="M827" s="25"/>
      <c r="N827" s="25"/>
      <c r="O827" s="25"/>
      <c r="P827" s="25"/>
      <c r="Q827" s="25"/>
      <c r="R827" s="25"/>
      <c r="S827" s="25"/>
      <c r="T827" s="25"/>
      <c r="U827" s="25"/>
      <c r="V827" s="25"/>
      <c r="W827" s="25"/>
      <c r="X827" s="25"/>
      <c r="Y827" s="25"/>
      <c r="Z827" s="25"/>
    </row>
    <row r="828" customFormat="false" ht="39.75" hidden="false" customHeight="true" outlineLevel="0" collapsed="false">
      <c r="A828" s="25"/>
      <c r="B828" s="25"/>
      <c r="C828" s="25"/>
      <c r="D828" s="25"/>
      <c r="E828" s="25"/>
      <c r="F828" s="25"/>
      <c r="G828" s="25"/>
      <c r="H828" s="25"/>
      <c r="I828" s="25"/>
      <c r="J828" s="25"/>
      <c r="K828" s="25"/>
      <c r="L828" s="25"/>
      <c r="M828" s="25"/>
      <c r="N828" s="25"/>
      <c r="O828" s="25"/>
      <c r="P828" s="25"/>
      <c r="Q828" s="25"/>
      <c r="R828" s="25"/>
      <c r="S828" s="25"/>
      <c r="T828" s="25"/>
      <c r="U828" s="25"/>
      <c r="V828" s="25"/>
      <c r="W828" s="25"/>
      <c r="X828" s="25"/>
      <c r="Y828" s="25"/>
      <c r="Z828" s="25"/>
    </row>
    <row r="829" customFormat="false" ht="39.75" hidden="false" customHeight="true" outlineLevel="0" collapsed="false">
      <c r="A829" s="25"/>
      <c r="B829" s="25"/>
      <c r="C829" s="25"/>
      <c r="D829" s="25"/>
      <c r="E829" s="25"/>
      <c r="F829" s="25"/>
      <c r="G829" s="25"/>
      <c r="H829" s="25"/>
      <c r="I829" s="25"/>
      <c r="J829" s="25"/>
      <c r="K829" s="25"/>
      <c r="L829" s="25"/>
      <c r="M829" s="25"/>
      <c r="N829" s="25"/>
      <c r="O829" s="25"/>
      <c r="P829" s="25"/>
      <c r="Q829" s="25"/>
      <c r="R829" s="25"/>
      <c r="S829" s="25"/>
      <c r="T829" s="25"/>
      <c r="U829" s="25"/>
      <c r="V829" s="25"/>
      <c r="W829" s="25"/>
      <c r="X829" s="25"/>
      <c r="Y829" s="25"/>
      <c r="Z829" s="25"/>
    </row>
    <row r="830" customFormat="false" ht="39.75" hidden="false" customHeight="true" outlineLevel="0" collapsed="false">
      <c r="A830" s="25"/>
      <c r="B830" s="25"/>
      <c r="C830" s="25"/>
      <c r="D830" s="25"/>
      <c r="E830" s="25"/>
      <c r="F830" s="25"/>
      <c r="G830" s="25"/>
      <c r="H830" s="25"/>
      <c r="I830" s="25"/>
      <c r="J830" s="25"/>
      <c r="K830" s="25"/>
      <c r="L830" s="25"/>
      <c r="M830" s="25"/>
      <c r="N830" s="25"/>
      <c r="O830" s="25"/>
      <c r="P830" s="25"/>
      <c r="Q830" s="25"/>
      <c r="R830" s="25"/>
      <c r="S830" s="25"/>
      <c r="T830" s="25"/>
      <c r="U830" s="25"/>
      <c r="V830" s="25"/>
      <c r="W830" s="25"/>
      <c r="X830" s="25"/>
      <c r="Y830" s="25"/>
      <c r="Z830" s="25"/>
    </row>
    <row r="831" customFormat="false" ht="39.75" hidden="false" customHeight="true" outlineLevel="0" collapsed="false">
      <c r="A831" s="25"/>
      <c r="B831" s="25"/>
      <c r="C831" s="25"/>
      <c r="D831" s="25"/>
      <c r="E831" s="25"/>
      <c r="F831" s="25"/>
      <c r="G831" s="25"/>
      <c r="H831" s="25"/>
      <c r="I831" s="25"/>
      <c r="J831" s="25"/>
      <c r="K831" s="25"/>
      <c r="L831" s="25"/>
      <c r="M831" s="25"/>
      <c r="N831" s="25"/>
      <c r="O831" s="25"/>
      <c r="P831" s="25"/>
      <c r="Q831" s="25"/>
      <c r="R831" s="25"/>
      <c r="S831" s="25"/>
      <c r="T831" s="25"/>
      <c r="U831" s="25"/>
      <c r="V831" s="25"/>
      <c r="W831" s="25"/>
      <c r="X831" s="25"/>
      <c r="Y831" s="25"/>
      <c r="Z831" s="25"/>
    </row>
    <row r="832" customFormat="false" ht="39.75" hidden="false" customHeight="true" outlineLevel="0" collapsed="false">
      <c r="A832" s="25"/>
      <c r="B832" s="25"/>
      <c r="C832" s="25"/>
      <c r="D832" s="25"/>
      <c r="E832" s="25"/>
      <c r="F832" s="25"/>
      <c r="G832" s="25"/>
      <c r="H832" s="25"/>
      <c r="I832" s="25"/>
      <c r="J832" s="25"/>
      <c r="K832" s="25"/>
      <c r="L832" s="25"/>
      <c r="M832" s="25"/>
      <c r="N832" s="25"/>
      <c r="O832" s="25"/>
      <c r="P832" s="25"/>
      <c r="Q832" s="25"/>
      <c r="R832" s="25"/>
      <c r="S832" s="25"/>
      <c r="T832" s="25"/>
      <c r="U832" s="25"/>
      <c r="V832" s="25"/>
      <c r="W832" s="25"/>
      <c r="X832" s="25"/>
      <c r="Y832" s="25"/>
      <c r="Z832" s="25"/>
    </row>
    <row r="833" customFormat="false" ht="39.75" hidden="false" customHeight="true" outlineLevel="0" collapsed="false">
      <c r="A833" s="25"/>
      <c r="B833" s="25"/>
      <c r="C833" s="25"/>
      <c r="D833" s="25"/>
      <c r="E833" s="25"/>
      <c r="F833" s="25"/>
      <c r="G833" s="25"/>
      <c r="H833" s="25"/>
      <c r="I833" s="25"/>
      <c r="J833" s="25"/>
      <c r="K833" s="25"/>
      <c r="L833" s="25"/>
      <c r="M833" s="25"/>
      <c r="N833" s="25"/>
      <c r="O833" s="25"/>
      <c r="P833" s="25"/>
      <c r="Q833" s="25"/>
      <c r="R833" s="25"/>
      <c r="S833" s="25"/>
      <c r="T833" s="25"/>
      <c r="U833" s="25"/>
      <c r="V833" s="25"/>
      <c r="W833" s="25"/>
      <c r="X833" s="25"/>
      <c r="Y833" s="25"/>
      <c r="Z833" s="25"/>
    </row>
    <row r="834" customFormat="false" ht="39.75" hidden="false" customHeight="true" outlineLevel="0" collapsed="false">
      <c r="A834" s="25"/>
      <c r="B834" s="25"/>
      <c r="C834" s="25"/>
      <c r="D834" s="25"/>
      <c r="E834" s="25"/>
      <c r="F834" s="25"/>
      <c r="G834" s="25"/>
      <c r="H834" s="25"/>
      <c r="I834" s="25"/>
      <c r="J834" s="25"/>
      <c r="K834" s="25"/>
      <c r="L834" s="25"/>
      <c r="M834" s="25"/>
      <c r="N834" s="25"/>
      <c r="O834" s="25"/>
      <c r="P834" s="25"/>
      <c r="Q834" s="25"/>
      <c r="R834" s="25"/>
      <c r="S834" s="25"/>
      <c r="T834" s="25"/>
      <c r="U834" s="25"/>
      <c r="V834" s="25"/>
      <c r="W834" s="25"/>
      <c r="X834" s="25"/>
      <c r="Y834" s="25"/>
      <c r="Z834" s="25"/>
    </row>
    <row r="835" customFormat="false" ht="39.75" hidden="false" customHeight="true" outlineLevel="0" collapsed="false">
      <c r="A835" s="25"/>
      <c r="B835" s="25"/>
      <c r="C835" s="25"/>
      <c r="D835" s="25"/>
      <c r="E835" s="25"/>
      <c r="F835" s="25"/>
      <c r="G835" s="25"/>
      <c r="H835" s="25"/>
      <c r="I835" s="25"/>
      <c r="J835" s="25"/>
      <c r="K835" s="25"/>
      <c r="L835" s="25"/>
      <c r="M835" s="25"/>
      <c r="N835" s="25"/>
      <c r="O835" s="25"/>
      <c r="P835" s="25"/>
      <c r="Q835" s="25"/>
      <c r="R835" s="25"/>
      <c r="S835" s="25"/>
      <c r="T835" s="25"/>
      <c r="U835" s="25"/>
      <c r="V835" s="25"/>
      <c r="W835" s="25"/>
      <c r="X835" s="25"/>
      <c r="Y835" s="25"/>
      <c r="Z835" s="25"/>
    </row>
    <row r="836" customFormat="false" ht="39.75" hidden="false" customHeight="true" outlineLevel="0" collapsed="false">
      <c r="A836" s="25"/>
      <c r="B836" s="25"/>
      <c r="C836" s="25"/>
      <c r="D836" s="25"/>
      <c r="E836" s="25"/>
      <c r="F836" s="25"/>
      <c r="G836" s="25"/>
      <c r="H836" s="25"/>
      <c r="I836" s="25"/>
      <c r="J836" s="25"/>
      <c r="K836" s="25"/>
      <c r="L836" s="25"/>
      <c r="M836" s="25"/>
      <c r="N836" s="25"/>
      <c r="O836" s="25"/>
      <c r="P836" s="25"/>
      <c r="Q836" s="25"/>
      <c r="R836" s="25"/>
      <c r="S836" s="25"/>
      <c r="T836" s="25"/>
      <c r="U836" s="25"/>
      <c r="V836" s="25"/>
      <c r="W836" s="25"/>
      <c r="X836" s="25"/>
      <c r="Y836" s="25"/>
      <c r="Z836" s="25"/>
    </row>
    <row r="837" customFormat="false" ht="39.75" hidden="false" customHeight="true" outlineLevel="0" collapsed="false">
      <c r="A837" s="25"/>
      <c r="B837" s="25"/>
      <c r="C837" s="25"/>
      <c r="D837" s="25"/>
      <c r="E837" s="25"/>
      <c r="F837" s="25"/>
      <c r="G837" s="25"/>
      <c r="H837" s="25"/>
      <c r="I837" s="25"/>
      <c r="J837" s="25"/>
      <c r="K837" s="25"/>
      <c r="L837" s="25"/>
      <c r="M837" s="25"/>
      <c r="N837" s="25"/>
      <c r="O837" s="25"/>
      <c r="P837" s="25"/>
      <c r="Q837" s="25"/>
      <c r="R837" s="25"/>
      <c r="S837" s="25"/>
      <c r="T837" s="25"/>
      <c r="U837" s="25"/>
      <c r="V837" s="25"/>
      <c r="W837" s="25"/>
      <c r="X837" s="25"/>
      <c r="Y837" s="25"/>
      <c r="Z837" s="25"/>
    </row>
    <row r="838" customFormat="false" ht="39.75" hidden="false" customHeight="true" outlineLevel="0" collapsed="false">
      <c r="A838" s="25"/>
      <c r="B838" s="25"/>
      <c r="C838" s="25"/>
      <c r="D838" s="25"/>
      <c r="E838" s="25"/>
      <c r="F838" s="25"/>
      <c r="G838" s="25"/>
      <c r="H838" s="25"/>
      <c r="I838" s="25"/>
      <c r="J838" s="25"/>
      <c r="K838" s="25"/>
      <c r="L838" s="25"/>
      <c r="M838" s="25"/>
      <c r="N838" s="25"/>
      <c r="O838" s="25"/>
      <c r="P838" s="25"/>
      <c r="Q838" s="25"/>
      <c r="R838" s="25"/>
      <c r="S838" s="25"/>
      <c r="T838" s="25"/>
      <c r="U838" s="25"/>
      <c r="V838" s="25"/>
      <c r="W838" s="25"/>
      <c r="X838" s="25"/>
      <c r="Y838" s="25"/>
      <c r="Z838" s="25"/>
    </row>
    <row r="839" customFormat="false" ht="39.75" hidden="false" customHeight="true" outlineLevel="0" collapsed="false">
      <c r="A839" s="25"/>
      <c r="B839" s="25"/>
      <c r="C839" s="25"/>
      <c r="D839" s="25"/>
      <c r="E839" s="25"/>
      <c r="F839" s="25"/>
      <c r="G839" s="25"/>
      <c r="H839" s="25"/>
      <c r="I839" s="25"/>
      <c r="J839" s="25"/>
      <c r="K839" s="25"/>
      <c r="L839" s="25"/>
      <c r="M839" s="25"/>
      <c r="N839" s="25"/>
      <c r="O839" s="25"/>
      <c r="P839" s="25"/>
      <c r="Q839" s="25"/>
      <c r="R839" s="25"/>
      <c r="S839" s="25"/>
      <c r="T839" s="25"/>
      <c r="U839" s="25"/>
      <c r="V839" s="25"/>
      <c r="W839" s="25"/>
      <c r="X839" s="25"/>
      <c r="Y839" s="25"/>
      <c r="Z839" s="25"/>
    </row>
    <row r="840" customFormat="false" ht="39.75" hidden="false" customHeight="true" outlineLevel="0" collapsed="false">
      <c r="A840" s="25"/>
      <c r="B840" s="25"/>
      <c r="C840" s="25"/>
      <c r="D840" s="25"/>
      <c r="E840" s="25"/>
      <c r="F840" s="25"/>
      <c r="G840" s="25"/>
      <c r="H840" s="25"/>
      <c r="I840" s="25"/>
      <c r="J840" s="25"/>
      <c r="K840" s="25"/>
      <c r="L840" s="25"/>
      <c r="M840" s="25"/>
      <c r="N840" s="25"/>
      <c r="O840" s="25"/>
      <c r="P840" s="25"/>
      <c r="Q840" s="25"/>
      <c r="R840" s="25"/>
      <c r="S840" s="25"/>
      <c r="T840" s="25"/>
      <c r="U840" s="25"/>
      <c r="V840" s="25"/>
      <c r="W840" s="25"/>
      <c r="X840" s="25"/>
      <c r="Y840" s="25"/>
      <c r="Z840" s="25"/>
    </row>
    <row r="841" customFormat="false" ht="39.75" hidden="false" customHeight="true" outlineLevel="0" collapsed="false">
      <c r="A841" s="25"/>
      <c r="B841" s="25"/>
      <c r="C841" s="25"/>
      <c r="D841" s="25"/>
      <c r="E841" s="25"/>
      <c r="F841" s="25"/>
      <c r="G841" s="25"/>
      <c r="H841" s="25"/>
      <c r="I841" s="25"/>
      <c r="J841" s="25"/>
      <c r="K841" s="25"/>
      <c r="L841" s="25"/>
      <c r="M841" s="25"/>
      <c r="N841" s="25"/>
      <c r="O841" s="25"/>
      <c r="P841" s="25"/>
      <c r="Q841" s="25"/>
      <c r="R841" s="25"/>
      <c r="S841" s="25"/>
      <c r="T841" s="25"/>
      <c r="U841" s="25"/>
      <c r="V841" s="25"/>
      <c r="W841" s="25"/>
      <c r="X841" s="25"/>
      <c r="Y841" s="25"/>
      <c r="Z841" s="25"/>
    </row>
    <row r="842" customFormat="false" ht="39.75" hidden="false" customHeight="true" outlineLevel="0" collapsed="false">
      <c r="A842" s="25"/>
      <c r="B842" s="25"/>
      <c r="C842" s="25"/>
      <c r="D842" s="25"/>
      <c r="E842" s="25"/>
      <c r="F842" s="25"/>
      <c r="G842" s="25"/>
      <c r="H842" s="25"/>
      <c r="I842" s="25"/>
      <c r="J842" s="25"/>
      <c r="K842" s="25"/>
      <c r="L842" s="25"/>
      <c r="M842" s="25"/>
      <c r="N842" s="25"/>
      <c r="O842" s="25"/>
      <c r="P842" s="25"/>
      <c r="Q842" s="25"/>
      <c r="R842" s="25"/>
      <c r="S842" s="25"/>
      <c r="T842" s="25"/>
      <c r="U842" s="25"/>
      <c r="V842" s="25"/>
      <c r="W842" s="25"/>
      <c r="X842" s="25"/>
      <c r="Y842" s="25"/>
      <c r="Z842" s="25"/>
    </row>
    <row r="843" customFormat="false" ht="39.75" hidden="false" customHeight="true" outlineLevel="0" collapsed="false">
      <c r="A843" s="25"/>
      <c r="B843" s="25"/>
      <c r="C843" s="25"/>
      <c r="D843" s="25"/>
      <c r="E843" s="25"/>
      <c r="F843" s="25"/>
      <c r="G843" s="25"/>
      <c r="H843" s="25"/>
      <c r="I843" s="25"/>
      <c r="J843" s="25"/>
      <c r="K843" s="25"/>
      <c r="L843" s="25"/>
      <c r="M843" s="25"/>
      <c r="N843" s="25"/>
      <c r="O843" s="25"/>
      <c r="P843" s="25"/>
      <c r="Q843" s="25"/>
      <c r="R843" s="25"/>
      <c r="S843" s="25"/>
      <c r="T843" s="25"/>
      <c r="U843" s="25"/>
      <c r="V843" s="25"/>
      <c r="W843" s="25"/>
      <c r="X843" s="25"/>
      <c r="Y843" s="25"/>
      <c r="Z843" s="25"/>
    </row>
    <row r="844" customFormat="false" ht="39.75" hidden="false" customHeight="true" outlineLevel="0" collapsed="false">
      <c r="A844" s="25"/>
      <c r="B844" s="25"/>
      <c r="C844" s="25"/>
      <c r="D844" s="25"/>
      <c r="E844" s="25"/>
      <c r="F844" s="25"/>
      <c r="G844" s="25"/>
      <c r="H844" s="25"/>
      <c r="I844" s="25"/>
      <c r="J844" s="25"/>
      <c r="K844" s="25"/>
      <c r="L844" s="25"/>
      <c r="M844" s="25"/>
      <c r="N844" s="25"/>
      <c r="O844" s="25"/>
      <c r="P844" s="25"/>
      <c r="Q844" s="25"/>
      <c r="R844" s="25"/>
      <c r="S844" s="25"/>
      <c r="T844" s="25"/>
      <c r="U844" s="25"/>
      <c r="V844" s="25"/>
      <c r="W844" s="25"/>
      <c r="X844" s="25"/>
      <c r="Y844" s="25"/>
      <c r="Z844" s="25"/>
    </row>
    <row r="845" customFormat="false" ht="39.75" hidden="false" customHeight="true" outlineLevel="0" collapsed="false">
      <c r="A845" s="25"/>
      <c r="B845" s="25"/>
      <c r="C845" s="25"/>
      <c r="D845" s="25"/>
      <c r="E845" s="25"/>
      <c r="F845" s="25"/>
      <c r="G845" s="25"/>
      <c r="H845" s="25"/>
      <c r="I845" s="25"/>
      <c r="J845" s="25"/>
      <c r="K845" s="25"/>
      <c r="L845" s="25"/>
      <c r="M845" s="25"/>
      <c r="N845" s="25"/>
      <c r="O845" s="25"/>
      <c r="P845" s="25"/>
      <c r="Q845" s="25"/>
      <c r="R845" s="25"/>
      <c r="S845" s="25"/>
      <c r="T845" s="25"/>
      <c r="U845" s="25"/>
      <c r="V845" s="25"/>
      <c r="W845" s="25"/>
      <c r="X845" s="25"/>
      <c r="Y845" s="25"/>
      <c r="Z845" s="25"/>
    </row>
    <row r="846" customFormat="false" ht="39.75" hidden="false" customHeight="true" outlineLevel="0" collapsed="false">
      <c r="A846" s="25"/>
      <c r="B846" s="25"/>
      <c r="C846" s="25"/>
      <c r="D846" s="25"/>
      <c r="E846" s="25"/>
      <c r="F846" s="25"/>
      <c r="G846" s="25"/>
      <c r="H846" s="25"/>
      <c r="I846" s="25"/>
      <c r="J846" s="25"/>
      <c r="K846" s="25"/>
      <c r="L846" s="25"/>
      <c r="M846" s="25"/>
      <c r="N846" s="25"/>
      <c r="O846" s="25"/>
      <c r="P846" s="25"/>
      <c r="Q846" s="25"/>
      <c r="R846" s="25"/>
      <c r="S846" s="25"/>
      <c r="T846" s="25"/>
      <c r="U846" s="25"/>
      <c r="V846" s="25"/>
      <c r="W846" s="25"/>
      <c r="X846" s="25"/>
      <c r="Y846" s="25"/>
      <c r="Z846" s="25"/>
    </row>
    <row r="847" customFormat="false" ht="39.75" hidden="false" customHeight="true" outlineLevel="0" collapsed="false">
      <c r="A847" s="25"/>
      <c r="B847" s="25"/>
      <c r="C847" s="25"/>
      <c r="D847" s="25"/>
      <c r="E847" s="25"/>
      <c r="F847" s="25"/>
      <c r="G847" s="25"/>
      <c r="H847" s="25"/>
      <c r="I847" s="25"/>
      <c r="J847" s="25"/>
      <c r="K847" s="25"/>
      <c r="L847" s="25"/>
      <c r="M847" s="25"/>
      <c r="N847" s="25"/>
      <c r="O847" s="25"/>
      <c r="P847" s="25"/>
      <c r="Q847" s="25"/>
      <c r="R847" s="25"/>
      <c r="S847" s="25"/>
      <c r="T847" s="25"/>
      <c r="U847" s="25"/>
      <c r="V847" s="25"/>
      <c r="W847" s="25"/>
      <c r="X847" s="25"/>
      <c r="Y847" s="25"/>
      <c r="Z847" s="25"/>
    </row>
    <row r="848" customFormat="false" ht="39.75" hidden="false" customHeight="true" outlineLevel="0" collapsed="false">
      <c r="A848" s="25"/>
      <c r="B848" s="25"/>
      <c r="C848" s="25"/>
      <c r="D848" s="25"/>
      <c r="E848" s="25"/>
      <c r="F848" s="25"/>
      <c r="G848" s="25"/>
      <c r="H848" s="25"/>
      <c r="I848" s="25"/>
      <c r="J848" s="25"/>
      <c r="K848" s="25"/>
      <c r="L848" s="25"/>
      <c r="M848" s="25"/>
      <c r="N848" s="25"/>
      <c r="O848" s="25"/>
      <c r="P848" s="25"/>
      <c r="Q848" s="25"/>
      <c r="R848" s="25"/>
      <c r="S848" s="25"/>
      <c r="T848" s="25"/>
      <c r="U848" s="25"/>
      <c r="V848" s="25"/>
      <c r="W848" s="25"/>
      <c r="X848" s="25"/>
      <c r="Y848" s="25"/>
      <c r="Z848" s="25"/>
    </row>
    <row r="849" customFormat="false" ht="39.75" hidden="false" customHeight="true" outlineLevel="0" collapsed="false">
      <c r="A849" s="25"/>
      <c r="B849" s="25"/>
      <c r="C849" s="25"/>
      <c r="D849" s="25"/>
      <c r="E849" s="25"/>
      <c r="F849" s="25"/>
      <c r="G849" s="25"/>
      <c r="H849" s="25"/>
      <c r="I849" s="25"/>
      <c r="J849" s="25"/>
      <c r="K849" s="25"/>
      <c r="L849" s="25"/>
      <c r="M849" s="25"/>
      <c r="N849" s="25"/>
      <c r="O849" s="25"/>
      <c r="P849" s="25"/>
      <c r="Q849" s="25"/>
      <c r="R849" s="25"/>
      <c r="S849" s="25"/>
      <c r="T849" s="25"/>
      <c r="U849" s="25"/>
      <c r="V849" s="25"/>
      <c r="W849" s="25"/>
      <c r="X849" s="25"/>
      <c r="Y849" s="25"/>
      <c r="Z849" s="25"/>
    </row>
    <row r="850" customFormat="false" ht="39.75" hidden="false" customHeight="true" outlineLevel="0" collapsed="false">
      <c r="A850" s="25"/>
      <c r="B850" s="25"/>
      <c r="C850" s="25"/>
      <c r="D850" s="25"/>
      <c r="E850" s="25"/>
      <c r="F850" s="25"/>
      <c r="G850" s="25"/>
      <c r="H850" s="25"/>
      <c r="I850" s="25"/>
      <c r="J850" s="25"/>
      <c r="K850" s="25"/>
      <c r="L850" s="25"/>
      <c r="M850" s="25"/>
      <c r="N850" s="25"/>
      <c r="O850" s="25"/>
      <c r="P850" s="25"/>
      <c r="Q850" s="25"/>
      <c r="R850" s="25"/>
      <c r="S850" s="25"/>
      <c r="T850" s="25"/>
      <c r="U850" s="25"/>
      <c r="V850" s="25"/>
      <c r="W850" s="25"/>
      <c r="X850" s="25"/>
      <c r="Y850" s="25"/>
      <c r="Z850" s="25"/>
    </row>
    <row r="851" customFormat="false" ht="39.75" hidden="false" customHeight="true" outlineLevel="0" collapsed="false">
      <c r="A851" s="25"/>
      <c r="B851" s="25"/>
      <c r="C851" s="25"/>
      <c r="D851" s="25"/>
      <c r="E851" s="25"/>
      <c r="F851" s="25"/>
      <c r="G851" s="25"/>
      <c r="H851" s="25"/>
      <c r="I851" s="25"/>
      <c r="J851" s="25"/>
      <c r="K851" s="25"/>
      <c r="L851" s="25"/>
      <c r="M851" s="25"/>
      <c r="N851" s="25"/>
      <c r="O851" s="25"/>
      <c r="P851" s="25"/>
      <c r="Q851" s="25"/>
      <c r="R851" s="25"/>
      <c r="S851" s="25"/>
      <c r="T851" s="25"/>
      <c r="U851" s="25"/>
      <c r="V851" s="25"/>
      <c r="W851" s="25"/>
      <c r="X851" s="25"/>
      <c r="Y851" s="25"/>
      <c r="Z851" s="25"/>
    </row>
    <row r="852" customFormat="false" ht="39.75" hidden="false" customHeight="true" outlineLevel="0" collapsed="false">
      <c r="A852" s="25"/>
      <c r="B852" s="25"/>
      <c r="C852" s="25"/>
      <c r="D852" s="25"/>
      <c r="E852" s="25"/>
      <c r="F852" s="25"/>
      <c r="G852" s="25"/>
      <c r="H852" s="25"/>
      <c r="I852" s="25"/>
      <c r="J852" s="25"/>
      <c r="K852" s="25"/>
      <c r="L852" s="25"/>
      <c r="M852" s="25"/>
      <c r="N852" s="25"/>
      <c r="O852" s="25"/>
      <c r="P852" s="25"/>
      <c r="Q852" s="25"/>
      <c r="R852" s="25"/>
      <c r="S852" s="25"/>
      <c r="T852" s="25"/>
      <c r="U852" s="25"/>
      <c r="V852" s="25"/>
      <c r="W852" s="25"/>
      <c r="X852" s="25"/>
      <c r="Y852" s="25"/>
      <c r="Z852" s="25"/>
    </row>
    <row r="853" customFormat="false" ht="39.75" hidden="false" customHeight="true" outlineLevel="0" collapsed="false">
      <c r="A853" s="25"/>
      <c r="B853" s="25"/>
      <c r="C853" s="25"/>
      <c r="D853" s="25"/>
      <c r="E853" s="25"/>
      <c r="F853" s="25"/>
      <c r="G853" s="25"/>
      <c r="H853" s="25"/>
      <c r="I853" s="25"/>
      <c r="J853" s="25"/>
      <c r="K853" s="25"/>
      <c r="L853" s="25"/>
      <c r="M853" s="25"/>
      <c r="N853" s="25"/>
      <c r="O853" s="25"/>
      <c r="P853" s="25"/>
      <c r="Q853" s="25"/>
      <c r="R853" s="25"/>
      <c r="S853" s="25"/>
      <c r="T853" s="25"/>
      <c r="U853" s="25"/>
      <c r="V853" s="25"/>
      <c r="W853" s="25"/>
      <c r="X853" s="25"/>
      <c r="Y853" s="25"/>
      <c r="Z853" s="25"/>
    </row>
    <row r="854" customFormat="false" ht="39.75" hidden="false" customHeight="true" outlineLevel="0" collapsed="false">
      <c r="A854" s="25"/>
      <c r="B854" s="25"/>
      <c r="C854" s="25"/>
      <c r="D854" s="25"/>
      <c r="E854" s="25"/>
      <c r="F854" s="25"/>
      <c r="G854" s="25"/>
      <c r="H854" s="25"/>
      <c r="I854" s="25"/>
      <c r="J854" s="25"/>
      <c r="K854" s="25"/>
      <c r="L854" s="25"/>
      <c r="M854" s="25"/>
      <c r="N854" s="25"/>
      <c r="O854" s="25"/>
      <c r="P854" s="25"/>
      <c r="Q854" s="25"/>
      <c r="R854" s="25"/>
      <c r="S854" s="25"/>
      <c r="T854" s="25"/>
      <c r="U854" s="25"/>
      <c r="V854" s="25"/>
      <c r="W854" s="25"/>
      <c r="X854" s="25"/>
      <c r="Y854" s="25"/>
      <c r="Z854" s="25"/>
    </row>
    <row r="855" customFormat="false" ht="39.75" hidden="false" customHeight="true" outlineLevel="0" collapsed="false">
      <c r="A855" s="25"/>
      <c r="B855" s="25"/>
      <c r="C855" s="25"/>
      <c r="D855" s="25"/>
      <c r="E855" s="25"/>
      <c r="F855" s="25"/>
      <c r="G855" s="25"/>
      <c r="H855" s="25"/>
      <c r="I855" s="25"/>
      <c r="J855" s="25"/>
      <c r="K855" s="25"/>
      <c r="L855" s="25"/>
      <c r="M855" s="25"/>
      <c r="N855" s="25"/>
      <c r="O855" s="25"/>
      <c r="P855" s="25"/>
      <c r="Q855" s="25"/>
      <c r="R855" s="25"/>
      <c r="S855" s="25"/>
      <c r="T855" s="25"/>
      <c r="U855" s="25"/>
      <c r="V855" s="25"/>
      <c r="W855" s="25"/>
      <c r="X855" s="25"/>
      <c r="Y855" s="25"/>
      <c r="Z855" s="25"/>
    </row>
    <row r="856" customFormat="false" ht="39.75" hidden="false" customHeight="true" outlineLevel="0" collapsed="false">
      <c r="A856" s="25"/>
      <c r="B856" s="25"/>
      <c r="C856" s="25"/>
      <c r="D856" s="25"/>
      <c r="E856" s="25"/>
      <c r="F856" s="25"/>
      <c r="G856" s="25"/>
      <c r="H856" s="25"/>
      <c r="I856" s="25"/>
      <c r="J856" s="25"/>
      <c r="K856" s="25"/>
      <c r="L856" s="25"/>
      <c r="M856" s="25"/>
      <c r="N856" s="25"/>
      <c r="O856" s="25"/>
      <c r="P856" s="25"/>
      <c r="Q856" s="25"/>
      <c r="R856" s="25"/>
      <c r="S856" s="25"/>
      <c r="T856" s="25"/>
      <c r="U856" s="25"/>
      <c r="V856" s="25"/>
      <c r="W856" s="25"/>
      <c r="X856" s="25"/>
      <c r="Y856" s="25"/>
      <c r="Z856" s="25"/>
    </row>
    <row r="857" customFormat="false" ht="39.75" hidden="false" customHeight="true" outlineLevel="0" collapsed="false">
      <c r="A857" s="25"/>
      <c r="B857" s="25"/>
      <c r="C857" s="25"/>
      <c r="D857" s="25"/>
      <c r="E857" s="25"/>
      <c r="F857" s="25"/>
      <c r="G857" s="25"/>
      <c r="H857" s="25"/>
      <c r="I857" s="25"/>
      <c r="J857" s="25"/>
      <c r="K857" s="25"/>
      <c r="L857" s="25"/>
      <c r="M857" s="25"/>
      <c r="N857" s="25"/>
      <c r="O857" s="25"/>
      <c r="P857" s="25"/>
      <c r="Q857" s="25"/>
      <c r="R857" s="25"/>
      <c r="S857" s="25"/>
      <c r="T857" s="25"/>
      <c r="U857" s="25"/>
      <c r="V857" s="25"/>
      <c r="W857" s="25"/>
      <c r="X857" s="25"/>
      <c r="Y857" s="25"/>
      <c r="Z857" s="25"/>
    </row>
    <row r="858" customFormat="false" ht="39.75" hidden="false" customHeight="true" outlineLevel="0" collapsed="false">
      <c r="A858" s="25"/>
      <c r="B858" s="25"/>
      <c r="C858" s="25"/>
      <c r="D858" s="25"/>
      <c r="E858" s="25"/>
      <c r="F858" s="25"/>
      <c r="G858" s="25"/>
      <c r="H858" s="25"/>
      <c r="I858" s="25"/>
      <c r="J858" s="25"/>
      <c r="K858" s="25"/>
      <c r="L858" s="25"/>
      <c r="M858" s="25"/>
      <c r="N858" s="25"/>
      <c r="O858" s="25"/>
      <c r="P858" s="25"/>
      <c r="Q858" s="25"/>
      <c r="R858" s="25"/>
      <c r="S858" s="25"/>
      <c r="T858" s="25"/>
      <c r="U858" s="25"/>
      <c r="V858" s="25"/>
      <c r="W858" s="25"/>
      <c r="X858" s="25"/>
      <c r="Y858" s="25"/>
      <c r="Z858" s="25"/>
    </row>
    <row r="859" customFormat="false" ht="39.75" hidden="false" customHeight="true" outlineLevel="0" collapsed="false">
      <c r="A859" s="25"/>
      <c r="B859" s="25"/>
      <c r="C859" s="25"/>
      <c r="D859" s="25"/>
      <c r="E859" s="25"/>
      <c r="F859" s="25"/>
      <c r="G859" s="25"/>
      <c r="H859" s="25"/>
      <c r="I859" s="25"/>
      <c r="J859" s="25"/>
      <c r="K859" s="25"/>
      <c r="L859" s="25"/>
      <c r="M859" s="25"/>
      <c r="N859" s="25"/>
      <c r="O859" s="25"/>
      <c r="P859" s="25"/>
      <c r="Q859" s="25"/>
      <c r="R859" s="25"/>
      <c r="S859" s="25"/>
      <c r="T859" s="25"/>
      <c r="U859" s="25"/>
      <c r="V859" s="25"/>
      <c r="W859" s="25"/>
      <c r="X859" s="25"/>
      <c r="Y859" s="25"/>
      <c r="Z859" s="25"/>
    </row>
    <row r="860" customFormat="false" ht="39.75" hidden="false" customHeight="true" outlineLevel="0" collapsed="false">
      <c r="A860" s="25"/>
      <c r="B860" s="25"/>
      <c r="C860" s="25"/>
      <c r="D860" s="25"/>
      <c r="E860" s="25"/>
      <c r="F860" s="25"/>
      <c r="G860" s="25"/>
      <c r="H860" s="25"/>
      <c r="I860" s="25"/>
      <c r="J860" s="25"/>
      <c r="K860" s="25"/>
      <c r="L860" s="25"/>
      <c r="M860" s="25"/>
      <c r="N860" s="25"/>
      <c r="O860" s="25"/>
      <c r="P860" s="25"/>
      <c r="Q860" s="25"/>
      <c r="R860" s="25"/>
      <c r="S860" s="25"/>
      <c r="T860" s="25"/>
      <c r="U860" s="25"/>
      <c r="V860" s="25"/>
      <c r="W860" s="25"/>
      <c r="X860" s="25"/>
      <c r="Y860" s="25"/>
      <c r="Z860" s="25"/>
    </row>
    <row r="861" customFormat="false" ht="39.75" hidden="false" customHeight="true" outlineLevel="0" collapsed="false">
      <c r="A861" s="25"/>
      <c r="B861" s="25"/>
      <c r="C861" s="25"/>
      <c r="D861" s="25"/>
      <c r="E861" s="25"/>
      <c r="F861" s="25"/>
      <c r="G861" s="25"/>
      <c r="H861" s="25"/>
      <c r="I861" s="25"/>
      <c r="J861" s="25"/>
      <c r="K861" s="25"/>
      <c r="L861" s="25"/>
      <c r="M861" s="25"/>
      <c r="N861" s="25"/>
      <c r="O861" s="25"/>
      <c r="P861" s="25"/>
      <c r="Q861" s="25"/>
      <c r="R861" s="25"/>
      <c r="S861" s="25"/>
      <c r="T861" s="25"/>
      <c r="U861" s="25"/>
      <c r="V861" s="25"/>
      <c r="W861" s="25"/>
      <c r="X861" s="25"/>
      <c r="Y861" s="25"/>
      <c r="Z861" s="25"/>
    </row>
    <row r="862" customFormat="false" ht="39.75" hidden="false" customHeight="true" outlineLevel="0" collapsed="false">
      <c r="A862" s="25"/>
      <c r="B862" s="25"/>
      <c r="C862" s="25"/>
      <c r="D862" s="25"/>
      <c r="E862" s="25"/>
      <c r="F862" s="25"/>
      <c r="G862" s="25"/>
      <c r="H862" s="25"/>
      <c r="I862" s="25"/>
      <c r="J862" s="25"/>
      <c r="K862" s="25"/>
      <c r="L862" s="25"/>
      <c r="M862" s="25"/>
      <c r="N862" s="25"/>
      <c r="O862" s="25"/>
      <c r="P862" s="25"/>
      <c r="Q862" s="25"/>
      <c r="R862" s="25"/>
      <c r="S862" s="25"/>
      <c r="T862" s="25"/>
      <c r="U862" s="25"/>
      <c r="V862" s="25"/>
      <c r="W862" s="25"/>
      <c r="X862" s="25"/>
      <c r="Y862" s="25"/>
      <c r="Z862" s="25"/>
    </row>
    <row r="863" customFormat="false" ht="39.75" hidden="false" customHeight="true" outlineLevel="0" collapsed="false">
      <c r="A863" s="25"/>
      <c r="B863" s="25"/>
      <c r="C863" s="25"/>
      <c r="D863" s="25"/>
      <c r="E863" s="25"/>
      <c r="F863" s="25"/>
      <c r="G863" s="25"/>
      <c r="H863" s="25"/>
      <c r="I863" s="25"/>
      <c r="J863" s="25"/>
      <c r="K863" s="25"/>
      <c r="L863" s="25"/>
      <c r="M863" s="25"/>
      <c r="N863" s="25"/>
      <c r="O863" s="25"/>
      <c r="P863" s="25"/>
      <c r="Q863" s="25"/>
      <c r="R863" s="25"/>
      <c r="S863" s="25"/>
      <c r="T863" s="25"/>
      <c r="U863" s="25"/>
      <c r="V863" s="25"/>
      <c r="W863" s="25"/>
      <c r="X863" s="25"/>
      <c r="Y863" s="25"/>
      <c r="Z863" s="25"/>
    </row>
    <row r="864" customFormat="false" ht="39.75" hidden="false" customHeight="true" outlineLevel="0" collapsed="false">
      <c r="A864" s="25"/>
      <c r="B864" s="25"/>
      <c r="C864" s="25"/>
      <c r="D864" s="25"/>
      <c r="E864" s="25"/>
      <c r="F864" s="25"/>
      <c r="G864" s="25"/>
      <c r="H864" s="25"/>
      <c r="I864" s="25"/>
      <c r="J864" s="25"/>
      <c r="K864" s="25"/>
      <c r="L864" s="25"/>
      <c r="M864" s="25"/>
      <c r="N864" s="25"/>
      <c r="O864" s="25"/>
      <c r="P864" s="25"/>
      <c r="Q864" s="25"/>
      <c r="R864" s="25"/>
      <c r="S864" s="25"/>
      <c r="T864" s="25"/>
      <c r="U864" s="25"/>
      <c r="V864" s="25"/>
      <c r="W864" s="25"/>
      <c r="X864" s="25"/>
      <c r="Y864" s="25"/>
      <c r="Z864" s="25"/>
    </row>
    <row r="865" customFormat="false" ht="39.75" hidden="false" customHeight="true" outlineLevel="0" collapsed="false">
      <c r="A865" s="25"/>
      <c r="B865" s="25"/>
      <c r="C865" s="25"/>
      <c r="D865" s="25"/>
      <c r="E865" s="25"/>
      <c r="F865" s="25"/>
      <c r="G865" s="25"/>
      <c r="H865" s="25"/>
      <c r="I865" s="25"/>
      <c r="J865" s="25"/>
      <c r="K865" s="25"/>
      <c r="L865" s="25"/>
      <c r="M865" s="25"/>
      <c r="N865" s="25"/>
      <c r="O865" s="25"/>
      <c r="P865" s="25"/>
      <c r="Q865" s="25"/>
      <c r="R865" s="25"/>
      <c r="S865" s="25"/>
      <c r="T865" s="25"/>
      <c r="U865" s="25"/>
      <c r="V865" s="25"/>
      <c r="W865" s="25"/>
      <c r="X865" s="25"/>
      <c r="Y865" s="25"/>
      <c r="Z865" s="25"/>
    </row>
    <row r="866" customFormat="false" ht="39.75" hidden="false" customHeight="true" outlineLevel="0" collapsed="false">
      <c r="A866" s="25"/>
      <c r="B866" s="25"/>
      <c r="C866" s="25"/>
      <c r="D866" s="25"/>
      <c r="E866" s="25"/>
      <c r="F866" s="25"/>
      <c r="G866" s="25"/>
      <c r="H866" s="25"/>
      <c r="I866" s="25"/>
      <c r="J866" s="25"/>
      <c r="K866" s="25"/>
      <c r="L866" s="25"/>
      <c r="M866" s="25"/>
      <c r="N866" s="25"/>
      <c r="O866" s="25"/>
      <c r="P866" s="25"/>
      <c r="Q866" s="25"/>
      <c r="R866" s="25"/>
      <c r="S866" s="25"/>
      <c r="T866" s="25"/>
      <c r="U866" s="25"/>
      <c r="V866" s="25"/>
      <c r="W866" s="25"/>
      <c r="X866" s="25"/>
      <c r="Y866" s="25"/>
      <c r="Z866" s="25"/>
    </row>
    <row r="867" customFormat="false" ht="39.75" hidden="false" customHeight="true" outlineLevel="0" collapsed="false">
      <c r="A867" s="25"/>
      <c r="B867" s="25"/>
      <c r="C867" s="25"/>
      <c r="D867" s="25"/>
      <c r="E867" s="25"/>
      <c r="F867" s="25"/>
      <c r="G867" s="25"/>
      <c r="H867" s="25"/>
      <c r="I867" s="25"/>
      <c r="J867" s="25"/>
      <c r="K867" s="25"/>
      <c r="L867" s="25"/>
      <c r="M867" s="25"/>
      <c r="N867" s="25"/>
      <c r="O867" s="25"/>
      <c r="P867" s="25"/>
      <c r="Q867" s="25"/>
      <c r="R867" s="25"/>
      <c r="S867" s="25"/>
      <c r="T867" s="25"/>
      <c r="U867" s="25"/>
      <c r="V867" s="25"/>
      <c r="W867" s="25"/>
      <c r="X867" s="25"/>
      <c r="Y867" s="25"/>
      <c r="Z867" s="25"/>
    </row>
    <row r="868" customFormat="false" ht="39.75" hidden="false" customHeight="true" outlineLevel="0" collapsed="false">
      <c r="A868" s="25"/>
      <c r="B868" s="25"/>
      <c r="C868" s="25"/>
      <c r="D868" s="25"/>
      <c r="E868" s="25"/>
      <c r="F868" s="25"/>
      <c r="G868" s="25"/>
      <c r="H868" s="25"/>
      <c r="I868" s="25"/>
      <c r="J868" s="25"/>
      <c r="K868" s="25"/>
      <c r="L868" s="25"/>
      <c r="M868" s="25"/>
      <c r="N868" s="25"/>
      <c r="O868" s="25"/>
      <c r="P868" s="25"/>
      <c r="Q868" s="25"/>
      <c r="R868" s="25"/>
      <c r="S868" s="25"/>
      <c r="T868" s="25"/>
      <c r="U868" s="25"/>
      <c r="V868" s="25"/>
      <c r="W868" s="25"/>
      <c r="X868" s="25"/>
      <c r="Y868" s="25"/>
      <c r="Z868" s="25"/>
    </row>
    <row r="869" customFormat="false" ht="39.75" hidden="false" customHeight="true" outlineLevel="0" collapsed="false">
      <c r="A869" s="25"/>
      <c r="B869" s="25"/>
      <c r="C869" s="25"/>
      <c r="D869" s="25"/>
      <c r="E869" s="25"/>
      <c r="F869" s="25"/>
      <c r="G869" s="25"/>
      <c r="H869" s="25"/>
      <c r="I869" s="25"/>
      <c r="J869" s="25"/>
      <c r="K869" s="25"/>
      <c r="L869" s="25"/>
      <c r="M869" s="25"/>
      <c r="N869" s="25"/>
      <c r="O869" s="25"/>
      <c r="P869" s="25"/>
      <c r="Q869" s="25"/>
      <c r="R869" s="25"/>
      <c r="S869" s="25"/>
      <c r="T869" s="25"/>
      <c r="U869" s="25"/>
      <c r="V869" s="25"/>
      <c r="W869" s="25"/>
      <c r="X869" s="25"/>
      <c r="Y869" s="25"/>
      <c r="Z869" s="25"/>
    </row>
    <row r="870" customFormat="false" ht="39.75" hidden="false" customHeight="true" outlineLevel="0" collapsed="false">
      <c r="A870" s="25"/>
      <c r="B870" s="25"/>
      <c r="C870" s="25"/>
      <c r="D870" s="25"/>
      <c r="E870" s="25"/>
      <c r="F870" s="25"/>
      <c r="G870" s="25"/>
      <c r="H870" s="25"/>
      <c r="I870" s="25"/>
      <c r="J870" s="25"/>
      <c r="K870" s="25"/>
      <c r="L870" s="25"/>
      <c r="M870" s="25"/>
      <c r="N870" s="25"/>
      <c r="O870" s="25"/>
      <c r="P870" s="25"/>
      <c r="Q870" s="25"/>
      <c r="R870" s="25"/>
      <c r="S870" s="25"/>
      <c r="T870" s="25"/>
      <c r="U870" s="25"/>
      <c r="V870" s="25"/>
      <c r="W870" s="25"/>
      <c r="X870" s="25"/>
      <c r="Y870" s="25"/>
      <c r="Z870" s="25"/>
    </row>
    <row r="871" customFormat="false" ht="39.75" hidden="false" customHeight="true" outlineLevel="0" collapsed="false">
      <c r="A871" s="25"/>
      <c r="B871" s="25"/>
      <c r="C871" s="25"/>
      <c r="D871" s="25"/>
      <c r="E871" s="25"/>
      <c r="F871" s="25"/>
      <c r="G871" s="25"/>
      <c r="H871" s="25"/>
      <c r="I871" s="25"/>
      <c r="J871" s="25"/>
      <c r="K871" s="25"/>
      <c r="L871" s="25"/>
      <c r="M871" s="25"/>
      <c r="N871" s="25"/>
      <c r="O871" s="25"/>
      <c r="P871" s="25"/>
      <c r="Q871" s="25"/>
      <c r="R871" s="25"/>
      <c r="S871" s="25"/>
      <c r="T871" s="25"/>
      <c r="U871" s="25"/>
      <c r="V871" s="25"/>
      <c r="W871" s="25"/>
      <c r="X871" s="25"/>
      <c r="Y871" s="25"/>
      <c r="Z871" s="25"/>
    </row>
    <row r="872" customFormat="false" ht="39.75" hidden="false" customHeight="true" outlineLevel="0" collapsed="false">
      <c r="A872" s="25"/>
      <c r="B872" s="25"/>
      <c r="C872" s="25"/>
      <c r="D872" s="25"/>
      <c r="E872" s="25"/>
      <c r="F872" s="25"/>
      <c r="G872" s="25"/>
      <c r="H872" s="25"/>
      <c r="I872" s="25"/>
      <c r="J872" s="25"/>
      <c r="K872" s="25"/>
      <c r="L872" s="25"/>
      <c r="M872" s="25"/>
      <c r="N872" s="25"/>
      <c r="O872" s="25"/>
      <c r="P872" s="25"/>
      <c r="Q872" s="25"/>
      <c r="R872" s="25"/>
      <c r="S872" s="25"/>
      <c r="T872" s="25"/>
      <c r="U872" s="25"/>
      <c r="V872" s="25"/>
      <c r="W872" s="25"/>
      <c r="X872" s="25"/>
      <c r="Y872" s="25"/>
      <c r="Z872" s="25"/>
    </row>
    <row r="873" customFormat="false" ht="39.75" hidden="false" customHeight="true" outlineLevel="0" collapsed="false">
      <c r="A873" s="25"/>
      <c r="B873" s="25"/>
      <c r="C873" s="25"/>
      <c r="D873" s="25"/>
      <c r="E873" s="25"/>
      <c r="F873" s="25"/>
      <c r="G873" s="25"/>
      <c r="H873" s="25"/>
      <c r="I873" s="25"/>
      <c r="J873" s="25"/>
      <c r="K873" s="25"/>
      <c r="L873" s="25"/>
      <c r="M873" s="25"/>
      <c r="N873" s="25"/>
      <c r="O873" s="25"/>
      <c r="P873" s="25"/>
      <c r="Q873" s="25"/>
      <c r="R873" s="25"/>
      <c r="S873" s="25"/>
      <c r="T873" s="25"/>
      <c r="U873" s="25"/>
      <c r="V873" s="25"/>
      <c r="W873" s="25"/>
      <c r="X873" s="25"/>
      <c r="Y873" s="25"/>
      <c r="Z873" s="25"/>
    </row>
    <row r="874" customFormat="false" ht="39.75" hidden="false" customHeight="true" outlineLevel="0" collapsed="false">
      <c r="A874" s="25"/>
      <c r="B874" s="25"/>
      <c r="C874" s="25"/>
      <c r="D874" s="25"/>
      <c r="E874" s="25"/>
      <c r="F874" s="25"/>
      <c r="G874" s="25"/>
      <c r="H874" s="25"/>
      <c r="I874" s="25"/>
      <c r="J874" s="25"/>
      <c r="K874" s="25"/>
      <c r="L874" s="25"/>
      <c r="M874" s="25"/>
      <c r="N874" s="25"/>
      <c r="O874" s="25"/>
      <c r="P874" s="25"/>
      <c r="Q874" s="25"/>
      <c r="R874" s="25"/>
      <c r="S874" s="25"/>
      <c r="T874" s="25"/>
      <c r="U874" s="25"/>
      <c r="V874" s="25"/>
      <c r="W874" s="25"/>
      <c r="X874" s="25"/>
      <c r="Y874" s="25"/>
      <c r="Z874" s="25"/>
    </row>
    <row r="875" customFormat="false" ht="39.75" hidden="false" customHeight="true" outlineLevel="0" collapsed="false">
      <c r="A875" s="25"/>
      <c r="B875" s="25"/>
      <c r="C875" s="25"/>
      <c r="D875" s="25"/>
      <c r="E875" s="25"/>
      <c r="F875" s="25"/>
      <c r="G875" s="25"/>
      <c r="H875" s="25"/>
      <c r="I875" s="25"/>
      <c r="J875" s="25"/>
      <c r="K875" s="25"/>
      <c r="L875" s="25"/>
      <c r="M875" s="25"/>
      <c r="N875" s="25"/>
      <c r="O875" s="25"/>
      <c r="P875" s="25"/>
      <c r="Q875" s="25"/>
      <c r="R875" s="25"/>
      <c r="S875" s="25"/>
      <c r="T875" s="25"/>
      <c r="U875" s="25"/>
      <c r="V875" s="25"/>
      <c r="W875" s="25"/>
      <c r="X875" s="25"/>
      <c r="Y875" s="25"/>
      <c r="Z875" s="25"/>
    </row>
    <row r="876" customFormat="false" ht="39.75" hidden="false" customHeight="true" outlineLevel="0" collapsed="false">
      <c r="A876" s="25"/>
      <c r="B876" s="25"/>
      <c r="C876" s="25"/>
      <c r="D876" s="25"/>
      <c r="E876" s="25"/>
      <c r="F876" s="25"/>
      <c r="G876" s="25"/>
      <c r="H876" s="25"/>
      <c r="I876" s="25"/>
      <c r="J876" s="25"/>
      <c r="K876" s="25"/>
      <c r="L876" s="25"/>
      <c r="M876" s="25"/>
      <c r="N876" s="25"/>
      <c r="O876" s="25"/>
      <c r="P876" s="25"/>
      <c r="Q876" s="25"/>
      <c r="R876" s="25"/>
      <c r="S876" s="25"/>
      <c r="T876" s="25"/>
      <c r="U876" s="25"/>
      <c r="V876" s="25"/>
      <c r="W876" s="25"/>
      <c r="X876" s="25"/>
      <c r="Y876" s="25"/>
      <c r="Z876" s="25"/>
    </row>
    <row r="877" customFormat="false" ht="39.75" hidden="false" customHeight="true" outlineLevel="0" collapsed="false">
      <c r="A877" s="25"/>
      <c r="B877" s="25"/>
      <c r="C877" s="25"/>
      <c r="D877" s="25"/>
      <c r="E877" s="25"/>
      <c r="F877" s="25"/>
      <c r="G877" s="25"/>
      <c r="H877" s="25"/>
      <c r="I877" s="25"/>
      <c r="J877" s="25"/>
      <c r="K877" s="25"/>
      <c r="L877" s="25"/>
      <c r="M877" s="25"/>
      <c r="N877" s="25"/>
      <c r="O877" s="25"/>
      <c r="P877" s="25"/>
      <c r="Q877" s="25"/>
      <c r="R877" s="25"/>
      <c r="S877" s="25"/>
      <c r="T877" s="25"/>
      <c r="U877" s="25"/>
      <c r="V877" s="25"/>
      <c r="W877" s="25"/>
      <c r="X877" s="25"/>
      <c r="Y877" s="25"/>
      <c r="Z877" s="25"/>
    </row>
    <row r="878" customFormat="false" ht="39.75" hidden="false" customHeight="true" outlineLevel="0" collapsed="false">
      <c r="A878" s="25"/>
      <c r="B878" s="25"/>
      <c r="C878" s="25"/>
      <c r="D878" s="25"/>
      <c r="E878" s="25"/>
      <c r="F878" s="25"/>
      <c r="G878" s="25"/>
      <c r="H878" s="25"/>
      <c r="I878" s="25"/>
      <c r="J878" s="25"/>
      <c r="K878" s="25"/>
      <c r="L878" s="25"/>
      <c r="M878" s="25"/>
      <c r="N878" s="25"/>
      <c r="O878" s="25"/>
      <c r="P878" s="25"/>
      <c r="Q878" s="25"/>
      <c r="R878" s="25"/>
      <c r="S878" s="25"/>
      <c r="T878" s="25"/>
      <c r="U878" s="25"/>
      <c r="V878" s="25"/>
      <c r="W878" s="25"/>
      <c r="X878" s="25"/>
      <c r="Y878" s="25"/>
      <c r="Z878" s="25"/>
    </row>
    <row r="879" customFormat="false" ht="39.75" hidden="false" customHeight="true" outlineLevel="0" collapsed="false">
      <c r="A879" s="25"/>
      <c r="B879" s="25"/>
      <c r="C879" s="25"/>
      <c r="D879" s="25"/>
      <c r="E879" s="25"/>
      <c r="F879" s="25"/>
      <c r="G879" s="25"/>
      <c r="H879" s="25"/>
      <c r="I879" s="25"/>
      <c r="J879" s="25"/>
      <c r="K879" s="25"/>
      <c r="L879" s="25"/>
      <c r="M879" s="25"/>
      <c r="N879" s="25"/>
      <c r="O879" s="25"/>
      <c r="P879" s="25"/>
      <c r="Q879" s="25"/>
      <c r="R879" s="25"/>
      <c r="S879" s="25"/>
      <c r="T879" s="25"/>
      <c r="U879" s="25"/>
      <c r="V879" s="25"/>
      <c r="W879" s="25"/>
      <c r="X879" s="25"/>
      <c r="Y879" s="25"/>
      <c r="Z879" s="25"/>
    </row>
    <row r="880" customFormat="false" ht="39.75" hidden="false" customHeight="true" outlineLevel="0" collapsed="false">
      <c r="A880" s="25"/>
      <c r="B880" s="25"/>
      <c r="C880" s="25"/>
      <c r="D880" s="25"/>
      <c r="E880" s="25"/>
      <c r="F880" s="25"/>
      <c r="G880" s="25"/>
      <c r="H880" s="25"/>
      <c r="I880" s="25"/>
      <c r="J880" s="25"/>
      <c r="K880" s="25"/>
      <c r="L880" s="25"/>
      <c r="M880" s="25"/>
      <c r="N880" s="25"/>
      <c r="O880" s="25"/>
      <c r="P880" s="25"/>
      <c r="Q880" s="25"/>
      <c r="R880" s="25"/>
      <c r="S880" s="25"/>
      <c r="T880" s="25"/>
      <c r="U880" s="25"/>
      <c r="V880" s="25"/>
      <c r="W880" s="25"/>
      <c r="X880" s="25"/>
      <c r="Y880" s="25"/>
      <c r="Z880" s="25"/>
    </row>
    <row r="881" customFormat="false" ht="39.75" hidden="false" customHeight="true" outlineLevel="0" collapsed="false">
      <c r="A881" s="25"/>
      <c r="B881" s="25"/>
      <c r="C881" s="25"/>
      <c r="D881" s="25"/>
      <c r="E881" s="25"/>
      <c r="F881" s="25"/>
      <c r="G881" s="25"/>
      <c r="H881" s="25"/>
      <c r="I881" s="25"/>
      <c r="J881" s="25"/>
      <c r="K881" s="25"/>
      <c r="L881" s="25"/>
      <c r="M881" s="25"/>
      <c r="N881" s="25"/>
      <c r="O881" s="25"/>
      <c r="P881" s="25"/>
      <c r="Q881" s="25"/>
      <c r="R881" s="25"/>
      <c r="S881" s="25"/>
      <c r="T881" s="25"/>
      <c r="U881" s="25"/>
      <c r="V881" s="25"/>
      <c r="W881" s="25"/>
      <c r="X881" s="25"/>
      <c r="Y881" s="25"/>
      <c r="Z881" s="25"/>
    </row>
    <row r="882" customFormat="false" ht="39.75" hidden="false" customHeight="true" outlineLevel="0" collapsed="false">
      <c r="A882" s="25"/>
      <c r="B882" s="25"/>
      <c r="C882" s="25"/>
      <c r="D882" s="25"/>
      <c r="E882" s="25"/>
      <c r="F882" s="25"/>
      <c r="G882" s="25"/>
      <c r="H882" s="25"/>
      <c r="I882" s="25"/>
      <c r="J882" s="25"/>
      <c r="K882" s="25"/>
      <c r="L882" s="25"/>
      <c r="M882" s="25"/>
      <c r="N882" s="25"/>
      <c r="O882" s="25"/>
      <c r="P882" s="25"/>
      <c r="Q882" s="25"/>
      <c r="R882" s="25"/>
      <c r="S882" s="25"/>
      <c r="T882" s="25"/>
      <c r="U882" s="25"/>
      <c r="V882" s="25"/>
      <c r="W882" s="25"/>
      <c r="X882" s="25"/>
      <c r="Y882" s="25"/>
      <c r="Z882" s="25"/>
    </row>
    <row r="883" customFormat="false" ht="39.75" hidden="false" customHeight="true" outlineLevel="0" collapsed="false">
      <c r="A883" s="25"/>
      <c r="B883" s="25"/>
      <c r="C883" s="25"/>
      <c r="D883" s="25"/>
      <c r="E883" s="25"/>
      <c r="F883" s="25"/>
      <c r="G883" s="25"/>
      <c r="H883" s="25"/>
      <c r="I883" s="25"/>
      <c r="J883" s="25"/>
      <c r="K883" s="25"/>
      <c r="L883" s="25"/>
      <c r="M883" s="25"/>
      <c r="N883" s="25"/>
      <c r="O883" s="25"/>
      <c r="P883" s="25"/>
      <c r="Q883" s="25"/>
      <c r="R883" s="25"/>
      <c r="S883" s="25"/>
      <c r="T883" s="25"/>
      <c r="U883" s="25"/>
      <c r="V883" s="25"/>
      <c r="W883" s="25"/>
      <c r="X883" s="25"/>
      <c r="Y883" s="25"/>
      <c r="Z883" s="25"/>
    </row>
    <row r="884" customFormat="false" ht="39.75" hidden="false" customHeight="true" outlineLevel="0" collapsed="false">
      <c r="A884" s="25"/>
      <c r="B884" s="25"/>
      <c r="C884" s="25"/>
      <c r="D884" s="25"/>
      <c r="E884" s="25"/>
      <c r="F884" s="25"/>
      <c r="G884" s="25"/>
      <c r="H884" s="25"/>
      <c r="I884" s="25"/>
      <c r="J884" s="25"/>
      <c r="K884" s="25"/>
      <c r="L884" s="25"/>
      <c r="M884" s="25"/>
      <c r="N884" s="25"/>
      <c r="O884" s="25"/>
      <c r="P884" s="25"/>
      <c r="Q884" s="25"/>
      <c r="R884" s="25"/>
      <c r="S884" s="25"/>
      <c r="T884" s="25"/>
      <c r="U884" s="25"/>
      <c r="V884" s="25"/>
      <c r="W884" s="25"/>
      <c r="X884" s="25"/>
      <c r="Y884" s="25"/>
      <c r="Z884" s="25"/>
    </row>
    <row r="885" customFormat="false" ht="39.75" hidden="false" customHeight="true" outlineLevel="0" collapsed="false">
      <c r="A885" s="25"/>
      <c r="B885" s="25"/>
      <c r="C885" s="25"/>
      <c r="D885" s="25"/>
      <c r="E885" s="25"/>
      <c r="F885" s="25"/>
      <c r="G885" s="25"/>
      <c r="H885" s="25"/>
      <c r="I885" s="25"/>
      <c r="J885" s="25"/>
      <c r="K885" s="25"/>
      <c r="L885" s="25"/>
      <c r="M885" s="25"/>
      <c r="N885" s="25"/>
      <c r="O885" s="25"/>
      <c r="P885" s="25"/>
      <c r="Q885" s="25"/>
      <c r="R885" s="25"/>
      <c r="S885" s="25"/>
      <c r="T885" s="25"/>
      <c r="U885" s="25"/>
      <c r="V885" s="25"/>
      <c r="W885" s="25"/>
      <c r="X885" s="25"/>
      <c r="Y885" s="25"/>
      <c r="Z885" s="25"/>
    </row>
    <row r="886" customFormat="false" ht="39.75" hidden="false" customHeight="true" outlineLevel="0" collapsed="false">
      <c r="A886" s="25"/>
      <c r="B886" s="25"/>
      <c r="C886" s="25"/>
      <c r="D886" s="25"/>
      <c r="E886" s="25"/>
      <c r="F886" s="25"/>
      <c r="G886" s="25"/>
      <c r="H886" s="25"/>
      <c r="I886" s="25"/>
      <c r="J886" s="25"/>
      <c r="K886" s="25"/>
      <c r="L886" s="25"/>
      <c r="M886" s="25"/>
      <c r="N886" s="25"/>
      <c r="O886" s="25"/>
      <c r="P886" s="25"/>
      <c r="Q886" s="25"/>
      <c r="R886" s="25"/>
      <c r="S886" s="25"/>
      <c r="T886" s="25"/>
      <c r="U886" s="25"/>
      <c r="V886" s="25"/>
      <c r="W886" s="25"/>
      <c r="X886" s="25"/>
      <c r="Y886" s="25"/>
      <c r="Z886" s="25"/>
    </row>
    <row r="887" customFormat="false" ht="39.75" hidden="false" customHeight="true" outlineLevel="0" collapsed="false">
      <c r="A887" s="25"/>
      <c r="B887" s="25"/>
      <c r="C887" s="25"/>
      <c r="D887" s="25"/>
      <c r="E887" s="25"/>
      <c r="F887" s="25"/>
      <c r="G887" s="25"/>
      <c r="H887" s="25"/>
      <c r="I887" s="25"/>
      <c r="J887" s="25"/>
      <c r="K887" s="25"/>
      <c r="L887" s="25"/>
      <c r="M887" s="25"/>
      <c r="N887" s="25"/>
      <c r="O887" s="25"/>
      <c r="P887" s="25"/>
      <c r="Q887" s="25"/>
      <c r="R887" s="25"/>
      <c r="S887" s="25"/>
      <c r="T887" s="25"/>
      <c r="U887" s="25"/>
      <c r="V887" s="25"/>
      <c r="W887" s="25"/>
      <c r="X887" s="25"/>
      <c r="Y887" s="25"/>
      <c r="Z887" s="25"/>
    </row>
    <row r="888" customFormat="false" ht="39.75" hidden="false" customHeight="true" outlineLevel="0" collapsed="false">
      <c r="A888" s="25"/>
      <c r="B888" s="25"/>
      <c r="C888" s="25"/>
      <c r="D888" s="25"/>
      <c r="E888" s="25"/>
      <c r="F888" s="25"/>
      <c r="G888" s="25"/>
      <c r="H888" s="25"/>
      <c r="I888" s="25"/>
      <c r="J888" s="25"/>
      <c r="K888" s="25"/>
      <c r="L888" s="25"/>
      <c r="M888" s="25"/>
      <c r="N888" s="25"/>
      <c r="O888" s="25"/>
      <c r="P888" s="25"/>
      <c r="Q888" s="25"/>
      <c r="R888" s="25"/>
      <c r="S888" s="25"/>
      <c r="T888" s="25"/>
      <c r="U888" s="25"/>
      <c r="V888" s="25"/>
      <c r="W888" s="25"/>
      <c r="X888" s="25"/>
      <c r="Y888" s="25"/>
      <c r="Z888" s="25"/>
    </row>
    <row r="889" customFormat="false" ht="39.75" hidden="false" customHeight="true" outlineLevel="0" collapsed="false">
      <c r="A889" s="25"/>
      <c r="B889" s="25"/>
      <c r="C889" s="25"/>
      <c r="D889" s="25"/>
      <c r="E889" s="25"/>
      <c r="F889" s="25"/>
      <c r="G889" s="25"/>
      <c r="H889" s="25"/>
      <c r="I889" s="25"/>
      <c r="J889" s="25"/>
      <c r="K889" s="25"/>
      <c r="L889" s="25"/>
      <c r="M889" s="25"/>
      <c r="N889" s="25"/>
      <c r="O889" s="25"/>
      <c r="P889" s="25"/>
      <c r="Q889" s="25"/>
      <c r="R889" s="25"/>
      <c r="S889" s="25"/>
      <c r="T889" s="25"/>
      <c r="U889" s="25"/>
      <c r="V889" s="25"/>
      <c r="W889" s="25"/>
      <c r="X889" s="25"/>
      <c r="Y889" s="25"/>
      <c r="Z889" s="25"/>
    </row>
    <row r="890" customFormat="false" ht="39.75" hidden="false" customHeight="true" outlineLevel="0" collapsed="false">
      <c r="A890" s="25"/>
      <c r="B890" s="25"/>
      <c r="C890" s="25"/>
      <c r="D890" s="25"/>
      <c r="E890" s="25"/>
      <c r="F890" s="25"/>
      <c r="G890" s="25"/>
      <c r="H890" s="25"/>
      <c r="I890" s="25"/>
      <c r="J890" s="25"/>
      <c r="K890" s="25"/>
      <c r="L890" s="25"/>
      <c r="M890" s="25"/>
      <c r="N890" s="25"/>
      <c r="O890" s="25"/>
      <c r="P890" s="25"/>
      <c r="Q890" s="25"/>
      <c r="R890" s="25"/>
      <c r="S890" s="25"/>
      <c r="T890" s="25"/>
      <c r="U890" s="25"/>
      <c r="V890" s="25"/>
      <c r="W890" s="25"/>
      <c r="X890" s="25"/>
      <c r="Y890" s="25"/>
      <c r="Z890" s="25"/>
    </row>
    <row r="891" customFormat="false" ht="39.75" hidden="false" customHeight="true" outlineLevel="0" collapsed="false">
      <c r="A891" s="25"/>
      <c r="B891" s="25"/>
      <c r="C891" s="25"/>
      <c r="D891" s="25"/>
      <c r="E891" s="25"/>
      <c r="F891" s="25"/>
      <c r="G891" s="25"/>
      <c r="H891" s="25"/>
      <c r="I891" s="25"/>
      <c r="J891" s="25"/>
      <c r="K891" s="25"/>
      <c r="L891" s="25"/>
      <c r="M891" s="25"/>
      <c r="N891" s="25"/>
      <c r="O891" s="25"/>
      <c r="P891" s="25"/>
      <c r="Q891" s="25"/>
      <c r="R891" s="25"/>
      <c r="S891" s="25"/>
      <c r="T891" s="25"/>
      <c r="U891" s="25"/>
      <c r="V891" s="25"/>
      <c r="W891" s="25"/>
      <c r="X891" s="25"/>
      <c r="Y891" s="25"/>
      <c r="Z891" s="25"/>
    </row>
    <row r="892" customFormat="false" ht="39.75" hidden="false" customHeight="true" outlineLevel="0" collapsed="false">
      <c r="A892" s="25"/>
      <c r="B892" s="25"/>
      <c r="C892" s="25"/>
      <c r="D892" s="25"/>
      <c r="E892" s="25"/>
      <c r="F892" s="25"/>
      <c r="G892" s="25"/>
      <c r="H892" s="25"/>
      <c r="I892" s="25"/>
      <c r="J892" s="25"/>
      <c r="K892" s="25"/>
      <c r="L892" s="25"/>
      <c r="M892" s="25"/>
      <c r="N892" s="25"/>
      <c r="O892" s="25"/>
      <c r="P892" s="25"/>
      <c r="Q892" s="25"/>
      <c r="R892" s="25"/>
      <c r="S892" s="25"/>
      <c r="T892" s="25"/>
      <c r="U892" s="25"/>
      <c r="V892" s="25"/>
      <c r="W892" s="25"/>
      <c r="X892" s="25"/>
      <c r="Y892" s="25"/>
      <c r="Z892" s="25"/>
    </row>
    <row r="893" customFormat="false" ht="39.75" hidden="false" customHeight="true" outlineLevel="0" collapsed="false">
      <c r="A893" s="25"/>
      <c r="B893" s="25"/>
      <c r="C893" s="25"/>
      <c r="D893" s="25"/>
      <c r="E893" s="25"/>
      <c r="F893" s="25"/>
      <c r="G893" s="25"/>
      <c r="H893" s="25"/>
      <c r="I893" s="25"/>
      <c r="J893" s="25"/>
      <c r="K893" s="25"/>
      <c r="L893" s="25"/>
      <c r="M893" s="25"/>
      <c r="N893" s="25"/>
      <c r="O893" s="25"/>
      <c r="P893" s="25"/>
      <c r="Q893" s="25"/>
      <c r="R893" s="25"/>
      <c r="S893" s="25"/>
      <c r="T893" s="25"/>
      <c r="U893" s="25"/>
      <c r="V893" s="25"/>
      <c r="W893" s="25"/>
      <c r="X893" s="25"/>
      <c r="Y893" s="25"/>
      <c r="Z893" s="25"/>
    </row>
    <row r="894" customFormat="false" ht="39.75" hidden="false" customHeight="true" outlineLevel="0" collapsed="false">
      <c r="A894" s="25"/>
      <c r="B894" s="25"/>
      <c r="C894" s="25"/>
      <c r="D894" s="25"/>
      <c r="E894" s="25"/>
      <c r="F894" s="25"/>
      <c r="G894" s="25"/>
      <c r="H894" s="25"/>
      <c r="I894" s="25"/>
      <c r="J894" s="25"/>
      <c r="K894" s="25"/>
      <c r="L894" s="25"/>
      <c r="M894" s="25"/>
      <c r="N894" s="25"/>
      <c r="O894" s="25"/>
      <c r="P894" s="25"/>
      <c r="Q894" s="25"/>
      <c r="R894" s="25"/>
      <c r="S894" s="25"/>
      <c r="T894" s="25"/>
      <c r="U894" s="25"/>
      <c r="V894" s="25"/>
      <c r="W894" s="25"/>
      <c r="X894" s="25"/>
      <c r="Y894" s="25"/>
      <c r="Z894" s="25"/>
    </row>
    <row r="895" customFormat="false" ht="39.75" hidden="false" customHeight="true" outlineLevel="0" collapsed="false">
      <c r="A895" s="25"/>
      <c r="B895" s="25"/>
      <c r="C895" s="25"/>
      <c r="D895" s="25"/>
      <c r="E895" s="25"/>
      <c r="F895" s="25"/>
      <c r="G895" s="25"/>
      <c r="H895" s="25"/>
      <c r="I895" s="25"/>
      <c r="J895" s="25"/>
      <c r="K895" s="25"/>
      <c r="L895" s="25"/>
      <c r="M895" s="25"/>
      <c r="N895" s="25"/>
      <c r="O895" s="25"/>
      <c r="P895" s="25"/>
      <c r="Q895" s="25"/>
      <c r="R895" s="25"/>
      <c r="S895" s="25"/>
      <c r="T895" s="25"/>
      <c r="U895" s="25"/>
      <c r="V895" s="25"/>
      <c r="W895" s="25"/>
      <c r="X895" s="25"/>
      <c r="Y895" s="25"/>
      <c r="Z895" s="25"/>
    </row>
    <row r="896" customFormat="false" ht="39.75" hidden="false" customHeight="true" outlineLevel="0" collapsed="false">
      <c r="A896" s="25"/>
      <c r="B896" s="25"/>
      <c r="C896" s="25"/>
      <c r="D896" s="25"/>
      <c r="E896" s="25"/>
      <c r="F896" s="25"/>
      <c r="G896" s="25"/>
      <c r="H896" s="25"/>
      <c r="I896" s="25"/>
      <c r="J896" s="25"/>
      <c r="K896" s="25"/>
      <c r="L896" s="25"/>
      <c r="M896" s="25"/>
      <c r="N896" s="25"/>
      <c r="O896" s="25"/>
      <c r="P896" s="25"/>
      <c r="Q896" s="25"/>
      <c r="R896" s="25"/>
      <c r="S896" s="25"/>
      <c r="T896" s="25"/>
      <c r="U896" s="25"/>
      <c r="V896" s="25"/>
      <c r="W896" s="25"/>
      <c r="X896" s="25"/>
      <c r="Y896" s="25"/>
      <c r="Z896" s="25"/>
    </row>
    <row r="897" customFormat="false" ht="39.75" hidden="false" customHeight="true" outlineLevel="0" collapsed="false">
      <c r="A897" s="25"/>
      <c r="B897" s="25"/>
      <c r="C897" s="25"/>
      <c r="D897" s="25"/>
      <c r="E897" s="25"/>
      <c r="F897" s="25"/>
      <c r="G897" s="25"/>
      <c r="H897" s="25"/>
      <c r="I897" s="25"/>
      <c r="J897" s="25"/>
      <c r="K897" s="25"/>
      <c r="L897" s="25"/>
      <c r="M897" s="25"/>
      <c r="N897" s="25"/>
      <c r="O897" s="25"/>
      <c r="P897" s="25"/>
      <c r="Q897" s="25"/>
      <c r="R897" s="25"/>
      <c r="S897" s="25"/>
      <c r="T897" s="25"/>
      <c r="U897" s="25"/>
      <c r="V897" s="25"/>
      <c r="W897" s="25"/>
      <c r="X897" s="25"/>
      <c r="Y897" s="25"/>
      <c r="Z897" s="25"/>
    </row>
    <row r="898" customFormat="false" ht="39.75" hidden="false" customHeight="true" outlineLevel="0" collapsed="false">
      <c r="A898" s="25"/>
      <c r="B898" s="25"/>
      <c r="C898" s="25"/>
      <c r="D898" s="25"/>
      <c r="E898" s="25"/>
      <c r="F898" s="25"/>
      <c r="G898" s="25"/>
      <c r="H898" s="25"/>
      <c r="I898" s="25"/>
      <c r="J898" s="25"/>
      <c r="K898" s="25"/>
      <c r="L898" s="25"/>
      <c r="M898" s="25"/>
      <c r="N898" s="25"/>
      <c r="O898" s="25"/>
      <c r="P898" s="25"/>
      <c r="Q898" s="25"/>
      <c r="R898" s="25"/>
      <c r="S898" s="25"/>
      <c r="T898" s="25"/>
      <c r="U898" s="25"/>
      <c r="V898" s="25"/>
      <c r="W898" s="25"/>
      <c r="X898" s="25"/>
      <c r="Y898" s="25"/>
      <c r="Z898" s="25"/>
    </row>
    <row r="899" customFormat="false" ht="39.75" hidden="false" customHeight="true" outlineLevel="0" collapsed="false">
      <c r="A899" s="25"/>
      <c r="B899" s="25"/>
      <c r="C899" s="25"/>
      <c r="D899" s="25"/>
      <c r="E899" s="25"/>
      <c r="F899" s="25"/>
      <c r="G899" s="25"/>
      <c r="H899" s="25"/>
      <c r="I899" s="25"/>
      <c r="J899" s="25"/>
      <c r="K899" s="25"/>
      <c r="L899" s="25"/>
      <c r="M899" s="25"/>
      <c r="N899" s="25"/>
      <c r="O899" s="25"/>
      <c r="P899" s="25"/>
      <c r="Q899" s="25"/>
      <c r="R899" s="25"/>
      <c r="S899" s="25"/>
      <c r="T899" s="25"/>
      <c r="U899" s="25"/>
      <c r="V899" s="25"/>
      <c r="W899" s="25"/>
      <c r="X899" s="25"/>
      <c r="Y899" s="25"/>
      <c r="Z899" s="25"/>
    </row>
    <row r="900" customFormat="false" ht="39.75" hidden="false" customHeight="true" outlineLevel="0" collapsed="false">
      <c r="A900" s="25"/>
      <c r="B900" s="25"/>
      <c r="C900" s="25"/>
      <c r="D900" s="25"/>
      <c r="E900" s="25"/>
      <c r="F900" s="25"/>
      <c r="G900" s="25"/>
      <c r="H900" s="25"/>
      <c r="I900" s="25"/>
      <c r="J900" s="25"/>
      <c r="K900" s="25"/>
      <c r="L900" s="25"/>
      <c r="M900" s="25"/>
      <c r="N900" s="25"/>
      <c r="O900" s="25"/>
      <c r="P900" s="25"/>
      <c r="Q900" s="25"/>
      <c r="R900" s="25"/>
      <c r="S900" s="25"/>
      <c r="T900" s="25"/>
      <c r="U900" s="25"/>
      <c r="V900" s="25"/>
      <c r="W900" s="25"/>
      <c r="X900" s="25"/>
      <c r="Y900" s="25"/>
      <c r="Z900" s="25"/>
    </row>
    <row r="901" customFormat="false" ht="39.75" hidden="false" customHeight="true" outlineLevel="0" collapsed="false">
      <c r="A901" s="25"/>
      <c r="B901" s="25"/>
      <c r="C901" s="25"/>
      <c r="D901" s="25"/>
      <c r="E901" s="25"/>
      <c r="F901" s="25"/>
      <c r="G901" s="25"/>
      <c r="H901" s="25"/>
      <c r="I901" s="25"/>
      <c r="J901" s="25"/>
      <c r="K901" s="25"/>
      <c r="L901" s="25"/>
      <c r="M901" s="25"/>
      <c r="N901" s="25"/>
      <c r="O901" s="25"/>
      <c r="P901" s="25"/>
      <c r="Q901" s="25"/>
      <c r="R901" s="25"/>
      <c r="S901" s="25"/>
      <c r="T901" s="25"/>
      <c r="U901" s="25"/>
      <c r="V901" s="25"/>
      <c r="W901" s="25"/>
      <c r="X901" s="25"/>
      <c r="Y901" s="25"/>
      <c r="Z901" s="25"/>
    </row>
    <row r="902" customFormat="false" ht="39.75" hidden="false" customHeight="true" outlineLevel="0" collapsed="false">
      <c r="A902" s="25"/>
      <c r="B902" s="25"/>
      <c r="C902" s="25"/>
      <c r="D902" s="25"/>
      <c r="E902" s="25"/>
      <c r="F902" s="25"/>
      <c r="G902" s="25"/>
      <c r="H902" s="25"/>
      <c r="I902" s="25"/>
      <c r="J902" s="25"/>
      <c r="K902" s="25"/>
      <c r="L902" s="25"/>
      <c r="M902" s="25"/>
      <c r="N902" s="25"/>
      <c r="O902" s="25"/>
      <c r="P902" s="25"/>
      <c r="Q902" s="25"/>
      <c r="R902" s="25"/>
      <c r="S902" s="25"/>
      <c r="T902" s="25"/>
      <c r="U902" s="25"/>
      <c r="V902" s="25"/>
      <c r="W902" s="25"/>
      <c r="X902" s="25"/>
      <c r="Y902" s="25"/>
      <c r="Z902" s="25"/>
    </row>
    <row r="903" customFormat="false" ht="39.75" hidden="false" customHeight="true" outlineLevel="0" collapsed="false">
      <c r="A903" s="25"/>
      <c r="B903" s="25"/>
      <c r="C903" s="25"/>
      <c r="D903" s="25"/>
      <c r="E903" s="25"/>
      <c r="F903" s="25"/>
      <c r="G903" s="25"/>
      <c r="H903" s="25"/>
      <c r="I903" s="25"/>
      <c r="J903" s="25"/>
      <c r="K903" s="25"/>
      <c r="L903" s="25"/>
      <c r="M903" s="25"/>
      <c r="N903" s="25"/>
      <c r="O903" s="25"/>
      <c r="P903" s="25"/>
      <c r="Q903" s="25"/>
      <c r="R903" s="25"/>
      <c r="S903" s="25"/>
      <c r="T903" s="25"/>
      <c r="U903" s="25"/>
      <c r="V903" s="25"/>
      <c r="W903" s="25"/>
      <c r="X903" s="25"/>
      <c r="Y903" s="25"/>
      <c r="Z903" s="25"/>
    </row>
    <row r="904" customFormat="false" ht="39.75" hidden="false" customHeight="true" outlineLevel="0" collapsed="false">
      <c r="A904" s="25"/>
      <c r="B904" s="25"/>
      <c r="C904" s="25"/>
      <c r="D904" s="25"/>
      <c r="E904" s="25"/>
      <c r="F904" s="25"/>
      <c r="G904" s="25"/>
      <c r="H904" s="25"/>
      <c r="I904" s="25"/>
      <c r="J904" s="25"/>
      <c r="K904" s="25"/>
      <c r="L904" s="25"/>
      <c r="M904" s="25"/>
      <c r="N904" s="25"/>
      <c r="O904" s="25"/>
      <c r="P904" s="25"/>
      <c r="Q904" s="25"/>
      <c r="R904" s="25"/>
      <c r="S904" s="25"/>
      <c r="T904" s="25"/>
      <c r="U904" s="25"/>
      <c r="V904" s="25"/>
      <c r="W904" s="25"/>
      <c r="X904" s="25"/>
      <c r="Y904" s="25"/>
      <c r="Z904" s="25"/>
    </row>
    <row r="905" customFormat="false" ht="39.75" hidden="false" customHeight="true" outlineLevel="0" collapsed="false">
      <c r="A905" s="25"/>
      <c r="B905" s="25"/>
      <c r="C905" s="25"/>
      <c r="D905" s="25"/>
      <c r="E905" s="25"/>
      <c r="F905" s="25"/>
      <c r="G905" s="25"/>
      <c r="H905" s="25"/>
      <c r="I905" s="25"/>
      <c r="J905" s="25"/>
      <c r="K905" s="25"/>
      <c r="L905" s="25"/>
      <c r="M905" s="25"/>
      <c r="N905" s="25"/>
      <c r="O905" s="25"/>
      <c r="P905" s="25"/>
      <c r="Q905" s="25"/>
      <c r="R905" s="25"/>
      <c r="S905" s="25"/>
      <c r="T905" s="25"/>
      <c r="U905" s="25"/>
      <c r="V905" s="25"/>
      <c r="W905" s="25"/>
      <c r="X905" s="25"/>
      <c r="Y905" s="25"/>
      <c r="Z905" s="25"/>
    </row>
    <row r="906" customFormat="false" ht="39.75" hidden="false" customHeight="true" outlineLevel="0" collapsed="false">
      <c r="A906" s="25"/>
      <c r="B906" s="25"/>
      <c r="C906" s="25"/>
      <c r="D906" s="25"/>
      <c r="E906" s="25"/>
      <c r="F906" s="25"/>
      <c r="G906" s="25"/>
      <c r="H906" s="25"/>
      <c r="I906" s="25"/>
      <c r="J906" s="25"/>
      <c r="K906" s="25"/>
      <c r="L906" s="25"/>
      <c r="M906" s="25"/>
      <c r="N906" s="25"/>
      <c r="O906" s="25"/>
      <c r="P906" s="25"/>
      <c r="Q906" s="25"/>
      <c r="R906" s="25"/>
      <c r="S906" s="25"/>
      <c r="T906" s="25"/>
      <c r="U906" s="25"/>
      <c r="V906" s="25"/>
      <c r="W906" s="25"/>
      <c r="X906" s="25"/>
      <c r="Y906" s="25"/>
      <c r="Z906" s="25"/>
    </row>
    <row r="907" customFormat="false" ht="39.75" hidden="false" customHeight="true" outlineLevel="0" collapsed="false">
      <c r="A907" s="25"/>
      <c r="B907" s="25"/>
      <c r="C907" s="25"/>
      <c r="D907" s="25"/>
      <c r="E907" s="25"/>
      <c r="F907" s="25"/>
      <c r="G907" s="25"/>
      <c r="H907" s="25"/>
      <c r="I907" s="25"/>
      <c r="J907" s="25"/>
      <c r="K907" s="25"/>
      <c r="L907" s="25"/>
      <c r="M907" s="25"/>
      <c r="N907" s="25"/>
      <c r="O907" s="25"/>
      <c r="P907" s="25"/>
      <c r="Q907" s="25"/>
      <c r="R907" s="25"/>
      <c r="S907" s="25"/>
      <c r="T907" s="25"/>
      <c r="U907" s="25"/>
      <c r="V907" s="25"/>
      <c r="W907" s="25"/>
      <c r="X907" s="25"/>
      <c r="Y907" s="25"/>
      <c r="Z907" s="25"/>
    </row>
    <row r="908" customFormat="false" ht="39.75" hidden="false" customHeight="true" outlineLevel="0" collapsed="false">
      <c r="A908" s="25"/>
      <c r="B908" s="25"/>
      <c r="C908" s="25"/>
      <c r="D908" s="25"/>
      <c r="E908" s="25"/>
      <c r="F908" s="25"/>
      <c r="G908" s="25"/>
      <c r="H908" s="25"/>
      <c r="I908" s="25"/>
      <c r="J908" s="25"/>
      <c r="K908" s="25"/>
      <c r="L908" s="25"/>
      <c r="M908" s="25"/>
      <c r="N908" s="25"/>
      <c r="O908" s="25"/>
      <c r="P908" s="25"/>
      <c r="Q908" s="25"/>
      <c r="R908" s="25"/>
      <c r="S908" s="25"/>
      <c r="T908" s="25"/>
      <c r="U908" s="25"/>
      <c r="V908" s="25"/>
      <c r="W908" s="25"/>
      <c r="X908" s="25"/>
      <c r="Y908" s="25"/>
      <c r="Z908" s="25"/>
    </row>
    <row r="909" customFormat="false" ht="39.75" hidden="false" customHeight="true" outlineLevel="0" collapsed="false">
      <c r="A909" s="25"/>
      <c r="B909" s="25"/>
      <c r="C909" s="25"/>
      <c r="D909" s="25"/>
      <c r="E909" s="25"/>
      <c r="F909" s="25"/>
      <c r="G909" s="25"/>
      <c r="H909" s="25"/>
      <c r="I909" s="25"/>
      <c r="J909" s="25"/>
      <c r="K909" s="25"/>
      <c r="L909" s="25"/>
      <c r="M909" s="25"/>
      <c r="N909" s="25"/>
      <c r="O909" s="25"/>
      <c r="P909" s="25"/>
      <c r="Q909" s="25"/>
      <c r="R909" s="25"/>
      <c r="S909" s="25"/>
      <c r="T909" s="25"/>
      <c r="U909" s="25"/>
      <c r="V909" s="25"/>
      <c r="W909" s="25"/>
      <c r="X909" s="25"/>
      <c r="Y909" s="25"/>
      <c r="Z909" s="25"/>
    </row>
    <row r="910" customFormat="false" ht="39.75" hidden="false" customHeight="true" outlineLevel="0" collapsed="false">
      <c r="A910" s="25"/>
      <c r="B910" s="25"/>
      <c r="C910" s="25"/>
      <c r="D910" s="25"/>
      <c r="E910" s="25"/>
      <c r="F910" s="25"/>
      <c r="G910" s="25"/>
      <c r="H910" s="25"/>
      <c r="I910" s="25"/>
      <c r="J910" s="25"/>
      <c r="K910" s="25"/>
      <c r="L910" s="25"/>
      <c r="M910" s="25"/>
      <c r="N910" s="25"/>
      <c r="O910" s="25"/>
      <c r="P910" s="25"/>
      <c r="Q910" s="25"/>
      <c r="R910" s="25"/>
      <c r="S910" s="25"/>
      <c r="T910" s="25"/>
      <c r="U910" s="25"/>
      <c r="V910" s="25"/>
      <c r="W910" s="25"/>
      <c r="X910" s="25"/>
      <c r="Y910" s="25"/>
      <c r="Z910" s="25"/>
    </row>
    <row r="911" customFormat="false" ht="39.75" hidden="false" customHeight="true" outlineLevel="0" collapsed="false">
      <c r="A911" s="25"/>
      <c r="B911" s="25"/>
      <c r="C911" s="25"/>
      <c r="D911" s="25"/>
      <c r="E911" s="25"/>
      <c r="F911" s="25"/>
      <c r="G911" s="25"/>
      <c r="H911" s="25"/>
      <c r="I911" s="25"/>
      <c r="J911" s="25"/>
      <c r="K911" s="25"/>
      <c r="L911" s="25"/>
      <c r="M911" s="25"/>
      <c r="N911" s="25"/>
      <c r="O911" s="25"/>
      <c r="P911" s="25"/>
      <c r="Q911" s="25"/>
      <c r="R911" s="25"/>
      <c r="S911" s="25"/>
      <c r="T911" s="25"/>
      <c r="U911" s="25"/>
      <c r="V911" s="25"/>
      <c r="W911" s="25"/>
      <c r="X911" s="25"/>
      <c r="Y911" s="25"/>
      <c r="Z911" s="25"/>
    </row>
    <row r="912" customFormat="false" ht="39.75" hidden="false" customHeight="true" outlineLevel="0" collapsed="false">
      <c r="A912" s="25"/>
      <c r="B912" s="25"/>
      <c r="C912" s="25"/>
      <c r="D912" s="25"/>
      <c r="E912" s="25"/>
      <c r="F912" s="25"/>
      <c r="G912" s="25"/>
      <c r="H912" s="25"/>
      <c r="I912" s="25"/>
      <c r="J912" s="25"/>
      <c r="K912" s="25"/>
      <c r="L912" s="25"/>
      <c r="M912" s="25"/>
      <c r="N912" s="25"/>
      <c r="O912" s="25"/>
      <c r="P912" s="25"/>
      <c r="Q912" s="25"/>
      <c r="R912" s="25"/>
      <c r="S912" s="25"/>
      <c r="T912" s="25"/>
      <c r="U912" s="25"/>
      <c r="V912" s="25"/>
      <c r="W912" s="25"/>
      <c r="X912" s="25"/>
      <c r="Y912" s="25"/>
      <c r="Z912" s="25"/>
    </row>
    <row r="913" customFormat="false" ht="39.75" hidden="false" customHeight="true" outlineLevel="0" collapsed="false">
      <c r="A913" s="25"/>
      <c r="B913" s="25"/>
      <c r="C913" s="25"/>
      <c r="D913" s="25"/>
      <c r="E913" s="25"/>
      <c r="F913" s="25"/>
      <c r="G913" s="25"/>
      <c r="H913" s="25"/>
      <c r="I913" s="25"/>
      <c r="J913" s="25"/>
      <c r="K913" s="25"/>
      <c r="L913" s="25"/>
      <c r="M913" s="25"/>
      <c r="N913" s="25"/>
      <c r="O913" s="25"/>
      <c r="P913" s="25"/>
      <c r="Q913" s="25"/>
      <c r="R913" s="25"/>
      <c r="S913" s="25"/>
      <c r="T913" s="25"/>
      <c r="U913" s="25"/>
      <c r="V913" s="25"/>
      <c r="W913" s="25"/>
      <c r="X913" s="25"/>
      <c r="Y913" s="25"/>
      <c r="Z913" s="25"/>
    </row>
    <row r="914" customFormat="false" ht="39.75" hidden="false" customHeight="true" outlineLevel="0" collapsed="false">
      <c r="A914" s="25"/>
      <c r="B914" s="25"/>
      <c r="C914" s="25"/>
      <c r="D914" s="25"/>
      <c r="E914" s="25"/>
      <c r="F914" s="25"/>
      <c r="G914" s="25"/>
      <c r="H914" s="25"/>
      <c r="I914" s="25"/>
      <c r="J914" s="25"/>
      <c r="K914" s="25"/>
      <c r="L914" s="25"/>
      <c r="M914" s="25"/>
      <c r="N914" s="25"/>
      <c r="O914" s="25"/>
      <c r="P914" s="25"/>
      <c r="Q914" s="25"/>
      <c r="R914" s="25"/>
      <c r="S914" s="25"/>
      <c r="T914" s="25"/>
      <c r="U914" s="25"/>
      <c r="V914" s="25"/>
      <c r="W914" s="25"/>
      <c r="X914" s="25"/>
      <c r="Y914" s="25"/>
      <c r="Z914" s="25"/>
    </row>
    <row r="915" customFormat="false" ht="39.75" hidden="false" customHeight="true" outlineLevel="0" collapsed="false">
      <c r="A915" s="25"/>
      <c r="B915" s="25"/>
      <c r="C915" s="25"/>
      <c r="D915" s="25"/>
      <c r="E915" s="25"/>
      <c r="F915" s="25"/>
      <c r="G915" s="25"/>
      <c r="H915" s="25"/>
      <c r="I915" s="25"/>
      <c r="J915" s="25"/>
      <c r="K915" s="25"/>
      <c r="L915" s="25"/>
      <c r="M915" s="25"/>
      <c r="N915" s="25"/>
      <c r="O915" s="25"/>
      <c r="P915" s="25"/>
      <c r="Q915" s="25"/>
      <c r="R915" s="25"/>
      <c r="S915" s="25"/>
      <c r="T915" s="25"/>
      <c r="U915" s="25"/>
      <c r="V915" s="25"/>
      <c r="W915" s="25"/>
      <c r="X915" s="25"/>
      <c r="Y915" s="25"/>
      <c r="Z915" s="25"/>
    </row>
    <row r="916" customFormat="false" ht="39.75" hidden="false" customHeight="true" outlineLevel="0" collapsed="false">
      <c r="A916" s="25"/>
      <c r="B916" s="25"/>
      <c r="C916" s="25"/>
      <c r="D916" s="25"/>
      <c r="E916" s="25"/>
      <c r="F916" s="25"/>
      <c r="G916" s="25"/>
      <c r="H916" s="25"/>
      <c r="I916" s="25"/>
      <c r="J916" s="25"/>
      <c r="K916" s="25"/>
      <c r="L916" s="25"/>
      <c r="M916" s="25"/>
      <c r="N916" s="25"/>
      <c r="O916" s="25"/>
      <c r="P916" s="25"/>
      <c r="Q916" s="25"/>
      <c r="R916" s="25"/>
      <c r="S916" s="25"/>
      <c r="T916" s="25"/>
      <c r="U916" s="25"/>
      <c r="V916" s="25"/>
      <c r="W916" s="25"/>
      <c r="X916" s="25"/>
      <c r="Y916" s="25"/>
      <c r="Z916" s="25"/>
    </row>
    <row r="917" customFormat="false" ht="39.75" hidden="false" customHeight="true" outlineLevel="0" collapsed="false">
      <c r="A917" s="25"/>
      <c r="B917" s="25"/>
      <c r="C917" s="25"/>
      <c r="D917" s="25"/>
      <c r="E917" s="25"/>
      <c r="F917" s="25"/>
      <c r="G917" s="25"/>
      <c r="H917" s="25"/>
      <c r="I917" s="25"/>
      <c r="J917" s="25"/>
      <c r="K917" s="25"/>
      <c r="L917" s="25"/>
      <c r="M917" s="25"/>
      <c r="N917" s="25"/>
      <c r="O917" s="25"/>
      <c r="P917" s="25"/>
      <c r="Q917" s="25"/>
      <c r="R917" s="25"/>
      <c r="S917" s="25"/>
      <c r="T917" s="25"/>
      <c r="U917" s="25"/>
      <c r="V917" s="25"/>
      <c r="W917" s="25"/>
      <c r="X917" s="25"/>
      <c r="Y917" s="25"/>
      <c r="Z917" s="25"/>
    </row>
    <row r="918" customFormat="false" ht="39.75" hidden="false" customHeight="true" outlineLevel="0" collapsed="false">
      <c r="A918" s="25"/>
      <c r="B918" s="25"/>
      <c r="C918" s="25"/>
      <c r="D918" s="25"/>
      <c r="E918" s="25"/>
      <c r="F918" s="25"/>
      <c r="G918" s="25"/>
      <c r="H918" s="25"/>
      <c r="I918" s="25"/>
      <c r="J918" s="25"/>
      <c r="K918" s="25"/>
      <c r="L918" s="25"/>
      <c r="M918" s="25"/>
      <c r="N918" s="25"/>
      <c r="O918" s="25"/>
      <c r="P918" s="25"/>
      <c r="Q918" s="25"/>
      <c r="R918" s="25"/>
      <c r="S918" s="25"/>
      <c r="T918" s="25"/>
      <c r="U918" s="25"/>
      <c r="V918" s="25"/>
      <c r="W918" s="25"/>
      <c r="X918" s="25"/>
      <c r="Y918" s="25"/>
      <c r="Z918" s="25"/>
    </row>
    <row r="919" customFormat="false" ht="39.75" hidden="false" customHeight="true" outlineLevel="0" collapsed="false">
      <c r="A919" s="25"/>
      <c r="B919" s="25"/>
      <c r="C919" s="25"/>
      <c r="D919" s="25"/>
      <c r="E919" s="25"/>
      <c r="F919" s="25"/>
      <c r="G919" s="25"/>
      <c r="H919" s="25"/>
      <c r="I919" s="25"/>
      <c r="J919" s="25"/>
      <c r="K919" s="25"/>
      <c r="L919" s="25"/>
      <c r="M919" s="25"/>
      <c r="N919" s="25"/>
      <c r="O919" s="25"/>
      <c r="P919" s="25"/>
      <c r="Q919" s="25"/>
      <c r="R919" s="25"/>
      <c r="S919" s="25"/>
      <c r="T919" s="25"/>
      <c r="U919" s="25"/>
      <c r="V919" s="25"/>
      <c r="W919" s="25"/>
      <c r="X919" s="25"/>
      <c r="Y919" s="25"/>
      <c r="Z919" s="25"/>
    </row>
    <row r="920" customFormat="false" ht="39.75" hidden="false" customHeight="true" outlineLevel="0" collapsed="false">
      <c r="A920" s="25"/>
      <c r="B920" s="25"/>
      <c r="C920" s="25"/>
      <c r="D920" s="25"/>
      <c r="E920" s="25"/>
      <c r="F920" s="25"/>
      <c r="G920" s="25"/>
      <c r="H920" s="25"/>
      <c r="I920" s="25"/>
      <c r="J920" s="25"/>
      <c r="K920" s="25"/>
      <c r="L920" s="25"/>
      <c r="M920" s="25"/>
      <c r="N920" s="25"/>
      <c r="O920" s="25"/>
      <c r="P920" s="25"/>
      <c r="Q920" s="25"/>
      <c r="R920" s="25"/>
      <c r="S920" s="25"/>
      <c r="T920" s="25"/>
      <c r="U920" s="25"/>
      <c r="V920" s="25"/>
      <c r="W920" s="25"/>
      <c r="X920" s="25"/>
      <c r="Y920" s="25"/>
      <c r="Z920" s="25"/>
    </row>
    <row r="921" customFormat="false" ht="39.75" hidden="false" customHeight="true" outlineLevel="0" collapsed="false">
      <c r="A921" s="25"/>
      <c r="B921" s="25"/>
      <c r="C921" s="25"/>
      <c r="D921" s="25"/>
      <c r="E921" s="25"/>
      <c r="F921" s="25"/>
      <c r="G921" s="25"/>
      <c r="H921" s="25"/>
      <c r="I921" s="25"/>
      <c r="J921" s="25"/>
      <c r="K921" s="25"/>
      <c r="L921" s="25"/>
      <c r="M921" s="25"/>
      <c r="N921" s="25"/>
      <c r="O921" s="25"/>
      <c r="P921" s="25"/>
      <c r="Q921" s="25"/>
      <c r="R921" s="25"/>
      <c r="S921" s="25"/>
      <c r="T921" s="25"/>
      <c r="U921" s="25"/>
      <c r="V921" s="25"/>
      <c r="W921" s="25"/>
      <c r="X921" s="25"/>
      <c r="Y921" s="25"/>
      <c r="Z921" s="25"/>
    </row>
    <row r="922" customFormat="false" ht="39.75" hidden="false" customHeight="true" outlineLevel="0" collapsed="false">
      <c r="A922" s="25"/>
      <c r="B922" s="25"/>
      <c r="C922" s="25"/>
      <c r="D922" s="25"/>
      <c r="E922" s="25"/>
      <c r="F922" s="25"/>
      <c r="G922" s="25"/>
      <c r="H922" s="25"/>
      <c r="I922" s="25"/>
      <c r="J922" s="25"/>
      <c r="K922" s="25"/>
      <c r="L922" s="25"/>
      <c r="M922" s="25"/>
      <c r="N922" s="25"/>
      <c r="O922" s="25"/>
      <c r="P922" s="25"/>
      <c r="Q922" s="25"/>
      <c r="R922" s="25"/>
      <c r="S922" s="25"/>
      <c r="T922" s="25"/>
      <c r="U922" s="25"/>
      <c r="V922" s="25"/>
      <c r="W922" s="25"/>
      <c r="X922" s="25"/>
      <c r="Y922" s="25"/>
      <c r="Z922" s="25"/>
    </row>
    <row r="923" customFormat="false" ht="39.75" hidden="false" customHeight="true" outlineLevel="0" collapsed="false">
      <c r="A923" s="25"/>
      <c r="B923" s="25"/>
      <c r="C923" s="25"/>
      <c r="D923" s="25"/>
      <c r="E923" s="25"/>
      <c r="F923" s="25"/>
      <c r="G923" s="25"/>
      <c r="H923" s="25"/>
      <c r="I923" s="25"/>
      <c r="J923" s="25"/>
      <c r="K923" s="25"/>
      <c r="L923" s="25"/>
      <c r="M923" s="25"/>
      <c r="N923" s="25"/>
      <c r="O923" s="25"/>
      <c r="P923" s="25"/>
      <c r="Q923" s="25"/>
      <c r="R923" s="25"/>
      <c r="S923" s="25"/>
      <c r="T923" s="25"/>
      <c r="U923" s="25"/>
      <c r="V923" s="25"/>
      <c r="W923" s="25"/>
      <c r="X923" s="25"/>
      <c r="Y923" s="25"/>
      <c r="Z923" s="25"/>
    </row>
    <row r="924" customFormat="false" ht="39.75" hidden="false" customHeight="true" outlineLevel="0" collapsed="false">
      <c r="A924" s="25"/>
      <c r="B924" s="25"/>
      <c r="C924" s="25"/>
      <c r="D924" s="25"/>
      <c r="E924" s="25"/>
      <c r="F924" s="25"/>
      <c r="G924" s="25"/>
      <c r="H924" s="25"/>
      <c r="I924" s="25"/>
      <c r="J924" s="25"/>
      <c r="K924" s="25"/>
      <c r="L924" s="25"/>
      <c r="M924" s="25"/>
      <c r="N924" s="25"/>
      <c r="O924" s="25"/>
      <c r="P924" s="25"/>
      <c r="Q924" s="25"/>
      <c r="R924" s="25"/>
      <c r="S924" s="25"/>
      <c r="T924" s="25"/>
      <c r="U924" s="25"/>
      <c r="V924" s="25"/>
      <c r="W924" s="25"/>
      <c r="X924" s="25"/>
      <c r="Y924" s="25"/>
      <c r="Z924" s="25"/>
    </row>
    <row r="925" customFormat="false" ht="39.75" hidden="false" customHeight="true" outlineLevel="0" collapsed="false">
      <c r="A925" s="25"/>
      <c r="B925" s="25"/>
      <c r="C925" s="25"/>
      <c r="D925" s="25"/>
      <c r="E925" s="25"/>
      <c r="F925" s="25"/>
      <c r="G925" s="25"/>
      <c r="H925" s="25"/>
      <c r="I925" s="25"/>
      <c r="J925" s="25"/>
      <c r="K925" s="25"/>
      <c r="L925" s="25"/>
      <c r="M925" s="25"/>
      <c r="N925" s="25"/>
      <c r="O925" s="25"/>
      <c r="P925" s="25"/>
      <c r="Q925" s="25"/>
      <c r="R925" s="25"/>
      <c r="S925" s="25"/>
      <c r="T925" s="25"/>
      <c r="U925" s="25"/>
      <c r="V925" s="25"/>
      <c r="W925" s="25"/>
      <c r="X925" s="25"/>
      <c r="Y925" s="25"/>
      <c r="Z925" s="25"/>
    </row>
    <row r="926" customFormat="false" ht="39.75" hidden="false" customHeight="true" outlineLevel="0" collapsed="false">
      <c r="A926" s="25"/>
      <c r="B926" s="25"/>
      <c r="C926" s="25"/>
      <c r="D926" s="25"/>
      <c r="E926" s="25"/>
      <c r="F926" s="25"/>
      <c r="G926" s="25"/>
      <c r="H926" s="25"/>
      <c r="I926" s="25"/>
      <c r="J926" s="25"/>
      <c r="K926" s="25"/>
      <c r="L926" s="25"/>
      <c r="M926" s="25"/>
      <c r="N926" s="25"/>
      <c r="O926" s="25"/>
      <c r="P926" s="25"/>
      <c r="Q926" s="25"/>
      <c r="R926" s="25"/>
      <c r="S926" s="25"/>
      <c r="T926" s="25"/>
      <c r="U926" s="25"/>
      <c r="V926" s="25"/>
      <c r="W926" s="25"/>
      <c r="X926" s="25"/>
      <c r="Y926" s="25"/>
      <c r="Z926" s="25"/>
    </row>
    <row r="927" customFormat="false" ht="39.75" hidden="false" customHeight="true" outlineLevel="0" collapsed="false">
      <c r="A927" s="25"/>
      <c r="B927" s="25"/>
      <c r="C927" s="25"/>
      <c r="D927" s="25"/>
      <c r="E927" s="25"/>
      <c r="F927" s="25"/>
      <c r="G927" s="25"/>
      <c r="H927" s="25"/>
      <c r="I927" s="25"/>
      <c r="J927" s="25"/>
      <c r="K927" s="25"/>
      <c r="L927" s="25"/>
      <c r="M927" s="25"/>
      <c r="N927" s="25"/>
      <c r="O927" s="25"/>
      <c r="P927" s="25"/>
      <c r="Q927" s="25"/>
      <c r="R927" s="25"/>
      <c r="S927" s="25"/>
      <c r="T927" s="25"/>
      <c r="U927" s="25"/>
      <c r="V927" s="25"/>
      <c r="W927" s="25"/>
      <c r="X927" s="25"/>
      <c r="Y927" s="25"/>
      <c r="Z927" s="25"/>
    </row>
    <row r="928" customFormat="false" ht="39.75" hidden="false" customHeight="true" outlineLevel="0" collapsed="false">
      <c r="A928" s="25"/>
      <c r="B928" s="25"/>
      <c r="C928" s="25"/>
      <c r="D928" s="25"/>
      <c r="E928" s="25"/>
      <c r="F928" s="25"/>
      <c r="G928" s="25"/>
      <c r="H928" s="25"/>
      <c r="I928" s="25"/>
      <c r="J928" s="25"/>
      <c r="K928" s="25"/>
      <c r="L928" s="25"/>
      <c r="M928" s="25"/>
      <c r="N928" s="25"/>
      <c r="O928" s="25"/>
      <c r="P928" s="25"/>
      <c r="Q928" s="25"/>
      <c r="R928" s="25"/>
      <c r="S928" s="25"/>
      <c r="T928" s="25"/>
      <c r="U928" s="25"/>
      <c r="V928" s="25"/>
      <c r="W928" s="25"/>
      <c r="X928" s="25"/>
      <c r="Y928" s="25"/>
      <c r="Z928" s="25"/>
    </row>
    <row r="929" customFormat="false" ht="39.75" hidden="false" customHeight="true" outlineLevel="0" collapsed="false">
      <c r="A929" s="25"/>
      <c r="B929" s="25"/>
      <c r="C929" s="25"/>
      <c r="D929" s="25"/>
      <c r="E929" s="25"/>
      <c r="F929" s="25"/>
      <c r="G929" s="25"/>
      <c r="H929" s="25"/>
      <c r="I929" s="25"/>
      <c r="J929" s="25"/>
      <c r="K929" s="25"/>
      <c r="L929" s="25"/>
      <c r="M929" s="25"/>
      <c r="N929" s="25"/>
      <c r="O929" s="25"/>
      <c r="P929" s="25"/>
      <c r="Q929" s="25"/>
      <c r="R929" s="25"/>
      <c r="S929" s="25"/>
      <c r="T929" s="25"/>
      <c r="U929" s="25"/>
      <c r="V929" s="25"/>
      <c r="W929" s="25"/>
      <c r="X929" s="25"/>
      <c r="Y929" s="25"/>
      <c r="Z929" s="25"/>
    </row>
    <row r="930" customFormat="false" ht="39.75" hidden="false" customHeight="true" outlineLevel="0" collapsed="false">
      <c r="A930" s="25"/>
      <c r="B930" s="25"/>
      <c r="C930" s="25"/>
      <c r="D930" s="25"/>
      <c r="E930" s="25"/>
      <c r="F930" s="25"/>
      <c r="G930" s="25"/>
      <c r="H930" s="25"/>
      <c r="I930" s="25"/>
      <c r="J930" s="25"/>
      <c r="K930" s="25"/>
      <c r="L930" s="25"/>
      <c r="M930" s="25"/>
      <c r="N930" s="25"/>
      <c r="O930" s="25"/>
      <c r="P930" s="25"/>
      <c r="Q930" s="25"/>
      <c r="R930" s="25"/>
      <c r="S930" s="25"/>
      <c r="T930" s="25"/>
      <c r="U930" s="25"/>
      <c r="V930" s="25"/>
      <c r="W930" s="25"/>
      <c r="X930" s="25"/>
      <c r="Y930" s="25"/>
      <c r="Z930" s="25"/>
    </row>
    <row r="931" customFormat="false" ht="39.75" hidden="false" customHeight="true" outlineLevel="0" collapsed="false">
      <c r="A931" s="25"/>
      <c r="B931" s="25"/>
      <c r="C931" s="25"/>
      <c r="D931" s="25"/>
      <c r="E931" s="25"/>
      <c r="F931" s="25"/>
      <c r="G931" s="25"/>
      <c r="H931" s="25"/>
      <c r="I931" s="25"/>
      <c r="J931" s="25"/>
      <c r="K931" s="25"/>
      <c r="L931" s="25"/>
      <c r="M931" s="25"/>
      <c r="N931" s="25"/>
      <c r="O931" s="25"/>
      <c r="P931" s="25"/>
      <c r="Q931" s="25"/>
      <c r="R931" s="25"/>
      <c r="S931" s="25"/>
      <c r="T931" s="25"/>
      <c r="U931" s="25"/>
      <c r="V931" s="25"/>
      <c r="W931" s="25"/>
      <c r="X931" s="25"/>
      <c r="Y931" s="25"/>
      <c r="Z931" s="25"/>
    </row>
    <row r="932" customFormat="false" ht="39.75" hidden="false" customHeight="true" outlineLevel="0" collapsed="false">
      <c r="A932" s="25"/>
      <c r="B932" s="25"/>
      <c r="C932" s="25"/>
      <c r="D932" s="25"/>
      <c r="E932" s="25"/>
      <c r="F932" s="25"/>
      <c r="G932" s="25"/>
      <c r="H932" s="25"/>
      <c r="I932" s="25"/>
      <c r="J932" s="25"/>
      <c r="K932" s="25"/>
      <c r="L932" s="25"/>
      <c r="M932" s="25"/>
      <c r="N932" s="25"/>
      <c r="O932" s="25"/>
      <c r="P932" s="25"/>
      <c r="Q932" s="25"/>
      <c r="R932" s="25"/>
      <c r="S932" s="25"/>
      <c r="T932" s="25"/>
      <c r="U932" s="25"/>
      <c r="V932" s="25"/>
      <c r="W932" s="25"/>
      <c r="X932" s="25"/>
      <c r="Y932" s="25"/>
      <c r="Z932" s="25"/>
    </row>
    <row r="933" customFormat="false" ht="39.75" hidden="false" customHeight="true" outlineLevel="0" collapsed="false">
      <c r="A933" s="25"/>
      <c r="B933" s="25"/>
      <c r="C933" s="25"/>
      <c r="D933" s="25"/>
      <c r="E933" s="25"/>
      <c r="F933" s="25"/>
      <c r="G933" s="25"/>
      <c r="H933" s="25"/>
      <c r="I933" s="25"/>
      <c r="J933" s="25"/>
      <c r="K933" s="25"/>
      <c r="L933" s="25"/>
      <c r="M933" s="25"/>
      <c r="N933" s="25"/>
      <c r="O933" s="25"/>
      <c r="P933" s="25"/>
      <c r="Q933" s="25"/>
      <c r="R933" s="25"/>
      <c r="S933" s="25"/>
      <c r="T933" s="25"/>
      <c r="U933" s="25"/>
      <c r="V933" s="25"/>
      <c r="W933" s="25"/>
      <c r="X933" s="25"/>
      <c r="Y933" s="25"/>
      <c r="Z933" s="25"/>
    </row>
    <row r="934" customFormat="false" ht="39.75" hidden="false" customHeight="true" outlineLevel="0" collapsed="false">
      <c r="A934" s="25"/>
      <c r="B934" s="25"/>
      <c r="C934" s="25"/>
      <c r="D934" s="25"/>
      <c r="E934" s="25"/>
      <c r="F934" s="25"/>
      <c r="G934" s="25"/>
      <c r="H934" s="25"/>
      <c r="I934" s="25"/>
      <c r="J934" s="25"/>
      <c r="K934" s="25"/>
      <c r="L934" s="25"/>
      <c r="M934" s="25"/>
      <c r="N934" s="25"/>
      <c r="O934" s="25"/>
      <c r="P934" s="25"/>
      <c r="Q934" s="25"/>
      <c r="R934" s="25"/>
      <c r="S934" s="25"/>
      <c r="T934" s="25"/>
      <c r="U934" s="25"/>
      <c r="V934" s="25"/>
      <c r="W934" s="25"/>
      <c r="X934" s="25"/>
      <c r="Y934" s="25"/>
      <c r="Z934" s="25"/>
    </row>
    <row r="935" customFormat="false" ht="39.75" hidden="false" customHeight="true" outlineLevel="0" collapsed="false">
      <c r="A935" s="25"/>
      <c r="B935" s="25"/>
      <c r="C935" s="25"/>
      <c r="D935" s="25"/>
      <c r="E935" s="25"/>
      <c r="F935" s="25"/>
      <c r="G935" s="25"/>
      <c r="H935" s="25"/>
      <c r="I935" s="25"/>
      <c r="J935" s="25"/>
      <c r="K935" s="25"/>
      <c r="L935" s="25"/>
      <c r="M935" s="25"/>
      <c r="N935" s="25"/>
      <c r="O935" s="25"/>
      <c r="P935" s="25"/>
      <c r="Q935" s="25"/>
      <c r="R935" s="25"/>
      <c r="S935" s="25"/>
      <c r="T935" s="25"/>
      <c r="U935" s="25"/>
      <c r="V935" s="25"/>
      <c r="W935" s="25"/>
      <c r="X935" s="25"/>
      <c r="Y935" s="25"/>
      <c r="Z935" s="25"/>
    </row>
    <row r="936" customFormat="false" ht="39.75" hidden="false" customHeight="true" outlineLevel="0" collapsed="false">
      <c r="A936" s="25"/>
      <c r="B936" s="25"/>
      <c r="C936" s="25"/>
      <c r="D936" s="25"/>
      <c r="E936" s="25"/>
      <c r="F936" s="25"/>
      <c r="G936" s="25"/>
      <c r="H936" s="25"/>
      <c r="I936" s="25"/>
      <c r="J936" s="25"/>
      <c r="K936" s="25"/>
      <c r="L936" s="25"/>
      <c r="M936" s="25"/>
      <c r="N936" s="25"/>
      <c r="O936" s="25"/>
      <c r="P936" s="25"/>
      <c r="Q936" s="25"/>
      <c r="R936" s="25"/>
      <c r="S936" s="25"/>
      <c r="T936" s="25"/>
      <c r="U936" s="25"/>
      <c r="V936" s="25"/>
      <c r="W936" s="25"/>
      <c r="X936" s="25"/>
      <c r="Y936" s="25"/>
      <c r="Z936" s="25"/>
    </row>
    <row r="937" customFormat="false" ht="39.75" hidden="false" customHeight="true" outlineLevel="0" collapsed="false">
      <c r="A937" s="25"/>
      <c r="B937" s="25"/>
      <c r="C937" s="25"/>
      <c r="D937" s="25"/>
      <c r="E937" s="25"/>
      <c r="F937" s="25"/>
      <c r="G937" s="25"/>
      <c r="H937" s="25"/>
      <c r="I937" s="25"/>
      <c r="J937" s="25"/>
      <c r="K937" s="25"/>
      <c r="L937" s="25"/>
      <c r="M937" s="25"/>
      <c r="N937" s="25"/>
      <c r="O937" s="25"/>
      <c r="P937" s="25"/>
      <c r="Q937" s="25"/>
      <c r="R937" s="25"/>
      <c r="S937" s="25"/>
      <c r="T937" s="25"/>
      <c r="U937" s="25"/>
      <c r="V937" s="25"/>
      <c r="W937" s="25"/>
      <c r="X937" s="25"/>
      <c r="Y937" s="25"/>
      <c r="Z937" s="25"/>
    </row>
    <row r="938" customFormat="false" ht="39.75" hidden="false" customHeight="true" outlineLevel="0" collapsed="false">
      <c r="A938" s="25"/>
      <c r="B938" s="25"/>
      <c r="C938" s="25"/>
      <c r="D938" s="25"/>
      <c r="E938" s="25"/>
      <c r="F938" s="25"/>
      <c r="G938" s="25"/>
      <c r="H938" s="25"/>
      <c r="I938" s="25"/>
      <c r="J938" s="25"/>
      <c r="K938" s="25"/>
      <c r="L938" s="25"/>
      <c r="M938" s="25"/>
      <c r="N938" s="25"/>
      <c r="O938" s="25"/>
      <c r="P938" s="25"/>
      <c r="Q938" s="25"/>
      <c r="R938" s="25"/>
      <c r="S938" s="25"/>
      <c r="T938" s="25"/>
      <c r="U938" s="25"/>
      <c r="V938" s="25"/>
      <c r="W938" s="25"/>
      <c r="X938" s="25"/>
      <c r="Y938" s="25"/>
      <c r="Z938" s="25"/>
    </row>
    <row r="939" customFormat="false" ht="39.75" hidden="false" customHeight="true" outlineLevel="0" collapsed="false">
      <c r="A939" s="25"/>
      <c r="B939" s="25"/>
      <c r="C939" s="25"/>
      <c r="D939" s="25"/>
      <c r="E939" s="25"/>
      <c r="F939" s="25"/>
      <c r="G939" s="25"/>
      <c r="H939" s="25"/>
      <c r="I939" s="25"/>
      <c r="J939" s="25"/>
      <c r="K939" s="25"/>
      <c r="L939" s="25"/>
      <c r="M939" s="25"/>
      <c r="N939" s="25"/>
      <c r="O939" s="25"/>
      <c r="P939" s="25"/>
      <c r="Q939" s="25"/>
      <c r="R939" s="25"/>
      <c r="S939" s="25"/>
      <c r="T939" s="25"/>
      <c r="U939" s="25"/>
      <c r="V939" s="25"/>
      <c r="W939" s="25"/>
      <c r="X939" s="25"/>
      <c r="Y939" s="25"/>
      <c r="Z939" s="25"/>
    </row>
    <row r="940" customFormat="false" ht="39.75" hidden="false" customHeight="true" outlineLevel="0" collapsed="false">
      <c r="A940" s="25"/>
      <c r="B940" s="25"/>
      <c r="C940" s="25"/>
      <c r="D940" s="25"/>
      <c r="E940" s="25"/>
      <c r="F940" s="25"/>
      <c r="G940" s="25"/>
      <c r="H940" s="25"/>
      <c r="I940" s="25"/>
      <c r="J940" s="25"/>
      <c r="K940" s="25"/>
      <c r="L940" s="25"/>
      <c r="M940" s="25"/>
      <c r="N940" s="25"/>
      <c r="O940" s="25"/>
      <c r="P940" s="25"/>
      <c r="Q940" s="25"/>
      <c r="R940" s="25"/>
      <c r="S940" s="25"/>
      <c r="T940" s="25"/>
      <c r="U940" s="25"/>
      <c r="V940" s="25"/>
      <c r="W940" s="25"/>
      <c r="X940" s="25"/>
      <c r="Y940" s="25"/>
      <c r="Z940" s="25"/>
    </row>
    <row r="941" customFormat="false" ht="39.75" hidden="false" customHeight="true" outlineLevel="0" collapsed="false">
      <c r="A941" s="25"/>
      <c r="B941" s="25"/>
      <c r="C941" s="25"/>
      <c r="D941" s="25"/>
      <c r="E941" s="25"/>
      <c r="F941" s="25"/>
      <c r="G941" s="25"/>
      <c r="H941" s="25"/>
      <c r="I941" s="25"/>
      <c r="J941" s="25"/>
      <c r="K941" s="25"/>
      <c r="L941" s="25"/>
      <c r="M941" s="25"/>
      <c r="N941" s="25"/>
      <c r="O941" s="25"/>
      <c r="P941" s="25"/>
      <c r="Q941" s="25"/>
      <c r="R941" s="25"/>
      <c r="S941" s="25"/>
      <c r="T941" s="25"/>
      <c r="U941" s="25"/>
      <c r="V941" s="25"/>
      <c r="W941" s="25"/>
      <c r="X941" s="25"/>
      <c r="Y941" s="25"/>
      <c r="Z941" s="25"/>
    </row>
    <row r="942" customFormat="false" ht="39.75" hidden="false" customHeight="true" outlineLevel="0" collapsed="false">
      <c r="A942" s="25"/>
      <c r="B942" s="25"/>
      <c r="C942" s="25"/>
      <c r="D942" s="25"/>
      <c r="E942" s="25"/>
      <c r="F942" s="25"/>
      <c r="G942" s="25"/>
      <c r="H942" s="25"/>
      <c r="I942" s="25"/>
      <c r="J942" s="25"/>
      <c r="K942" s="25"/>
      <c r="L942" s="25"/>
      <c r="M942" s="25"/>
      <c r="N942" s="25"/>
      <c r="O942" s="25"/>
      <c r="P942" s="25"/>
      <c r="Q942" s="25"/>
      <c r="R942" s="25"/>
      <c r="S942" s="25"/>
      <c r="T942" s="25"/>
      <c r="U942" s="25"/>
      <c r="V942" s="25"/>
      <c r="W942" s="25"/>
      <c r="X942" s="25"/>
      <c r="Y942" s="25"/>
      <c r="Z942" s="25"/>
    </row>
    <row r="943" customFormat="false" ht="39.75" hidden="false" customHeight="true" outlineLevel="0" collapsed="false">
      <c r="A943" s="25"/>
      <c r="B943" s="25"/>
      <c r="C943" s="25"/>
      <c r="D943" s="25"/>
      <c r="E943" s="25"/>
      <c r="F943" s="25"/>
      <c r="G943" s="25"/>
      <c r="H943" s="25"/>
      <c r="I943" s="25"/>
      <c r="J943" s="25"/>
      <c r="K943" s="25"/>
      <c r="L943" s="25"/>
      <c r="M943" s="25"/>
      <c r="N943" s="25"/>
      <c r="O943" s="25"/>
      <c r="P943" s="25"/>
      <c r="Q943" s="25"/>
      <c r="R943" s="25"/>
      <c r="S943" s="25"/>
      <c r="T943" s="25"/>
      <c r="U943" s="25"/>
      <c r="V943" s="25"/>
      <c r="W943" s="25"/>
      <c r="X943" s="25"/>
      <c r="Y943" s="25"/>
      <c r="Z943" s="25"/>
    </row>
    <row r="944" customFormat="false" ht="39.75" hidden="false" customHeight="true" outlineLevel="0" collapsed="false">
      <c r="A944" s="25"/>
      <c r="B944" s="25"/>
      <c r="C944" s="25"/>
      <c r="D944" s="25"/>
      <c r="E944" s="25"/>
      <c r="F944" s="25"/>
      <c r="G944" s="25"/>
      <c r="H944" s="25"/>
      <c r="I944" s="25"/>
      <c r="J944" s="25"/>
      <c r="K944" s="25"/>
      <c r="L944" s="25"/>
      <c r="M944" s="25"/>
      <c r="N944" s="25"/>
      <c r="O944" s="25"/>
      <c r="P944" s="25"/>
      <c r="Q944" s="25"/>
      <c r="R944" s="25"/>
      <c r="S944" s="25"/>
      <c r="T944" s="25"/>
      <c r="U944" s="25"/>
      <c r="V944" s="25"/>
      <c r="W944" s="25"/>
      <c r="X944" s="25"/>
      <c r="Y944" s="25"/>
      <c r="Z944" s="25"/>
    </row>
    <row r="945" customFormat="false" ht="39.75" hidden="false" customHeight="true" outlineLevel="0" collapsed="false">
      <c r="A945" s="25"/>
      <c r="B945" s="25"/>
      <c r="C945" s="25"/>
      <c r="D945" s="25"/>
      <c r="E945" s="25"/>
      <c r="F945" s="25"/>
      <c r="G945" s="25"/>
      <c r="H945" s="25"/>
      <c r="I945" s="25"/>
      <c r="J945" s="25"/>
      <c r="K945" s="25"/>
      <c r="L945" s="25"/>
      <c r="M945" s="25"/>
      <c r="N945" s="25"/>
      <c r="O945" s="25"/>
      <c r="P945" s="25"/>
      <c r="Q945" s="25"/>
      <c r="R945" s="25"/>
      <c r="S945" s="25"/>
      <c r="T945" s="25"/>
      <c r="U945" s="25"/>
      <c r="V945" s="25"/>
      <c r="W945" s="25"/>
      <c r="X945" s="25"/>
      <c r="Y945" s="25"/>
      <c r="Z945" s="25"/>
    </row>
    <row r="946" customFormat="false" ht="39.75" hidden="false" customHeight="true" outlineLevel="0" collapsed="false">
      <c r="A946" s="25"/>
      <c r="B946" s="25"/>
      <c r="C946" s="25"/>
      <c r="D946" s="25"/>
      <c r="E946" s="25"/>
      <c r="F946" s="25"/>
      <c r="G946" s="25"/>
      <c r="H946" s="25"/>
      <c r="I946" s="25"/>
      <c r="J946" s="25"/>
      <c r="K946" s="25"/>
      <c r="L946" s="25"/>
      <c r="M946" s="25"/>
      <c r="N946" s="25"/>
      <c r="O946" s="25"/>
      <c r="P946" s="25"/>
      <c r="Q946" s="25"/>
      <c r="R946" s="25"/>
      <c r="S946" s="25"/>
      <c r="T946" s="25"/>
      <c r="U946" s="25"/>
      <c r="V946" s="25"/>
      <c r="W946" s="25"/>
      <c r="X946" s="25"/>
      <c r="Y946" s="25"/>
      <c r="Z946" s="25"/>
    </row>
    <row r="947" customFormat="false" ht="39.75" hidden="false" customHeight="true" outlineLevel="0" collapsed="false">
      <c r="A947" s="25"/>
      <c r="B947" s="25"/>
      <c r="C947" s="25"/>
      <c r="D947" s="25"/>
      <c r="E947" s="25"/>
      <c r="F947" s="25"/>
      <c r="G947" s="25"/>
      <c r="H947" s="25"/>
      <c r="I947" s="25"/>
      <c r="J947" s="25"/>
      <c r="K947" s="25"/>
      <c r="L947" s="25"/>
      <c r="M947" s="25"/>
      <c r="N947" s="25"/>
      <c r="O947" s="25"/>
      <c r="P947" s="25"/>
      <c r="Q947" s="25"/>
      <c r="R947" s="25"/>
      <c r="S947" s="25"/>
      <c r="T947" s="25"/>
      <c r="U947" s="25"/>
      <c r="V947" s="25"/>
      <c r="W947" s="25"/>
      <c r="X947" s="25"/>
      <c r="Y947" s="25"/>
      <c r="Z947" s="25"/>
    </row>
    <row r="948" customFormat="false" ht="39.75" hidden="false" customHeight="true" outlineLevel="0" collapsed="false">
      <c r="A948" s="25"/>
      <c r="B948" s="25"/>
      <c r="C948" s="25"/>
      <c r="D948" s="25"/>
      <c r="E948" s="25"/>
      <c r="F948" s="25"/>
      <c r="G948" s="25"/>
      <c r="H948" s="25"/>
      <c r="I948" s="25"/>
      <c r="J948" s="25"/>
      <c r="K948" s="25"/>
      <c r="L948" s="25"/>
      <c r="M948" s="25"/>
      <c r="N948" s="25"/>
      <c r="O948" s="25"/>
      <c r="P948" s="25"/>
      <c r="Q948" s="25"/>
      <c r="R948" s="25"/>
      <c r="S948" s="25"/>
      <c r="T948" s="25"/>
      <c r="U948" s="25"/>
      <c r="V948" s="25"/>
      <c r="W948" s="25"/>
      <c r="X948" s="25"/>
      <c r="Y948" s="25"/>
      <c r="Z948" s="25"/>
    </row>
    <row r="949" customFormat="false" ht="39.75" hidden="false" customHeight="true" outlineLevel="0" collapsed="false">
      <c r="A949" s="25"/>
      <c r="B949" s="25"/>
      <c r="C949" s="25"/>
      <c r="D949" s="25"/>
      <c r="E949" s="25"/>
      <c r="F949" s="25"/>
      <c r="G949" s="25"/>
      <c r="H949" s="25"/>
      <c r="I949" s="25"/>
      <c r="J949" s="25"/>
      <c r="K949" s="25"/>
      <c r="L949" s="25"/>
      <c r="M949" s="25"/>
      <c r="N949" s="25"/>
      <c r="O949" s="25"/>
      <c r="P949" s="25"/>
      <c r="Q949" s="25"/>
      <c r="R949" s="25"/>
      <c r="S949" s="25"/>
      <c r="T949" s="25"/>
      <c r="U949" s="25"/>
      <c r="V949" s="25"/>
      <c r="W949" s="25"/>
      <c r="X949" s="25"/>
      <c r="Y949" s="25"/>
      <c r="Z949" s="25"/>
    </row>
    <row r="950" customFormat="false" ht="39.75" hidden="false" customHeight="true" outlineLevel="0" collapsed="false">
      <c r="A950" s="25"/>
      <c r="B950" s="25"/>
      <c r="C950" s="25"/>
      <c r="D950" s="25"/>
      <c r="E950" s="25"/>
      <c r="F950" s="25"/>
      <c r="G950" s="25"/>
      <c r="H950" s="25"/>
      <c r="I950" s="25"/>
      <c r="J950" s="25"/>
      <c r="K950" s="25"/>
      <c r="L950" s="25"/>
      <c r="M950" s="25"/>
      <c r="N950" s="25"/>
      <c r="O950" s="25"/>
      <c r="P950" s="25"/>
      <c r="Q950" s="25"/>
      <c r="R950" s="25"/>
      <c r="S950" s="25"/>
      <c r="T950" s="25"/>
      <c r="U950" s="25"/>
      <c r="V950" s="25"/>
      <c r="W950" s="25"/>
      <c r="X950" s="25"/>
      <c r="Y950" s="25"/>
      <c r="Z950" s="25"/>
    </row>
    <row r="951" customFormat="false" ht="39.75" hidden="false" customHeight="true" outlineLevel="0" collapsed="false">
      <c r="A951" s="25"/>
      <c r="B951" s="25"/>
      <c r="C951" s="25"/>
      <c r="D951" s="25"/>
      <c r="E951" s="25"/>
      <c r="F951" s="25"/>
      <c r="G951" s="25"/>
      <c r="H951" s="25"/>
      <c r="I951" s="25"/>
      <c r="J951" s="25"/>
      <c r="K951" s="25"/>
      <c r="L951" s="25"/>
      <c r="M951" s="25"/>
      <c r="N951" s="25"/>
      <c r="O951" s="25"/>
      <c r="P951" s="25"/>
      <c r="Q951" s="25"/>
      <c r="R951" s="25"/>
      <c r="S951" s="25"/>
      <c r="T951" s="25"/>
      <c r="U951" s="25"/>
      <c r="V951" s="25"/>
      <c r="W951" s="25"/>
      <c r="X951" s="25"/>
      <c r="Y951" s="25"/>
      <c r="Z951" s="25"/>
    </row>
    <row r="952" customFormat="false" ht="39.75" hidden="false" customHeight="true" outlineLevel="0" collapsed="false">
      <c r="A952" s="25"/>
      <c r="B952" s="25"/>
      <c r="C952" s="25"/>
      <c r="D952" s="25"/>
      <c r="E952" s="25"/>
      <c r="F952" s="25"/>
      <c r="G952" s="25"/>
      <c r="H952" s="25"/>
      <c r="I952" s="25"/>
      <c r="J952" s="25"/>
      <c r="K952" s="25"/>
      <c r="L952" s="25"/>
      <c r="M952" s="25"/>
      <c r="N952" s="25"/>
      <c r="O952" s="25"/>
      <c r="P952" s="25"/>
      <c r="Q952" s="25"/>
      <c r="R952" s="25"/>
      <c r="S952" s="25"/>
      <c r="T952" s="25"/>
      <c r="U952" s="25"/>
      <c r="V952" s="25"/>
      <c r="W952" s="25"/>
      <c r="X952" s="25"/>
      <c r="Y952" s="25"/>
      <c r="Z952" s="25"/>
    </row>
    <row r="953" customFormat="false" ht="39.75" hidden="false" customHeight="true" outlineLevel="0" collapsed="false">
      <c r="A953" s="25"/>
      <c r="B953" s="25"/>
      <c r="C953" s="25"/>
      <c r="D953" s="25"/>
      <c r="E953" s="25"/>
      <c r="F953" s="25"/>
      <c r="G953" s="25"/>
      <c r="H953" s="25"/>
      <c r="I953" s="25"/>
      <c r="J953" s="25"/>
      <c r="K953" s="25"/>
      <c r="L953" s="25"/>
      <c r="M953" s="25"/>
      <c r="N953" s="25"/>
      <c r="O953" s="25"/>
      <c r="P953" s="25"/>
      <c r="Q953" s="25"/>
      <c r="R953" s="25"/>
      <c r="S953" s="25"/>
      <c r="T953" s="25"/>
      <c r="U953" s="25"/>
      <c r="V953" s="25"/>
      <c r="W953" s="25"/>
      <c r="X953" s="25"/>
      <c r="Y953" s="25"/>
      <c r="Z953" s="25"/>
    </row>
    <row r="954" customFormat="false" ht="39.75" hidden="false" customHeight="true" outlineLevel="0" collapsed="false">
      <c r="A954" s="25"/>
      <c r="B954" s="25"/>
      <c r="C954" s="25"/>
      <c r="D954" s="25"/>
      <c r="E954" s="25"/>
      <c r="F954" s="25"/>
      <c r="G954" s="25"/>
      <c r="H954" s="25"/>
      <c r="I954" s="25"/>
      <c r="J954" s="25"/>
      <c r="K954" s="25"/>
      <c r="L954" s="25"/>
      <c r="M954" s="25"/>
      <c r="N954" s="25"/>
      <c r="O954" s="25"/>
      <c r="P954" s="25"/>
      <c r="Q954" s="25"/>
      <c r="R954" s="25"/>
      <c r="S954" s="25"/>
      <c r="T954" s="25"/>
      <c r="U954" s="25"/>
      <c r="V954" s="25"/>
      <c r="W954" s="25"/>
      <c r="X954" s="25"/>
      <c r="Y954" s="25"/>
      <c r="Z954" s="25"/>
    </row>
    <row r="955" customFormat="false" ht="39.75" hidden="false" customHeight="true" outlineLevel="0" collapsed="false">
      <c r="A955" s="25"/>
      <c r="B955" s="25"/>
      <c r="C955" s="25"/>
      <c r="D955" s="25"/>
      <c r="E955" s="25"/>
      <c r="F955" s="25"/>
      <c r="G955" s="25"/>
      <c r="H955" s="25"/>
      <c r="I955" s="25"/>
      <c r="J955" s="25"/>
      <c r="K955" s="25"/>
      <c r="L955" s="25"/>
      <c r="M955" s="25"/>
      <c r="N955" s="25"/>
      <c r="O955" s="25"/>
      <c r="P955" s="25"/>
      <c r="Q955" s="25"/>
      <c r="R955" s="25"/>
      <c r="S955" s="25"/>
      <c r="T955" s="25"/>
      <c r="U955" s="25"/>
      <c r="V955" s="25"/>
      <c r="W955" s="25"/>
      <c r="X955" s="25"/>
      <c r="Y955" s="25"/>
      <c r="Z955" s="25"/>
    </row>
    <row r="956" customFormat="false" ht="39.75" hidden="false" customHeight="true" outlineLevel="0" collapsed="false">
      <c r="A956" s="25"/>
      <c r="B956" s="25"/>
      <c r="C956" s="25"/>
      <c r="D956" s="25"/>
      <c r="E956" s="25"/>
      <c r="F956" s="25"/>
      <c r="G956" s="25"/>
      <c r="H956" s="25"/>
      <c r="I956" s="25"/>
      <c r="J956" s="25"/>
      <c r="K956" s="25"/>
      <c r="L956" s="25"/>
      <c r="M956" s="25"/>
      <c r="N956" s="25"/>
      <c r="O956" s="25"/>
      <c r="P956" s="25"/>
      <c r="Q956" s="25"/>
      <c r="R956" s="25"/>
      <c r="S956" s="25"/>
      <c r="T956" s="25"/>
      <c r="U956" s="25"/>
      <c r="V956" s="25"/>
      <c r="W956" s="25"/>
      <c r="X956" s="25"/>
      <c r="Y956" s="25"/>
      <c r="Z956" s="25"/>
    </row>
    <row r="957" customFormat="false" ht="39.75" hidden="false" customHeight="true" outlineLevel="0" collapsed="false">
      <c r="A957" s="25"/>
      <c r="B957" s="25"/>
      <c r="C957" s="25"/>
      <c r="D957" s="25"/>
      <c r="E957" s="25"/>
      <c r="F957" s="25"/>
      <c r="G957" s="25"/>
      <c r="H957" s="25"/>
      <c r="I957" s="25"/>
      <c r="J957" s="25"/>
      <c r="K957" s="25"/>
      <c r="L957" s="25"/>
      <c r="M957" s="25"/>
      <c r="N957" s="25"/>
      <c r="O957" s="25"/>
      <c r="P957" s="25"/>
      <c r="Q957" s="25"/>
      <c r="R957" s="25"/>
      <c r="S957" s="25"/>
      <c r="T957" s="25"/>
      <c r="U957" s="25"/>
      <c r="V957" s="25"/>
      <c r="W957" s="25"/>
      <c r="X957" s="25"/>
      <c r="Y957" s="25"/>
      <c r="Z957" s="25"/>
    </row>
    <row r="958" customFormat="false" ht="39.75" hidden="false" customHeight="true" outlineLevel="0" collapsed="false">
      <c r="A958" s="25"/>
      <c r="B958" s="25"/>
      <c r="C958" s="25"/>
      <c r="D958" s="25"/>
      <c r="E958" s="25"/>
      <c r="F958" s="25"/>
      <c r="G958" s="25"/>
      <c r="H958" s="25"/>
      <c r="I958" s="25"/>
      <c r="J958" s="25"/>
      <c r="K958" s="25"/>
      <c r="L958" s="25"/>
      <c r="M958" s="25"/>
      <c r="N958" s="25"/>
      <c r="O958" s="25"/>
      <c r="P958" s="25"/>
      <c r="Q958" s="25"/>
      <c r="R958" s="25"/>
      <c r="S958" s="25"/>
      <c r="T958" s="25"/>
      <c r="U958" s="25"/>
      <c r="V958" s="25"/>
      <c r="W958" s="25"/>
      <c r="X958" s="25"/>
      <c r="Y958" s="25"/>
      <c r="Z958" s="25"/>
    </row>
    <row r="959" customFormat="false" ht="39.75" hidden="false" customHeight="true" outlineLevel="0" collapsed="false">
      <c r="A959" s="25"/>
      <c r="B959" s="25"/>
      <c r="C959" s="25"/>
      <c r="D959" s="25"/>
      <c r="E959" s="25"/>
      <c r="F959" s="25"/>
      <c r="G959" s="25"/>
      <c r="H959" s="25"/>
      <c r="I959" s="25"/>
      <c r="J959" s="25"/>
      <c r="K959" s="25"/>
      <c r="L959" s="25"/>
      <c r="M959" s="25"/>
      <c r="N959" s="25"/>
      <c r="O959" s="25"/>
      <c r="P959" s="25"/>
      <c r="Q959" s="25"/>
      <c r="R959" s="25"/>
      <c r="S959" s="25"/>
      <c r="T959" s="25"/>
      <c r="U959" s="25"/>
      <c r="V959" s="25"/>
      <c r="W959" s="25"/>
      <c r="X959" s="25"/>
      <c r="Y959" s="25"/>
      <c r="Z959" s="25"/>
    </row>
    <row r="960" customFormat="false" ht="39.75" hidden="false" customHeight="true" outlineLevel="0" collapsed="false">
      <c r="A960" s="25"/>
      <c r="B960" s="25"/>
      <c r="C960" s="25"/>
      <c r="D960" s="25"/>
      <c r="E960" s="25"/>
      <c r="F960" s="25"/>
      <c r="G960" s="25"/>
      <c r="H960" s="25"/>
      <c r="I960" s="25"/>
      <c r="J960" s="25"/>
      <c r="K960" s="25"/>
      <c r="L960" s="25"/>
      <c r="M960" s="25"/>
      <c r="N960" s="25"/>
      <c r="O960" s="25"/>
      <c r="P960" s="25"/>
      <c r="Q960" s="25"/>
      <c r="R960" s="25"/>
      <c r="S960" s="25"/>
      <c r="T960" s="25"/>
      <c r="U960" s="25"/>
      <c r="V960" s="25"/>
      <c r="W960" s="25"/>
      <c r="X960" s="25"/>
      <c r="Y960" s="25"/>
      <c r="Z960" s="25"/>
    </row>
    <row r="961" customFormat="false" ht="39.75" hidden="false" customHeight="true" outlineLevel="0" collapsed="false">
      <c r="A961" s="25"/>
      <c r="B961" s="25"/>
      <c r="C961" s="25"/>
      <c r="D961" s="25"/>
      <c r="E961" s="25"/>
      <c r="F961" s="25"/>
      <c r="G961" s="25"/>
      <c r="H961" s="25"/>
      <c r="I961" s="25"/>
      <c r="J961" s="25"/>
      <c r="K961" s="25"/>
      <c r="L961" s="25"/>
      <c r="M961" s="25"/>
      <c r="N961" s="25"/>
      <c r="O961" s="25"/>
      <c r="P961" s="25"/>
      <c r="Q961" s="25"/>
      <c r="R961" s="25"/>
      <c r="S961" s="25"/>
      <c r="T961" s="25"/>
      <c r="U961" s="25"/>
      <c r="V961" s="25"/>
      <c r="W961" s="25"/>
      <c r="X961" s="25"/>
      <c r="Y961" s="25"/>
      <c r="Z961" s="25"/>
    </row>
    <row r="962" customFormat="false" ht="39.75" hidden="false" customHeight="true" outlineLevel="0" collapsed="false">
      <c r="A962" s="25"/>
      <c r="B962" s="25"/>
      <c r="C962" s="25"/>
      <c r="D962" s="25"/>
      <c r="E962" s="25"/>
      <c r="F962" s="25"/>
      <c r="G962" s="25"/>
      <c r="H962" s="25"/>
      <c r="I962" s="25"/>
      <c r="J962" s="25"/>
      <c r="K962" s="25"/>
      <c r="L962" s="25"/>
      <c r="M962" s="25"/>
      <c r="N962" s="25"/>
      <c r="O962" s="25"/>
      <c r="P962" s="25"/>
      <c r="Q962" s="25"/>
      <c r="R962" s="25"/>
      <c r="S962" s="25"/>
      <c r="T962" s="25"/>
      <c r="U962" s="25"/>
      <c r="V962" s="25"/>
      <c r="W962" s="25"/>
      <c r="X962" s="25"/>
      <c r="Y962" s="25"/>
      <c r="Z962" s="25"/>
    </row>
    <row r="963" customFormat="false" ht="39.75" hidden="false" customHeight="true" outlineLevel="0" collapsed="false">
      <c r="A963" s="25"/>
      <c r="B963" s="25"/>
      <c r="C963" s="25"/>
      <c r="D963" s="25"/>
      <c r="E963" s="25"/>
      <c r="F963" s="25"/>
      <c r="G963" s="25"/>
      <c r="H963" s="25"/>
      <c r="I963" s="25"/>
      <c r="J963" s="25"/>
      <c r="K963" s="25"/>
      <c r="L963" s="25"/>
      <c r="M963" s="25"/>
      <c r="N963" s="25"/>
      <c r="O963" s="25"/>
      <c r="P963" s="25"/>
      <c r="Q963" s="25"/>
      <c r="R963" s="25"/>
      <c r="S963" s="25"/>
      <c r="T963" s="25"/>
      <c r="U963" s="25"/>
      <c r="V963" s="25"/>
      <c r="W963" s="25"/>
      <c r="X963" s="25"/>
      <c r="Y963" s="25"/>
      <c r="Z963" s="25"/>
    </row>
    <row r="964" customFormat="false" ht="39.75" hidden="false" customHeight="true" outlineLevel="0" collapsed="false">
      <c r="A964" s="25"/>
      <c r="B964" s="25"/>
      <c r="C964" s="25"/>
      <c r="D964" s="25"/>
      <c r="E964" s="25"/>
      <c r="F964" s="25"/>
      <c r="G964" s="25"/>
      <c r="H964" s="25"/>
      <c r="I964" s="25"/>
      <c r="J964" s="25"/>
      <c r="K964" s="25"/>
      <c r="L964" s="25"/>
      <c r="M964" s="25"/>
      <c r="N964" s="25"/>
      <c r="O964" s="25"/>
      <c r="P964" s="25"/>
      <c r="Q964" s="25"/>
      <c r="R964" s="25"/>
      <c r="S964" s="25"/>
      <c r="T964" s="25"/>
      <c r="U964" s="25"/>
      <c r="V964" s="25"/>
      <c r="W964" s="25"/>
      <c r="X964" s="25"/>
      <c r="Y964" s="25"/>
      <c r="Z964" s="25"/>
    </row>
    <row r="965" customFormat="false" ht="39.75" hidden="false" customHeight="true" outlineLevel="0" collapsed="false">
      <c r="A965" s="25"/>
      <c r="B965" s="25"/>
      <c r="C965" s="25"/>
      <c r="D965" s="25"/>
      <c r="E965" s="25"/>
      <c r="F965" s="25"/>
      <c r="G965" s="25"/>
      <c r="H965" s="25"/>
      <c r="I965" s="25"/>
      <c r="J965" s="25"/>
      <c r="K965" s="25"/>
      <c r="L965" s="25"/>
      <c r="M965" s="25"/>
      <c r="N965" s="25"/>
      <c r="O965" s="25"/>
      <c r="P965" s="25"/>
      <c r="Q965" s="25"/>
      <c r="R965" s="25"/>
      <c r="S965" s="25"/>
      <c r="T965" s="25"/>
      <c r="U965" s="25"/>
      <c r="V965" s="25"/>
      <c r="W965" s="25"/>
      <c r="X965" s="25"/>
      <c r="Y965" s="25"/>
      <c r="Z965" s="25"/>
    </row>
    <row r="966" customFormat="false" ht="39.75" hidden="false" customHeight="true" outlineLevel="0" collapsed="false">
      <c r="A966" s="25"/>
      <c r="B966" s="25"/>
      <c r="C966" s="25"/>
      <c r="D966" s="25"/>
      <c r="E966" s="25"/>
      <c r="F966" s="25"/>
      <c r="G966" s="25"/>
      <c r="H966" s="25"/>
      <c r="I966" s="25"/>
      <c r="J966" s="25"/>
      <c r="K966" s="25"/>
      <c r="L966" s="25"/>
      <c r="M966" s="25"/>
      <c r="N966" s="25"/>
      <c r="O966" s="25"/>
      <c r="P966" s="25"/>
      <c r="Q966" s="25"/>
      <c r="R966" s="25"/>
      <c r="S966" s="25"/>
      <c r="T966" s="25"/>
      <c r="U966" s="25"/>
      <c r="V966" s="25"/>
      <c r="W966" s="25"/>
      <c r="X966" s="25"/>
      <c r="Y966" s="25"/>
      <c r="Z966" s="25"/>
    </row>
    <row r="967" customFormat="false" ht="39.75" hidden="false" customHeight="true" outlineLevel="0" collapsed="false">
      <c r="A967" s="25"/>
      <c r="B967" s="25"/>
      <c r="C967" s="25"/>
      <c r="D967" s="25"/>
      <c r="E967" s="25"/>
      <c r="F967" s="25"/>
      <c r="G967" s="25"/>
      <c r="H967" s="25"/>
      <c r="I967" s="25"/>
      <c r="J967" s="25"/>
      <c r="K967" s="25"/>
      <c r="L967" s="25"/>
      <c r="M967" s="25"/>
      <c r="N967" s="25"/>
      <c r="O967" s="25"/>
      <c r="P967" s="25"/>
      <c r="Q967" s="25"/>
      <c r="R967" s="25"/>
      <c r="S967" s="25"/>
      <c r="T967" s="25"/>
      <c r="U967" s="25"/>
      <c r="V967" s="25"/>
      <c r="W967" s="25"/>
      <c r="X967" s="25"/>
      <c r="Y967" s="25"/>
      <c r="Z967" s="25"/>
    </row>
    <row r="968" customFormat="false" ht="39.75" hidden="false" customHeight="true" outlineLevel="0" collapsed="false">
      <c r="A968" s="25"/>
      <c r="B968" s="25"/>
      <c r="C968" s="25"/>
      <c r="D968" s="25"/>
      <c r="E968" s="25"/>
      <c r="F968" s="25"/>
      <c r="G968" s="25"/>
      <c r="H968" s="25"/>
      <c r="I968" s="25"/>
      <c r="J968" s="25"/>
      <c r="K968" s="25"/>
      <c r="L968" s="25"/>
      <c r="M968" s="25"/>
      <c r="N968" s="25"/>
      <c r="O968" s="25"/>
      <c r="P968" s="25"/>
      <c r="Q968" s="25"/>
      <c r="R968" s="25"/>
      <c r="S968" s="25"/>
      <c r="T968" s="25"/>
      <c r="U968" s="25"/>
      <c r="V968" s="25"/>
      <c r="W968" s="25"/>
      <c r="X968" s="25"/>
      <c r="Y968" s="25"/>
      <c r="Z968" s="25"/>
    </row>
    <row r="969" customFormat="false" ht="39.75" hidden="false" customHeight="true" outlineLevel="0" collapsed="false">
      <c r="A969" s="25"/>
      <c r="B969" s="25"/>
      <c r="C969" s="25"/>
      <c r="D969" s="25"/>
      <c r="E969" s="25"/>
      <c r="F969" s="25"/>
      <c r="G969" s="25"/>
      <c r="H969" s="25"/>
      <c r="I969" s="25"/>
      <c r="J969" s="25"/>
      <c r="K969" s="25"/>
      <c r="L969" s="25"/>
      <c r="M969" s="25"/>
      <c r="N969" s="25"/>
      <c r="O969" s="25"/>
      <c r="P969" s="25"/>
      <c r="Q969" s="25"/>
      <c r="R969" s="25"/>
      <c r="S969" s="25"/>
      <c r="T969" s="25"/>
      <c r="U969" s="25"/>
      <c r="V969" s="25"/>
      <c r="W969" s="25"/>
      <c r="X969" s="25"/>
      <c r="Y969" s="25"/>
      <c r="Z969" s="25"/>
    </row>
    <row r="970" customFormat="false" ht="39.75" hidden="false" customHeight="true" outlineLevel="0" collapsed="false">
      <c r="A970" s="25"/>
      <c r="B970" s="25"/>
      <c r="C970" s="25"/>
      <c r="D970" s="25"/>
      <c r="E970" s="25"/>
      <c r="F970" s="25"/>
      <c r="G970" s="25"/>
      <c r="H970" s="25"/>
      <c r="I970" s="25"/>
      <c r="J970" s="25"/>
      <c r="K970" s="25"/>
      <c r="L970" s="25"/>
      <c r="M970" s="25"/>
      <c r="N970" s="25"/>
      <c r="O970" s="25"/>
      <c r="P970" s="25"/>
      <c r="Q970" s="25"/>
      <c r="R970" s="25"/>
      <c r="S970" s="25"/>
      <c r="T970" s="25"/>
      <c r="U970" s="25"/>
      <c r="V970" s="25"/>
      <c r="W970" s="25"/>
      <c r="X970" s="25"/>
      <c r="Y970" s="25"/>
      <c r="Z970" s="25"/>
    </row>
    <row r="971" customFormat="false" ht="39.75" hidden="false" customHeight="true" outlineLevel="0" collapsed="false">
      <c r="A971" s="25"/>
      <c r="B971" s="25"/>
      <c r="C971" s="25"/>
      <c r="D971" s="25"/>
      <c r="E971" s="25"/>
      <c r="F971" s="25"/>
      <c r="G971" s="25"/>
      <c r="H971" s="25"/>
      <c r="I971" s="25"/>
      <c r="J971" s="25"/>
      <c r="K971" s="25"/>
      <c r="L971" s="25"/>
      <c r="M971" s="25"/>
      <c r="N971" s="25"/>
      <c r="O971" s="25"/>
      <c r="P971" s="25"/>
      <c r="Q971" s="25"/>
      <c r="R971" s="25"/>
      <c r="S971" s="25"/>
      <c r="T971" s="25"/>
      <c r="U971" s="25"/>
      <c r="V971" s="25"/>
      <c r="W971" s="25"/>
      <c r="X971" s="25"/>
      <c r="Y971" s="25"/>
      <c r="Z971" s="25"/>
    </row>
    <row r="972" customFormat="false" ht="39.75" hidden="false" customHeight="true" outlineLevel="0" collapsed="false">
      <c r="A972" s="25"/>
      <c r="B972" s="25"/>
      <c r="C972" s="25"/>
      <c r="D972" s="25"/>
      <c r="E972" s="25"/>
      <c r="F972" s="25"/>
      <c r="G972" s="25"/>
      <c r="H972" s="25"/>
      <c r="I972" s="25"/>
      <c r="J972" s="25"/>
      <c r="K972" s="25"/>
      <c r="L972" s="25"/>
      <c r="M972" s="25"/>
      <c r="N972" s="25"/>
      <c r="O972" s="25"/>
      <c r="P972" s="25"/>
      <c r="Q972" s="25"/>
      <c r="R972" s="25"/>
      <c r="S972" s="25"/>
      <c r="T972" s="25"/>
      <c r="U972" s="25"/>
      <c r="V972" s="25"/>
      <c r="W972" s="25"/>
      <c r="X972" s="25"/>
      <c r="Y972" s="25"/>
      <c r="Z972" s="25"/>
    </row>
    <row r="973" customFormat="false" ht="39.75" hidden="false" customHeight="true" outlineLevel="0" collapsed="false">
      <c r="A973" s="25"/>
      <c r="B973" s="25"/>
      <c r="C973" s="25"/>
      <c r="D973" s="25"/>
      <c r="E973" s="25"/>
      <c r="F973" s="25"/>
      <c r="G973" s="25"/>
      <c r="H973" s="25"/>
      <c r="I973" s="25"/>
      <c r="J973" s="25"/>
      <c r="K973" s="25"/>
      <c r="L973" s="25"/>
      <c r="M973" s="25"/>
      <c r="N973" s="25"/>
      <c r="O973" s="25"/>
      <c r="P973" s="25"/>
      <c r="Q973" s="25"/>
      <c r="R973" s="25"/>
      <c r="S973" s="25"/>
      <c r="T973" s="25"/>
      <c r="U973" s="25"/>
      <c r="V973" s="25"/>
      <c r="W973" s="25"/>
      <c r="X973" s="25"/>
      <c r="Y973" s="25"/>
      <c r="Z973" s="25"/>
    </row>
    <row r="974" customFormat="false" ht="39.75" hidden="false" customHeight="true" outlineLevel="0" collapsed="false">
      <c r="A974" s="25"/>
      <c r="B974" s="25"/>
      <c r="C974" s="25"/>
      <c r="D974" s="25"/>
      <c r="E974" s="25"/>
      <c r="F974" s="25"/>
      <c r="G974" s="25"/>
      <c r="H974" s="25"/>
      <c r="I974" s="25"/>
      <c r="J974" s="25"/>
      <c r="K974" s="25"/>
      <c r="L974" s="25"/>
      <c r="M974" s="25"/>
      <c r="N974" s="25"/>
      <c r="O974" s="25"/>
      <c r="P974" s="25"/>
      <c r="Q974" s="25"/>
      <c r="R974" s="25"/>
      <c r="S974" s="25"/>
      <c r="T974" s="25"/>
      <c r="U974" s="25"/>
      <c r="V974" s="25"/>
      <c r="W974" s="25"/>
      <c r="X974" s="25"/>
      <c r="Y974" s="25"/>
      <c r="Z974" s="25"/>
    </row>
    <row r="975" customFormat="false" ht="39.75" hidden="false" customHeight="true" outlineLevel="0" collapsed="false">
      <c r="A975" s="25"/>
      <c r="B975" s="25"/>
      <c r="C975" s="25"/>
      <c r="D975" s="25"/>
      <c r="E975" s="25"/>
      <c r="F975" s="25"/>
      <c r="G975" s="25"/>
      <c r="H975" s="25"/>
      <c r="I975" s="25"/>
      <c r="J975" s="25"/>
      <c r="K975" s="25"/>
      <c r="L975" s="25"/>
      <c r="M975" s="25"/>
      <c r="N975" s="25"/>
      <c r="O975" s="25"/>
      <c r="P975" s="25"/>
      <c r="Q975" s="25"/>
      <c r="R975" s="25"/>
      <c r="S975" s="25"/>
      <c r="T975" s="25"/>
      <c r="U975" s="25"/>
      <c r="V975" s="25"/>
      <c r="W975" s="25"/>
      <c r="X975" s="25"/>
      <c r="Y975" s="25"/>
      <c r="Z975" s="25"/>
    </row>
    <row r="976" customFormat="false" ht="39.75" hidden="false" customHeight="true" outlineLevel="0" collapsed="false">
      <c r="A976" s="25"/>
      <c r="B976" s="25"/>
      <c r="C976" s="25"/>
      <c r="D976" s="25"/>
      <c r="E976" s="25"/>
      <c r="F976" s="25"/>
      <c r="G976" s="25"/>
      <c r="H976" s="25"/>
      <c r="I976" s="25"/>
      <c r="J976" s="25"/>
      <c r="K976" s="25"/>
      <c r="L976" s="25"/>
      <c r="M976" s="25"/>
      <c r="N976" s="25"/>
      <c r="O976" s="25"/>
      <c r="P976" s="25"/>
      <c r="Q976" s="25"/>
      <c r="R976" s="25"/>
      <c r="S976" s="25"/>
      <c r="T976" s="25"/>
      <c r="U976" s="25"/>
      <c r="V976" s="25"/>
      <c r="W976" s="25"/>
      <c r="X976" s="25"/>
      <c r="Y976" s="25"/>
      <c r="Z976" s="25"/>
    </row>
    <row r="977" customFormat="false" ht="39.75" hidden="false" customHeight="true" outlineLevel="0" collapsed="false">
      <c r="A977" s="25"/>
      <c r="B977" s="25"/>
      <c r="C977" s="25"/>
      <c r="D977" s="25"/>
      <c r="E977" s="25"/>
      <c r="F977" s="25"/>
      <c r="G977" s="25"/>
      <c r="H977" s="25"/>
      <c r="I977" s="25"/>
      <c r="J977" s="25"/>
      <c r="K977" s="25"/>
      <c r="L977" s="25"/>
      <c r="M977" s="25"/>
      <c r="N977" s="25"/>
      <c r="O977" s="25"/>
      <c r="P977" s="25"/>
      <c r="Q977" s="25"/>
      <c r="R977" s="25"/>
      <c r="S977" s="25"/>
      <c r="T977" s="25"/>
      <c r="U977" s="25"/>
      <c r="V977" s="25"/>
      <c r="W977" s="25"/>
      <c r="X977" s="25"/>
      <c r="Y977" s="25"/>
      <c r="Z977" s="25"/>
    </row>
    <row r="978" customFormat="false" ht="39.75" hidden="false" customHeight="true" outlineLevel="0" collapsed="false">
      <c r="A978" s="25"/>
      <c r="B978" s="25"/>
      <c r="C978" s="25"/>
      <c r="D978" s="25"/>
      <c r="E978" s="25"/>
      <c r="F978" s="25"/>
      <c r="G978" s="25"/>
      <c r="H978" s="25"/>
      <c r="I978" s="25"/>
      <c r="J978" s="25"/>
      <c r="K978" s="25"/>
      <c r="L978" s="25"/>
      <c r="M978" s="25"/>
      <c r="N978" s="25"/>
      <c r="O978" s="25"/>
      <c r="P978" s="25"/>
      <c r="Q978" s="25"/>
      <c r="R978" s="25"/>
      <c r="S978" s="25"/>
      <c r="T978" s="25"/>
      <c r="U978" s="25"/>
      <c r="V978" s="25"/>
      <c r="W978" s="25"/>
      <c r="X978" s="25"/>
      <c r="Y978" s="25"/>
      <c r="Z978" s="25"/>
    </row>
    <row r="979" customFormat="false" ht="39.75" hidden="false" customHeight="true" outlineLevel="0" collapsed="false">
      <c r="A979" s="25"/>
      <c r="B979" s="25"/>
      <c r="C979" s="25"/>
      <c r="D979" s="25"/>
      <c r="E979" s="25"/>
      <c r="F979" s="25"/>
      <c r="G979" s="25"/>
      <c r="H979" s="25"/>
      <c r="I979" s="25"/>
      <c r="J979" s="25"/>
      <c r="K979" s="25"/>
      <c r="L979" s="25"/>
      <c r="M979" s="25"/>
      <c r="N979" s="25"/>
      <c r="O979" s="25"/>
      <c r="P979" s="25"/>
      <c r="Q979" s="25"/>
      <c r="R979" s="25"/>
      <c r="S979" s="25"/>
      <c r="T979" s="25"/>
      <c r="U979" s="25"/>
      <c r="V979" s="25"/>
      <c r="W979" s="25"/>
      <c r="X979" s="25"/>
      <c r="Y979" s="25"/>
      <c r="Z979" s="25"/>
    </row>
    <row r="980" customFormat="false" ht="39.75" hidden="false" customHeight="true" outlineLevel="0" collapsed="false">
      <c r="A980" s="25"/>
      <c r="B980" s="25"/>
      <c r="C980" s="25"/>
      <c r="D980" s="25"/>
      <c r="E980" s="25"/>
      <c r="F980" s="25"/>
      <c r="G980" s="25"/>
      <c r="H980" s="25"/>
      <c r="I980" s="25"/>
      <c r="J980" s="25"/>
      <c r="K980" s="25"/>
      <c r="L980" s="25"/>
      <c r="M980" s="25"/>
      <c r="N980" s="25"/>
      <c r="O980" s="25"/>
      <c r="P980" s="25"/>
      <c r="Q980" s="25"/>
      <c r="R980" s="25"/>
      <c r="S980" s="25"/>
      <c r="T980" s="25"/>
      <c r="U980" s="25"/>
      <c r="V980" s="25"/>
      <c r="W980" s="25"/>
      <c r="X980" s="25"/>
      <c r="Y980" s="25"/>
      <c r="Z980" s="25"/>
    </row>
    <row r="981" customFormat="false" ht="39.75" hidden="false" customHeight="true" outlineLevel="0" collapsed="false">
      <c r="A981" s="25"/>
      <c r="B981" s="25"/>
      <c r="C981" s="25"/>
      <c r="D981" s="25"/>
      <c r="E981" s="25"/>
      <c r="F981" s="25"/>
      <c r="G981" s="25"/>
      <c r="H981" s="25"/>
      <c r="I981" s="25"/>
      <c r="J981" s="25"/>
      <c r="K981" s="25"/>
      <c r="L981" s="25"/>
      <c r="M981" s="25"/>
      <c r="N981" s="25"/>
      <c r="O981" s="25"/>
      <c r="P981" s="25"/>
      <c r="Q981" s="25"/>
      <c r="R981" s="25"/>
      <c r="S981" s="25"/>
      <c r="T981" s="25"/>
      <c r="U981" s="25"/>
      <c r="V981" s="25"/>
      <c r="W981" s="25"/>
      <c r="X981" s="25"/>
      <c r="Y981" s="25"/>
      <c r="Z981" s="25"/>
    </row>
    <row r="982" customFormat="false" ht="39.75" hidden="false" customHeight="true" outlineLevel="0" collapsed="false">
      <c r="A982" s="25"/>
      <c r="B982" s="25"/>
      <c r="C982" s="25"/>
      <c r="D982" s="25"/>
      <c r="E982" s="25"/>
      <c r="F982" s="25"/>
      <c r="G982" s="25"/>
      <c r="H982" s="25"/>
      <c r="I982" s="25"/>
      <c r="J982" s="25"/>
      <c r="K982" s="25"/>
      <c r="L982" s="25"/>
      <c r="M982" s="25"/>
      <c r="N982" s="25"/>
      <c r="O982" s="25"/>
      <c r="P982" s="25"/>
      <c r="Q982" s="25"/>
      <c r="R982" s="25"/>
      <c r="S982" s="25"/>
      <c r="T982" s="25"/>
      <c r="U982" s="25"/>
      <c r="V982" s="25"/>
      <c r="W982" s="25"/>
      <c r="X982" s="25"/>
      <c r="Y982" s="25"/>
      <c r="Z982" s="25"/>
    </row>
    <row r="983" customFormat="false" ht="39.75" hidden="false" customHeight="true" outlineLevel="0" collapsed="false">
      <c r="A983" s="25"/>
      <c r="B983" s="25"/>
      <c r="C983" s="25"/>
      <c r="D983" s="25"/>
      <c r="E983" s="25"/>
      <c r="F983" s="25"/>
      <c r="G983" s="25"/>
      <c r="H983" s="25"/>
      <c r="I983" s="25"/>
      <c r="J983" s="25"/>
      <c r="K983" s="25"/>
      <c r="L983" s="25"/>
      <c r="M983" s="25"/>
      <c r="N983" s="25"/>
      <c r="O983" s="25"/>
      <c r="P983" s="25"/>
      <c r="Q983" s="25"/>
      <c r="R983" s="25"/>
      <c r="S983" s="25"/>
      <c r="T983" s="25"/>
      <c r="U983" s="25"/>
      <c r="V983" s="25"/>
      <c r="W983" s="25"/>
      <c r="X983" s="25"/>
      <c r="Y983" s="25"/>
      <c r="Z983" s="25"/>
    </row>
    <row r="984" customFormat="false" ht="39.75" hidden="false" customHeight="true" outlineLevel="0" collapsed="false">
      <c r="A984" s="25"/>
      <c r="B984" s="25"/>
      <c r="C984" s="25"/>
      <c r="D984" s="25"/>
      <c r="E984" s="25"/>
      <c r="F984" s="25"/>
      <c r="G984" s="25"/>
      <c r="H984" s="25"/>
      <c r="I984" s="25"/>
      <c r="J984" s="25"/>
      <c r="K984" s="25"/>
      <c r="L984" s="25"/>
      <c r="M984" s="25"/>
      <c r="N984" s="25"/>
      <c r="O984" s="25"/>
      <c r="P984" s="25"/>
      <c r="Q984" s="25"/>
      <c r="R984" s="25"/>
      <c r="S984" s="25"/>
      <c r="T984" s="25"/>
      <c r="U984" s="25"/>
      <c r="V984" s="25"/>
      <c r="W984" s="25"/>
      <c r="X984" s="25"/>
      <c r="Y984" s="25"/>
      <c r="Z984" s="25"/>
    </row>
    <row r="985" customFormat="false" ht="39.75" hidden="false" customHeight="true" outlineLevel="0" collapsed="false">
      <c r="A985" s="25"/>
      <c r="B985" s="25"/>
      <c r="C985" s="25"/>
      <c r="D985" s="25"/>
      <c r="E985" s="25"/>
      <c r="F985" s="25"/>
      <c r="G985" s="25"/>
      <c r="H985" s="25"/>
      <c r="I985" s="25"/>
      <c r="J985" s="25"/>
      <c r="K985" s="25"/>
      <c r="L985" s="25"/>
      <c r="M985" s="25"/>
      <c r="N985" s="25"/>
      <c r="O985" s="25"/>
      <c r="P985" s="25"/>
      <c r="Q985" s="25"/>
      <c r="R985" s="25"/>
      <c r="S985" s="25"/>
      <c r="T985" s="25"/>
      <c r="U985" s="25"/>
      <c r="V985" s="25"/>
      <c r="W985" s="25"/>
      <c r="X985" s="25"/>
      <c r="Y985" s="25"/>
      <c r="Z985" s="25"/>
    </row>
    <row r="986" customFormat="false" ht="39.75" hidden="false" customHeight="true" outlineLevel="0" collapsed="false">
      <c r="A986" s="25"/>
      <c r="B986" s="25"/>
      <c r="C986" s="25"/>
      <c r="D986" s="25"/>
      <c r="E986" s="25"/>
      <c r="F986" s="25"/>
      <c r="G986" s="25"/>
      <c r="H986" s="25"/>
      <c r="I986" s="25"/>
      <c r="J986" s="25"/>
      <c r="K986" s="25"/>
      <c r="L986" s="25"/>
      <c r="M986" s="25"/>
      <c r="N986" s="25"/>
      <c r="O986" s="25"/>
      <c r="P986" s="25"/>
      <c r="Q986" s="25"/>
      <c r="R986" s="25"/>
      <c r="S986" s="25"/>
      <c r="T986" s="25"/>
      <c r="U986" s="25"/>
      <c r="V986" s="25"/>
      <c r="W986" s="25"/>
      <c r="X986" s="25"/>
      <c r="Y986" s="25"/>
      <c r="Z986" s="25"/>
    </row>
    <row r="987" customFormat="false" ht="39.75" hidden="false" customHeight="true" outlineLevel="0" collapsed="false">
      <c r="A987" s="25"/>
      <c r="B987" s="25"/>
      <c r="C987" s="25"/>
      <c r="D987" s="25"/>
      <c r="E987" s="25"/>
      <c r="F987" s="25"/>
      <c r="G987" s="25"/>
      <c r="H987" s="25"/>
      <c r="I987" s="25"/>
      <c r="J987" s="25"/>
      <c r="K987" s="25"/>
      <c r="L987" s="25"/>
      <c r="M987" s="25"/>
      <c r="N987" s="25"/>
      <c r="O987" s="25"/>
      <c r="P987" s="25"/>
      <c r="Q987" s="25"/>
      <c r="R987" s="25"/>
      <c r="S987" s="25"/>
      <c r="T987" s="25"/>
      <c r="U987" s="25"/>
      <c r="V987" s="25"/>
      <c r="W987" s="25"/>
      <c r="X987" s="25"/>
      <c r="Y987" s="25"/>
      <c r="Z987" s="25"/>
    </row>
    <row r="988" customFormat="false" ht="39.75" hidden="false" customHeight="true" outlineLevel="0" collapsed="false">
      <c r="A988" s="25"/>
      <c r="B988" s="25"/>
      <c r="C988" s="25"/>
      <c r="D988" s="25"/>
      <c r="E988" s="25"/>
      <c r="F988" s="25"/>
      <c r="G988" s="25"/>
      <c r="H988" s="25"/>
      <c r="I988" s="25"/>
      <c r="J988" s="25"/>
      <c r="K988" s="25"/>
      <c r="L988" s="25"/>
      <c r="M988" s="25"/>
      <c r="N988" s="25"/>
      <c r="O988" s="25"/>
      <c r="P988" s="25"/>
      <c r="Q988" s="25"/>
      <c r="R988" s="25"/>
      <c r="S988" s="25"/>
      <c r="T988" s="25"/>
      <c r="U988" s="25"/>
      <c r="V988" s="25"/>
      <c r="W988" s="25"/>
      <c r="X988" s="25"/>
      <c r="Y988" s="25"/>
      <c r="Z988" s="25"/>
    </row>
    <row r="989" customFormat="false" ht="39.75" hidden="false" customHeight="true" outlineLevel="0" collapsed="false">
      <c r="A989" s="25"/>
      <c r="B989" s="25"/>
      <c r="C989" s="25"/>
      <c r="D989" s="25"/>
      <c r="E989" s="25"/>
      <c r="F989" s="25"/>
      <c r="G989" s="25"/>
      <c r="H989" s="25"/>
      <c r="I989" s="25"/>
      <c r="J989" s="25"/>
      <c r="K989" s="25"/>
      <c r="L989" s="25"/>
      <c r="M989" s="25"/>
      <c r="N989" s="25"/>
      <c r="O989" s="25"/>
      <c r="P989" s="25"/>
      <c r="Q989" s="25"/>
      <c r="R989" s="25"/>
      <c r="S989" s="25"/>
      <c r="T989" s="25"/>
      <c r="U989" s="25"/>
      <c r="V989" s="25"/>
      <c r="W989" s="25"/>
      <c r="X989" s="25"/>
      <c r="Y989" s="25"/>
      <c r="Z989" s="25"/>
    </row>
    <row r="990" customFormat="false" ht="39.75" hidden="false" customHeight="true" outlineLevel="0" collapsed="false">
      <c r="A990" s="25"/>
      <c r="B990" s="25"/>
      <c r="C990" s="25"/>
      <c r="D990" s="25"/>
      <c r="E990" s="25"/>
      <c r="F990" s="25"/>
      <c r="G990" s="25"/>
      <c r="H990" s="25"/>
      <c r="I990" s="25"/>
      <c r="J990" s="25"/>
      <c r="K990" s="25"/>
      <c r="L990" s="25"/>
      <c r="M990" s="25"/>
      <c r="N990" s="25"/>
      <c r="O990" s="25"/>
      <c r="P990" s="25"/>
      <c r="Q990" s="25"/>
      <c r="R990" s="25"/>
      <c r="S990" s="25"/>
      <c r="T990" s="25"/>
      <c r="U990" s="25"/>
      <c r="V990" s="25"/>
      <c r="W990" s="25"/>
      <c r="X990" s="25"/>
      <c r="Y990" s="25"/>
      <c r="Z990" s="25"/>
    </row>
    <row r="991" customFormat="false" ht="39.75" hidden="false" customHeight="true" outlineLevel="0" collapsed="false">
      <c r="A991" s="25"/>
      <c r="B991" s="25"/>
      <c r="C991" s="25"/>
      <c r="D991" s="25"/>
      <c r="E991" s="25"/>
      <c r="F991" s="25"/>
      <c r="G991" s="25"/>
      <c r="H991" s="25"/>
      <c r="I991" s="25"/>
      <c r="J991" s="25"/>
      <c r="K991" s="25"/>
      <c r="L991" s="25"/>
      <c r="M991" s="25"/>
      <c r="N991" s="25"/>
      <c r="O991" s="25"/>
      <c r="P991" s="25"/>
      <c r="Q991" s="25"/>
      <c r="R991" s="25"/>
      <c r="S991" s="25"/>
      <c r="T991" s="25"/>
      <c r="U991" s="25"/>
      <c r="V991" s="25"/>
      <c r="W991" s="25"/>
      <c r="X991" s="25"/>
      <c r="Y991" s="25"/>
      <c r="Z991" s="25"/>
    </row>
    <row r="992" customFormat="false" ht="39.75" hidden="false" customHeight="true" outlineLevel="0" collapsed="false">
      <c r="A992" s="25"/>
      <c r="B992" s="25"/>
      <c r="C992" s="25"/>
      <c r="D992" s="25"/>
      <c r="E992" s="25"/>
      <c r="F992" s="25"/>
      <c r="G992" s="25"/>
      <c r="H992" s="25"/>
      <c r="I992" s="25"/>
      <c r="J992" s="25"/>
      <c r="K992" s="25"/>
      <c r="L992" s="25"/>
      <c r="M992" s="25"/>
      <c r="N992" s="25"/>
      <c r="O992" s="25"/>
      <c r="P992" s="25"/>
      <c r="Q992" s="25"/>
      <c r="R992" s="25"/>
      <c r="S992" s="25"/>
      <c r="T992" s="25"/>
      <c r="U992" s="25"/>
      <c r="V992" s="25"/>
      <c r="W992" s="25"/>
      <c r="X992" s="25"/>
      <c r="Y992" s="25"/>
      <c r="Z992" s="25"/>
    </row>
    <row r="993" customFormat="false" ht="39.75" hidden="false" customHeight="true" outlineLevel="0" collapsed="false">
      <c r="A993" s="25"/>
      <c r="B993" s="25"/>
      <c r="C993" s="25"/>
      <c r="D993" s="25"/>
      <c r="E993" s="25"/>
      <c r="F993" s="25"/>
      <c r="G993" s="25"/>
      <c r="H993" s="25"/>
      <c r="I993" s="25"/>
      <c r="J993" s="25"/>
      <c r="K993" s="25"/>
      <c r="L993" s="25"/>
      <c r="M993" s="25"/>
      <c r="N993" s="25"/>
      <c r="O993" s="25"/>
      <c r="P993" s="25"/>
      <c r="Q993" s="25"/>
      <c r="R993" s="25"/>
      <c r="S993" s="25"/>
      <c r="T993" s="25"/>
      <c r="U993" s="25"/>
      <c r="V993" s="25"/>
      <c r="W993" s="25"/>
      <c r="X993" s="25"/>
      <c r="Y993" s="25"/>
      <c r="Z993" s="25"/>
    </row>
    <row r="994" customFormat="false" ht="39.75" hidden="false" customHeight="true" outlineLevel="0" collapsed="false">
      <c r="A994" s="25"/>
      <c r="B994" s="25"/>
      <c r="C994" s="25"/>
      <c r="D994" s="25"/>
      <c r="E994" s="25"/>
      <c r="F994" s="25"/>
      <c r="G994" s="25"/>
      <c r="H994" s="25"/>
      <c r="I994" s="25"/>
      <c r="J994" s="25"/>
      <c r="K994" s="25"/>
      <c r="L994" s="25"/>
      <c r="M994" s="25"/>
      <c r="N994" s="25"/>
      <c r="O994" s="25"/>
      <c r="P994" s="25"/>
      <c r="Q994" s="25"/>
      <c r="R994" s="25"/>
      <c r="S994" s="25"/>
      <c r="T994" s="25"/>
      <c r="U994" s="25"/>
      <c r="V994" s="25"/>
      <c r="W994" s="25"/>
      <c r="X994" s="25"/>
      <c r="Y994" s="25"/>
      <c r="Z994" s="25"/>
    </row>
    <row r="995" customFormat="false" ht="39.75" hidden="false" customHeight="true" outlineLevel="0" collapsed="false">
      <c r="A995" s="25"/>
      <c r="B995" s="25"/>
      <c r="C995" s="25"/>
      <c r="D995" s="25"/>
      <c r="E995" s="25"/>
      <c r="F995" s="25"/>
      <c r="G995" s="25"/>
      <c r="H995" s="25"/>
      <c r="I995" s="25"/>
      <c r="J995" s="25"/>
      <c r="K995" s="25"/>
      <c r="L995" s="25"/>
      <c r="M995" s="25"/>
      <c r="N995" s="25"/>
      <c r="O995" s="25"/>
      <c r="P995" s="25"/>
      <c r="Q995" s="25"/>
      <c r="R995" s="25"/>
      <c r="S995" s="25"/>
      <c r="T995" s="25"/>
      <c r="U995" s="25"/>
      <c r="V995" s="25"/>
      <c r="W995" s="25"/>
      <c r="X995" s="25"/>
      <c r="Y995" s="25"/>
      <c r="Z995" s="25"/>
    </row>
    <row r="996" customFormat="false" ht="39.75" hidden="false" customHeight="true" outlineLevel="0" collapsed="false">
      <c r="A996" s="25"/>
      <c r="B996" s="25"/>
      <c r="C996" s="25"/>
      <c r="D996" s="25"/>
      <c r="E996" s="25"/>
      <c r="F996" s="25"/>
      <c r="G996" s="25"/>
      <c r="H996" s="25"/>
      <c r="I996" s="25"/>
      <c r="J996" s="25"/>
      <c r="K996" s="25"/>
      <c r="L996" s="25"/>
      <c r="M996" s="25"/>
      <c r="N996" s="25"/>
      <c r="O996" s="25"/>
      <c r="P996" s="25"/>
      <c r="Q996" s="25"/>
      <c r="R996" s="25"/>
      <c r="S996" s="25"/>
      <c r="T996" s="25"/>
      <c r="U996" s="25"/>
      <c r="V996" s="25"/>
      <c r="W996" s="25"/>
      <c r="X996" s="25"/>
      <c r="Y996" s="25"/>
      <c r="Z996" s="25"/>
    </row>
    <row r="997" customFormat="false" ht="39.75" hidden="false" customHeight="true" outlineLevel="0" collapsed="false">
      <c r="A997" s="25"/>
      <c r="B997" s="25"/>
      <c r="C997" s="25"/>
      <c r="D997" s="25"/>
      <c r="E997" s="25"/>
      <c r="F997" s="25"/>
      <c r="G997" s="25"/>
      <c r="H997" s="25"/>
      <c r="I997" s="25"/>
      <c r="J997" s="25"/>
      <c r="K997" s="25"/>
      <c r="L997" s="25"/>
      <c r="M997" s="25"/>
      <c r="N997" s="25"/>
      <c r="O997" s="25"/>
      <c r="P997" s="25"/>
      <c r="Q997" s="25"/>
      <c r="R997" s="25"/>
      <c r="S997" s="25"/>
      <c r="T997" s="25"/>
      <c r="U997" s="25"/>
      <c r="V997" s="25"/>
      <c r="W997" s="25"/>
      <c r="X997" s="25"/>
      <c r="Y997" s="25"/>
      <c r="Z997" s="25"/>
    </row>
    <row r="998" customFormat="false" ht="39.75" hidden="false" customHeight="true" outlineLevel="0" collapsed="false">
      <c r="A998" s="25"/>
      <c r="B998" s="25"/>
      <c r="C998" s="25"/>
      <c r="D998" s="25"/>
      <c r="E998" s="25"/>
      <c r="F998" s="25"/>
      <c r="G998" s="25"/>
      <c r="H998" s="25"/>
      <c r="I998" s="25"/>
      <c r="J998" s="25"/>
      <c r="K998" s="25"/>
      <c r="L998" s="25"/>
      <c r="M998" s="25"/>
      <c r="N998" s="25"/>
      <c r="O998" s="25"/>
      <c r="P998" s="25"/>
      <c r="Q998" s="25"/>
      <c r="R998" s="25"/>
      <c r="S998" s="25"/>
      <c r="T998" s="25"/>
      <c r="U998" s="25"/>
      <c r="V998" s="25"/>
      <c r="W998" s="25"/>
      <c r="X998" s="25"/>
      <c r="Y998" s="25"/>
      <c r="Z998" s="25"/>
    </row>
    <row r="999" customFormat="false" ht="39.75" hidden="false" customHeight="true" outlineLevel="0" collapsed="false">
      <c r="A999" s="25"/>
      <c r="B999" s="25"/>
      <c r="C999" s="25"/>
      <c r="D999" s="25"/>
      <c r="E999" s="25"/>
      <c r="F999" s="25"/>
      <c r="G999" s="25"/>
      <c r="H999" s="25"/>
      <c r="I999" s="25"/>
      <c r="J999" s="25"/>
      <c r="K999" s="25"/>
      <c r="L999" s="25"/>
      <c r="M999" s="25"/>
      <c r="N999" s="25"/>
      <c r="O999" s="25"/>
      <c r="P999" s="25"/>
      <c r="Q999" s="25"/>
      <c r="R999" s="25"/>
      <c r="S999" s="25"/>
      <c r="T999" s="25"/>
      <c r="U999" s="25"/>
      <c r="V999" s="25"/>
      <c r="W999" s="25"/>
      <c r="X999" s="25"/>
      <c r="Y999" s="25"/>
      <c r="Z999" s="25"/>
    </row>
    <row r="1000" customFormat="false" ht="39.75" hidden="false" customHeight="true" outlineLevel="0" collapsed="false">
      <c r="A1000" s="25"/>
      <c r="B1000" s="25"/>
      <c r="C1000" s="25"/>
      <c r="D1000" s="25"/>
      <c r="E1000" s="25"/>
      <c r="F1000" s="25"/>
      <c r="G1000" s="25"/>
      <c r="H1000" s="25"/>
      <c r="I1000" s="25"/>
      <c r="J1000" s="25"/>
      <c r="K1000" s="25"/>
      <c r="L1000" s="25"/>
      <c r="M1000" s="25"/>
      <c r="N1000" s="25"/>
      <c r="O1000" s="25"/>
      <c r="P1000" s="25"/>
      <c r="Q1000" s="25"/>
      <c r="R1000" s="25"/>
      <c r="S1000" s="25"/>
      <c r="T1000" s="25"/>
      <c r="U1000" s="25"/>
      <c r="V1000" s="25"/>
      <c r="W1000" s="25"/>
      <c r="X1000" s="25"/>
      <c r="Y1000" s="25"/>
      <c r="Z1000" s="2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Z100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2.5703125" defaultRowHeight="15" zeroHeight="false" outlineLevelRow="0" outlineLevelCol="0"/>
  <cols>
    <col collapsed="false" customWidth="true" hidden="false" outlineLevel="0" max="26" min="1" style="1" width="76"/>
  </cols>
  <sheetData>
    <row r="1" customFormat="false" ht="15.75" hidden="false" customHeight="true" outlineLevel="0" collapsed="false">
      <c r="A1" s="64" t="s">
        <v>109</v>
      </c>
      <c r="B1" s="65"/>
      <c r="C1" s="65"/>
      <c r="D1" s="65"/>
      <c r="E1" s="65"/>
      <c r="F1" s="65"/>
      <c r="G1" s="65"/>
      <c r="H1" s="65"/>
      <c r="I1" s="65"/>
      <c r="J1" s="65"/>
      <c r="K1" s="65"/>
      <c r="L1" s="65"/>
      <c r="M1" s="65"/>
      <c r="N1" s="65"/>
      <c r="O1" s="65"/>
      <c r="P1" s="65"/>
      <c r="Q1" s="65"/>
      <c r="R1" s="65"/>
      <c r="S1" s="65"/>
      <c r="T1" s="65"/>
      <c r="U1" s="65"/>
      <c r="V1" s="65"/>
      <c r="W1" s="65"/>
      <c r="X1" s="65"/>
      <c r="Y1" s="65"/>
      <c r="Z1" s="65"/>
    </row>
    <row r="2" customFormat="false" ht="15.75" hidden="false" customHeight="true" outlineLevel="0" collapsed="false">
      <c r="A2" s="66" t="s">
        <v>110</v>
      </c>
      <c r="B2" s="65"/>
      <c r="C2" s="65"/>
      <c r="D2" s="65"/>
      <c r="E2" s="65"/>
      <c r="F2" s="65"/>
      <c r="G2" s="65"/>
      <c r="H2" s="65"/>
      <c r="I2" s="65"/>
      <c r="J2" s="65"/>
      <c r="K2" s="65"/>
      <c r="L2" s="65"/>
      <c r="M2" s="65"/>
      <c r="N2" s="65"/>
      <c r="O2" s="65"/>
      <c r="P2" s="65"/>
      <c r="Q2" s="65"/>
      <c r="R2" s="65"/>
      <c r="S2" s="65"/>
      <c r="T2" s="65"/>
      <c r="U2" s="65"/>
      <c r="V2" s="65"/>
      <c r="W2" s="65"/>
      <c r="X2" s="65"/>
      <c r="Y2" s="65"/>
      <c r="Z2" s="65"/>
    </row>
    <row r="3" customFormat="false" ht="15.75" hidden="false" customHeight="true" outlineLevel="0" collapsed="false">
      <c r="A3" s="67"/>
      <c r="B3" s="65"/>
      <c r="C3" s="65"/>
      <c r="D3" s="65"/>
      <c r="E3" s="65"/>
      <c r="F3" s="65"/>
      <c r="G3" s="65"/>
      <c r="H3" s="65"/>
      <c r="I3" s="65"/>
      <c r="J3" s="65"/>
      <c r="K3" s="65"/>
      <c r="L3" s="65"/>
      <c r="M3" s="65"/>
      <c r="N3" s="65"/>
      <c r="O3" s="65"/>
      <c r="P3" s="65"/>
      <c r="Q3" s="65"/>
      <c r="R3" s="65"/>
      <c r="S3" s="65"/>
      <c r="T3" s="65"/>
      <c r="U3" s="65"/>
      <c r="V3" s="65"/>
      <c r="W3" s="65"/>
      <c r="X3" s="65"/>
      <c r="Y3" s="65"/>
      <c r="Z3" s="65"/>
    </row>
    <row r="4" customFormat="false" ht="15.75" hidden="false" customHeight="true" outlineLevel="0" collapsed="false">
      <c r="A4" s="68" t="s">
        <v>111</v>
      </c>
      <c r="B4" s="65"/>
      <c r="C4" s="65"/>
      <c r="D4" s="65"/>
      <c r="E4" s="65"/>
      <c r="F4" s="65"/>
      <c r="G4" s="65"/>
      <c r="H4" s="65"/>
      <c r="I4" s="65"/>
      <c r="J4" s="65"/>
      <c r="K4" s="65"/>
      <c r="L4" s="65"/>
      <c r="M4" s="65"/>
      <c r="N4" s="65"/>
      <c r="O4" s="65"/>
      <c r="P4" s="65"/>
      <c r="Q4" s="65"/>
      <c r="R4" s="65"/>
      <c r="S4" s="65"/>
      <c r="T4" s="65"/>
      <c r="U4" s="65"/>
      <c r="V4" s="65"/>
      <c r="W4" s="65"/>
      <c r="X4" s="65"/>
      <c r="Y4" s="65"/>
      <c r="Z4" s="65"/>
    </row>
    <row r="5" customFormat="false" ht="15.75" hidden="false" customHeight="true" outlineLevel="0" collapsed="false">
      <c r="A5" s="67" t="s">
        <v>3</v>
      </c>
      <c r="B5" s="65"/>
      <c r="C5" s="65"/>
      <c r="D5" s="65"/>
      <c r="E5" s="65"/>
      <c r="F5" s="65"/>
      <c r="G5" s="65"/>
      <c r="H5" s="65"/>
      <c r="I5" s="65"/>
      <c r="J5" s="65"/>
      <c r="K5" s="65"/>
      <c r="L5" s="65"/>
      <c r="M5" s="65"/>
      <c r="N5" s="65"/>
      <c r="O5" s="65"/>
      <c r="P5" s="65"/>
      <c r="Q5" s="65"/>
      <c r="R5" s="65"/>
      <c r="S5" s="65"/>
      <c r="T5" s="65"/>
      <c r="U5" s="65"/>
      <c r="V5" s="65"/>
      <c r="W5" s="65"/>
      <c r="X5" s="65"/>
      <c r="Y5" s="65"/>
      <c r="Z5" s="65"/>
    </row>
    <row r="6" customFormat="false" ht="15.75" hidden="false" customHeight="true" outlineLevel="0" collapsed="false">
      <c r="A6" s="67" t="s">
        <v>1</v>
      </c>
      <c r="B6" s="65"/>
      <c r="C6" s="65"/>
      <c r="D6" s="65"/>
      <c r="E6" s="65"/>
      <c r="F6" s="65"/>
      <c r="G6" s="65"/>
      <c r="H6" s="65"/>
      <c r="I6" s="65"/>
      <c r="J6" s="65"/>
      <c r="K6" s="65"/>
      <c r="L6" s="65"/>
      <c r="M6" s="65"/>
      <c r="N6" s="65"/>
      <c r="O6" s="65"/>
      <c r="P6" s="65"/>
      <c r="Q6" s="65"/>
      <c r="R6" s="65"/>
      <c r="S6" s="65"/>
      <c r="T6" s="65"/>
      <c r="U6" s="65"/>
      <c r="V6" s="65"/>
      <c r="W6" s="65"/>
      <c r="X6" s="65"/>
      <c r="Y6" s="65"/>
      <c r="Z6" s="65"/>
    </row>
    <row r="7" customFormat="false" ht="15.75" hidden="false" customHeight="true" outlineLevel="0" collapsed="false">
      <c r="A7" s="67" t="s">
        <v>2</v>
      </c>
      <c r="B7" s="65"/>
      <c r="C7" s="65"/>
      <c r="D7" s="65"/>
      <c r="E7" s="65"/>
      <c r="F7" s="65"/>
      <c r="G7" s="65"/>
      <c r="H7" s="65"/>
      <c r="I7" s="65"/>
      <c r="J7" s="65"/>
      <c r="K7" s="65"/>
      <c r="L7" s="65"/>
      <c r="M7" s="65"/>
      <c r="N7" s="65"/>
      <c r="O7" s="65"/>
      <c r="P7" s="65"/>
      <c r="Q7" s="65"/>
      <c r="R7" s="65"/>
      <c r="S7" s="65"/>
      <c r="T7" s="65"/>
      <c r="U7" s="65"/>
      <c r="V7" s="65"/>
      <c r="W7" s="65"/>
      <c r="X7" s="65"/>
      <c r="Y7" s="65"/>
      <c r="Z7" s="65"/>
    </row>
    <row r="8" customFormat="false" ht="15.75" hidden="false" customHeight="true" outlineLevel="0" collapsed="false">
      <c r="A8" s="67"/>
      <c r="B8" s="65"/>
      <c r="C8" s="65"/>
      <c r="D8" s="65"/>
      <c r="E8" s="65"/>
      <c r="F8" s="65"/>
      <c r="G8" s="65"/>
      <c r="H8" s="65"/>
      <c r="I8" s="65"/>
      <c r="J8" s="65"/>
      <c r="K8" s="65"/>
      <c r="L8" s="65"/>
      <c r="M8" s="65"/>
      <c r="N8" s="65"/>
      <c r="O8" s="65"/>
      <c r="P8" s="65"/>
      <c r="Q8" s="65"/>
      <c r="R8" s="65"/>
      <c r="S8" s="65"/>
      <c r="T8" s="65"/>
      <c r="U8" s="65"/>
      <c r="V8" s="65"/>
      <c r="W8" s="65"/>
      <c r="X8" s="65"/>
      <c r="Y8" s="65"/>
      <c r="Z8" s="65"/>
    </row>
    <row r="9" customFormat="false" ht="15.75" hidden="false" customHeight="true" outlineLevel="0" collapsed="false">
      <c r="A9" s="68" t="s">
        <v>112</v>
      </c>
      <c r="B9" s="65"/>
      <c r="C9" s="65"/>
      <c r="D9" s="65"/>
      <c r="E9" s="65"/>
      <c r="F9" s="65"/>
      <c r="G9" s="65"/>
      <c r="H9" s="65"/>
      <c r="I9" s="65"/>
      <c r="J9" s="65"/>
      <c r="K9" s="65"/>
      <c r="L9" s="65"/>
      <c r="M9" s="65"/>
      <c r="N9" s="65"/>
      <c r="O9" s="65"/>
      <c r="P9" s="65"/>
      <c r="Q9" s="65"/>
      <c r="R9" s="65"/>
      <c r="S9" s="65"/>
      <c r="T9" s="65"/>
      <c r="U9" s="65"/>
      <c r="V9" s="65"/>
      <c r="W9" s="65"/>
      <c r="X9" s="65"/>
      <c r="Y9" s="65"/>
      <c r="Z9" s="65"/>
    </row>
    <row r="10" customFormat="false" ht="15.75" hidden="false" customHeight="true" outlineLevel="0" collapsed="false">
      <c r="A10" s="67" t="s">
        <v>113</v>
      </c>
      <c r="B10" s="65"/>
      <c r="C10" s="65"/>
      <c r="D10" s="65"/>
      <c r="E10" s="65"/>
      <c r="F10" s="65"/>
      <c r="G10" s="65"/>
      <c r="H10" s="65"/>
      <c r="I10" s="65"/>
      <c r="J10" s="65"/>
      <c r="K10" s="65"/>
      <c r="L10" s="65"/>
      <c r="M10" s="65"/>
      <c r="N10" s="65"/>
      <c r="O10" s="65"/>
      <c r="P10" s="65"/>
      <c r="Q10" s="65"/>
      <c r="R10" s="65"/>
      <c r="S10" s="65"/>
      <c r="T10" s="65"/>
      <c r="U10" s="65"/>
      <c r="V10" s="65"/>
      <c r="W10" s="65"/>
      <c r="X10" s="65"/>
      <c r="Y10" s="65"/>
      <c r="Z10" s="65"/>
    </row>
    <row r="11" customFormat="false" ht="15.75" hidden="false" customHeight="true" outlineLevel="0" collapsed="false">
      <c r="A11" s="67" t="s">
        <v>42</v>
      </c>
      <c r="B11" s="65"/>
      <c r="C11" s="65"/>
      <c r="D11" s="65"/>
      <c r="E11" s="65"/>
      <c r="F11" s="65"/>
      <c r="G11" s="65"/>
      <c r="H11" s="65"/>
      <c r="I11" s="65"/>
      <c r="J11" s="65"/>
      <c r="K11" s="65"/>
      <c r="L11" s="65"/>
      <c r="M11" s="65"/>
      <c r="N11" s="65"/>
      <c r="O11" s="65"/>
      <c r="P11" s="65"/>
      <c r="Q11" s="65"/>
      <c r="R11" s="65"/>
      <c r="S11" s="65"/>
      <c r="T11" s="65"/>
      <c r="U11" s="65"/>
      <c r="V11" s="65"/>
      <c r="W11" s="65"/>
      <c r="X11" s="65"/>
      <c r="Y11" s="65"/>
      <c r="Z11" s="65"/>
    </row>
    <row r="12" customFormat="false" ht="15.75" hidden="false" customHeight="true" outlineLevel="0" collapsed="false">
      <c r="A12" s="67" t="s">
        <v>43</v>
      </c>
      <c r="B12" s="65"/>
      <c r="C12" s="65"/>
      <c r="D12" s="65"/>
      <c r="E12" s="65"/>
      <c r="F12" s="65"/>
      <c r="G12" s="65"/>
      <c r="H12" s="65"/>
      <c r="I12" s="65"/>
      <c r="J12" s="65"/>
      <c r="K12" s="65"/>
      <c r="L12" s="65"/>
      <c r="M12" s="65"/>
      <c r="N12" s="65"/>
      <c r="O12" s="65"/>
      <c r="P12" s="65"/>
      <c r="Q12" s="65"/>
      <c r="R12" s="65"/>
      <c r="S12" s="65"/>
      <c r="T12" s="65"/>
      <c r="U12" s="65"/>
      <c r="V12" s="65"/>
      <c r="W12" s="65"/>
      <c r="X12" s="65"/>
      <c r="Y12" s="65"/>
      <c r="Z12" s="65"/>
    </row>
    <row r="13" customFormat="false" ht="15.75" hidden="false" customHeight="true" outlineLevel="0" collapsed="false">
      <c r="A13" s="67" t="s">
        <v>114</v>
      </c>
      <c r="B13" s="65"/>
      <c r="C13" s="65"/>
      <c r="D13" s="65"/>
      <c r="E13" s="65"/>
      <c r="F13" s="65"/>
      <c r="G13" s="65"/>
      <c r="H13" s="65"/>
      <c r="I13" s="65"/>
      <c r="J13" s="65"/>
      <c r="K13" s="65"/>
      <c r="L13" s="65"/>
      <c r="M13" s="65"/>
      <c r="N13" s="65"/>
      <c r="O13" s="65"/>
      <c r="P13" s="65"/>
      <c r="Q13" s="65"/>
      <c r="R13" s="65"/>
      <c r="S13" s="65"/>
      <c r="T13" s="65"/>
      <c r="U13" s="65"/>
      <c r="V13" s="65"/>
      <c r="W13" s="65"/>
      <c r="X13" s="65"/>
      <c r="Y13" s="65"/>
      <c r="Z13" s="65"/>
    </row>
    <row r="14" customFormat="false" ht="15.75" hidden="false" customHeight="true" outlineLevel="0" collapsed="false">
      <c r="A14" s="67" t="s">
        <v>115</v>
      </c>
      <c r="B14" s="65"/>
      <c r="C14" s="65"/>
      <c r="D14" s="65"/>
      <c r="E14" s="65"/>
      <c r="F14" s="65"/>
      <c r="G14" s="65"/>
      <c r="H14" s="65"/>
      <c r="I14" s="65"/>
      <c r="J14" s="65"/>
      <c r="K14" s="65"/>
      <c r="L14" s="65"/>
      <c r="M14" s="65"/>
      <c r="N14" s="65"/>
      <c r="O14" s="65"/>
      <c r="P14" s="65"/>
      <c r="Q14" s="65"/>
      <c r="R14" s="65"/>
      <c r="S14" s="65"/>
      <c r="T14" s="65"/>
      <c r="U14" s="65"/>
      <c r="V14" s="65"/>
      <c r="W14" s="65"/>
      <c r="X14" s="65"/>
      <c r="Y14" s="65"/>
      <c r="Z14" s="65"/>
    </row>
    <row r="15" customFormat="false" ht="15.75" hidden="false" customHeight="true" outlineLevel="0" collapsed="false">
      <c r="A15" s="67" t="s">
        <v>116</v>
      </c>
      <c r="B15" s="65"/>
      <c r="C15" s="65"/>
      <c r="D15" s="65"/>
      <c r="E15" s="65"/>
      <c r="F15" s="65"/>
      <c r="G15" s="65"/>
      <c r="H15" s="65"/>
      <c r="I15" s="65"/>
      <c r="J15" s="65"/>
      <c r="K15" s="65"/>
      <c r="L15" s="65"/>
      <c r="M15" s="65"/>
      <c r="N15" s="65"/>
      <c r="O15" s="65"/>
      <c r="P15" s="65"/>
      <c r="Q15" s="65"/>
      <c r="R15" s="65"/>
      <c r="S15" s="65"/>
      <c r="T15" s="65"/>
      <c r="U15" s="65"/>
      <c r="V15" s="65"/>
      <c r="W15" s="65"/>
      <c r="X15" s="65"/>
      <c r="Y15" s="65"/>
      <c r="Z15" s="65"/>
    </row>
    <row r="16" customFormat="false" ht="15.75" hidden="false" customHeight="true" outlineLevel="0" collapsed="false">
      <c r="A16" s="67" t="s">
        <v>117</v>
      </c>
      <c r="B16" s="65"/>
      <c r="C16" s="65"/>
      <c r="D16" s="65"/>
      <c r="E16" s="65"/>
      <c r="F16" s="65"/>
      <c r="G16" s="65"/>
      <c r="H16" s="65"/>
      <c r="I16" s="65"/>
      <c r="J16" s="65"/>
      <c r="K16" s="65"/>
      <c r="L16" s="65"/>
      <c r="M16" s="65"/>
      <c r="N16" s="65"/>
      <c r="O16" s="65"/>
      <c r="P16" s="65"/>
      <c r="Q16" s="65"/>
      <c r="R16" s="65"/>
      <c r="S16" s="65"/>
      <c r="T16" s="65"/>
      <c r="U16" s="65"/>
      <c r="V16" s="65"/>
      <c r="W16" s="65"/>
      <c r="X16" s="65"/>
      <c r="Y16" s="65"/>
      <c r="Z16" s="65"/>
    </row>
    <row r="17" customFormat="false" ht="15.75" hidden="false" customHeight="true" outlineLevel="0" collapsed="false">
      <c r="A17" s="67" t="s">
        <v>118</v>
      </c>
      <c r="B17" s="65"/>
      <c r="C17" s="65"/>
      <c r="D17" s="65"/>
      <c r="E17" s="65"/>
      <c r="F17" s="65"/>
      <c r="G17" s="65"/>
      <c r="H17" s="65"/>
      <c r="I17" s="65"/>
      <c r="J17" s="65"/>
      <c r="K17" s="65"/>
      <c r="L17" s="65"/>
      <c r="M17" s="65"/>
      <c r="N17" s="65"/>
      <c r="O17" s="65"/>
      <c r="P17" s="65"/>
      <c r="Q17" s="65"/>
      <c r="R17" s="65"/>
      <c r="S17" s="65"/>
      <c r="T17" s="65"/>
      <c r="U17" s="65"/>
      <c r="V17" s="65"/>
      <c r="W17" s="65"/>
      <c r="X17" s="65"/>
      <c r="Y17" s="65"/>
      <c r="Z17" s="65"/>
    </row>
    <row r="18" customFormat="false" ht="15.75" hidden="false" customHeight="true" outlineLevel="0" collapsed="false">
      <c r="A18" s="67" t="s">
        <v>119</v>
      </c>
      <c r="B18" s="65"/>
      <c r="C18" s="65"/>
      <c r="D18" s="65"/>
      <c r="E18" s="65"/>
      <c r="F18" s="65"/>
      <c r="G18" s="65"/>
      <c r="H18" s="65"/>
      <c r="I18" s="65"/>
      <c r="J18" s="65"/>
      <c r="K18" s="65"/>
      <c r="L18" s="65"/>
      <c r="M18" s="65"/>
      <c r="N18" s="65"/>
      <c r="O18" s="65"/>
      <c r="P18" s="65"/>
      <c r="Q18" s="65"/>
      <c r="R18" s="65"/>
      <c r="S18" s="65"/>
      <c r="T18" s="65"/>
      <c r="U18" s="65"/>
      <c r="V18" s="65"/>
      <c r="W18" s="65"/>
      <c r="X18" s="65"/>
      <c r="Y18" s="65"/>
      <c r="Z18" s="65"/>
    </row>
    <row r="19" customFormat="false" ht="15.75" hidden="false" customHeight="true" outlineLevel="0" collapsed="false">
      <c r="A19" s="67" t="s">
        <v>120</v>
      </c>
      <c r="B19" s="65"/>
      <c r="C19" s="65"/>
      <c r="D19" s="65"/>
      <c r="E19" s="65"/>
      <c r="F19" s="65"/>
      <c r="G19" s="65"/>
      <c r="H19" s="65"/>
      <c r="I19" s="65"/>
      <c r="J19" s="65"/>
      <c r="K19" s="65"/>
      <c r="L19" s="65"/>
      <c r="M19" s="65"/>
      <c r="N19" s="65"/>
      <c r="O19" s="65"/>
      <c r="P19" s="65"/>
      <c r="Q19" s="65"/>
      <c r="R19" s="65"/>
      <c r="S19" s="65"/>
      <c r="T19" s="65"/>
      <c r="U19" s="65"/>
      <c r="V19" s="65"/>
      <c r="W19" s="65"/>
      <c r="X19" s="65"/>
      <c r="Y19" s="65"/>
      <c r="Z19" s="65"/>
    </row>
    <row r="20" customFormat="false" ht="15.75" hidden="false" customHeight="true" outlineLevel="0" collapsed="false">
      <c r="A20" s="67" t="s">
        <v>121</v>
      </c>
      <c r="B20" s="65"/>
      <c r="C20" s="65"/>
      <c r="D20" s="65"/>
      <c r="E20" s="65"/>
      <c r="F20" s="65"/>
      <c r="G20" s="65"/>
      <c r="H20" s="65"/>
      <c r="I20" s="65"/>
      <c r="J20" s="65"/>
      <c r="K20" s="65"/>
      <c r="L20" s="65"/>
      <c r="M20" s="65"/>
      <c r="N20" s="65"/>
      <c r="O20" s="65"/>
      <c r="P20" s="65"/>
      <c r="Q20" s="65"/>
      <c r="R20" s="65"/>
      <c r="S20" s="65"/>
      <c r="T20" s="65"/>
      <c r="U20" s="65"/>
      <c r="V20" s="65"/>
      <c r="W20" s="65"/>
      <c r="X20" s="65"/>
      <c r="Y20" s="65"/>
      <c r="Z20" s="65"/>
    </row>
    <row r="21" customFormat="false" ht="15.75" hidden="false" customHeight="true" outlineLevel="0" collapsed="false">
      <c r="A21" s="69"/>
      <c r="B21" s="65"/>
      <c r="C21" s="65"/>
      <c r="D21" s="65"/>
      <c r="E21" s="65"/>
      <c r="F21" s="65"/>
      <c r="G21" s="65"/>
      <c r="H21" s="65"/>
      <c r="I21" s="65"/>
      <c r="J21" s="65"/>
      <c r="K21" s="65"/>
      <c r="L21" s="65"/>
      <c r="M21" s="65"/>
      <c r="N21" s="65"/>
      <c r="O21" s="65"/>
      <c r="P21" s="65"/>
      <c r="Q21" s="65"/>
      <c r="R21" s="65"/>
      <c r="S21" s="65"/>
      <c r="T21" s="65"/>
      <c r="U21" s="65"/>
      <c r="V21" s="65"/>
      <c r="W21" s="65"/>
      <c r="X21" s="65"/>
      <c r="Y21" s="65"/>
      <c r="Z21" s="65"/>
    </row>
    <row r="22" customFormat="false" ht="15.75" hidden="false" customHeight="true" outlineLevel="0" collapsed="false">
      <c r="A22" s="68" t="s">
        <v>122</v>
      </c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5"/>
      <c r="P22" s="65"/>
      <c r="Q22" s="65"/>
      <c r="R22" s="65"/>
      <c r="S22" s="65"/>
      <c r="T22" s="65"/>
      <c r="U22" s="65"/>
      <c r="V22" s="65"/>
      <c r="W22" s="65"/>
      <c r="X22" s="65"/>
      <c r="Y22" s="65"/>
      <c r="Z22" s="65"/>
    </row>
    <row r="23" customFormat="false" ht="15.75" hidden="false" customHeight="true" outlineLevel="0" collapsed="false">
      <c r="A23" s="67" t="s">
        <v>123</v>
      </c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5"/>
      <c r="P23" s="65"/>
      <c r="Q23" s="65"/>
      <c r="R23" s="65"/>
      <c r="S23" s="65"/>
      <c r="T23" s="65"/>
      <c r="U23" s="65"/>
      <c r="V23" s="65"/>
      <c r="W23" s="65"/>
      <c r="X23" s="65"/>
      <c r="Y23" s="65"/>
      <c r="Z23" s="65"/>
    </row>
    <row r="24" customFormat="false" ht="15.75" hidden="false" customHeight="true" outlineLevel="0" collapsed="false">
      <c r="A24" s="67" t="s">
        <v>124</v>
      </c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5"/>
      <c r="P24" s="65"/>
      <c r="Q24" s="65"/>
      <c r="R24" s="65"/>
      <c r="S24" s="65"/>
      <c r="T24" s="65"/>
      <c r="U24" s="65"/>
      <c r="V24" s="65"/>
      <c r="W24" s="65"/>
      <c r="X24" s="65"/>
      <c r="Y24" s="65"/>
      <c r="Z24" s="65"/>
    </row>
    <row r="25" customFormat="false" ht="15.75" hidden="false" customHeight="true" outlineLevel="0" collapsed="false">
      <c r="A25" s="67" t="s">
        <v>125</v>
      </c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5"/>
      <c r="P25" s="65"/>
      <c r="Q25" s="65"/>
      <c r="R25" s="65"/>
      <c r="S25" s="65"/>
      <c r="T25" s="65"/>
      <c r="U25" s="65"/>
      <c r="V25" s="65"/>
      <c r="W25" s="65"/>
      <c r="X25" s="65"/>
      <c r="Y25" s="65"/>
      <c r="Z25" s="65"/>
    </row>
    <row r="26" customFormat="false" ht="15.75" hidden="false" customHeight="true" outlineLevel="0" collapsed="false">
      <c r="A26" s="67" t="s">
        <v>126</v>
      </c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5"/>
      <c r="P26" s="65"/>
      <c r="Q26" s="65"/>
      <c r="R26" s="65"/>
      <c r="S26" s="65"/>
      <c r="T26" s="65"/>
      <c r="U26" s="65"/>
      <c r="V26" s="65"/>
      <c r="W26" s="65"/>
      <c r="X26" s="65"/>
      <c r="Y26" s="65"/>
      <c r="Z26" s="65"/>
    </row>
    <row r="27" customFormat="false" ht="15.75" hidden="false" customHeight="true" outlineLevel="0" collapsed="false">
      <c r="A27" s="67" t="s">
        <v>127</v>
      </c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5"/>
      <c r="P27" s="65"/>
      <c r="Q27" s="65"/>
      <c r="R27" s="65"/>
      <c r="S27" s="65"/>
      <c r="T27" s="65"/>
      <c r="U27" s="65"/>
      <c r="V27" s="65"/>
      <c r="W27" s="65"/>
      <c r="X27" s="65"/>
      <c r="Y27" s="65"/>
      <c r="Z27" s="65"/>
    </row>
    <row r="28" customFormat="false" ht="15.75" hidden="false" customHeight="true" outlineLevel="0" collapsed="false">
      <c r="A28" s="67" t="s">
        <v>128</v>
      </c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5"/>
      <c r="P28" s="65"/>
      <c r="Q28" s="65"/>
      <c r="R28" s="65"/>
      <c r="S28" s="65"/>
      <c r="T28" s="65"/>
      <c r="U28" s="65"/>
      <c r="V28" s="65"/>
      <c r="W28" s="65"/>
      <c r="X28" s="65"/>
      <c r="Y28" s="65"/>
      <c r="Z28" s="65"/>
    </row>
    <row r="29" customFormat="false" ht="15.75" hidden="false" customHeight="true" outlineLevel="0" collapsed="false">
      <c r="A29" s="67" t="s">
        <v>129</v>
      </c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5"/>
      <c r="P29" s="65"/>
      <c r="Q29" s="65"/>
      <c r="R29" s="65"/>
      <c r="S29" s="65"/>
      <c r="T29" s="65"/>
      <c r="U29" s="65"/>
      <c r="V29" s="65"/>
      <c r="W29" s="65"/>
      <c r="X29" s="65"/>
      <c r="Y29" s="65"/>
      <c r="Z29" s="65"/>
    </row>
    <row r="30" customFormat="false" ht="15.75" hidden="false" customHeight="true" outlineLevel="0" collapsed="false">
      <c r="A30" s="67" t="s">
        <v>130</v>
      </c>
      <c r="B30" s="65"/>
      <c r="C30" s="65"/>
      <c r="D30" s="65"/>
      <c r="E30" s="65"/>
      <c r="F30" s="65"/>
      <c r="G30" s="65"/>
      <c r="H30" s="65"/>
      <c r="I30" s="65"/>
      <c r="J30" s="65"/>
      <c r="K30" s="65"/>
      <c r="L30" s="65"/>
      <c r="M30" s="65"/>
      <c r="N30" s="65"/>
      <c r="O30" s="65"/>
      <c r="P30" s="65"/>
      <c r="Q30" s="65"/>
      <c r="R30" s="65"/>
      <c r="S30" s="65"/>
      <c r="T30" s="65"/>
      <c r="U30" s="65"/>
      <c r="V30" s="65"/>
      <c r="W30" s="65"/>
      <c r="X30" s="65"/>
      <c r="Y30" s="65"/>
      <c r="Z30" s="65"/>
    </row>
    <row r="31" customFormat="false" ht="15.75" hidden="false" customHeight="true" outlineLevel="0" collapsed="false">
      <c r="A31" s="67" t="s">
        <v>131</v>
      </c>
      <c r="B31" s="65"/>
      <c r="C31" s="65"/>
      <c r="D31" s="65"/>
      <c r="E31" s="65"/>
      <c r="F31" s="65"/>
      <c r="G31" s="65"/>
      <c r="H31" s="65"/>
      <c r="I31" s="65"/>
      <c r="J31" s="65"/>
      <c r="K31" s="65"/>
      <c r="L31" s="65"/>
      <c r="M31" s="65"/>
      <c r="N31" s="65"/>
      <c r="O31" s="65"/>
      <c r="P31" s="65"/>
      <c r="Q31" s="65"/>
      <c r="R31" s="65"/>
      <c r="S31" s="65"/>
      <c r="T31" s="65"/>
      <c r="U31" s="65"/>
      <c r="V31" s="65"/>
      <c r="W31" s="65"/>
      <c r="X31" s="65"/>
      <c r="Y31" s="65"/>
      <c r="Z31" s="65"/>
    </row>
    <row r="32" customFormat="false" ht="15.75" hidden="false" customHeight="true" outlineLevel="0" collapsed="false">
      <c r="A32" s="67" t="s">
        <v>132</v>
      </c>
      <c r="B32" s="65"/>
      <c r="C32" s="65"/>
      <c r="D32" s="65"/>
      <c r="E32" s="65"/>
      <c r="F32" s="65"/>
      <c r="G32" s="65"/>
      <c r="H32" s="65"/>
      <c r="I32" s="65"/>
      <c r="J32" s="65"/>
      <c r="K32" s="65"/>
      <c r="L32" s="65"/>
      <c r="M32" s="65"/>
      <c r="N32" s="65"/>
      <c r="O32" s="65"/>
      <c r="P32" s="65"/>
      <c r="Q32" s="65"/>
      <c r="R32" s="65"/>
      <c r="S32" s="65"/>
      <c r="T32" s="65"/>
      <c r="U32" s="65"/>
      <c r="V32" s="65"/>
      <c r="W32" s="65"/>
      <c r="X32" s="65"/>
      <c r="Y32" s="65"/>
      <c r="Z32" s="65"/>
    </row>
    <row r="33" customFormat="false" ht="15.75" hidden="false" customHeight="true" outlineLevel="0" collapsed="false">
      <c r="A33" s="70" t="s">
        <v>133</v>
      </c>
      <c r="B33" s="65"/>
      <c r="C33" s="65"/>
      <c r="D33" s="65"/>
      <c r="E33" s="65"/>
      <c r="F33" s="65"/>
      <c r="G33" s="65"/>
      <c r="H33" s="65"/>
      <c r="I33" s="65"/>
      <c r="J33" s="65"/>
      <c r="K33" s="65"/>
      <c r="L33" s="65"/>
      <c r="M33" s="65"/>
      <c r="N33" s="65"/>
      <c r="O33" s="65"/>
      <c r="P33" s="65"/>
      <c r="Q33" s="65"/>
      <c r="R33" s="65"/>
      <c r="S33" s="65"/>
      <c r="T33" s="65"/>
      <c r="U33" s="65"/>
      <c r="V33" s="65"/>
      <c r="W33" s="65"/>
      <c r="X33" s="65"/>
      <c r="Y33" s="65"/>
      <c r="Z33" s="65"/>
    </row>
    <row r="34" customFormat="false" ht="15.75" hidden="false" customHeight="true" outlineLevel="0" collapsed="false">
      <c r="A34" s="65"/>
      <c r="B34" s="65"/>
      <c r="C34" s="65"/>
      <c r="D34" s="65"/>
      <c r="E34" s="65"/>
      <c r="F34" s="65"/>
      <c r="G34" s="65"/>
      <c r="H34" s="65"/>
      <c r="I34" s="65"/>
      <c r="J34" s="65"/>
      <c r="K34" s="65"/>
      <c r="L34" s="65"/>
      <c r="M34" s="65"/>
      <c r="N34" s="65"/>
      <c r="O34" s="65"/>
      <c r="P34" s="65"/>
      <c r="Q34" s="65"/>
      <c r="R34" s="65"/>
      <c r="S34" s="65"/>
      <c r="T34" s="65"/>
      <c r="U34" s="65"/>
      <c r="V34" s="65"/>
      <c r="W34" s="65"/>
      <c r="X34" s="65"/>
      <c r="Y34" s="65"/>
      <c r="Z34" s="65"/>
    </row>
    <row r="35" customFormat="false" ht="15.75" hidden="false" customHeight="true" outlineLevel="0" collapsed="false">
      <c r="A35" s="65"/>
      <c r="B35" s="65"/>
      <c r="C35" s="65"/>
      <c r="D35" s="65"/>
      <c r="E35" s="65"/>
      <c r="F35" s="65"/>
      <c r="G35" s="65"/>
      <c r="H35" s="65"/>
      <c r="I35" s="65"/>
      <c r="J35" s="65"/>
      <c r="K35" s="65"/>
      <c r="L35" s="65"/>
      <c r="M35" s="65"/>
      <c r="N35" s="65"/>
      <c r="O35" s="65"/>
      <c r="P35" s="65"/>
      <c r="Q35" s="65"/>
      <c r="R35" s="65"/>
      <c r="S35" s="65"/>
      <c r="T35" s="65"/>
      <c r="U35" s="65"/>
      <c r="V35" s="65"/>
      <c r="W35" s="65"/>
      <c r="X35" s="65"/>
      <c r="Y35" s="65"/>
      <c r="Z35" s="65"/>
    </row>
    <row r="36" customFormat="false" ht="15.75" hidden="false" customHeight="true" outlineLevel="0" collapsed="false">
      <c r="A36" s="65"/>
      <c r="B36" s="65"/>
      <c r="C36" s="65"/>
      <c r="D36" s="65"/>
      <c r="E36" s="65"/>
      <c r="F36" s="65"/>
      <c r="G36" s="65"/>
      <c r="H36" s="65"/>
      <c r="I36" s="65"/>
      <c r="J36" s="65"/>
      <c r="K36" s="65"/>
      <c r="L36" s="65"/>
      <c r="M36" s="65"/>
      <c r="N36" s="65"/>
      <c r="O36" s="65"/>
      <c r="P36" s="65"/>
      <c r="Q36" s="65"/>
      <c r="R36" s="65"/>
      <c r="S36" s="65"/>
      <c r="T36" s="65"/>
      <c r="U36" s="65"/>
      <c r="V36" s="65"/>
      <c r="W36" s="65"/>
      <c r="X36" s="65"/>
      <c r="Y36" s="65"/>
      <c r="Z36" s="65"/>
    </row>
    <row r="37" customFormat="false" ht="15.75" hidden="false" customHeight="true" outlineLevel="0" collapsed="false">
      <c r="A37" s="65"/>
      <c r="B37" s="65"/>
      <c r="C37" s="65"/>
      <c r="D37" s="65"/>
      <c r="E37" s="65"/>
      <c r="F37" s="65"/>
      <c r="G37" s="65"/>
      <c r="H37" s="65"/>
      <c r="I37" s="65"/>
      <c r="J37" s="65"/>
      <c r="K37" s="65"/>
      <c r="L37" s="65"/>
      <c r="M37" s="65"/>
      <c r="N37" s="65"/>
      <c r="O37" s="65"/>
      <c r="P37" s="65"/>
      <c r="Q37" s="65"/>
      <c r="R37" s="65"/>
      <c r="S37" s="65"/>
      <c r="T37" s="65"/>
      <c r="U37" s="65"/>
      <c r="V37" s="65"/>
      <c r="W37" s="65"/>
      <c r="X37" s="65"/>
      <c r="Y37" s="65"/>
      <c r="Z37" s="65"/>
    </row>
    <row r="38" customFormat="false" ht="15.75" hidden="false" customHeight="true" outlineLevel="0" collapsed="false">
      <c r="A38" s="65"/>
      <c r="B38" s="65"/>
      <c r="C38" s="65"/>
      <c r="D38" s="65"/>
      <c r="E38" s="65"/>
      <c r="F38" s="65"/>
      <c r="G38" s="65"/>
      <c r="H38" s="65"/>
      <c r="I38" s="65"/>
      <c r="J38" s="65"/>
      <c r="K38" s="65"/>
      <c r="L38" s="65"/>
      <c r="M38" s="65"/>
      <c r="N38" s="65"/>
      <c r="O38" s="65"/>
      <c r="P38" s="65"/>
      <c r="Q38" s="65"/>
      <c r="R38" s="65"/>
      <c r="S38" s="65"/>
      <c r="T38" s="65"/>
      <c r="U38" s="65"/>
      <c r="V38" s="65"/>
      <c r="W38" s="65"/>
      <c r="X38" s="65"/>
      <c r="Y38" s="65"/>
      <c r="Z38" s="65"/>
    </row>
    <row r="39" customFormat="false" ht="15.75" hidden="false" customHeight="true" outlineLevel="0" collapsed="false">
      <c r="A39" s="65"/>
      <c r="B39" s="65"/>
      <c r="C39" s="65"/>
      <c r="D39" s="65"/>
      <c r="E39" s="65"/>
      <c r="F39" s="65"/>
      <c r="G39" s="65"/>
      <c r="H39" s="65"/>
      <c r="I39" s="65"/>
      <c r="J39" s="65"/>
      <c r="K39" s="65"/>
      <c r="L39" s="65"/>
      <c r="M39" s="65"/>
      <c r="N39" s="65"/>
      <c r="O39" s="65"/>
      <c r="P39" s="65"/>
      <c r="Q39" s="65"/>
      <c r="R39" s="65"/>
      <c r="S39" s="65"/>
      <c r="T39" s="65"/>
      <c r="U39" s="65"/>
      <c r="V39" s="65"/>
      <c r="W39" s="65"/>
      <c r="X39" s="65"/>
      <c r="Y39" s="65"/>
      <c r="Z39" s="65"/>
    </row>
    <row r="40" customFormat="false" ht="15.75" hidden="false" customHeight="true" outlineLevel="0" collapsed="false">
      <c r="A40" s="65"/>
      <c r="B40" s="65"/>
      <c r="C40" s="65"/>
      <c r="D40" s="65"/>
      <c r="E40" s="65"/>
      <c r="F40" s="65"/>
      <c r="G40" s="65"/>
      <c r="H40" s="65"/>
      <c r="I40" s="65"/>
      <c r="J40" s="65"/>
      <c r="K40" s="65"/>
      <c r="L40" s="65"/>
      <c r="M40" s="65"/>
      <c r="N40" s="65"/>
      <c r="O40" s="65"/>
      <c r="P40" s="65"/>
      <c r="Q40" s="65"/>
      <c r="R40" s="65"/>
      <c r="S40" s="65"/>
      <c r="T40" s="65"/>
      <c r="U40" s="65"/>
      <c r="V40" s="65"/>
      <c r="W40" s="65"/>
      <c r="X40" s="65"/>
      <c r="Y40" s="65"/>
      <c r="Z40" s="65"/>
    </row>
    <row r="41" customFormat="false" ht="15.75" hidden="false" customHeight="true" outlineLevel="0" collapsed="false">
      <c r="A41" s="65"/>
      <c r="B41" s="65"/>
      <c r="C41" s="65"/>
      <c r="D41" s="65"/>
      <c r="E41" s="65"/>
      <c r="F41" s="65"/>
      <c r="G41" s="65"/>
      <c r="H41" s="65"/>
      <c r="I41" s="65"/>
      <c r="J41" s="65"/>
      <c r="K41" s="65"/>
      <c r="L41" s="65"/>
      <c r="M41" s="65"/>
      <c r="N41" s="65"/>
      <c r="O41" s="65"/>
      <c r="P41" s="65"/>
      <c r="Q41" s="65"/>
      <c r="R41" s="65"/>
      <c r="S41" s="65"/>
      <c r="T41" s="65"/>
      <c r="U41" s="65"/>
      <c r="V41" s="65"/>
      <c r="W41" s="65"/>
      <c r="X41" s="65"/>
      <c r="Y41" s="65"/>
      <c r="Z41" s="65"/>
    </row>
    <row r="42" customFormat="false" ht="15.75" hidden="false" customHeight="true" outlineLevel="0" collapsed="false">
      <c r="A42" s="65"/>
      <c r="B42" s="65"/>
      <c r="C42" s="65"/>
      <c r="D42" s="65"/>
      <c r="E42" s="65"/>
      <c r="F42" s="65"/>
      <c r="G42" s="65"/>
      <c r="H42" s="65"/>
      <c r="I42" s="65"/>
      <c r="J42" s="65"/>
      <c r="K42" s="65"/>
      <c r="L42" s="65"/>
      <c r="M42" s="65"/>
      <c r="N42" s="65"/>
      <c r="O42" s="65"/>
      <c r="P42" s="65"/>
      <c r="Q42" s="65"/>
      <c r="R42" s="65"/>
      <c r="S42" s="65"/>
      <c r="T42" s="65"/>
      <c r="U42" s="65"/>
      <c r="V42" s="65"/>
      <c r="W42" s="65"/>
      <c r="X42" s="65"/>
      <c r="Y42" s="65"/>
      <c r="Z42" s="65"/>
    </row>
    <row r="43" customFormat="false" ht="15.75" hidden="false" customHeight="true" outlineLevel="0" collapsed="false">
      <c r="A43" s="65"/>
      <c r="B43" s="65"/>
      <c r="C43" s="65"/>
      <c r="D43" s="65"/>
      <c r="E43" s="65"/>
      <c r="F43" s="65"/>
      <c r="G43" s="65"/>
      <c r="H43" s="65"/>
      <c r="I43" s="65"/>
      <c r="J43" s="65"/>
      <c r="K43" s="65"/>
      <c r="L43" s="65"/>
      <c r="M43" s="65"/>
      <c r="N43" s="65"/>
      <c r="O43" s="65"/>
      <c r="P43" s="65"/>
      <c r="Q43" s="65"/>
      <c r="R43" s="65"/>
      <c r="S43" s="65"/>
      <c r="T43" s="65"/>
      <c r="U43" s="65"/>
      <c r="V43" s="65"/>
      <c r="W43" s="65"/>
      <c r="X43" s="65"/>
      <c r="Y43" s="65"/>
      <c r="Z43" s="65"/>
    </row>
    <row r="44" customFormat="false" ht="15.75" hidden="false" customHeight="true" outlineLevel="0" collapsed="false">
      <c r="A44" s="65"/>
      <c r="B44" s="65"/>
      <c r="C44" s="65"/>
      <c r="D44" s="65"/>
      <c r="E44" s="65"/>
      <c r="F44" s="65"/>
      <c r="G44" s="65"/>
      <c r="H44" s="65"/>
      <c r="I44" s="65"/>
      <c r="J44" s="65"/>
      <c r="K44" s="65"/>
      <c r="L44" s="65"/>
      <c r="M44" s="65"/>
      <c r="N44" s="65"/>
      <c r="O44" s="65"/>
      <c r="P44" s="65"/>
      <c r="Q44" s="65"/>
      <c r="R44" s="65"/>
      <c r="S44" s="65"/>
      <c r="T44" s="65"/>
      <c r="U44" s="65"/>
      <c r="V44" s="65"/>
      <c r="W44" s="65"/>
      <c r="X44" s="65"/>
      <c r="Y44" s="65"/>
      <c r="Z44" s="65"/>
    </row>
    <row r="45" customFormat="false" ht="15.75" hidden="false" customHeight="true" outlineLevel="0" collapsed="false">
      <c r="A45" s="65"/>
      <c r="B45" s="65"/>
      <c r="C45" s="65"/>
      <c r="D45" s="65"/>
      <c r="E45" s="65"/>
      <c r="F45" s="65"/>
      <c r="G45" s="65"/>
      <c r="H45" s="65"/>
      <c r="I45" s="65"/>
      <c r="J45" s="65"/>
      <c r="K45" s="65"/>
      <c r="L45" s="65"/>
      <c r="M45" s="65"/>
      <c r="N45" s="65"/>
      <c r="O45" s="65"/>
      <c r="P45" s="65"/>
      <c r="Q45" s="65"/>
      <c r="R45" s="65"/>
      <c r="S45" s="65"/>
      <c r="T45" s="65"/>
      <c r="U45" s="65"/>
      <c r="V45" s="65"/>
      <c r="W45" s="65"/>
      <c r="X45" s="65"/>
      <c r="Y45" s="65"/>
      <c r="Z45" s="65"/>
    </row>
    <row r="46" customFormat="false" ht="15.75" hidden="false" customHeight="true" outlineLevel="0" collapsed="false">
      <c r="A46" s="65"/>
      <c r="B46" s="65"/>
      <c r="C46" s="65"/>
      <c r="D46" s="65"/>
      <c r="E46" s="65"/>
      <c r="F46" s="65"/>
      <c r="G46" s="65"/>
      <c r="H46" s="65"/>
      <c r="I46" s="65"/>
      <c r="J46" s="65"/>
      <c r="K46" s="65"/>
      <c r="L46" s="65"/>
      <c r="M46" s="65"/>
      <c r="N46" s="65"/>
      <c r="O46" s="65"/>
      <c r="P46" s="65"/>
      <c r="Q46" s="65"/>
      <c r="R46" s="65"/>
      <c r="S46" s="65"/>
      <c r="T46" s="65"/>
      <c r="U46" s="65"/>
      <c r="V46" s="65"/>
      <c r="W46" s="65"/>
      <c r="X46" s="65"/>
      <c r="Y46" s="65"/>
      <c r="Z46" s="65"/>
    </row>
    <row r="47" customFormat="false" ht="15.75" hidden="false" customHeight="true" outlineLevel="0" collapsed="false">
      <c r="A47" s="65"/>
      <c r="B47" s="65"/>
      <c r="C47" s="65"/>
      <c r="D47" s="65"/>
      <c r="E47" s="65"/>
      <c r="F47" s="65"/>
      <c r="G47" s="65"/>
      <c r="H47" s="65"/>
      <c r="I47" s="65"/>
      <c r="J47" s="65"/>
      <c r="K47" s="65"/>
      <c r="L47" s="65"/>
      <c r="M47" s="65"/>
      <c r="N47" s="65"/>
      <c r="O47" s="65"/>
      <c r="P47" s="65"/>
      <c r="Q47" s="65"/>
      <c r="R47" s="65"/>
      <c r="S47" s="65"/>
      <c r="T47" s="65"/>
      <c r="U47" s="65"/>
      <c r="V47" s="65"/>
      <c r="W47" s="65"/>
      <c r="X47" s="65"/>
      <c r="Y47" s="65"/>
      <c r="Z47" s="65"/>
    </row>
    <row r="48" customFormat="false" ht="15.75" hidden="false" customHeight="true" outlineLevel="0" collapsed="false">
      <c r="A48" s="65"/>
      <c r="B48" s="65"/>
      <c r="C48" s="65"/>
      <c r="D48" s="65"/>
      <c r="E48" s="65"/>
      <c r="F48" s="65"/>
      <c r="G48" s="65"/>
      <c r="H48" s="65"/>
      <c r="I48" s="65"/>
      <c r="J48" s="65"/>
      <c r="K48" s="65"/>
      <c r="L48" s="65"/>
      <c r="M48" s="65"/>
      <c r="N48" s="65"/>
      <c r="O48" s="65"/>
      <c r="P48" s="65"/>
      <c r="Q48" s="65"/>
      <c r="R48" s="65"/>
      <c r="S48" s="65"/>
      <c r="T48" s="65"/>
      <c r="U48" s="65"/>
      <c r="V48" s="65"/>
      <c r="W48" s="65"/>
      <c r="X48" s="65"/>
      <c r="Y48" s="65"/>
      <c r="Z48" s="65"/>
    </row>
    <row r="49" customFormat="false" ht="15.75" hidden="false" customHeight="true" outlineLevel="0" collapsed="false">
      <c r="A49" s="65"/>
      <c r="B49" s="65"/>
      <c r="C49" s="65"/>
      <c r="D49" s="65"/>
      <c r="E49" s="65"/>
      <c r="F49" s="65"/>
      <c r="G49" s="65"/>
      <c r="H49" s="65"/>
      <c r="I49" s="65"/>
      <c r="J49" s="65"/>
      <c r="K49" s="65"/>
      <c r="L49" s="65"/>
      <c r="M49" s="65"/>
      <c r="N49" s="65"/>
      <c r="O49" s="65"/>
      <c r="P49" s="65"/>
      <c r="Q49" s="65"/>
      <c r="R49" s="65"/>
      <c r="S49" s="65"/>
      <c r="T49" s="65"/>
      <c r="U49" s="65"/>
      <c r="V49" s="65"/>
      <c r="W49" s="65"/>
      <c r="X49" s="65"/>
      <c r="Y49" s="65"/>
      <c r="Z49" s="65"/>
    </row>
    <row r="50" customFormat="false" ht="15.75" hidden="false" customHeight="true" outlineLevel="0" collapsed="false">
      <c r="A50" s="65"/>
      <c r="B50" s="65"/>
      <c r="C50" s="65"/>
      <c r="D50" s="65"/>
      <c r="E50" s="65"/>
      <c r="F50" s="65"/>
      <c r="G50" s="65"/>
      <c r="H50" s="65"/>
      <c r="I50" s="65"/>
      <c r="J50" s="65"/>
      <c r="K50" s="65"/>
      <c r="L50" s="65"/>
      <c r="M50" s="65"/>
      <c r="N50" s="65"/>
      <c r="O50" s="65"/>
      <c r="P50" s="65"/>
      <c r="Q50" s="65"/>
      <c r="R50" s="65"/>
      <c r="S50" s="65"/>
      <c r="T50" s="65"/>
      <c r="U50" s="65"/>
      <c r="V50" s="65"/>
      <c r="W50" s="65"/>
      <c r="X50" s="65"/>
      <c r="Y50" s="65"/>
      <c r="Z50" s="65"/>
    </row>
    <row r="51" customFormat="false" ht="15.75" hidden="false" customHeight="true" outlineLevel="0" collapsed="false">
      <c r="A51" s="65"/>
      <c r="B51" s="65"/>
      <c r="C51" s="65"/>
      <c r="D51" s="65"/>
      <c r="E51" s="65"/>
      <c r="F51" s="65"/>
      <c r="G51" s="65"/>
      <c r="H51" s="65"/>
      <c r="I51" s="65"/>
      <c r="J51" s="65"/>
      <c r="K51" s="65"/>
      <c r="L51" s="65"/>
      <c r="M51" s="65"/>
      <c r="N51" s="65"/>
      <c r="O51" s="65"/>
      <c r="P51" s="65"/>
      <c r="Q51" s="65"/>
      <c r="R51" s="65"/>
      <c r="S51" s="65"/>
      <c r="T51" s="65"/>
      <c r="U51" s="65"/>
      <c r="V51" s="65"/>
      <c r="W51" s="65"/>
      <c r="X51" s="65"/>
      <c r="Y51" s="65"/>
      <c r="Z51" s="65"/>
    </row>
    <row r="52" customFormat="false" ht="15.75" hidden="false" customHeight="true" outlineLevel="0" collapsed="false">
      <c r="A52" s="65"/>
      <c r="B52" s="65"/>
      <c r="C52" s="65"/>
      <c r="D52" s="65"/>
      <c r="E52" s="65"/>
      <c r="F52" s="65"/>
      <c r="G52" s="65"/>
      <c r="H52" s="65"/>
      <c r="I52" s="65"/>
      <c r="J52" s="65"/>
      <c r="K52" s="65"/>
      <c r="L52" s="65"/>
      <c r="M52" s="65"/>
      <c r="N52" s="65"/>
      <c r="O52" s="65"/>
      <c r="P52" s="65"/>
      <c r="Q52" s="65"/>
      <c r="R52" s="65"/>
      <c r="S52" s="65"/>
      <c r="T52" s="65"/>
      <c r="U52" s="65"/>
      <c r="V52" s="65"/>
      <c r="W52" s="65"/>
      <c r="X52" s="65"/>
      <c r="Y52" s="65"/>
      <c r="Z52" s="65"/>
    </row>
    <row r="53" customFormat="false" ht="15.75" hidden="false" customHeight="true" outlineLevel="0" collapsed="false">
      <c r="A53" s="65"/>
      <c r="B53" s="65"/>
      <c r="C53" s="65"/>
      <c r="D53" s="65"/>
      <c r="E53" s="65"/>
      <c r="F53" s="65"/>
      <c r="G53" s="65"/>
      <c r="H53" s="65"/>
      <c r="I53" s="65"/>
      <c r="J53" s="65"/>
      <c r="K53" s="65"/>
      <c r="L53" s="65"/>
      <c r="M53" s="65"/>
      <c r="N53" s="65"/>
      <c r="O53" s="65"/>
      <c r="P53" s="65"/>
      <c r="Q53" s="65"/>
      <c r="R53" s="65"/>
      <c r="S53" s="65"/>
      <c r="T53" s="65"/>
      <c r="U53" s="65"/>
      <c r="V53" s="65"/>
      <c r="W53" s="65"/>
      <c r="X53" s="65"/>
      <c r="Y53" s="65"/>
      <c r="Z53" s="65"/>
    </row>
    <row r="54" customFormat="false" ht="15.75" hidden="false" customHeight="true" outlineLevel="0" collapsed="false">
      <c r="A54" s="65"/>
      <c r="B54" s="65"/>
      <c r="C54" s="65"/>
      <c r="D54" s="65"/>
      <c r="E54" s="65"/>
      <c r="F54" s="65"/>
      <c r="G54" s="65"/>
      <c r="H54" s="65"/>
      <c r="I54" s="65"/>
      <c r="J54" s="65"/>
      <c r="K54" s="65"/>
      <c r="L54" s="65"/>
      <c r="M54" s="65"/>
      <c r="N54" s="65"/>
      <c r="O54" s="65"/>
      <c r="P54" s="65"/>
      <c r="Q54" s="65"/>
      <c r="R54" s="65"/>
      <c r="S54" s="65"/>
      <c r="T54" s="65"/>
      <c r="U54" s="65"/>
      <c r="V54" s="65"/>
      <c r="W54" s="65"/>
      <c r="X54" s="65"/>
      <c r="Y54" s="65"/>
      <c r="Z54" s="65"/>
    </row>
    <row r="55" customFormat="false" ht="15.75" hidden="false" customHeight="true" outlineLevel="0" collapsed="false">
      <c r="A55" s="65"/>
      <c r="B55" s="65"/>
      <c r="C55" s="65"/>
      <c r="D55" s="65"/>
      <c r="E55" s="65"/>
      <c r="F55" s="65"/>
      <c r="G55" s="65"/>
      <c r="H55" s="65"/>
      <c r="I55" s="65"/>
      <c r="J55" s="65"/>
      <c r="K55" s="65"/>
      <c r="L55" s="65"/>
      <c r="M55" s="65"/>
      <c r="N55" s="65"/>
      <c r="O55" s="65"/>
      <c r="P55" s="65"/>
      <c r="Q55" s="65"/>
      <c r="R55" s="65"/>
      <c r="S55" s="65"/>
      <c r="T55" s="65"/>
      <c r="U55" s="65"/>
      <c r="V55" s="65"/>
      <c r="W55" s="65"/>
      <c r="X55" s="65"/>
      <c r="Y55" s="65"/>
      <c r="Z55" s="65"/>
    </row>
    <row r="56" customFormat="false" ht="15.75" hidden="false" customHeight="true" outlineLevel="0" collapsed="false">
      <c r="A56" s="65"/>
      <c r="B56" s="65"/>
      <c r="C56" s="65"/>
      <c r="D56" s="65"/>
      <c r="E56" s="65"/>
      <c r="F56" s="65"/>
      <c r="G56" s="65"/>
      <c r="H56" s="65"/>
      <c r="I56" s="65"/>
      <c r="J56" s="65"/>
      <c r="K56" s="65"/>
      <c r="L56" s="65"/>
      <c r="M56" s="65"/>
      <c r="N56" s="65"/>
      <c r="O56" s="65"/>
      <c r="P56" s="65"/>
      <c r="Q56" s="65"/>
      <c r="R56" s="65"/>
      <c r="S56" s="65"/>
      <c r="T56" s="65"/>
      <c r="U56" s="65"/>
      <c r="V56" s="65"/>
      <c r="W56" s="65"/>
      <c r="X56" s="65"/>
      <c r="Y56" s="65"/>
      <c r="Z56" s="65"/>
    </row>
    <row r="57" customFormat="false" ht="15.75" hidden="false" customHeight="true" outlineLevel="0" collapsed="false">
      <c r="A57" s="65"/>
      <c r="B57" s="65"/>
      <c r="C57" s="65"/>
      <c r="D57" s="65"/>
      <c r="E57" s="65"/>
      <c r="F57" s="65"/>
      <c r="G57" s="65"/>
      <c r="H57" s="65"/>
      <c r="I57" s="65"/>
      <c r="J57" s="65"/>
      <c r="K57" s="65"/>
      <c r="L57" s="65"/>
      <c r="M57" s="65"/>
      <c r="N57" s="65"/>
      <c r="O57" s="65"/>
      <c r="P57" s="65"/>
      <c r="Q57" s="65"/>
      <c r="R57" s="65"/>
      <c r="S57" s="65"/>
      <c r="T57" s="65"/>
      <c r="U57" s="65"/>
      <c r="V57" s="65"/>
      <c r="W57" s="65"/>
      <c r="X57" s="65"/>
      <c r="Y57" s="65"/>
      <c r="Z57" s="65"/>
    </row>
    <row r="58" customFormat="false" ht="15.75" hidden="false" customHeight="true" outlineLevel="0" collapsed="false">
      <c r="A58" s="65"/>
      <c r="B58" s="65"/>
      <c r="C58" s="65"/>
      <c r="D58" s="65"/>
      <c r="E58" s="65"/>
      <c r="F58" s="65"/>
      <c r="G58" s="65"/>
      <c r="H58" s="65"/>
      <c r="I58" s="65"/>
      <c r="J58" s="65"/>
      <c r="K58" s="65"/>
      <c r="L58" s="65"/>
      <c r="M58" s="65"/>
      <c r="N58" s="65"/>
      <c r="O58" s="65"/>
      <c r="P58" s="65"/>
      <c r="Q58" s="65"/>
      <c r="R58" s="65"/>
      <c r="S58" s="65"/>
      <c r="T58" s="65"/>
      <c r="U58" s="65"/>
      <c r="V58" s="65"/>
      <c r="W58" s="65"/>
      <c r="X58" s="65"/>
      <c r="Y58" s="65"/>
      <c r="Z58" s="65"/>
    </row>
    <row r="59" customFormat="false" ht="15.75" hidden="false" customHeight="true" outlineLevel="0" collapsed="false">
      <c r="A59" s="65"/>
      <c r="B59" s="65"/>
      <c r="C59" s="65"/>
      <c r="D59" s="65"/>
      <c r="E59" s="65"/>
      <c r="F59" s="65"/>
      <c r="G59" s="65"/>
      <c r="H59" s="65"/>
      <c r="I59" s="65"/>
      <c r="J59" s="65"/>
      <c r="K59" s="65"/>
      <c r="L59" s="65"/>
      <c r="M59" s="65"/>
      <c r="N59" s="65"/>
      <c r="O59" s="65"/>
      <c r="P59" s="65"/>
      <c r="Q59" s="65"/>
      <c r="R59" s="65"/>
      <c r="S59" s="65"/>
      <c r="T59" s="65"/>
      <c r="U59" s="65"/>
      <c r="V59" s="65"/>
      <c r="W59" s="65"/>
      <c r="X59" s="65"/>
      <c r="Y59" s="65"/>
      <c r="Z59" s="65"/>
    </row>
    <row r="60" customFormat="false" ht="15.75" hidden="false" customHeight="true" outlineLevel="0" collapsed="false">
      <c r="A60" s="65"/>
      <c r="B60" s="65"/>
      <c r="C60" s="65"/>
      <c r="D60" s="65"/>
      <c r="E60" s="65"/>
      <c r="F60" s="65"/>
      <c r="G60" s="65"/>
      <c r="H60" s="65"/>
      <c r="I60" s="65"/>
      <c r="J60" s="65"/>
      <c r="K60" s="65"/>
      <c r="L60" s="65"/>
      <c r="M60" s="65"/>
      <c r="N60" s="65"/>
      <c r="O60" s="65"/>
      <c r="P60" s="65"/>
      <c r="Q60" s="65"/>
      <c r="R60" s="65"/>
      <c r="S60" s="65"/>
      <c r="T60" s="65"/>
      <c r="U60" s="65"/>
      <c r="V60" s="65"/>
      <c r="W60" s="65"/>
      <c r="X60" s="65"/>
      <c r="Y60" s="65"/>
      <c r="Z60" s="65"/>
    </row>
    <row r="61" customFormat="false" ht="15.75" hidden="false" customHeight="true" outlineLevel="0" collapsed="false">
      <c r="A61" s="65"/>
      <c r="B61" s="65"/>
      <c r="C61" s="65"/>
      <c r="D61" s="65"/>
      <c r="E61" s="65"/>
      <c r="F61" s="65"/>
      <c r="G61" s="65"/>
      <c r="H61" s="65"/>
      <c r="I61" s="65"/>
      <c r="J61" s="65"/>
      <c r="K61" s="65"/>
      <c r="L61" s="65"/>
      <c r="M61" s="65"/>
      <c r="N61" s="65"/>
      <c r="O61" s="65"/>
      <c r="P61" s="65"/>
      <c r="Q61" s="65"/>
      <c r="R61" s="65"/>
      <c r="S61" s="65"/>
      <c r="T61" s="65"/>
      <c r="U61" s="65"/>
      <c r="V61" s="65"/>
      <c r="W61" s="65"/>
      <c r="X61" s="65"/>
      <c r="Y61" s="65"/>
      <c r="Z61" s="65"/>
    </row>
    <row r="62" customFormat="false" ht="15.75" hidden="false" customHeight="true" outlineLevel="0" collapsed="false">
      <c r="A62" s="65"/>
      <c r="B62" s="65"/>
      <c r="C62" s="65"/>
      <c r="D62" s="65"/>
      <c r="E62" s="65"/>
      <c r="F62" s="65"/>
      <c r="G62" s="65"/>
      <c r="H62" s="65"/>
      <c r="I62" s="65"/>
      <c r="J62" s="65"/>
      <c r="K62" s="65"/>
      <c r="L62" s="65"/>
      <c r="M62" s="65"/>
      <c r="N62" s="65"/>
      <c r="O62" s="65"/>
      <c r="P62" s="65"/>
      <c r="Q62" s="65"/>
      <c r="R62" s="65"/>
      <c r="S62" s="65"/>
      <c r="T62" s="65"/>
      <c r="U62" s="65"/>
      <c r="V62" s="65"/>
      <c r="W62" s="65"/>
      <c r="X62" s="65"/>
      <c r="Y62" s="65"/>
      <c r="Z62" s="65"/>
    </row>
    <row r="63" customFormat="false" ht="15.75" hidden="false" customHeight="true" outlineLevel="0" collapsed="false">
      <c r="A63" s="65"/>
      <c r="B63" s="65"/>
      <c r="C63" s="65"/>
      <c r="D63" s="65"/>
      <c r="E63" s="65"/>
      <c r="F63" s="65"/>
      <c r="G63" s="65"/>
      <c r="H63" s="65"/>
      <c r="I63" s="65"/>
      <c r="J63" s="65"/>
      <c r="K63" s="65"/>
      <c r="L63" s="65"/>
      <c r="M63" s="65"/>
      <c r="N63" s="65"/>
      <c r="O63" s="65"/>
      <c r="P63" s="65"/>
      <c r="Q63" s="65"/>
      <c r="R63" s="65"/>
      <c r="S63" s="65"/>
      <c r="T63" s="65"/>
      <c r="U63" s="65"/>
      <c r="V63" s="65"/>
      <c r="W63" s="65"/>
      <c r="X63" s="65"/>
      <c r="Y63" s="65"/>
      <c r="Z63" s="65"/>
    </row>
    <row r="64" customFormat="false" ht="15.75" hidden="false" customHeight="true" outlineLevel="0" collapsed="false">
      <c r="A64" s="65"/>
      <c r="B64" s="65"/>
      <c r="C64" s="65"/>
      <c r="D64" s="65"/>
      <c r="E64" s="65"/>
      <c r="F64" s="65"/>
      <c r="G64" s="65"/>
      <c r="H64" s="65"/>
      <c r="I64" s="65"/>
      <c r="J64" s="65"/>
      <c r="K64" s="65"/>
      <c r="L64" s="65"/>
      <c r="M64" s="65"/>
      <c r="N64" s="65"/>
      <c r="O64" s="65"/>
      <c r="P64" s="65"/>
      <c r="Q64" s="65"/>
      <c r="R64" s="65"/>
      <c r="S64" s="65"/>
      <c r="T64" s="65"/>
      <c r="U64" s="65"/>
      <c r="V64" s="65"/>
      <c r="W64" s="65"/>
      <c r="X64" s="65"/>
      <c r="Y64" s="65"/>
      <c r="Z64" s="65"/>
    </row>
    <row r="65" customFormat="false" ht="15.75" hidden="false" customHeight="true" outlineLevel="0" collapsed="false">
      <c r="A65" s="65"/>
      <c r="B65" s="65"/>
      <c r="C65" s="65"/>
      <c r="D65" s="65"/>
      <c r="E65" s="65"/>
      <c r="F65" s="65"/>
      <c r="G65" s="65"/>
      <c r="H65" s="65"/>
      <c r="I65" s="65"/>
      <c r="J65" s="65"/>
      <c r="K65" s="65"/>
      <c r="L65" s="65"/>
      <c r="M65" s="65"/>
      <c r="N65" s="65"/>
      <c r="O65" s="65"/>
      <c r="P65" s="65"/>
      <c r="Q65" s="65"/>
      <c r="R65" s="65"/>
      <c r="S65" s="65"/>
      <c r="T65" s="65"/>
      <c r="U65" s="65"/>
      <c r="V65" s="65"/>
      <c r="W65" s="65"/>
      <c r="X65" s="65"/>
      <c r="Y65" s="65"/>
      <c r="Z65" s="65"/>
    </row>
    <row r="66" customFormat="false" ht="15.75" hidden="false" customHeight="true" outlineLevel="0" collapsed="false">
      <c r="A66" s="65"/>
      <c r="B66" s="65"/>
      <c r="C66" s="65"/>
      <c r="D66" s="65"/>
      <c r="E66" s="65"/>
      <c r="F66" s="65"/>
      <c r="G66" s="65"/>
      <c r="H66" s="65"/>
      <c r="I66" s="65"/>
      <c r="J66" s="65"/>
      <c r="K66" s="65"/>
      <c r="L66" s="65"/>
      <c r="M66" s="65"/>
      <c r="N66" s="65"/>
      <c r="O66" s="65"/>
      <c r="P66" s="65"/>
      <c r="Q66" s="65"/>
      <c r="R66" s="65"/>
      <c r="S66" s="65"/>
      <c r="T66" s="65"/>
      <c r="U66" s="65"/>
      <c r="V66" s="65"/>
      <c r="W66" s="65"/>
      <c r="X66" s="65"/>
      <c r="Y66" s="65"/>
      <c r="Z66" s="65"/>
    </row>
    <row r="67" customFormat="false" ht="15.75" hidden="false" customHeight="true" outlineLevel="0" collapsed="false">
      <c r="A67" s="65"/>
      <c r="B67" s="65"/>
      <c r="C67" s="65"/>
      <c r="D67" s="65"/>
      <c r="E67" s="65"/>
      <c r="F67" s="65"/>
      <c r="G67" s="65"/>
      <c r="H67" s="65"/>
      <c r="I67" s="65"/>
      <c r="J67" s="65"/>
      <c r="K67" s="65"/>
      <c r="L67" s="65"/>
      <c r="M67" s="65"/>
      <c r="N67" s="65"/>
      <c r="O67" s="65"/>
      <c r="P67" s="65"/>
      <c r="Q67" s="65"/>
      <c r="R67" s="65"/>
      <c r="S67" s="65"/>
      <c r="T67" s="65"/>
      <c r="U67" s="65"/>
      <c r="V67" s="65"/>
      <c r="W67" s="65"/>
      <c r="X67" s="65"/>
      <c r="Y67" s="65"/>
      <c r="Z67" s="65"/>
    </row>
    <row r="68" customFormat="false" ht="15.75" hidden="false" customHeight="true" outlineLevel="0" collapsed="false">
      <c r="A68" s="65"/>
      <c r="B68" s="65"/>
      <c r="C68" s="65"/>
      <c r="D68" s="65"/>
      <c r="E68" s="65"/>
      <c r="F68" s="65"/>
      <c r="G68" s="65"/>
      <c r="H68" s="65"/>
      <c r="I68" s="65"/>
      <c r="J68" s="65"/>
      <c r="K68" s="65"/>
      <c r="L68" s="65"/>
      <c r="M68" s="65"/>
      <c r="N68" s="65"/>
      <c r="O68" s="65"/>
      <c r="P68" s="65"/>
      <c r="Q68" s="65"/>
      <c r="R68" s="65"/>
      <c r="S68" s="65"/>
      <c r="T68" s="65"/>
      <c r="U68" s="65"/>
      <c r="V68" s="65"/>
      <c r="W68" s="65"/>
      <c r="X68" s="65"/>
      <c r="Y68" s="65"/>
      <c r="Z68" s="65"/>
    </row>
    <row r="69" customFormat="false" ht="15.75" hidden="false" customHeight="true" outlineLevel="0" collapsed="false">
      <c r="A69" s="65"/>
      <c r="B69" s="65"/>
      <c r="C69" s="65"/>
      <c r="D69" s="65"/>
      <c r="E69" s="65"/>
      <c r="F69" s="65"/>
      <c r="G69" s="65"/>
      <c r="H69" s="65"/>
      <c r="I69" s="65"/>
      <c r="J69" s="65"/>
      <c r="K69" s="65"/>
      <c r="L69" s="65"/>
      <c r="M69" s="65"/>
      <c r="N69" s="65"/>
      <c r="O69" s="65"/>
      <c r="P69" s="65"/>
      <c r="Q69" s="65"/>
      <c r="R69" s="65"/>
      <c r="S69" s="65"/>
      <c r="T69" s="65"/>
      <c r="U69" s="65"/>
      <c r="V69" s="65"/>
      <c r="W69" s="65"/>
      <c r="X69" s="65"/>
      <c r="Y69" s="65"/>
      <c r="Z69" s="65"/>
    </row>
    <row r="70" customFormat="false" ht="15.75" hidden="false" customHeight="true" outlineLevel="0" collapsed="false">
      <c r="A70" s="65"/>
      <c r="B70" s="65"/>
      <c r="C70" s="65"/>
      <c r="D70" s="65"/>
      <c r="E70" s="65"/>
      <c r="F70" s="65"/>
      <c r="G70" s="65"/>
      <c r="H70" s="65"/>
      <c r="I70" s="65"/>
      <c r="J70" s="65"/>
      <c r="K70" s="65"/>
      <c r="L70" s="65"/>
      <c r="M70" s="65"/>
      <c r="N70" s="65"/>
      <c r="O70" s="65"/>
      <c r="P70" s="65"/>
      <c r="Q70" s="65"/>
      <c r="R70" s="65"/>
      <c r="S70" s="65"/>
      <c r="T70" s="65"/>
      <c r="U70" s="65"/>
      <c r="V70" s="65"/>
      <c r="W70" s="65"/>
      <c r="X70" s="65"/>
      <c r="Y70" s="65"/>
      <c r="Z70" s="65"/>
    </row>
    <row r="71" customFormat="false" ht="15.75" hidden="false" customHeight="true" outlineLevel="0" collapsed="false">
      <c r="A71" s="65"/>
      <c r="B71" s="65"/>
      <c r="C71" s="65"/>
      <c r="D71" s="65"/>
      <c r="E71" s="65"/>
      <c r="F71" s="65"/>
      <c r="G71" s="65"/>
      <c r="H71" s="65"/>
      <c r="I71" s="65"/>
      <c r="J71" s="65"/>
      <c r="K71" s="65"/>
      <c r="L71" s="65"/>
      <c r="M71" s="65"/>
      <c r="N71" s="65"/>
      <c r="O71" s="65"/>
      <c r="P71" s="65"/>
      <c r="Q71" s="65"/>
      <c r="R71" s="65"/>
      <c r="S71" s="65"/>
      <c r="T71" s="65"/>
      <c r="U71" s="65"/>
      <c r="V71" s="65"/>
      <c r="W71" s="65"/>
      <c r="X71" s="65"/>
      <c r="Y71" s="65"/>
      <c r="Z71" s="65"/>
    </row>
    <row r="72" customFormat="false" ht="15.75" hidden="false" customHeight="true" outlineLevel="0" collapsed="false">
      <c r="A72" s="65"/>
      <c r="B72" s="65"/>
      <c r="C72" s="65"/>
      <c r="D72" s="65"/>
      <c r="E72" s="65"/>
      <c r="F72" s="65"/>
      <c r="G72" s="65"/>
      <c r="H72" s="65"/>
      <c r="I72" s="65"/>
      <c r="J72" s="65"/>
      <c r="K72" s="65"/>
      <c r="L72" s="65"/>
      <c r="M72" s="65"/>
      <c r="N72" s="65"/>
      <c r="O72" s="65"/>
      <c r="P72" s="65"/>
      <c r="Q72" s="65"/>
      <c r="R72" s="65"/>
      <c r="S72" s="65"/>
      <c r="T72" s="65"/>
      <c r="U72" s="65"/>
      <c r="V72" s="65"/>
      <c r="W72" s="65"/>
      <c r="X72" s="65"/>
      <c r="Y72" s="65"/>
      <c r="Z72" s="65"/>
    </row>
    <row r="73" customFormat="false" ht="15.75" hidden="false" customHeight="true" outlineLevel="0" collapsed="false">
      <c r="A73" s="65"/>
      <c r="B73" s="65"/>
      <c r="C73" s="65"/>
      <c r="D73" s="65"/>
      <c r="E73" s="65"/>
      <c r="F73" s="65"/>
      <c r="G73" s="65"/>
      <c r="H73" s="65"/>
      <c r="I73" s="65"/>
      <c r="J73" s="65"/>
      <c r="K73" s="65"/>
      <c r="L73" s="65"/>
      <c r="M73" s="65"/>
      <c r="N73" s="65"/>
      <c r="O73" s="65"/>
      <c r="P73" s="65"/>
      <c r="Q73" s="65"/>
      <c r="R73" s="65"/>
      <c r="S73" s="65"/>
      <c r="T73" s="65"/>
      <c r="U73" s="65"/>
      <c r="V73" s="65"/>
      <c r="W73" s="65"/>
      <c r="X73" s="65"/>
      <c r="Y73" s="65"/>
      <c r="Z73" s="65"/>
    </row>
    <row r="74" customFormat="false" ht="15.75" hidden="false" customHeight="true" outlineLevel="0" collapsed="false">
      <c r="A74" s="65"/>
      <c r="B74" s="65"/>
      <c r="C74" s="65"/>
      <c r="D74" s="65"/>
      <c r="E74" s="65"/>
      <c r="F74" s="65"/>
      <c r="G74" s="65"/>
      <c r="H74" s="65"/>
      <c r="I74" s="65"/>
      <c r="J74" s="65"/>
      <c r="K74" s="65"/>
      <c r="L74" s="65"/>
      <c r="M74" s="65"/>
      <c r="N74" s="65"/>
      <c r="O74" s="65"/>
      <c r="P74" s="65"/>
      <c r="Q74" s="65"/>
      <c r="R74" s="65"/>
      <c r="S74" s="65"/>
      <c r="T74" s="65"/>
      <c r="U74" s="65"/>
      <c r="V74" s="65"/>
      <c r="W74" s="65"/>
      <c r="X74" s="65"/>
      <c r="Y74" s="65"/>
      <c r="Z74" s="65"/>
    </row>
    <row r="75" customFormat="false" ht="15.75" hidden="false" customHeight="true" outlineLevel="0" collapsed="false">
      <c r="A75" s="65"/>
      <c r="B75" s="65"/>
      <c r="C75" s="65"/>
      <c r="D75" s="65"/>
      <c r="E75" s="65"/>
      <c r="F75" s="65"/>
      <c r="G75" s="65"/>
      <c r="H75" s="65"/>
      <c r="I75" s="65"/>
      <c r="J75" s="65"/>
      <c r="K75" s="65"/>
      <c r="L75" s="65"/>
      <c r="M75" s="65"/>
      <c r="N75" s="65"/>
      <c r="O75" s="65"/>
      <c r="P75" s="65"/>
      <c r="Q75" s="65"/>
      <c r="R75" s="65"/>
      <c r="S75" s="65"/>
      <c r="T75" s="65"/>
      <c r="U75" s="65"/>
      <c r="V75" s="65"/>
      <c r="W75" s="65"/>
      <c r="X75" s="65"/>
      <c r="Y75" s="65"/>
      <c r="Z75" s="65"/>
    </row>
    <row r="76" customFormat="false" ht="15.75" hidden="false" customHeight="true" outlineLevel="0" collapsed="false">
      <c r="A76" s="65"/>
      <c r="B76" s="65"/>
      <c r="C76" s="65"/>
      <c r="D76" s="65"/>
      <c r="E76" s="65"/>
      <c r="F76" s="65"/>
      <c r="G76" s="65"/>
      <c r="H76" s="65"/>
      <c r="I76" s="65"/>
      <c r="J76" s="65"/>
      <c r="K76" s="65"/>
      <c r="L76" s="65"/>
      <c r="M76" s="65"/>
      <c r="N76" s="65"/>
      <c r="O76" s="65"/>
      <c r="P76" s="65"/>
      <c r="Q76" s="65"/>
      <c r="R76" s="65"/>
      <c r="S76" s="65"/>
      <c r="T76" s="65"/>
      <c r="U76" s="65"/>
      <c r="V76" s="65"/>
      <c r="W76" s="65"/>
      <c r="X76" s="65"/>
      <c r="Y76" s="65"/>
      <c r="Z76" s="65"/>
    </row>
    <row r="77" customFormat="false" ht="15.75" hidden="false" customHeight="true" outlineLevel="0" collapsed="false">
      <c r="A77" s="65"/>
      <c r="B77" s="65"/>
      <c r="C77" s="65"/>
      <c r="D77" s="65"/>
      <c r="E77" s="65"/>
      <c r="F77" s="65"/>
      <c r="G77" s="65"/>
      <c r="H77" s="65"/>
      <c r="I77" s="65"/>
      <c r="J77" s="65"/>
      <c r="K77" s="65"/>
      <c r="L77" s="65"/>
      <c r="M77" s="65"/>
      <c r="N77" s="65"/>
      <c r="O77" s="65"/>
      <c r="P77" s="65"/>
      <c r="Q77" s="65"/>
      <c r="R77" s="65"/>
      <c r="S77" s="65"/>
      <c r="T77" s="65"/>
      <c r="U77" s="65"/>
      <c r="V77" s="65"/>
      <c r="W77" s="65"/>
      <c r="X77" s="65"/>
      <c r="Y77" s="65"/>
      <c r="Z77" s="65"/>
    </row>
    <row r="78" customFormat="false" ht="15.75" hidden="false" customHeight="true" outlineLevel="0" collapsed="false">
      <c r="A78" s="65"/>
      <c r="B78" s="65"/>
      <c r="C78" s="65"/>
      <c r="D78" s="65"/>
      <c r="E78" s="65"/>
      <c r="F78" s="65"/>
      <c r="G78" s="65"/>
      <c r="H78" s="65"/>
      <c r="I78" s="65"/>
      <c r="J78" s="65"/>
      <c r="K78" s="65"/>
      <c r="L78" s="65"/>
      <c r="M78" s="65"/>
      <c r="N78" s="65"/>
      <c r="O78" s="65"/>
      <c r="P78" s="65"/>
      <c r="Q78" s="65"/>
      <c r="R78" s="65"/>
      <c r="S78" s="65"/>
      <c r="T78" s="65"/>
      <c r="U78" s="65"/>
      <c r="V78" s="65"/>
      <c r="W78" s="65"/>
      <c r="X78" s="65"/>
      <c r="Y78" s="65"/>
      <c r="Z78" s="65"/>
    </row>
    <row r="79" customFormat="false" ht="15.75" hidden="false" customHeight="true" outlineLevel="0" collapsed="false">
      <c r="A79" s="65"/>
      <c r="B79" s="65"/>
      <c r="C79" s="65"/>
      <c r="D79" s="65"/>
      <c r="E79" s="65"/>
      <c r="F79" s="65"/>
      <c r="G79" s="65"/>
      <c r="H79" s="65"/>
      <c r="I79" s="65"/>
      <c r="J79" s="65"/>
      <c r="K79" s="65"/>
      <c r="L79" s="65"/>
      <c r="M79" s="65"/>
      <c r="N79" s="65"/>
      <c r="O79" s="65"/>
      <c r="P79" s="65"/>
      <c r="Q79" s="65"/>
      <c r="R79" s="65"/>
      <c r="S79" s="65"/>
      <c r="T79" s="65"/>
      <c r="U79" s="65"/>
      <c r="V79" s="65"/>
      <c r="W79" s="65"/>
      <c r="X79" s="65"/>
      <c r="Y79" s="65"/>
      <c r="Z79" s="65"/>
    </row>
    <row r="80" customFormat="false" ht="15.75" hidden="false" customHeight="true" outlineLevel="0" collapsed="false">
      <c r="A80" s="65"/>
      <c r="B80" s="65"/>
      <c r="C80" s="65"/>
      <c r="D80" s="65"/>
      <c r="E80" s="65"/>
      <c r="F80" s="65"/>
      <c r="G80" s="65"/>
      <c r="H80" s="65"/>
      <c r="I80" s="65"/>
      <c r="J80" s="65"/>
      <c r="K80" s="65"/>
      <c r="L80" s="65"/>
      <c r="M80" s="65"/>
      <c r="N80" s="65"/>
      <c r="O80" s="65"/>
      <c r="P80" s="65"/>
      <c r="Q80" s="65"/>
      <c r="R80" s="65"/>
      <c r="S80" s="65"/>
      <c r="T80" s="65"/>
      <c r="U80" s="65"/>
      <c r="V80" s="65"/>
      <c r="W80" s="65"/>
      <c r="X80" s="65"/>
      <c r="Y80" s="65"/>
      <c r="Z80" s="65"/>
    </row>
    <row r="81" customFormat="false" ht="15.75" hidden="false" customHeight="true" outlineLevel="0" collapsed="false">
      <c r="A81" s="65"/>
      <c r="B81" s="65"/>
      <c r="C81" s="65"/>
      <c r="D81" s="65"/>
      <c r="E81" s="65"/>
      <c r="F81" s="65"/>
      <c r="G81" s="65"/>
      <c r="H81" s="65"/>
      <c r="I81" s="65"/>
      <c r="J81" s="65"/>
      <c r="K81" s="65"/>
      <c r="L81" s="65"/>
      <c r="M81" s="65"/>
      <c r="N81" s="65"/>
      <c r="O81" s="65"/>
      <c r="P81" s="65"/>
      <c r="Q81" s="65"/>
      <c r="R81" s="65"/>
      <c r="S81" s="65"/>
      <c r="T81" s="65"/>
      <c r="U81" s="65"/>
      <c r="V81" s="65"/>
      <c r="W81" s="65"/>
      <c r="X81" s="65"/>
      <c r="Y81" s="65"/>
      <c r="Z81" s="65"/>
    </row>
    <row r="82" customFormat="false" ht="15.75" hidden="false" customHeight="true" outlineLevel="0" collapsed="false">
      <c r="A82" s="65"/>
      <c r="B82" s="65"/>
      <c r="C82" s="65"/>
      <c r="D82" s="65"/>
      <c r="E82" s="65"/>
      <c r="F82" s="65"/>
      <c r="G82" s="65"/>
      <c r="H82" s="65"/>
      <c r="I82" s="65"/>
      <c r="J82" s="65"/>
      <c r="K82" s="65"/>
      <c r="L82" s="65"/>
      <c r="M82" s="65"/>
      <c r="N82" s="65"/>
      <c r="O82" s="65"/>
      <c r="P82" s="65"/>
      <c r="Q82" s="65"/>
      <c r="R82" s="65"/>
      <c r="S82" s="65"/>
      <c r="T82" s="65"/>
      <c r="U82" s="65"/>
      <c r="V82" s="65"/>
      <c r="W82" s="65"/>
      <c r="X82" s="65"/>
      <c r="Y82" s="65"/>
      <c r="Z82" s="65"/>
    </row>
    <row r="83" customFormat="false" ht="15.75" hidden="false" customHeight="true" outlineLevel="0" collapsed="false">
      <c r="A83" s="65"/>
      <c r="B83" s="65"/>
      <c r="C83" s="65"/>
      <c r="D83" s="65"/>
      <c r="E83" s="65"/>
      <c r="F83" s="65"/>
      <c r="G83" s="65"/>
      <c r="H83" s="65"/>
      <c r="I83" s="65"/>
      <c r="J83" s="65"/>
      <c r="K83" s="65"/>
      <c r="L83" s="65"/>
      <c r="M83" s="65"/>
      <c r="N83" s="65"/>
      <c r="O83" s="65"/>
      <c r="P83" s="65"/>
      <c r="Q83" s="65"/>
      <c r="R83" s="65"/>
      <c r="S83" s="65"/>
      <c r="T83" s="65"/>
      <c r="U83" s="65"/>
      <c r="V83" s="65"/>
      <c r="W83" s="65"/>
      <c r="X83" s="65"/>
      <c r="Y83" s="65"/>
      <c r="Z83" s="65"/>
    </row>
    <row r="84" customFormat="false" ht="15.75" hidden="false" customHeight="true" outlineLevel="0" collapsed="false">
      <c r="A84" s="65"/>
      <c r="B84" s="65"/>
      <c r="C84" s="65"/>
      <c r="D84" s="65"/>
      <c r="E84" s="65"/>
      <c r="F84" s="65"/>
      <c r="G84" s="65"/>
      <c r="H84" s="65"/>
      <c r="I84" s="65"/>
      <c r="J84" s="65"/>
      <c r="K84" s="65"/>
      <c r="L84" s="65"/>
      <c r="M84" s="65"/>
      <c r="N84" s="65"/>
      <c r="O84" s="65"/>
      <c r="P84" s="65"/>
      <c r="Q84" s="65"/>
      <c r="R84" s="65"/>
      <c r="S84" s="65"/>
      <c r="T84" s="65"/>
      <c r="U84" s="65"/>
      <c r="V84" s="65"/>
      <c r="W84" s="65"/>
      <c r="X84" s="65"/>
      <c r="Y84" s="65"/>
      <c r="Z84" s="65"/>
    </row>
    <row r="85" customFormat="false" ht="15.75" hidden="false" customHeight="true" outlineLevel="0" collapsed="false">
      <c r="A85" s="65"/>
      <c r="B85" s="65"/>
      <c r="C85" s="65"/>
      <c r="D85" s="65"/>
      <c r="E85" s="65"/>
      <c r="F85" s="65"/>
      <c r="G85" s="65"/>
      <c r="H85" s="65"/>
      <c r="I85" s="65"/>
      <c r="J85" s="65"/>
      <c r="K85" s="65"/>
      <c r="L85" s="65"/>
      <c r="M85" s="65"/>
      <c r="N85" s="65"/>
      <c r="O85" s="65"/>
      <c r="P85" s="65"/>
      <c r="Q85" s="65"/>
      <c r="R85" s="65"/>
      <c r="S85" s="65"/>
      <c r="T85" s="65"/>
      <c r="U85" s="65"/>
      <c r="V85" s="65"/>
      <c r="W85" s="65"/>
      <c r="X85" s="65"/>
      <c r="Y85" s="65"/>
      <c r="Z85" s="65"/>
    </row>
    <row r="86" customFormat="false" ht="15.75" hidden="false" customHeight="true" outlineLevel="0" collapsed="false">
      <c r="A86" s="65"/>
      <c r="B86" s="65"/>
      <c r="C86" s="65"/>
      <c r="D86" s="65"/>
      <c r="E86" s="65"/>
      <c r="F86" s="65"/>
      <c r="G86" s="65"/>
      <c r="H86" s="65"/>
      <c r="I86" s="65"/>
      <c r="J86" s="65"/>
      <c r="K86" s="65"/>
      <c r="L86" s="65"/>
      <c r="M86" s="65"/>
      <c r="N86" s="65"/>
      <c r="O86" s="65"/>
      <c r="P86" s="65"/>
      <c r="Q86" s="65"/>
      <c r="R86" s="65"/>
      <c r="S86" s="65"/>
      <c r="T86" s="65"/>
      <c r="U86" s="65"/>
      <c r="V86" s="65"/>
      <c r="W86" s="65"/>
      <c r="X86" s="65"/>
      <c r="Y86" s="65"/>
      <c r="Z86" s="65"/>
    </row>
    <row r="87" customFormat="false" ht="15.75" hidden="false" customHeight="true" outlineLevel="0" collapsed="false">
      <c r="A87" s="65"/>
      <c r="B87" s="65"/>
      <c r="C87" s="65"/>
      <c r="D87" s="65"/>
      <c r="E87" s="65"/>
      <c r="F87" s="65"/>
      <c r="G87" s="65"/>
      <c r="H87" s="65"/>
      <c r="I87" s="65"/>
      <c r="J87" s="65"/>
      <c r="K87" s="65"/>
      <c r="L87" s="65"/>
      <c r="M87" s="65"/>
      <c r="N87" s="65"/>
      <c r="O87" s="65"/>
      <c r="P87" s="65"/>
      <c r="Q87" s="65"/>
      <c r="R87" s="65"/>
      <c r="S87" s="65"/>
      <c r="T87" s="65"/>
      <c r="U87" s="65"/>
      <c r="V87" s="65"/>
      <c r="W87" s="65"/>
      <c r="X87" s="65"/>
      <c r="Y87" s="65"/>
      <c r="Z87" s="65"/>
    </row>
    <row r="88" customFormat="false" ht="15.75" hidden="false" customHeight="true" outlineLevel="0" collapsed="false">
      <c r="A88" s="65"/>
      <c r="B88" s="65"/>
      <c r="C88" s="65"/>
      <c r="D88" s="65"/>
      <c r="E88" s="65"/>
      <c r="F88" s="65"/>
      <c r="G88" s="65"/>
      <c r="H88" s="65"/>
      <c r="I88" s="65"/>
      <c r="J88" s="65"/>
      <c r="K88" s="65"/>
      <c r="L88" s="65"/>
      <c r="M88" s="65"/>
      <c r="N88" s="65"/>
      <c r="O88" s="65"/>
      <c r="P88" s="65"/>
      <c r="Q88" s="65"/>
      <c r="R88" s="65"/>
      <c r="S88" s="65"/>
      <c r="T88" s="65"/>
      <c r="U88" s="65"/>
      <c r="V88" s="65"/>
      <c r="W88" s="65"/>
      <c r="X88" s="65"/>
      <c r="Y88" s="65"/>
      <c r="Z88" s="65"/>
    </row>
    <row r="89" customFormat="false" ht="15.75" hidden="false" customHeight="true" outlineLevel="0" collapsed="false">
      <c r="A89" s="65"/>
      <c r="B89" s="65"/>
      <c r="C89" s="65"/>
      <c r="D89" s="65"/>
      <c r="E89" s="65"/>
      <c r="F89" s="65"/>
      <c r="G89" s="65"/>
      <c r="H89" s="65"/>
      <c r="I89" s="65"/>
      <c r="J89" s="65"/>
      <c r="K89" s="65"/>
      <c r="L89" s="65"/>
      <c r="M89" s="65"/>
      <c r="N89" s="65"/>
      <c r="O89" s="65"/>
      <c r="P89" s="65"/>
      <c r="Q89" s="65"/>
      <c r="R89" s="65"/>
      <c r="S89" s="65"/>
      <c r="T89" s="65"/>
      <c r="U89" s="65"/>
      <c r="V89" s="65"/>
      <c r="W89" s="65"/>
      <c r="X89" s="65"/>
      <c r="Y89" s="65"/>
      <c r="Z89" s="65"/>
    </row>
    <row r="90" customFormat="false" ht="15.75" hidden="false" customHeight="true" outlineLevel="0" collapsed="false">
      <c r="A90" s="65"/>
      <c r="B90" s="65"/>
      <c r="C90" s="65"/>
      <c r="D90" s="65"/>
      <c r="E90" s="65"/>
      <c r="F90" s="65"/>
      <c r="G90" s="65"/>
      <c r="H90" s="65"/>
      <c r="I90" s="65"/>
      <c r="J90" s="65"/>
      <c r="K90" s="65"/>
      <c r="L90" s="65"/>
      <c r="M90" s="65"/>
      <c r="N90" s="65"/>
      <c r="O90" s="65"/>
      <c r="P90" s="65"/>
      <c r="Q90" s="65"/>
      <c r="R90" s="65"/>
      <c r="S90" s="65"/>
      <c r="T90" s="65"/>
      <c r="U90" s="65"/>
      <c r="V90" s="65"/>
      <c r="W90" s="65"/>
      <c r="X90" s="65"/>
      <c r="Y90" s="65"/>
      <c r="Z90" s="65"/>
    </row>
    <row r="91" customFormat="false" ht="15.75" hidden="false" customHeight="true" outlineLevel="0" collapsed="false">
      <c r="A91" s="65"/>
      <c r="B91" s="65"/>
      <c r="C91" s="65"/>
      <c r="D91" s="65"/>
      <c r="E91" s="65"/>
      <c r="F91" s="65"/>
      <c r="G91" s="65"/>
      <c r="H91" s="65"/>
      <c r="I91" s="65"/>
      <c r="J91" s="65"/>
      <c r="K91" s="65"/>
      <c r="L91" s="65"/>
      <c r="M91" s="65"/>
      <c r="N91" s="65"/>
      <c r="O91" s="65"/>
      <c r="P91" s="65"/>
      <c r="Q91" s="65"/>
      <c r="R91" s="65"/>
      <c r="S91" s="65"/>
      <c r="T91" s="65"/>
      <c r="U91" s="65"/>
      <c r="V91" s="65"/>
      <c r="W91" s="65"/>
      <c r="X91" s="65"/>
      <c r="Y91" s="65"/>
      <c r="Z91" s="65"/>
    </row>
    <row r="92" customFormat="false" ht="15.75" hidden="false" customHeight="true" outlineLevel="0" collapsed="false">
      <c r="A92" s="65"/>
      <c r="B92" s="65"/>
      <c r="C92" s="65"/>
      <c r="D92" s="65"/>
      <c r="E92" s="65"/>
      <c r="F92" s="65"/>
      <c r="G92" s="65"/>
      <c r="H92" s="65"/>
      <c r="I92" s="65"/>
      <c r="J92" s="65"/>
      <c r="K92" s="65"/>
      <c r="L92" s="65"/>
      <c r="M92" s="65"/>
      <c r="N92" s="65"/>
      <c r="O92" s="65"/>
      <c r="P92" s="65"/>
      <c r="Q92" s="65"/>
      <c r="R92" s="65"/>
      <c r="S92" s="65"/>
      <c r="T92" s="65"/>
      <c r="U92" s="65"/>
      <c r="V92" s="65"/>
      <c r="W92" s="65"/>
      <c r="X92" s="65"/>
      <c r="Y92" s="65"/>
      <c r="Z92" s="65"/>
    </row>
    <row r="93" customFormat="false" ht="15.75" hidden="false" customHeight="true" outlineLevel="0" collapsed="false">
      <c r="A93" s="65"/>
      <c r="B93" s="65"/>
      <c r="C93" s="65"/>
      <c r="D93" s="65"/>
      <c r="E93" s="65"/>
      <c r="F93" s="65"/>
      <c r="G93" s="65"/>
      <c r="H93" s="65"/>
      <c r="I93" s="65"/>
      <c r="J93" s="65"/>
      <c r="K93" s="65"/>
      <c r="L93" s="65"/>
      <c r="M93" s="65"/>
      <c r="N93" s="65"/>
      <c r="O93" s="65"/>
      <c r="P93" s="65"/>
      <c r="Q93" s="65"/>
      <c r="R93" s="65"/>
      <c r="S93" s="65"/>
      <c r="T93" s="65"/>
      <c r="U93" s="65"/>
      <c r="V93" s="65"/>
      <c r="W93" s="65"/>
      <c r="X93" s="65"/>
      <c r="Y93" s="65"/>
      <c r="Z93" s="65"/>
    </row>
    <row r="94" customFormat="false" ht="15.75" hidden="false" customHeight="true" outlineLevel="0" collapsed="false">
      <c r="A94" s="65"/>
      <c r="B94" s="65"/>
      <c r="C94" s="65"/>
      <c r="D94" s="65"/>
      <c r="E94" s="65"/>
      <c r="F94" s="65"/>
      <c r="G94" s="65"/>
      <c r="H94" s="65"/>
      <c r="I94" s="65"/>
      <c r="J94" s="65"/>
      <c r="K94" s="65"/>
      <c r="L94" s="65"/>
      <c r="M94" s="65"/>
      <c r="N94" s="65"/>
      <c r="O94" s="65"/>
      <c r="P94" s="65"/>
      <c r="Q94" s="65"/>
      <c r="R94" s="65"/>
      <c r="S94" s="65"/>
      <c r="T94" s="65"/>
      <c r="U94" s="65"/>
      <c r="V94" s="65"/>
      <c r="W94" s="65"/>
      <c r="X94" s="65"/>
      <c r="Y94" s="65"/>
      <c r="Z94" s="65"/>
    </row>
    <row r="95" customFormat="false" ht="15.75" hidden="false" customHeight="true" outlineLevel="0" collapsed="false">
      <c r="A95" s="65"/>
      <c r="B95" s="65"/>
      <c r="C95" s="65"/>
      <c r="D95" s="65"/>
      <c r="E95" s="65"/>
      <c r="F95" s="65"/>
      <c r="G95" s="65"/>
      <c r="H95" s="65"/>
      <c r="I95" s="65"/>
      <c r="J95" s="65"/>
      <c r="K95" s="65"/>
      <c r="L95" s="65"/>
      <c r="M95" s="65"/>
      <c r="N95" s="65"/>
      <c r="O95" s="65"/>
      <c r="P95" s="65"/>
      <c r="Q95" s="65"/>
      <c r="R95" s="65"/>
      <c r="S95" s="65"/>
      <c r="T95" s="65"/>
      <c r="U95" s="65"/>
      <c r="V95" s="65"/>
      <c r="W95" s="65"/>
      <c r="X95" s="65"/>
      <c r="Y95" s="65"/>
      <c r="Z95" s="65"/>
    </row>
    <row r="96" customFormat="false" ht="15.75" hidden="false" customHeight="true" outlineLevel="0" collapsed="false">
      <c r="A96" s="65"/>
      <c r="B96" s="65"/>
      <c r="C96" s="65"/>
      <c r="D96" s="65"/>
      <c r="E96" s="65"/>
      <c r="F96" s="65"/>
      <c r="G96" s="65"/>
      <c r="H96" s="65"/>
      <c r="I96" s="65"/>
      <c r="J96" s="65"/>
      <c r="K96" s="65"/>
      <c r="L96" s="65"/>
      <c r="M96" s="65"/>
      <c r="N96" s="65"/>
      <c r="O96" s="65"/>
      <c r="P96" s="65"/>
      <c r="Q96" s="65"/>
      <c r="R96" s="65"/>
      <c r="S96" s="65"/>
      <c r="T96" s="65"/>
      <c r="U96" s="65"/>
      <c r="V96" s="65"/>
      <c r="W96" s="65"/>
      <c r="X96" s="65"/>
      <c r="Y96" s="65"/>
      <c r="Z96" s="65"/>
    </row>
    <row r="97" customFormat="false" ht="15.75" hidden="false" customHeight="true" outlineLevel="0" collapsed="false">
      <c r="A97" s="65"/>
      <c r="B97" s="65"/>
      <c r="C97" s="65"/>
      <c r="D97" s="65"/>
      <c r="E97" s="65"/>
      <c r="F97" s="65"/>
      <c r="G97" s="65"/>
      <c r="H97" s="65"/>
      <c r="I97" s="65"/>
      <c r="J97" s="65"/>
      <c r="K97" s="65"/>
      <c r="L97" s="65"/>
      <c r="M97" s="65"/>
      <c r="N97" s="65"/>
      <c r="O97" s="65"/>
      <c r="P97" s="65"/>
      <c r="Q97" s="65"/>
      <c r="R97" s="65"/>
      <c r="S97" s="65"/>
      <c r="T97" s="65"/>
      <c r="U97" s="65"/>
      <c r="V97" s="65"/>
      <c r="W97" s="65"/>
      <c r="X97" s="65"/>
      <c r="Y97" s="65"/>
      <c r="Z97" s="65"/>
    </row>
    <row r="98" customFormat="false" ht="15.75" hidden="false" customHeight="true" outlineLevel="0" collapsed="false">
      <c r="A98" s="65"/>
      <c r="B98" s="65"/>
      <c r="C98" s="65"/>
      <c r="D98" s="65"/>
      <c r="E98" s="65"/>
      <c r="F98" s="65"/>
      <c r="G98" s="65"/>
      <c r="H98" s="65"/>
      <c r="I98" s="65"/>
      <c r="J98" s="65"/>
      <c r="K98" s="65"/>
      <c r="L98" s="65"/>
      <c r="M98" s="65"/>
      <c r="N98" s="65"/>
      <c r="O98" s="65"/>
      <c r="P98" s="65"/>
      <c r="Q98" s="65"/>
      <c r="R98" s="65"/>
      <c r="S98" s="65"/>
      <c r="T98" s="65"/>
      <c r="U98" s="65"/>
      <c r="V98" s="65"/>
      <c r="W98" s="65"/>
      <c r="X98" s="65"/>
      <c r="Y98" s="65"/>
      <c r="Z98" s="65"/>
    </row>
    <row r="99" customFormat="false" ht="15.75" hidden="false" customHeight="true" outlineLevel="0" collapsed="false">
      <c r="A99" s="65"/>
      <c r="B99" s="65"/>
      <c r="C99" s="65"/>
      <c r="D99" s="65"/>
      <c r="E99" s="65"/>
      <c r="F99" s="65"/>
      <c r="G99" s="65"/>
      <c r="H99" s="65"/>
      <c r="I99" s="65"/>
      <c r="J99" s="65"/>
      <c r="K99" s="65"/>
      <c r="L99" s="65"/>
      <c r="M99" s="65"/>
      <c r="N99" s="65"/>
      <c r="O99" s="65"/>
      <c r="P99" s="65"/>
      <c r="Q99" s="65"/>
      <c r="R99" s="65"/>
      <c r="S99" s="65"/>
      <c r="T99" s="65"/>
      <c r="U99" s="65"/>
      <c r="V99" s="65"/>
      <c r="W99" s="65"/>
      <c r="X99" s="65"/>
      <c r="Y99" s="65"/>
      <c r="Z99" s="65"/>
    </row>
    <row r="100" customFormat="false" ht="15.75" hidden="false" customHeight="true" outlineLevel="0" collapsed="false">
      <c r="A100" s="65"/>
      <c r="B100" s="65"/>
      <c r="C100" s="65"/>
      <c r="D100" s="65"/>
      <c r="E100" s="65"/>
      <c r="F100" s="65"/>
      <c r="G100" s="65"/>
      <c r="H100" s="65"/>
      <c r="I100" s="65"/>
      <c r="J100" s="65"/>
      <c r="K100" s="65"/>
      <c r="L100" s="65"/>
      <c r="M100" s="65"/>
      <c r="N100" s="65"/>
      <c r="O100" s="65"/>
      <c r="P100" s="65"/>
      <c r="Q100" s="65"/>
      <c r="R100" s="65"/>
      <c r="S100" s="65"/>
      <c r="T100" s="65"/>
      <c r="U100" s="65"/>
      <c r="V100" s="65"/>
      <c r="W100" s="65"/>
      <c r="X100" s="65"/>
      <c r="Y100" s="65"/>
      <c r="Z100" s="65"/>
    </row>
    <row r="101" customFormat="false" ht="15.75" hidden="false" customHeight="true" outlineLevel="0" collapsed="false">
      <c r="A101" s="65"/>
      <c r="B101" s="65"/>
      <c r="C101" s="65"/>
      <c r="D101" s="65"/>
      <c r="E101" s="65"/>
      <c r="F101" s="65"/>
      <c r="G101" s="65"/>
      <c r="H101" s="65"/>
      <c r="I101" s="65"/>
      <c r="J101" s="65"/>
      <c r="K101" s="65"/>
      <c r="L101" s="65"/>
      <c r="M101" s="65"/>
      <c r="N101" s="65"/>
      <c r="O101" s="65"/>
      <c r="P101" s="65"/>
      <c r="Q101" s="65"/>
      <c r="R101" s="65"/>
      <c r="S101" s="65"/>
      <c r="T101" s="65"/>
      <c r="U101" s="65"/>
      <c r="V101" s="65"/>
      <c r="W101" s="65"/>
      <c r="X101" s="65"/>
      <c r="Y101" s="65"/>
      <c r="Z101" s="65"/>
    </row>
    <row r="102" customFormat="false" ht="15.75" hidden="false" customHeight="true" outlineLevel="0" collapsed="false">
      <c r="A102" s="65"/>
      <c r="B102" s="65"/>
      <c r="C102" s="65"/>
      <c r="D102" s="65"/>
      <c r="E102" s="65"/>
      <c r="F102" s="65"/>
      <c r="G102" s="65"/>
      <c r="H102" s="65"/>
      <c r="I102" s="65"/>
      <c r="J102" s="65"/>
      <c r="K102" s="65"/>
      <c r="L102" s="65"/>
      <c r="M102" s="65"/>
      <c r="N102" s="65"/>
      <c r="O102" s="65"/>
      <c r="P102" s="65"/>
      <c r="Q102" s="65"/>
      <c r="R102" s="65"/>
      <c r="S102" s="65"/>
      <c r="T102" s="65"/>
      <c r="U102" s="65"/>
      <c r="V102" s="65"/>
      <c r="W102" s="65"/>
      <c r="X102" s="65"/>
      <c r="Y102" s="65"/>
      <c r="Z102" s="65"/>
    </row>
    <row r="103" customFormat="false" ht="15.75" hidden="false" customHeight="true" outlineLevel="0" collapsed="false">
      <c r="A103" s="65"/>
      <c r="B103" s="65"/>
      <c r="C103" s="65"/>
      <c r="D103" s="65"/>
      <c r="E103" s="65"/>
      <c r="F103" s="65"/>
      <c r="G103" s="65"/>
      <c r="H103" s="65"/>
      <c r="I103" s="65"/>
      <c r="J103" s="65"/>
      <c r="K103" s="65"/>
      <c r="L103" s="65"/>
      <c r="M103" s="65"/>
      <c r="N103" s="65"/>
      <c r="O103" s="65"/>
      <c r="P103" s="65"/>
      <c r="Q103" s="65"/>
      <c r="R103" s="65"/>
      <c r="S103" s="65"/>
      <c r="T103" s="65"/>
      <c r="U103" s="65"/>
      <c r="V103" s="65"/>
      <c r="W103" s="65"/>
      <c r="X103" s="65"/>
      <c r="Y103" s="65"/>
      <c r="Z103" s="65"/>
    </row>
    <row r="104" customFormat="false" ht="15.75" hidden="false" customHeight="true" outlineLevel="0" collapsed="false">
      <c r="A104" s="65"/>
      <c r="B104" s="65"/>
      <c r="C104" s="65"/>
      <c r="D104" s="65"/>
      <c r="E104" s="65"/>
      <c r="F104" s="65"/>
      <c r="G104" s="65"/>
      <c r="H104" s="65"/>
      <c r="I104" s="65"/>
      <c r="J104" s="65"/>
      <c r="K104" s="65"/>
      <c r="L104" s="65"/>
      <c r="M104" s="65"/>
      <c r="N104" s="65"/>
      <c r="O104" s="65"/>
      <c r="P104" s="65"/>
      <c r="Q104" s="65"/>
      <c r="R104" s="65"/>
      <c r="S104" s="65"/>
      <c r="T104" s="65"/>
      <c r="U104" s="65"/>
      <c r="V104" s="65"/>
      <c r="W104" s="65"/>
      <c r="X104" s="65"/>
      <c r="Y104" s="65"/>
      <c r="Z104" s="65"/>
    </row>
    <row r="105" customFormat="false" ht="15.75" hidden="false" customHeight="true" outlineLevel="0" collapsed="false">
      <c r="A105" s="65"/>
      <c r="B105" s="65"/>
      <c r="C105" s="65"/>
      <c r="D105" s="65"/>
      <c r="E105" s="65"/>
      <c r="F105" s="65"/>
      <c r="G105" s="65"/>
      <c r="H105" s="65"/>
      <c r="I105" s="65"/>
      <c r="J105" s="65"/>
      <c r="K105" s="65"/>
      <c r="L105" s="65"/>
      <c r="M105" s="65"/>
      <c r="N105" s="65"/>
      <c r="O105" s="65"/>
      <c r="P105" s="65"/>
      <c r="Q105" s="65"/>
      <c r="R105" s="65"/>
      <c r="S105" s="65"/>
      <c r="T105" s="65"/>
      <c r="U105" s="65"/>
      <c r="V105" s="65"/>
      <c r="W105" s="65"/>
      <c r="X105" s="65"/>
      <c r="Y105" s="65"/>
      <c r="Z105" s="65"/>
    </row>
    <row r="106" customFormat="false" ht="15.75" hidden="false" customHeight="true" outlineLevel="0" collapsed="false">
      <c r="A106" s="65"/>
      <c r="B106" s="65"/>
      <c r="C106" s="65"/>
      <c r="D106" s="65"/>
      <c r="E106" s="65"/>
      <c r="F106" s="65"/>
      <c r="G106" s="65"/>
      <c r="H106" s="65"/>
      <c r="I106" s="65"/>
      <c r="J106" s="65"/>
      <c r="K106" s="65"/>
      <c r="L106" s="65"/>
      <c r="M106" s="65"/>
      <c r="N106" s="65"/>
      <c r="O106" s="65"/>
      <c r="P106" s="65"/>
      <c r="Q106" s="65"/>
      <c r="R106" s="65"/>
      <c r="S106" s="65"/>
      <c r="T106" s="65"/>
      <c r="U106" s="65"/>
      <c r="V106" s="65"/>
      <c r="W106" s="65"/>
      <c r="X106" s="65"/>
      <c r="Y106" s="65"/>
      <c r="Z106" s="65"/>
    </row>
    <row r="107" customFormat="false" ht="15.75" hidden="false" customHeight="true" outlineLevel="0" collapsed="false">
      <c r="A107" s="65"/>
      <c r="B107" s="65"/>
      <c r="C107" s="65"/>
      <c r="D107" s="65"/>
      <c r="E107" s="65"/>
      <c r="F107" s="65"/>
      <c r="G107" s="65"/>
      <c r="H107" s="65"/>
      <c r="I107" s="65"/>
      <c r="J107" s="65"/>
      <c r="K107" s="65"/>
      <c r="L107" s="65"/>
      <c r="M107" s="65"/>
      <c r="N107" s="65"/>
      <c r="O107" s="65"/>
      <c r="P107" s="65"/>
      <c r="Q107" s="65"/>
      <c r="R107" s="65"/>
      <c r="S107" s="65"/>
      <c r="T107" s="65"/>
      <c r="U107" s="65"/>
      <c r="V107" s="65"/>
      <c r="W107" s="65"/>
      <c r="X107" s="65"/>
      <c r="Y107" s="65"/>
      <c r="Z107" s="65"/>
    </row>
    <row r="108" customFormat="false" ht="15.75" hidden="false" customHeight="true" outlineLevel="0" collapsed="false">
      <c r="A108" s="65"/>
      <c r="B108" s="65"/>
      <c r="C108" s="65"/>
      <c r="D108" s="65"/>
      <c r="E108" s="65"/>
      <c r="F108" s="65"/>
      <c r="G108" s="65"/>
      <c r="H108" s="65"/>
      <c r="I108" s="65"/>
      <c r="J108" s="65"/>
      <c r="K108" s="65"/>
      <c r="L108" s="65"/>
      <c r="M108" s="65"/>
      <c r="N108" s="65"/>
      <c r="O108" s="65"/>
      <c r="P108" s="65"/>
      <c r="Q108" s="65"/>
      <c r="R108" s="65"/>
      <c r="S108" s="65"/>
      <c r="T108" s="65"/>
      <c r="U108" s="65"/>
      <c r="V108" s="65"/>
      <c r="W108" s="65"/>
      <c r="X108" s="65"/>
      <c r="Y108" s="65"/>
      <c r="Z108" s="65"/>
    </row>
    <row r="109" customFormat="false" ht="15.75" hidden="false" customHeight="true" outlineLevel="0" collapsed="false">
      <c r="A109" s="65"/>
      <c r="B109" s="65"/>
      <c r="C109" s="65"/>
      <c r="D109" s="65"/>
      <c r="E109" s="65"/>
      <c r="F109" s="65"/>
      <c r="G109" s="65"/>
      <c r="H109" s="65"/>
      <c r="I109" s="65"/>
      <c r="J109" s="65"/>
      <c r="K109" s="65"/>
      <c r="L109" s="65"/>
      <c r="M109" s="65"/>
      <c r="N109" s="65"/>
      <c r="O109" s="65"/>
      <c r="P109" s="65"/>
      <c r="Q109" s="65"/>
      <c r="R109" s="65"/>
      <c r="S109" s="65"/>
      <c r="T109" s="65"/>
      <c r="U109" s="65"/>
      <c r="V109" s="65"/>
      <c r="W109" s="65"/>
      <c r="X109" s="65"/>
      <c r="Y109" s="65"/>
      <c r="Z109" s="65"/>
    </row>
    <row r="110" customFormat="false" ht="15.75" hidden="false" customHeight="true" outlineLevel="0" collapsed="false">
      <c r="A110" s="65"/>
      <c r="B110" s="65"/>
      <c r="C110" s="65"/>
      <c r="D110" s="65"/>
      <c r="E110" s="65"/>
      <c r="F110" s="65"/>
      <c r="G110" s="65"/>
      <c r="H110" s="65"/>
      <c r="I110" s="65"/>
      <c r="J110" s="65"/>
      <c r="K110" s="65"/>
      <c r="L110" s="65"/>
      <c r="M110" s="65"/>
      <c r="N110" s="65"/>
      <c r="O110" s="65"/>
      <c r="P110" s="65"/>
      <c r="Q110" s="65"/>
      <c r="R110" s="65"/>
      <c r="S110" s="65"/>
      <c r="T110" s="65"/>
      <c r="U110" s="65"/>
      <c r="V110" s="65"/>
      <c r="W110" s="65"/>
      <c r="X110" s="65"/>
      <c r="Y110" s="65"/>
      <c r="Z110" s="65"/>
    </row>
    <row r="111" customFormat="false" ht="15.75" hidden="false" customHeight="true" outlineLevel="0" collapsed="false">
      <c r="A111" s="65"/>
      <c r="B111" s="65"/>
      <c r="C111" s="65"/>
      <c r="D111" s="65"/>
      <c r="E111" s="65"/>
      <c r="F111" s="65"/>
      <c r="G111" s="65"/>
      <c r="H111" s="65"/>
      <c r="I111" s="65"/>
      <c r="J111" s="65"/>
      <c r="K111" s="65"/>
      <c r="L111" s="65"/>
      <c r="M111" s="65"/>
      <c r="N111" s="65"/>
      <c r="O111" s="65"/>
      <c r="P111" s="65"/>
      <c r="Q111" s="65"/>
      <c r="R111" s="65"/>
      <c r="S111" s="65"/>
      <c r="T111" s="65"/>
      <c r="U111" s="65"/>
      <c r="V111" s="65"/>
      <c r="W111" s="65"/>
      <c r="X111" s="65"/>
      <c r="Y111" s="65"/>
      <c r="Z111" s="65"/>
    </row>
    <row r="112" customFormat="false" ht="15.75" hidden="false" customHeight="true" outlineLevel="0" collapsed="false">
      <c r="A112" s="65"/>
      <c r="B112" s="65"/>
      <c r="C112" s="65"/>
      <c r="D112" s="65"/>
      <c r="E112" s="65"/>
      <c r="F112" s="65"/>
      <c r="G112" s="65"/>
      <c r="H112" s="65"/>
      <c r="I112" s="65"/>
      <c r="J112" s="65"/>
      <c r="K112" s="65"/>
      <c r="L112" s="65"/>
      <c r="M112" s="65"/>
      <c r="N112" s="65"/>
      <c r="O112" s="65"/>
      <c r="P112" s="65"/>
      <c r="Q112" s="65"/>
      <c r="R112" s="65"/>
      <c r="S112" s="65"/>
      <c r="T112" s="65"/>
      <c r="U112" s="65"/>
      <c r="V112" s="65"/>
      <c r="W112" s="65"/>
      <c r="X112" s="65"/>
      <c r="Y112" s="65"/>
      <c r="Z112" s="65"/>
    </row>
    <row r="113" customFormat="false" ht="15.75" hidden="false" customHeight="true" outlineLevel="0" collapsed="false">
      <c r="A113" s="65"/>
      <c r="B113" s="65"/>
      <c r="C113" s="65"/>
      <c r="D113" s="65"/>
      <c r="E113" s="65"/>
      <c r="F113" s="65"/>
      <c r="G113" s="65"/>
      <c r="H113" s="65"/>
      <c r="I113" s="65"/>
      <c r="J113" s="65"/>
      <c r="K113" s="65"/>
      <c r="L113" s="65"/>
      <c r="M113" s="65"/>
      <c r="N113" s="65"/>
      <c r="O113" s="65"/>
      <c r="P113" s="65"/>
      <c r="Q113" s="65"/>
      <c r="R113" s="65"/>
      <c r="S113" s="65"/>
      <c r="T113" s="65"/>
      <c r="U113" s="65"/>
      <c r="V113" s="65"/>
      <c r="W113" s="65"/>
      <c r="X113" s="65"/>
      <c r="Y113" s="65"/>
      <c r="Z113" s="65"/>
    </row>
    <row r="114" customFormat="false" ht="15.75" hidden="false" customHeight="true" outlineLevel="0" collapsed="false">
      <c r="A114" s="65"/>
      <c r="B114" s="65"/>
      <c r="C114" s="65"/>
      <c r="D114" s="65"/>
      <c r="E114" s="65"/>
      <c r="F114" s="65"/>
      <c r="G114" s="65"/>
      <c r="H114" s="65"/>
      <c r="I114" s="65"/>
      <c r="J114" s="65"/>
      <c r="K114" s="65"/>
      <c r="L114" s="65"/>
      <c r="M114" s="65"/>
      <c r="N114" s="65"/>
      <c r="O114" s="65"/>
      <c r="P114" s="65"/>
      <c r="Q114" s="65"/>
      <c r="R114" s="65"/>
      <c r="S114" s="65"/>
      <c r="T114" s="65"/>
      <c r="U114" s="65"/>
      <c r="V114" s="65"/>
      <c r="W114" s="65"/>
      <c r="X114" s="65"/>
      <c r="Y114" s="65"/>
      <c r="Z114" s="65"/>
    </row>
    <row r="115" customFormat="false" ht="15.75" hidden="false" customHeight="true" outlineLevel="0" collapsed="false">
      <c r="A115" s="65"/>
      <c r="B115" s="65"/>
      <c r="C115" s="65"/>
      <c r="D115" s="65"/>
      <c r="E115" s="65"/>
      <c r="F115" s="65"/>
      <c r="G115" s="65"/>
      <c r="H115" s="65"/>
      <c r="I115" s="65"/>
      <c r="J115" s="65"/>
      <c r="K115" s="65"/>
      <c r="L115" s="65"/>
      <c r="M115" s="65"/>
      <c r="N115" s="65"/>
      <c r="O115" s="65"/>
      <c r="P115" s="65"/>
      <c r="Q115" s="65"/>
      <c r="R115" s="65"/>
      <c r="S115" s="65"/>
      <c r="T115" s="65"/>
      <c r="U115" s="65"/>
      <c r="V115" s="65"/>
      <c r="W115" s="65"/>
      <c r="X115" s="65"/>
      <c r="Y115" s="65"/>
      <c r="Z115" s="65"/>
    </row>
    <row r="116" customFormat="false" ht="15.75" hidden="false" customHeight="true" outlineLevel="0" collapsed="false">
      <c r="A116" s="65"/>
      <c r="B116" s="65"/>
      <c r="C116" s="65"/>
      <c r="D116" s="65"/>
      <c r="E116" s="65"/>
      <c r="F116" s="65"/>
      <c r="G116" s="65"/>
      <c r="H116" s="65"/>
      <c r="I116" s="65"/>
      <c r="J116" s="65"/>
      <c r="K116" s="65"/>
      <c r="L116" s="65"/>
      <c r="M116" s="65"/>
      <c r="N116" s="65"/>
      <c r="O116" s="65"/>
      <c r="P116" s="65"/>
      <c r="Q116" s="65"/>
      <c r="R116" s="65"/>
      <c r="S116" s="65"/>
      <c r="T116" s="65"/>
      <c r="U116" s="65"/>
      <c r="V116" s="65"/>
      <c r="W116" s="65"/>
      <c r="X116" s="65"/>
      <c r="Y116" s="65"/>
      <c r="Z116" s="65"/>
    </row>
    <row r="117" customFormat="false" ht="15.75" hidden="false" customHeight="true" outlineLevel="0" collapsed="false">
      <c r="A117" s="65"/>
      <c r="B117" s="65"/>
      <c r="C117" s="65"/>
      <c r="D117" s="65"/>
      <c r="E117" s="65"/>
      <c r="F117" s="65"/>
      <c r="G117" s="65"/>
      <c r="H117" s="65"/>
      <c r="I117" s="65"/>
      <c r="J117" s="65"/>
      <c r="K117" s="65"/>
      <c r="L117" s="65"/>
      <c r="M117" s="65"/>
      <c r="N117" s="65"/>
      <c r="O117" s="65"/>
      <c r="P117" s="65"/>
      <c r="Q117" s="65"/>
      <c r="R117" s="65"/>
      <c r="S117" s="65"/>
      <c r="T117" s="65"/>
      <c r="U117" s="65"/>
      <c r="V117" s="65"/>
      <c r="W117" s="65"/>
      <c r="X117" s="65"/>
      <c r="Y117" s="65"/>
      <c r="Z117" s="65"/>
    </row>
    <row r="118" customFormat="false" ht="15.75" hidden="false" customHeight="true" outlineLevel="0" collapsed="false">
      <c r="A118" s="65"/>
      <c r="B118" s="65"/>
      <c r="C118" s="65"/>
      <c r="D118" s="65"/>
      <c r="E118" s="65"/>
      <c r="F118" s="65"/>
      <c r="G118" s="65"/>
      <c r="H118" s="65"/>
      <c r="I118" s="65"/>
      <c r="J118" s="65"/>
      <c r="K118" s="65"/>
      <c r="L118" s="65"/>
      <c r="M118" s="65"/>
      <c r="N118" s="65"/>
      <c r="O118" s="65"/>
      <c r="P118" s="65"/>
      <c r="Q118" s="65"/>
      <c r="R118" s="65"/>
      <c r="S118" s="65"/>
      <c r="T118" s="65"/>
      <c r="U118" s="65"/>
      <c r="V118" s="65"/>
      <c r="W118" s="65"/>
      <c r="X118" s="65"/>
      <c r="Y118" s="65"/>
      <c r="Z118" s="65"/>
    </row>
    <row r="119" customFormat="false" ht="15.75" hidden="false" customHeight="true" outlineLevel="0" collapsed="false">
      <c r="A119" s="65"/>
      <c r="B119" s="65"/>
      <c r="C119" s="65"/>
      <c r="D119" s="65"/>
      <c r="E119" s="65"/>
      <c r="F119" s="65"/>
      <c r="G119" s="65"/>
      <c r="H119" s="65"/>
      <c r="I119" s="65"/>
      <c r="J119" s="65"/>
      <c r="K119" s="65"/>
      <c r="L119" s="65"/>
      <c r="M119" s="65"/>
      <c r="N119" s="65"/>
      <c r="O119" s="65"/>
      <c r="P119" s="65"/>
      <c r="Q119" s="65"/>
      <c r="R119" s="65"/>
      <c r="S119" s="65"/>
      <c r="T119" s="65"/>
      <c r="U119" s="65"/>
      <c r="V119" s="65"/>
      <c r="W119" s="65"/>
      <c r="X119" s="65"/>
      <c r="Y119" s="65"/>
      <c r="Z119" s="65"/>
    </row>
    <row r="120" customFormat="false" ht="15.75" hidden="false" customHeight="true" outlineLevel="0" collapsed="false">
      <c r="A120" s="65"/>
      <c r="B120" s="65"/>
      <c r="C120" s="65"/>
      <c r="D120" s="65"/>
      <c r="E120" s="65"/>
      <c r="F120" s="65"/>
      <c r="G120" s="65"/>
      <c r="H120" s="65"/>
      <c r="I120" s="65"/>
      <c r="J120" s="65"/>
      <c r="K120" s="65"/>
      <c r="L120" s="65"/>
      <c r="M120" s="65"/>
      <c r="N120" s="65"/>
      <c r="O120" s="65"/>
      <c r="P120" s="65"/>
      <c r="Q120" s="65"/>
      <c r="R120" s="65"/>
      <c r="S120" s="65"/>
      <c r="T120" s="65"/>
      <c r="U120" s="65"/>
      <c r="V120" s="65"/>
      <c r="W120" s="65"/>
      <c r="X120" s="65"/>
      <c r="Y120" s="65"/>
      <c r="Z120" s="65"/>
    </row>
    <row r="121" customFormat="false" ht="15.75" hidden="false" customHeight="true" outlineLevel="0" collapsed="false">
      <c r="A121" s="65"/>
      <c r="B121" s="65"/>
      <c r="C121" s="65"/>
      <c r="D121" s="65"/>
      <c r="E121" s="65"/>
      <c r="F121" s="65"/>
      <c r="G121" s="65"/>
      <c r="H121" s="65"/>
      <c r="I121" s="65"/>
      <c r="J121" s="65"/>
      <c r="K121" s="65"/>
      <c r="L121" s="65"/>
      <c r="M121" s="65"/>
      <c r="N121" s="65"/>
      <c r="O121" s="65"/>
      <c r="P121" s="65"/>
      <c r="Q121" s="65"/>
      <c r="R121" s="65"/>
      <c r="S121" s="65"/>
      <c r="T121" s="65"/>
      <c r="U121" s="65"/>
      <c r="V121" s="65"/>
      <c r="W121" s="65"/>
      <c r="X121" s="65"/>
      <c r="Y121" s="65"/>
      <c r="Z121" s="65"/>
    </row>
    <row r="122" customFormat="false" ht="15.75" hidden="false" customHeight="true" outlineLevel="0" collapsed="false">
      <c r="A122" s="65"/>
      <c r="B122" s="65"/>
      <c r="C122" s="65"/>
      <c r="D122" s="65"/>
      <c r="E122" s="65"/>
      <c r="F122" s="65"/>
      <c r="G122" s="65"/>
      <c r="H122" s="65"/>
      <c r="I122" s="65"/>
      <c r="J122" s="65"/>
      <c r="K122" s="65"/>
      <c r="L122" s="65"/>
      <c r="M122" s="65"/>
      <c r="N122" s="65"/>
      <c r="O122" s="65"/>
      <c r="P122" s="65"/>
      <c r="Q122" s="65"/>
      <c r="R122" s="65"/>
      <c r="S122" s="65"/>
      <c r="T122" s="65"/>
      <c r="U122" s="65"/>
      <c r="V122" s="65"/>
      <c r="W122" s="65"/>
      <c r="X122" s="65"/>
      <c r="Y122" s="65"/>
      <c r="Z122" s="65"/>
    </row>
    <row r="123" customFormat="false" ht="15.75" hidden="false" customHeight="true" outlineLevel="0" collapsed="false">
      <c r="A123" s="65"/>
      <c r="B123" s="65"/>
      <c r="C123" s="65"/>
      <c r="D123" s="65"/>
      <c r="E123" s="65"/>
      <c r="F123" s="65"/>
      <c r="G123" s="65"/>
      <c r="H123" s="65"/>
      <c r="I123" s="65"/>
      <c r="J123" s="65"/>
      <c r="K123" s="65"/>
      <c r="L123" s="65"/>
      <c r="M123" s="65"/>
      <c r="N123" s="65"/>
      <c r="O123" s="65"/>
      <c r="P123" s="65"/>
      <c r="Q123" s="65"/>
      <c r="R123" s="65"/>
      <c r="S123" s="65"/>
      <c r="T123" s="65"/>
      <c r="U123" s="65"/>
      <c r="V123" s="65"/>
      <c r="W123" s="65"/>
      <c r="X123" s="65"/>
      <c r="Y123" s="65"/>
      <c r="Z123" s="65"/>
    </row>
    <row r="124" customFormat="false" ht="15.75" hidden="false" customHeight="true" outlineLevel="0" collapsed="false">
      <c r="A124" s="65"/>
      <c r="B124" s="65"/>
      <c r="C124" s="65"/>
      <c r="D124" s="65"/>
      <c r="E124" s="65"/>
      <c r="F124" s="65"/>
      <c r="G124" s="65"/>
      <c r="H124" s="65"/>
      <c r="I124" s="65"/>
      <c r="J124" s="65"/>
      <c r="K124" s="65"/>
      <c r="L124" s="65"/>
      <c r="M124" s="65"/>
      <c r="N124" s="65"/>
      <c r="O124" s="65"/>
      <c r="P124" s="65"/>
      <c r="Q124" s="65"/>
      <c r="R124" s="65"/>
      <c r="S124" s="65"/>
      <c r="T124" s="65"/>
      <c r="U124" s="65"/>
      <c r="V124" s="65"/>
      <c r="W124" s="65"/>
      <c r="X124" s="65"/>
      <c r="Y124" s="65"/>
      <c r="Z124" s="65"/>
    </row>
    <row r="125" customFormat="false" ht="15.75" hidden="false" customHeight="true" outlineLevel="0" collapsed="false">
      <c r="A125" s="65"/>
      <c r="B125" s="65"/>
      <c r="C125" s="65"/>
      <c r="D125" s="65"/>
      <c r="E125" s="65"/>
      <c r="F125" s="65"/>
      <c r="G125" s="65"/>
      <c r="H125" s="65"/>
      <c r="I125" s="65"/>
      <c r="J125" s="65"/>
      <c r="K125" s="65"/>
      <c r="L125" s="65"/>
      <c r="M125" s="65"/>
      <c r="N125" s="65"/>
      <c r="O125" s="65"/>
      <c r="P125" s="65"/>
      <c r="Q125" s="65"/>
      <c r="R125" s="65"/>
      <c r="S125" s="65"/>
      <c r="T125" s="65"/>
      <c r="U125" s="65"/>
      <c r="V125" s="65"/>
      <c r="W125" s="65"/>
      <c r="X125" s="65"/>
      <c r="Y125" s="65"/>
      <c r="Z125" s="65"/>
    </row>
    <row r="126" customFormat="false" ht="15.75" hidden="false" customHeight="true" outlineLevel="0" collapsed="false">
      <c r="A126" s="65"/>
      <c r="B126" s="65"/>
      <c r="C126" s="65"/>
      <c r="D126" s="65"/>
      <c r="E126" s="65"/>
      <c r="F126" s="65"/>
      <c r="G126" s="65"/>
      <c r="H126" s="65"/>
      <c r="I126" s="65"/>
      <c r="J126" s="65"/>
      <c r="K126" s="65"/>
      <c r="L126" s="65"/>
      <c r="M126" s="65"/>
      <c r="N126" s="65"/>
      <c r="O126" s="65"/>
      <c r="P126" s="65"/>
      <c r="Q126" s="65"/>
      <c r="R126" s="65"/>
      <c r="S126" s="65"/>
      <c r="T126" s="65"/>
      <c r="U126" s="65"/>
      <c r="V126" s="65"/>
      <c r="W126" s="65"/>
      <c r="X126" s="65"/>
      <c r="Y126" s="65"/>
      <c r="Z126" s="65"/>
    </row>
    <row r="127" customFormat="false" ht="15.75" hidden="false" customHeight="true" outlineLevel="0" collapsed="false">
      <c r="A127" s="65"/>
      <c r="B127" s="65"/>
      <c r="C127" s="65"/>
      <c r="D127" s="65"/>
      <c r="E127" s="65"/>
      <c r="F127" s="65"/>
      <c r="G127" s="65"/>
      <c r="H127" s="65"/>
      <c r="I127" s="65"/>
      <c r="J127" s="65"/>
      <c r="K127" s="65"/>
      <c r="L127" s="65"/>
      <c r="M127" s="65"/>
      <c r="N127" s="65"/>
      <c r="O127" s="65"/>
      <c r="P127" s="65"/>
      <c r="Q127" s="65"/>
      <c r="R127" s="65"/>
      <c r="S127" s="65"/>
      <c r="T127" s="65"/>
      <c r="U127" s="65"/>
      <c r="V127" s="65"/>
      <c r="W127" s="65"/>
      <c r="X127" s="65"/>
      <c r="Y127" s="65"/>
      <c r="Z127" s="65"/>
    </row>
    <row r="128" customFormat="false" ht="15.75" hidden="false" customHeight="true" outlineLevel="0" collapsed="false">
      <c r="A128" s="65"/>
      <c r="B128" s="65"/>
      <c r="C128" s="65"/>
      <c r="D128" s="65"/>
      <c r="E128" s="65"/>
      <c r="F128" s="65"/>
      <c r="G128" s="65"/>
      <c r="H128" s="65"/>
      <c r="I128" s="65"/>
      <c r="J128" s="65"/>
      <c r="K128" s="65"/>
      <c r="L128" s="65"/>
      <c r="M128" s="65"/>
      <c r="N128" s="65"/>
      <c r="O128" s="65"/>
      <c r="P128" s="65"/>
      <c r="Q128" s="65"/>
      <c r="R128" s="65"/>
      <c r="S128" s="65"/>
      <c r="T128" s="65"/>
      <c r="U128" s="65"/>
      <c r="V128" s="65"/>
      <c r="W128" s="65"/>
      <c r="X128" s="65"/>
      <c r="Y128" s="65"/>
      <c r="Z128" s="65"/>
    </row>
    <row r="129" customFormat="false" ht="15.75" hidden="false" customHeight="true" outlineLevel="0" collapsed="false">
      <c r="A129" s="65"/>
      <c r="B129" s="65"/>
      <c r="C129" s="65"/>
      <c r="D129" s="65"/>
      <c r="E129" s="65"/>
      <c r="F129" s="65"/>
      <c r="G129" s="65"/>
      <c r="H129" s="65"/>
      <c r="I129" s="65"/>
      <c r="J129" s="65"/>
      <c r="K129" s="65"/>
      <c r="L129" s="65"/>
      <c r="M129" s="65"/>
      <c r="N129" s="65"/>
      <c r="O129" s="65"/>
      <c r="P129" s="65"/>
      <c r="Q129" s="65"/>
      <c r="R129" s="65"/>
      <c r="S129" s="65"/>
      <c r="T129" s="65"/>
      <c r="U129" s="65"/>
      <c r="V129" s="65"/>
      <c r="W129" s="65"/>
      <c r="X129" s="65"/>
      <c r="Y129" s="65"/>
      <c r="Z129" s="65"/>
    </row>
    <row r="130" customFormat="false" ht="15.75" hidden="false" customHeight="true" outlineLevel="0" collapsed="false">
      <c r="A130" s="65"/>
      <c r="B130" s="65"/>
      <c r="C130" s="65"/>
      <c r="D130" s="65"/>
      <c r="E130" s="65"/>
      <c r="F130" s="65"/>
      <c r="G130" s="65"/>
      <c r="H130" s="65"/>
      <c r="I130" s="65"/>
      <c r="J130" s="65"/>
      <c r="K130" s="65"/>
      <c r="L130" s="65"/>
      <c r="M130" s="65"/>
      <c r="N130" s="65"/>
      <c r="O130" s="65"/>
      <c r="P130" s="65"/>
      <c r="Q130" s="65"/>
      <c r="R130" s="65"/>
      <c r="S130" s="65"/>
      <c r="T130" s="65"/>
      <c r="U130" s="65"/>
      <c r="V130" s="65"/>
      <c r="W130" s="65"/>
      <c r="X130" s="65"/>
      <c r="Y130" s="65"/>
      <c r="Z130" s="65"/>
    </row>
    <row r="131" customFormat="false" ht="15.75" hidden="false" customHeight="true" outlineLevel="0" collapsed="false">
      <c r="A131" s="65"/>
      <c r="B131" s="65"/>
      <c r="C131" s="65"/>
      <c r="D131" s="65"/>
      <c r="E131" s="65"/>
      <c r="F131" s="65"/>
      <c r="G131" s="65"/>
      <c r="H131" s="65"/>
      <c r="I131" s="65"/>
      <c r="J131" s="65"/>
      <c r="K131" s="65"/>
      <c r="L131" s="65"/>
      <c r="M131" s="65"/>
      <c r="N131" s="65"/>
      <c r="O131" s="65"/>
      <c r="P131" s="65"/>
      <c r="Q131" s="65"/>
      <c r="R131" s="65"/>
      <c r="S131" s="65"/>
      <c r="T131" s="65"/>
      <c r="U131" s="65"/>
      <c r="V131" s="65"/>
      <c r="W131" s="65"/>
      <c r="X131" s="65"/>
      <c r="Y131" s="65"/>
      <c r="Z131" s="65"/>
    </row>
    <row r="132" customFormat="false" ht="15.75" hidden="false" customHeight="true" outlineLevel="0" collapsed="false">
      <c r="A132" s="65"/>
      <c r="B132" s="65"/>
      <c r="C132" s="65"/>
      <c r="D132" s="65"/>
      <c r="E132" s="65"/>
      <c r="F132" s="65"/>
      <c r="G132" s="65"/>
      <c r="H132" s="65"/>
      <c r="I132" s="65"/>
      <c r="J132" s="65"/>
      <c r="K132" s="65"/>
      <c r="L132" s="65"/>
      <c r="M132" s="65"/>
      <c r="N132" s="65"/>
      <c r="O132" s="65"/>
      <c r="P132" s="65"/>
      <c r="Q132" s="65"/>
      <c r="R132" s="65"/>
      <c r="S132" s="65"/>
      <c r="T132" s="65"/>
      <c r="U132" s="65"/>
      <c r="V132" s="65"/>
      <c r="W132" s="65"/>
      <c r="X132" s="65"/>
      <c r="Y132" s="65"/>
      <c r="Z132" s="65"/>
    </row>
    <row r="133" customFormat="false" ht="15.75" hidden="false" customHeight="true" outlineLevel="0" collapsed="false">
      <c r="A133" s="65"/>
      <c r="B133" s="65"/>
      <c r="C133" s="65"/>
      <c r="D133" s="65"/>
      <c r="E133" s="65"/>
      <c r="F133" s="65"/>
      <c r="G133" s="65"/>
      <c r="H133" s="65"/>
      <c r="I133" s="65"/>
      <c r="J133" s="65"/>
      <c r="K133" s="65"/>
      <c r="L133" s="65"/>
      <c r="M133" s="65"/>
      <c r="N133" s="65"/>
      <c r="O133" s="65"/>
      <c r="P133" s="65"/>
      <c r="Q133" s="65"/>
      <c r="R133" s="65"/>
      <c r="S133" s="65"/>
      <c r="T133" s="65"/>
      <c r="U133" s="65"/>
      <c r="V133" s="65"/>
      <c r="W133" s="65"/>
      <c r="X133" s="65"/>
      <c r="Y133" s="65"/>
      <c r="Z133" s="65"/>
    </row>
    <row r="134" customFormat="false" ht="15.75" hidden="false" customHeight="true" outlineLevel="0" collapsed="false">
      <c r="A134" s="65"/>
      <c r="B134" s="65"/>
      <c r="C134" s="65"/>
      <c r="D134" s="65"/>
      <c r="E134" s="65"/>
      <c r="F134" s="65"/>
      <c r="G134" s="65"/>
      <c r="H134" s="65"/>
      <c r="I134" s="65"/>
      <c r="J134" s="65"/>
      <c r="K134" s="65"/>
      <c r="L134" s="65"/>
      <c r="M134" s="65"/>
      <c r="N134" s="65"/>
      <c r="O134" s="65"/>
      <c r="P134" s="65"/>
      <c r="Q134" s="65"/>
      <c r="R134" s="65"/>
      <c r="S134" s="65"/>
      <c r="T134" s="65"/>
      <c r="U134" s="65"/>
      <c r="V134" s="65"/>
      <c r="W134" s="65"/>
      <c r="X134" s="65"/>
      <c r="Y134" s="65"/>
      <c r="Z134" s="65"/>
    </row>
    <row r="135" customFormat="false" ht="15.75" hidden="false" customHeight="true" outlineLevel="0" collapsed="false">
      <c r="A135" s="65"/>
      <c r="B135" s="65"/>
      <c r="C135" s="65"/>
      <c r="D135" s="65"/>
      <c r="E135" s="65"/>
      <c r="F135" s="65"/>
      <c r="G135" s="65"/>
      <c r="H135" s="65"/>
      <c r="I135" s="65"/>
      <c r="J135" s="65"/>
      <c r="K135" s="65"/>
      <c r="L135" s="65"/>
      <c r="M135" s="65"/>
      <c r="N135" s="65"/>
      <c r="O135" s="65"/>
      <c r="P135" s="65"/>
      <c r="Q135" s="65"/>
      <c r="R135" s="65"/>
      <c r="S135" s="65"/>
      <c r="T135" s="65"/>
      <c r="U135" s="65"/>
      <c r="V135" s="65"/>
      <c r="W135" s="65"/>
      <c r="X135" s="65"/>
      <c r="Y135" s="65"/>
      <c r="Z135" s="65"/>
    </row>
    <row r="136" customFormat="false" ht="15.75" hidden="false" customHeight="true" outlineLevel="0" collapsed="false">
      <c r="A136" s="65"/>
      <c r="B136" s="65"/>
      <c r="C136" s="65"/>
      <c r="D136" s="65"/>
      <c r="E136" s="65"/>
      <c r="F136" s="65"/>
      <c r="G136" s="65"/>
      <c r="H136" s="65"/>
      <c r="I136" s="65"/>
      <c r="J136" s="65"/>
      <c r="K136" s="65"/>
      <c r="L136" s="65"/>
      <c r="M136" s="65"/>
      <c r="N136" s="65"/>
      <c r="O136" s="65"/>
      <c r="P136" s="65"/>
      <c r="Q136" s="65"/>
      <c r="R136" s="65"/>
      <c r="S136" s="65"/>
      <c r="T136" s="65"/>
      <c r="U136" s="65"/>
      <c r="V136" s="65"/>
      <c r="W136" s="65"/>
      <c r="X136" s="65"/>
      <c r="Y136" s="65"/>
      <c r="Z136" s="65"/>
    </row>
    <row r="137" customFormat="false" ht="15.75" hidden="false" customHeight="true" outlineLevel="0" collapsed="false">
      <c r="A137" s="65"/>
      <c r="B137" s="65"/>
      <c r="C137" s="65"/>
      <c r="D137" s="65"/>
      <c r="E137" s="65"/>
      <c r="F137" s="65"/>
      <c r="G137" s="65"/>
      <c r="H137" s="65"/>
      <c r="I137" s="65"/>
      <c r="J137" s="65"/>
      <c r="K137" s="65"/>
      <c r="L137" s="65"/>
      <c r="M137" s="65"/>
      <c r="N137" s="65"/>
      <c r="O137" s="65"/>
      <c r="P137" s="65"/>
      <c r="Q137" s="65"/>
      <c r="R137" s="65"/>
      <c r="S137" s="65"/>
      <c r="T137" s="65"/>
      <c r="U137" s="65"/>
      <c r="V137" s="65"/>
      <c r="W137" s="65"/>
      <c r="X137" s="65"/>
      <c r="Y137" s="65"/>
      <c r="Z137" s="65"/>
    </row>
    <row r="138" customFormat="false" ht="15.75" hidden="false" customHeight="true" outlineLevel="0" collapsed="false">
      <c r="A138" s="65"/>
      <c r="B138" s="65"/>
      <c r="C138" s="65"/>
      <c r="D138" s="65"/>
      <c r="E138" s="65"/>
      <c r="F138" s="65"/>
      <c r="G138" s="65"/>
      <c r="H138" s="65"/>
      <c r="I138" s="65"/>
      <c r="J138" s="65"/>
      <c r="K138" s="65"/>
      <c r="L138" s="65"/>
      <c r="M138" s="65"/>
      <c r="N138" s="65"/>
      <c r="O138" s="65"/>
      <c r="P138" s="65"/>
      <c r="Q138" s="65"/>
      <c r="R138" s="65"/>
      <c r="S138" s="65"/>
      <c r="T138" s="65"/>
      <c r="U138" s="65"/>
      <c r="V138" s="65"/>
      <c r="W138" s="65"/>
      <c r="X138" s="65"/>
      <c r="Y138" s="65"/>
      <c r="Z138" s="65"/>
    </row>
    <row r="139" customFormat="false" ht="15.75" hidden="false" customHeight="true" outlineLevel="0" collapsed="false">
      <c r="A139" s="65"/>
      <c r="B139" s="65"/>
      <c r="C139" s="65"/>
      <c r="D139" s="65"/>
      <c r="E139" s="65"/>
      <c r="F139" s="65"/>
      <c r="G139" s="65"/>
      <c r="H139" s="65"/>
      <c r="I139" s="65"/>
      <c r="J139" s="65"/>
      <c r="K139" s="65"/>
      <c r="L139" s="65"/>
      <c r="M139" s="65"/>
      <c r="N139" s="65"/>
      <c r="O139" s="65"/>
      <c r="P139" s="65"/>
      <c r="Q139" s="65"/>
      <c r="R139" s="65"/>
      <c r="S139" s="65"/>
      <c r="T139" s="65"/>
      <c r="U139" s="65"/>
      <c r="V139" s="65"/>
      <c r="W139" s="65"/>
      <c r="X139" s="65"/>
      <c r="Y139" s="65"/>
      <c r="Z139" s="65"/>
    </row>
    <row r="140" customFormat="false" ht="15.75" hidden="false" customHeight="true" outlineLevel="0" collapsed="false">
      <c r="A140" s="65"/>
      <c r="B140" s="65"/>
      <c r="C140" s="65"/>
      <c r="D140" s="65"/>
      <c r="E140" s="65"/>
      <c r="F140" s="65"/>
      <c r="G140" s="65"/>
      <c r="H140" s="65"/>
      <c r="I140" s="65"/>
      <c r="J140" s="65"/>
      <c r="K140" s="65"/>
      <c r="L140" s="65"/>
      <c r="M140" s="65"/>
      <c r="N140" s="65"/>
      <c r="O140" s="65"/>
      <c r="P140" s="65"/>
      <c r="Q140" s="65"/>
      <c r="R140" s="65"/>
      <c r="S140" s="65"/>
      <c r="T140" s="65"/>
      <c r="U140" s="65"/>
      <c r="V140" s="65"/>
      <c r="W140" s="65"/>
      <c r="X140" s="65"/>
      <c r="Y140" s="65"/>
      <c r="Z140" s="65"/>
    </row>
    <row r="141" customFormat="false" ht="15.75" hidden="false" customHeight="true" outlineLevel="0" collapsed="false">
      <c r="A141" s="65"/>
      <c r="B141" s="65"/>
      <c r="C141" s="65"/>
      <c r="D141" s="65"/>
      <c r="E141" s="65"/>
      <c r="F141" s="65"/>
      <c r="G141" s="65"/>
      <c r="H141" s="65"/>
      <c r="I141" s="65"/>
      <c r="J141" s="65"/>
      <c r="K141" s="65"/>
      <c r="L141" s="65"/>
      <c r="M141" s="65"/>
      <c r="N141" s="65"/>
      <c r="O141" s="65"/>
      <c r="P141" s="65"/>
      <c r="Q141" s="65"/>
      <c r="R141" s="65"/>
      <c r="S141" s="65"/>
      <c r="T141" s="65"/>
      <c r="U141" s="65"/>
      <c r="V141" s="65"/>
      <c r="W141" s="65"/>
      <c r="X141" s="65"/>
      <c r="Y141" s="65"/>
      <c r="Z141" s="65"/>
    </row>
    <row r="142" customFormat="false" ht="15.75" hidden="false" customHeight="true" outlineLevel="0" collapsed="false">
      <c r="A142" s="65"/>
      <c r="B142" s="65"/>
      <c r="C142" s="65"/>
      <c r="D142" s="65"/>
      <c r="E142" s="65"/>
      <c r="F142" s="65"/>
      <c r="G142" s="65"/>
      <c r="H142" s="65"/>
      <c r="I142" s="65"/>
      <c r="J142" s="65"/>
      <c r="K142" s="65"/>
      <c r="L142" s="65"/>
      <c r="M142" s="65"/>
      <c r="N142" s="65"/>
      <c r="O142" s="65"/>
      <c r="P142" s="65"/>
      <c r="Q142" s="65"/>
      <c r="R142" s="65"/>
      <c r="S142" s="65"/>
      <c r="T142" s="65"/>
      <c r="U142" s="65"/>
      <c r="V142" s="65"/>
      <c r="W142" s="65"/>
      <c r="X142" s="65"/>
      <c r="Y142" s="65"/>
      <c r="Z142" s="65"/>
    </row>
    <row r="143" customFormat="false" ht="15.75" hidden="false" customHeight="true" outlineLevel="0" collapsed="false">
      <c r="A143" s="65"/>
      <c r="B143" s="65"/>
      <c r="C143" s="65"/>
      <c r="D143" s="65"/>
      <c r="E143" s="65"/>
      <c r="F143" s="65"/>
      <c r="G143" s="65"/>
      <c r="H143" s="65"/>
      <c r="I143" s="65"/>
      <c r="J143" s="65"/>
      <c r="K143" s="65"/>
      <c r="L143" s="65"/>
      <c r="M143" s="65"/>
      <c r="N143" s="65"/>
      <c r="O143" s="65"/>
      <c r="P143" s="65"/>
      <c r="Q143" s="65"/>
      <c r="R143" s="65"/>
      <c r="S143" s="65"/>
      <c r="T143" s="65"/>
      <c r="U143" s="65"/>
      <c r="V143" s="65"/>
      <c r="W143" s="65"/>
      <c r="X143" s="65"/>
      <c r="Y143" s="65"/>
      <c r="Z143" s="65"/>
    </row>
    <row r="144" customFormat="false" ht="15.75" hidden="false" customHeight="true" outlineLevel="0" collapsed="false">
      <c r="A144" s="65"/>
      <c r="B144" s="65"/>
      <c r="C144" s="65"/>
      <c r="D144" s="65"/>
      <c r="E144" s="65"/>
      <c r="F144" s="65"/>
      <c r="G144" s="65"/>
      <c r="H144" s="65"/>
      <c r="I144" s="65"/>
      <c r="J144" s="65"/>
      <c r="K144" s="65"/>
      <c r="L144" s="65"/>
      <c r="M144" s="65"/>
      <c r="N144" s="65"/>
      <c r="O144" s="65"/>
      <c r="P144" s="65"/>
      <c r="Q144" s="65"/>
      <c r="R144" s="65"/>
      <c r="S144" s="65"/>
      <c r="T144" s="65"/>
      <c r="U144" s="65"/>
      <c r="V144" s="65"/>
      <c r="W144" s="65"/>
      <c r="X144" s="65"/>
      <c r="Y144" s="65"/>
      <c r="Z144" s="65"/>
    </row>
    <row r="145" customFormat="false" ht="15.75" hidden="false" customHeight="true" outlineLevel="0" collapsed="false">
      <c r="A145" s="65"/>
      <c r="B145" s="65"/>
      <c r="C145" s="65"/>
      <c r="D145" s="65"/>
      <c r="E145" s="65"/>
      <c r="F145" s="65"/>
      <c r="G145" s="65"/>
      <c r="H145" s="65"/>
      <c r="I145" s="65"/>
      <c r="J145" s="65"/>
      <c r="K145" s="65"/>
      <c r="L145" s="65"/>
      <c r="M145" s="65"/>
      <c r="N145" s="65"/>
      <c r="O145" s="65"/>
      <c r="P145" s="65"/>
      <c r="Q145" s="65"/>
      <c r="R145" s="65"/>
      <c r="S145" s="65"/>
      <c r="T145" s="65"/>
      <c r="U145" s="65"/>
      <c r="V145" s="65"/>
      <c r="W145" s="65"/>
      <c r="X145" s="65"/>
      <c r="Y145" s="65"/>
      <c r="Z145" s="65"/>
    </row>
    <row r="146" customFormat="false" ht="15.75" hidden="false" customHeight="true" outlineLevel="0" collapsed="false">
      <c r="A146" s="65"/>
      <c r="B146" s="65"/>
      <c r="C146" s="65"/>
      <c r="D146" s="65"/>
      <c r="E146" s="65"/>
      <c r="F146" s="65"/>
      <c r="G146" s="65"/>
      <c r="H146" s="65"/>
      <c r="I146" s="65"/>
      <c r="J146" s="65"/>
      <c r="K146" s="65"/>
      <c r="L146" s="65"/>
      <c r="M146" s="65"/>
      <c r="N146" s="65"/>
      <c r="O146" s="65"/>
      <c r="P146" s="65"/>
      <c r="Q146" s="65"/>
      <c r="R146" s="65"/>
      <c r="S146" s="65"/>
      <c r="T146" s="65"/>
      <c r="U146" s="65"/>
      <c r="V146" s="65"/>
      <c r="W146" s="65"/>
      <c r="X146" s="65"/>
      <c r="Y146" s="65"/>
      <c r="Z146" s="65"/>
    </row>
    <row r="147" customFormat="false" ht="15.75" hidden="false" customHeight="true" outlineLevel="0" collapsed="false">
      <c r="A147" s="65"/>
      <c r="B147" s="65"/>
      <c r="C147" s="65"/>
      <c r="D147" s="65"/>
      <c r="E147" s="65"/>
      <c r="F147" s="65"/>
      <c r="G147" s="65"/>
      <c r="H147" s="65"/>
      <c r="I147" s="65"/>
      <c r="J147" s="65"/>
      <c r="K147" s="65"/>
      <c r="L147" s="65"/>
      <c r="M147" s="65"/>
      <c r="N147" s="65"/>
      <c r="O147" s="65"/>
      <c r="P147" s="65"/>
      <c r="Q147" s="65"/>
      <c r="R147" s="65"/>
      <c r="S147" s="65"/>
      <c r="T147" s="65"/>
      <c r="U147" s="65"/>
      <c r="V147" s="65"/>
      <c r="W147" s="65"/>
      <c r="X147" s="65"/>
      <c r="Y147" s="65"/>
      <c r="Z147" s="65"/>
    </row>
    <row r="148" customFormat="false" ht="15.75" hidden="false" customHeight="true" outlineLevel="0" collapsed="false">
      <c r="A148" s="65"/>
      <c r="B148" s="65"/>
      <c r="C148" s="65"/>
      <c r="D148" s="65"/>
      <c r="E148" s="65"/>
      <c r="F148" s="65"/>
      <c r="G148" s="65"/>
      <c r="H148" s="65"/>
      <c r="I148" s="65"/>
      <c r="J148" s="65"/>
      <c r="K148" s="65"/>
      <c r="L148" s="65"/>
      <c r="M148" s="65"/>
      <c r="N148" s="65"/>
      <c r="O148" s="65"/>
      <c r="P148" s="65"/>
      <c r="Q148" s="65"/>
      <c r="R148" s="65"/>
      <c r="S148" s="65"/>
      <c r="T148" s="65"/>
      <c r="U148" s="65"/>
      <c r="V148" s="65"/>
      <c r="W148" s="65"/>
      <c r="X148" s="65"/>
      <c r="Y148" s="65"/>
      <c r="Z148" s="65"/>
    </row>
    <row r="149" customFormat="false" ht="15.75" hidden="false" customHeight="true" outlineLevel="0" collapsed="false">
      <c r="A149" s="65"/>
      <c r="B149" s="65"/>
      <c r="C149" s="65"/>
      <c r="D149" s="65"/>
      <c r="E149" s="65"/>
      <c r="F149" s="65"/>
      <c r="G149" s="65"/>
      <c r="H149" s="65"/>
      <c r="I149" s="65"/>
      <c r="J149" s="65"/>
      <c r="K149" s="65"/>
      <c r="L149" s="65"/>
      <c r="M149" s="65"/>
      <c r="N149" s="65"/>
      <c r="O149" s="65"/>
      <c r="P149" s="65"/>
      <c r="Q149" s="65"/>
      <c r="R149" s="65"/>
      <c r="S149" s="65"/>
      <c r="T149" s="65"/>
      <c r="U149" s="65"/>
      <c r="V149" s="65"/>
      <c r="W149" s="65"/>
      <c r="X149" s="65"/>
      <c r="Y149" s="65"/>
      <c r="Z149" s="65"/>
    </row>
    <row r="150" customFormat="false" ht="15.75" hidden="false" customHeight="true" outlineLevel="0" collapsed="false">
      <c r="A150" s="65"/>
      <c r="B150" s="65"/>
      <c r="C150" s="65"/>
      <c r="D150" s="65"/>
      <c r="E150" s="65"/>
      <c r="F150" s="65"/>
      <c r="G150" s="65"/>
      <c r="H150" s="65"/>
      <c r="I150" s="65"/>
      <c r="J150" s="65"/>
      <c r="K150" s="65"/>
      <c r="L150" s="65"/>
      <c r="M150" s="65"/>
      <c r="N150" s="65"/>
      <c r="O150" s="65"/>
      <c r="P150" s="65"/>
      <c r="Q150" s="65"/>
      <c r="R150" s="65"/>
      <c r="S150" s="65"/>
      <c r="T150" s="65"/>
      <c r="U150" s="65"/>
      <c r="V150" s="65"/>
      <c r="W150" s="65"/>
      <c r="X150" s="65"/>
      <c r="Y150" s="65"/>
      <c r="Z150" s="65"/>
    </row>
    <row r="151" customFormat="false" ht="15.75" hidden="false" customHeight="true" outlineLevel="0" collapsed="false">
      <c r="A151" s="65"/>
      <c r="B151" s="65"/>
      <c r="C151" s="65"/>
      <c r="D151" s="65"/>
      <c r="E151" s="65"/>
      <c r="F151" s="65"/>
      <c r="G151" s="65"/>
      <c r="H151" s="65"/>
      <c r="I151" s="65"/>
      <c r="J151" s="65"/>
      <c r="K151" s="65"/>
      <c r="L151" s="65"/>
      <c r="M151" s="65"/>
      <c r="N151" s="65"/>
      <c r="O151" s="65"/>
      <c r="P151" s="65"/>
      <c r="Q151" s="65"/>
      <c r="R151" s="65"/>
      <c r="S151" s="65"/>
      <c r="T151" s="65"/>
      <c r="U151" s="65"/>
      <c r="V151" s="65"/>
      <c r="W151" s="65"/>
      <c r="X151" s="65"/>
      <c r="Y151" s="65"/>
      <c r="Z151" s="65"/>
    </row>
    <row r="152" customFormat="false" ht="15.75" hidden="false" customHeight="true" outlineLevel="0" collapsed="false">
      <c r="A152" s="65"/>
      <c r="B152" s="65"/>
      <c r="C152" s="65"/>
      <c r="D152" s="65"/>
      <c r="E152" s="65"/>
      <c r="F152" s="65"/>
      <c r="G152" s="65"/>
      <c r="H152" s="65"/>
      <c r="I152" s="65"/>
      <c r="J152" s="65"/>
      <c r="K152" s="65"/>
      <c r="L152" s="65"/>
      <c r="M152" s="65"/>
      <c r="N152" s="65"/>
      <c r="O152" s="65"/>
      <c r="P152" s="65"/>
      <c r="Q152" s="65"/>
      <c r="R152" s="65"/>
      <c r="S152" s="65"/>
      <c r="T152" s="65"/>
      <c r="U152" s="65"/>
      <c r="V152" s="65"/>
      <c r="W152" s="65"/>
      <c r="X152" s="65"/>
      <c r="Y152" s="65"/>
      <c r="Z152" s="65"/>
    </row>
    <row r="153" customFormat="false" ht="15.75" hidden="false" customHeight="true" outlineLevel="0" collapsed="false">
      <c r="A153" s="65"/>
      <c r="B153" s="65"/>
      <c r="C153" s="65"/>
      <c r="D153" s="65"/>
      <c r="E153" s="65"/>
      <c r="F153" s="65"/>
      <c r="G153" s="65"/>
      <c r="H153" s="65"/>
      <c r="I153" s="65"/>
      <c r="J153" s="65"/>
      <c r="K153" s="65"/>
      <c r="L153" s="65"/>
      <c r="M153" s="65"/>
      <c r="N153" s="65"/>
      <c r="O153" s="65"/>
      <c r="P153" s="65"/>
      <c r="Q153" s="65"/>
      <c r="R153" s="65"/>
      <c r="S153" s="65"/>
      <c r="T153" s="65"/>
      <c r="U153" s="65"/>
      <c r="V153" s="65"/>
      <c r="W153" s="65"/>
      <c r="X153" s="65"/>
      <c r="Y153" s="65"/>
      <c r="Z153" s="65"/>
    </row>
    <row r="154" customFormat="false" ht="15.75" hidden="false" customHeight="true" outlineLevel="0" collapsed="false">
      <c r="A154" s="65"/>
      <c r="B154" s="65"/>
      <c r="C154" s="65"/>
      <c r="D154" s="65"/>
      <c r="E154" s="65"/>
      <c r="F154" s="65"/>
      <c r="G154" s="65"/>
      <c r="H154" s="65"/>
      <c r="I154" s="65"/>
      <c r="J154" s="65"/>
      <c r="K154" s="65"/>
      <c r="L154" s="65"/>
      <c r="M154" s="65"/>
      <c r="N154" s="65"/>
      <c r="O154" s="65"/>
      <c r="P154" s="65"/>
      <c r="Q154" s="65"/>
      <c r="R154" s="65"/>
      <c r="S154" s="65"/>
      <c r="T154" s="65"/>
      <c r="U154" s="65"/>
      <c r="V154" s="65"/>
      <c r="W154" s="65"/>
      <c r="X154" s="65"/>
      <c r="Y154" s="65"/>
      <c r="Z154" s="65"/>
    </row>
    <row r="155" customFormat="false" ht="15.75" hidden="false" customHeight="true" outlineLevel="0" collapsed="false">
      <c r="A155" s="65"/>
      <c r="B155" s="65"/>
      <c r="C155" s="65"/>
      <c r="D155" s="65"/>
      <c r="E155" s="65"/>
      <c r="F155" s="65"/>
      <c r="G155" s="65"/>
      <c r="H155" s="65"/>
      <c r="I155" s="65"/>
      <c r="J155" s="65"/>
      <c r="K155" s="65"/>
      <c r="L155" s="65"/>
      <c r="M155" s="65"/>
      <c r="N155" s="65"/>
      <c r="O155" s="65"/>
      <c r="P155" s="65"/>
      <c r="Q155" s="65"/>
      <c r="R155" s="65"/>
      <c r="S155" s="65"/>
      <c r="T155" s="65"/>
      <c r="U155" s="65"/>
      <c r="V155" s="65"/>
      <c r="W155" s="65"/>
      <c r="X155" s="65"/>
      <c r="Y155" s="65"/>
      <c r="Z155" s="65"/>
    </row>
    <row r="156" customFormat="false" ht="15.75" hidden="false" customHeight="true" outlineLevel="0" collapsed="false">
      <c r="A156" s="65"/>
      <c r="B156" s="65"/>
      <c r="C156" s="65"/>
      <c r="D156" s="65"/>
      <c r="E156" s="65"/>
      <c r="F156" s="65"/>
      <c r="G156" s="65"/>
      <c r="H156" s="65"/>
      <c r="I156" s="65"/>
      <c r="J156" s="65"/>
      <c r="K156" s="65"/>
      <c r="L156" s="65"/>
      <c r="M156" s="65"/>
      <c r="N156" s="65"/>
      <c r="O156" s="65"/>
      <c r="P156" s="65"/>
      <c r="Q156" s="65"/>
      <c r="R156" s="65"/>
      <c r="S156" s="65"/>
      <c r="T156" s="65"/>
      <c r="U156" s="65"/>
      <c r="V156" s="65"/>
      <c r="W156" s="65"/>
      <c r="X156" s="65"/>
      <c r="Y156" s="65"/>
      <c r="Z156" s="65"/>
    </row>
    <row r="157" customFormat="false" ht="15.75" hidden="false" customHeight="true" outlineLevel="0" collapsed="false">
      <c r="A157" s="65"/>
      <c r="B157" s="65"/>
      <c r="C157" s="65"/>
      <c r="D157" s="65"/>
      <c r="E157" s="65"/>
      <c r="F157" s="65"/>
      <c r="G157" s="65"/>
      <c r="H157" s="65"/>
      <c r="I157" s="65"/>
      <c r="J157" s="65"/>
      <c r="K157" s="65"/>
      <c r="L157" s="65"/>
      <c r="M157" s="65"/>
      <c r="N157" s="65"/>
      <c r="O157" s="65"/>
      <c r="P157" s="65"/>
      <c r="Q157" s="65"/>
      <c r="R157" s="65"/>
      <c r="S157" s="65"/>
      <c r="T157" s="65"/>
      <c r="U157" s="65"/>
      <c r="V157" s="65"/>
      <c r="W157" s="65"/>
      <c r="X157" s="65"/>
      <c r="Y157" s="65"/>
      <c r="Z157" s="65"/>
    </row>
    <row r="158" customFormat="false" ht="15.75" hidden="false" customHeight="true" outlineLevel="0" collapsed="false">
      <c r="A158" s="65"/>
      <c r="B158" s="65"/>
      <c r="C158" s="65"/>
      <c r="D158" s="65"/>
      <c r="E158" s="65"/>
      <c r="F158" s="65"/>
      <c r="G158" s="65"/>
      <c r="H158" s="65"/>
      <c r="I158" s="65"/>
      <c r="J158" s="65"/>
      <c r="K158" s="65"/>
      <c r="L158" s="65"/>
      <c r="M158" s="65"/>
      <c r="N158" s="65"/>
      <c r="O158" s="65"/>
      <c r="P158" s="65"/>
      <c r="Q158" s="65"/>
      <c r="R158" s="65"/>
      <c r="S158" s="65"/>
      <c r="T158" s="65"/>
      <c r="U158" s="65"/>
      <c r="V158" s="65"/>
      <c r="W158" s="65"/>
      <c r="X158" s="65"/>
      <c r="Y158" s="65"/>
      <c r="Z158" s="65"/>
    </row>
    <row r="159" customFormat="false" ht="15.75" hidden="false" customHeight="true" outlineLevel="0" collapsed="false">
      <c r="A159" s="65"/>
      <c r="B159" s="65"/>
      <c r="C159" s="65"/>
      <c r="D159" s="65"/>
      <c r="E159" s="65"/>
      <c r="F159" s="65"/>
      <c r="G159" s="65"/>
      <c r="H159" s="65"/>
      <c r="I159" s="65"/>
      <c r="J159" s="65"/>
      <c r="K159" s="65"/>
      <c r="L159" s="65"/>
      <c r="M159" s="65"/>
      <c r="N159" s="65"/>
      <c r="O159" s="65"/>
      <c r="P159" s="65"/>
      <c r="Q159" s="65"/>
      <c r="R159" s="65"/>
      <c r="S159" s="65"/>
      <c r="T159" s="65"/>
      <c r="U159" s="65"/>
      <c r="V159" s="65"/>
      <c r="W159" s="65"/>
      <c r="X159" s="65"/>
      <c r="Y159" s="65"/>
      <c r="Z159" s="65"/>
    </row>
    <row r="160" customFormat="false" ht="15.75" hidden="false" customHeight="true" outlineLevel="0" collapsed="false">
      <c r="A160" s="65"/>
      <c r="B160" s="65"/>
      <c r="C160" s="65"/>
      <c r="D160" s="65"/>
      <c r="E160" s="65"/>
      <c r="F160" s="65"/>
      <c r="G160" s="65"/>
      <c r="H160" s="65"/>
      <c r="I160" s="65"/>
      <c r="J160" s="65"/>
      <c r="K160" s="65"/>
      <c r="L160" s="65"/>
      <c r="M160" s="65"/>
      <c r="N160" s="65"/>
      <c r="O160" s="65"/>
      <c r="P160" s="65"/>
      <c r="Q160" s="65"/>
      <c r="R160" s="65"/>
      <c r="S160" s="65"/>
      <c r="T160" s="65"/>
      <c r="U160" s="65"/>
      <c r="V160" s="65"/>
      <c r="W160" s="65"/>
      <c r="X160" s="65"/>
      <c r="Y160" s="65"/>
      <c r="Z160" s="65"/>
    </row>
    <row r="161" customFormat="false" ht="15.75" hidden="false" customHeight="true" outlineLevel="0" collapsed="false">
      <c r="A161" s="65"/>
      <c r="B161" s="65"/>
      <c r="C161" s="65"/>
      <c r="D161" s="65"/>
      <c r="E161" s="65"/>
      <c r="F161" s="65"/>
      <c r="G161" s="65"/>
      <c r="H161" s="65"/>
      <c r="I161" s="65"/>
      <c r="J161" s="65"/>
      <c r="K161" s="65"/>
      <c r="L161" s="65"/>
      <c r="M161" s="65"/>
      <c r="N161" s="65"/>
      <c r="O161" s="65"/>
      <c r="P161" s="65"/>
      <c r="Q161" s="65"/>
      <c r="R161" s="65"/>
      <c r="S161" s="65"/>
      <c r="T161" s="65"/>
      <c r="U161" s="65"/>
      <c r="V161" s="65"/>
      <c r="W161" s="65"/>
      <c r="X161" s="65"/>
      <c r="Y161" s="65"/>
      <c r="Z161" s="65"/>
    </row>
    <row r="162" customFormat="false" ht="15.75" hidden="false" customHeight="true" outlineLevel="0" collapsed="false">
      <c r="A162" s="65"/>
      <c r="B162" s="65"/>
      <c r="C162" s="65"/>
      <c r="D162" s="65"/>
      <c r="E162" s="65"/>
      <c r="F162" s="65"/>
      <c r="G162" s="65"/>
      <c r="H162" s="65"/>
      <c r="I162" s="65"/>
      <c r="J162" s="65"/>
      <c r="K162" s="65"/>
      <c r="L162" s="65"/>
      <c r="M162" s="65"/>
      <c r="N162" s="65"/>
      <c r="O162" s="65"/>
      <c r="P162" s="65"/>
      <c r="Q162" s="65"/>
      <c r="R162" s="65"/>
      <c r="S162" s="65"/>
      <c r="T162" s="65"/>
      <c r="U162" s="65"/>
      <c r="V162" s="65"/>
      <c r="W162" s="65"/>
      <c r="X162" s="65"/>
      <c r="Y162" s="65"/>
      <c r="Z162" s="65"/>
    </row>
    <row r="163" customFormat="false" ht="15.75" hidden="false" customHeight="true" outlineLevel="0" collapsed="false">
      <c r="A163" s="65"/>
      <c r="B163" s="65"/>
      <c r="C163" s="65"/>
      <c r="D163" s="65"/>
      <c r="E163" s="65"/>
      <c r="F163" s="65"/>
      <c r="G163" s="65"/>
      <c r="H163" s="65"/>
      <c r="I163" s="65"/>
      <c r="J163" s="65"/>
      <c r="K163" s="65"/>
      <c r="L163" s="65"/>
      <c r="M163" s="65"/>
      <c r="N163" s="65"/>
      <c r="O163" s="65"/>
      <c r="P163" s="65"/>
      <c r="Q163" s="65"/>
      <c r="R163" s="65"/>
      <c r="S163" s="65"/>
      <c r="T163" s="65"/>
      <c r="U163" s="65"/>
      <c r="V163" s="65"/>
      <c r="W163" s="65"/>
      <c r="X163" s="65"/>
      <c r="Y163" s="65"/>
      <c r="Z163" s="65"/>
    </row>
    <row r="164" customFormat="false" ht="15.75" hidden="false" customHeight="true" outlineLevel="0" collapsed="false">
      <c r="A164" s="65"/>
      <c r="B164" s="65"/>
      <c r="C164" s="65"/>
      <c r="D164" s="65"/>
      <c r="E164" s="65"/>
      <c r="F164" s="65"/>
      <c r="G164" s="65"/>
      <c r="H164" s="65"/>
      <c r="I164" s="65"/>
      <c r="J164" s="65"/>
      <c r="K164" s="65"/>
      <c r="L164" s="65"/>
      <c r="M164" s="65"/>
      <c r="N164" s="65"/>
      <c r="O164" s="65"/>
      <c r="P164" s="65"/>
      <c r="Q164" s="65"/>
      <c r="R164" s="65"/>
      <c r="S164" s="65"/>
      <c r="T164" s="65"/>
      <c r="U164" s="65"/>
      <c r="V164" s="65"/>
      <c r="W164" s="65"/>
      <c r="X164" s="65"/>
      <c r="Y164" s="65"/>
      <c r="Z164" s="65"/>
    </row>
    <row r="165" customFormat="false" ht="15.75" hidden="false" customHeight="true" outlineLevel="0" collapsed="false">
      <c r="A165" s="65"/>
      <c r="B165" s="65"/>
      <c r="C165" s="65"/>
      <c r="D165" s="65"/>
      <c r="E165" s="65"/>
      <c r="F165" s="65"/>
      <c r="G165" s="65"/>
      <c r="H165" s="65"/>
      <c r="I165" s="65"/>
      <c r="J165" s="65"/>
      <c r="K165" s="65"/>
      <c r="L165" s="65"/>
      <c r="M165" s="65"/>
      <c r="N165" s="65"/>
      <c r="O165" s="65"/>
      <c r="P165" s="65"/>
      <c r="Q165" s="65"/>
      <c r="R165" s="65"/>
      <c r="S165" s="65"/>
      <c r="T165" s="65"/>
      <c r="U165" s="65"/>
      <c r="V165" s="65"/>
      <c r="W165" s="65"/>
      <c r="X165" s="65"/>
      <c r="Y165" s="65"/>
      <c r="Z165" s="65"/>
    </row>
    <row r="166" customFormat="false" ht="15.75" hidden="false" customHeight="true" outlineLevel="0" collapsed="false">
      <c r="A166" s="65"/>
      <c r="B166" s="65"/>
      <c r="C166" s="65"/>
      <c r="D166" s="65"/>
      <c r="E166" s="65"/>
      <c r="F166" s="65"/>
      <c r="G166" s="65"/>
      <c r="H166" s="65"/>
      <c r="I166" s="65"/>
      <c r="J166" s="65"/>
      <c r="K166" s="65"/>
      <c r="L166" s="65"/>
      <c r="M166" s="65"/>
      <c r="N166" s="65"/>
      <c r="O166" s="65"/>
      <c r="P166" s="65"/>
      <c r="Q166" s="65"/>
      <c r="R166" s="65"/>
      <c r="S166" s="65"/>
      <c r="T166" s="65"/>
      <c r="U166" s="65"/>
      <c r="V166" s="65"/>
      <c r="W166" s="65"/>
      <c r="X166" s="65"/>
      <c r="Y166" s="65"/>
      <c r="Z166" s="65"/>
    </row>
    <row r="167" customFormat="false" ht="15.75" hidden="false" customHeight="true" outlineLevel="0" collapsed="false">
      <c r="A167" s="65"/>
      <c r="B167" s="65"/>
      <c r="C167" s="65"/>
      <c r="D167" s="65"/>
      <c r="E167" s="65"/>
      <c r="F167" s="65"/>
      <c r="G167" s="65"/>
      <c r="H167" s="65"/>
      <c r="I167" s="65"/>
      <c r="J167" s="65"/>
      <c r="K167" s="65"/>
      <c r="L167" s="65"/>
      <c r="M167" s="65"/>
      <c r="N167" s="65"/>
      <c r="O167" s="65"/>
      <c r="P167" s="65"/>
      <c r="Q167" s="65"/>
      <c r="R167" s="65"/>
      <c r="S167" s="65"/>
      <c r="T167" s="65"/>
      <c r="U167" s="65"/>
      <c r="V167" s="65"/>
      <c r="W167" s="65"/>
      <c r="X167" s="65"/>
      <c r="Y167" s="65"/>
      <c r="Z167" s="65"/>
    </row>
    <row r="168" customFormat="false" ht="15.75" hidden="false" customHeight="true" outlineLevel="0" collapsed="false">
      <c r="A168" s="65"/>
      <c r="B168" s="65"/>
      <c r="C168" s="65"/>
      <c r="D168" s="65"/>
      <c r="E168" s="65"/>
      <c r="F168" s="65"/>
      <c r="G168" s="65"/>
      <c r="H168" s="65"/>
      <c r="I168" s="65"/>
      <c r="J168" s="65"/>
      <c r="K168" s="65"/>
      <c r="L168" s="65"/>
      <c r="M168" s="65"/>
      <c r="N168" s="65"/>
      <c r="O168" s="65"/>
      <c r="P168" s="65"/>
      <c r="Q168" s="65"/>
      <c r="R168" s="65"/>
      <c r="S168" s="65"/>
      <c r="T168" s="65"/>
      <c r="U168" s="65"/>
      <c r="V168" s="65"/>
      <c r="W168" s="65"/>
      <c r="X168" s="65"/>
      <c r="Y168" s="65"/>
      <c r="Z168" s="65"/>
    </row>
    <row r="169" customFormat="false" ht="15.75" hidden="false" customHeight="true" outlineLevel="0" collapsed="false">
      <c r="A169" s="65"/>
      <c r="B169" s="65"/>
      <c r="C169" s="65"/>
      <c r="D169" s="65"/>
      <c r="E169" s="65"/>
      <c r="F169" s="65"/>
      <c r="G169" s="65"/>
      <c r="H169" s="65"/>
      <c r="I169" s="65"/>
      <c r="J169" s="65"/>
      <c r="K169" s="65"/>
      <c r="L169" s="65"/>
      <c r="M169" s="65"/>
      <c r="N169" s="65"/>
      <c r="O169" s="65"/>
      <c r="P169" s="65"/>
      <c r="Q169" s="65"/>
      <c r="R169" s="65"/>
      <c r="S169" s="65"/>
      <c r="T169" s="65"/>
      <c r="U169" s="65"/>
      <c r="V169" s="65"/>
      <c r="W169" s="65"/>
      <c r="X169" s="65"/>
      <c r="Y169" s="65"/>
      <c r="Z169" s="65"/>
    </row>
    <row r="170" customFormat="false" ht="15.75" hidden="false" customHeight="true" outlineLevel="0" collapsed="false">
      <c r="A170" s="65"/>
      <c r="B170" s="65"/>
      <c r="C170" s="65"/>
      <c r="D170" s="65"/>
      <c r="E170" s="65"/>
      <c r="F170" s="65"/>
      <c r="G170" s="65"/>
      <c r="H170" s="65"/>
      <c r="I170" s="65"/>
      <c r="J170" s="65"/>
      <c r="K170" s="65"/>
      <c r="L170" s="65"/>
      <c r="M170" s="65"/>
      <c r="N170" s="65"/>
      <c r="O170" s="65"/>
      <c r="P170" s="65"/>
      <c r="Q170" s="65"/>
      <c r="R170" s="65"/>
      <c r="S170" s="65"/>
      <c r="T170" s="65"/>
      <c r="U170" s="65"/>
      <c r="V170" s="65"/>
      <c r="W170" s="65"/>
      <c r="X170" s="65"/>
      <c r="Y170" s="65"/>
      <c r="Z170" s="65"/>
    </row>
    <row r="171" customFormat="false" ht="15.75" hidden="false" customHeight="true" outlineLevel="0" collapsed="false">
      <c r="A171" s="65"/>
      <c r="B171" s="65"/>
      <c r="C171" s="65"/>
      <c r="D171" s="65"/>
      <c r="E171" s="65"/>
      <c r="F171" s="65"/>
      <c r="G171" s="65"/>
      <c r="H171" s="65"/>
      <c r="I171" s="65"/>
      <c r="J171" s="65"/>
      <c r="K171" s="65"/>
      <c r="L171" s="65"/>
      <c r="M171" s="65"/>
      <c r="N171" s="65"/>
      <c r="O171" s="65"/>
      <c r="P171" s="65"/>
      <c r="Q171" s="65"/>
      <c r="R171" s="65"/>
      <c r="S171" s="65"/>
      <c r="T171" s="65"/>
      <c r="U171" s="65"/>
      <c r="V171" s="65"/>
      <c r="W171" s="65"/>
      <c r="X171" s="65"/>
      <c r="Y171" s="65"/>
      <c r="Z171" s="65"/>
    </row>
    <row r="172" customFormat="false" ht="15.75" hidden="false" customHeight="true" outlineLevel="0" collapsed="false">
      <c r="A172" s="65"/>
      <c r="B172" s="65"/>
      <c r="C172" s="65"/>
      <c r="D172" s="65"/>
      <c r="E172" s="65"/>
      <c r="F172" s="65"/>
      <c r="G172" s="65"/>
      <c r="H172" s="65"/>
      <c r="I172" s="65"/>
      <c r="J172" s="65"/>
      <c r="K172" s="65"/>
      <c r="L172" s="65"/>
      <c r="M172" s="65"/>
      <c r="N172" s="65"/>
      <c r="O172" s="65"/>
      <c r="P172" s="65"/>
      <c r="Q172" s="65"/>
      <c r="R172" s="65"/>
      <c r="S172" s="65"/>
      <c r="T172" s="65"/>
      <c r="U172" s="65"/>
      <c r="V172" s="65"/>
      <c r="W172" s="65"/>
      <c r="X172" s="65"/>
      <c r="Y172" s="65"/>
      <c r="Z172" s="65"/>
    </row>
    <row r="173" customFormat="false" ht="15.75" hidden="false" customHeight="true" outlineLevel="0" collapsed="false">
      <c r="A173" s="65"/>
      <c r="B173" s="65"/>
      <c r="C173" s="65"/>
      <c r="D173" s="65"/>
      <c r="E173" s="65"/>
      <c r="F173" s="65"/>
      <c r="G173" s="65"/>
      <c r="H173" s="65"/>
      <c r="I173" s="65"/>
      <c r="J173" s="65"/>
      <c r="K173" s="65"/>
      <c r="L173" s="65"/>
      <c r="M173" s="65"/>
      <c r="N173" s="65"/>
      <c r="O173" s="65"/>
      <c r="P173" s="65"/>
      <c r="Q173" s="65"/>
      <c r="R173" s="65"/>
      <c r="S173" s="65"/>
      <c r="T173" s="65"/>
      <c r="U173" s="65"/>
      <c r="V173" s="65"/>
      <c r="W173" s="65"/>
      <c r="X173" s="65"/>
      <c r="Y173" s="65"/>
      <c r="Z173" s="65"/>
    </row>
    <row r="174" customFormat="false" ht="15.75" hidden="false" customHeight="true" outlineLevel="0" collapsed="false">
      <c r="A174" s="65"/>
      <c r="B174" s="65"/>
      <c r="C174" s="65"/>
      <c r="D174" s="65"/>
      <c r="E174" s="65"/>
      <c r="F174" s="65"/>
      <c r="G174" s="65"/>
      <c r="H174" s="65"/>
      <c r="I174" s="65"/>
      <c r="J174" s="65"/>
      <c r="K174" s="65"/>
      <c r="L174" s="65"/>
      <c r="M174" s="65"/>
      <c r="N174" s="65"/>
      <c r="O174" s="65"/>
      <c r="P174" s="65"/>
      <c r="Q174" s="65"/>
      <c r="R174" s="65"/>
      <c r="S174" s="65"/>
      <c r="T174" s="65"/>
      <c r="U174" s="65"/>
      <c r="V174" s="65"/>
      <c r="W174" s="65"/>
      <c r="X174" s="65"/>
      <c r="Y174" s="65"/>
      <c r="Z174" s="65"/>
    </row>
    <row r="175" customFormat="false" ht="15.75" hidden="false" customHeight="true" outlineLevel="0" collapsed="false">
      <c r="A175" s="65"/>
      <c r="B175" s="65"/>
      <c r="C175" s="65"/>
      <c r="D175" s="65"/>
      <c r="E175" s="65"/>
      <c r="F175" s="65"/>
      <c r="G175" s="65"/>
      <c r="H175" s="65"/>
      <c r="I175" s="65"/>
      <c r="J175" s="65"/>
      <c r="K175" s="65"/>
      <c r="L175" s="65"/>
      <c r="M175" s="65"/>
      <c r="N175" s="65"/>
      <c r="O175" s="65"/>
      <c r="P175" s="65"/>
      <c r="Q175" s="65"/>
      <c r="R175" s="65"/>
      <c r="S175" s="65"/>
      <c r="T175" s="65"/>
      <c r="U175" s="65"/>
      <c r="V175" s="65"/>
      <c r="W175" s="65"/>
      <c r="X175" s="65"/>
      <c r="Y175" s="65"/>
      <c r="Z175" s="65"/>
    </row>
    <row r="176" customFormat="false" ht="15.75" hidden="false" customHeight="true" outlineLevel="0" collapsed="false">
      <c r="A176" s="65"/>
      <c r="B176" s="65"/>
      <c r="C176" s="65"/>
      <c r="D176" s="65"/>
      <c r="E176" s="65"/>
      <c r="F176" s="65"/>
      <c r="G176" s="65"/>
      <c r="H176" s="65"/>
      <c r="I176" s="65"/>
      <c r="J176" s="65"/>
      <c r="K176" s="65"/>
      <c r="L176" s="65"/>
      <c r="M176" s="65"/>
      <c r="N176" s="65"/>
      <c r="O176" s="65"/>
      <c r="P176" s="65"/>
      <c r="Q176" s="65"/>
      <c r="R176" s="65"/>
      <c r="S176" s="65"/>
      <c r="T176" s="65"/>
      <c r="U176" s="65"/>
      <c r="V176" s="65"/>
      <c r="W176" s="65"/>
      <c r="X176" s="65"/>
      <c r="Y176" s="65"/>
      <c r="Z176" s="65"/>
    </row>
    <row r="177" customFormat="false" ht="15.75" hidden="false" customHeight="true" outlineLevel="0" collapsed="false">
      <c r="A177" s="65"/>
      <c r="B177" s="65"/>
      <c r="C177" s="65"/>
      <c r="D177" s="65"/>
      <c r="E177" s="65"/>
      <c r="F177" s="65"/>
      <c r="G177" s="65"/>
      <c r="H177" s="65"/>
      <c r="I177" s="65"/>
      <c r="J177" s="65"/>
      <c r="K177" s="65"/>
      <c r="L177" s="65"/>
      <c r="M177" s="65"/>
      <c r="N177" s="65"/>
      <c r="O177" s="65"/>
      <c r="P177" s="65"/>
      <c r="Q177" s="65"/>
      <c r="R177" s="65"/>
      <c r="S177" s="65"/>
      <c r="T177" s="65"/>
      <c r="U177" s="65"/>
      <c r="V177" s="65"/>
      <c r="W177" s="65"/>
      <c r="X177" s="65"/>
      <c r="Y177" s="65"/>
      <c r="Z177" s="65"/>
    </row>
    <row r="178" customFormat="false" ht="15.75" hidden="false" customHeight="true" outlineLevel="0" collapsed="false">
      <c r="A178" s="65"/>
      <c r="B178" s="65"/>
      <c r="C178" s="65"/>
      <c r="D178" s="65"/>
      <c r="E178" s="65"/>
      <c r="F178" s="65"/>
      <c r="G178" s="65"/>
      <c r="H178" s="65"/>
      <c r="I178" s="65"/>
      <c r="J178" s="65"/>
      <c r="K178" s="65"/>
      <c r="L178" s="65"/>
      <c r="M178" s="65"/>
      <c r="N178" s="65"/>
      <c r="O178" s="65"/>
      <c r="P178" s="65"/>
      <c r="Q178" s="65"/>
      <c r="R178" s="65"/>
      <c r="S178" s="65"/>
      <c r="T178" s="65"/>
      <c r="U178" s="65"/>
      <c r="V178" s="65"/>
      <c r="W178" s="65"/>
      <c r="X178" s="65"/>
      <c r="Y178" s="65"/>
      <c r="Z178" s="65"/>
    </row>
    <row r="179" customFormat="false" ht="15.75" hidden="false" customHeight="true" outlineLevel="0" collapsed="false">
      <c r="A179" s="65"/>
      <c r="B179" s="65"/>
      <c r="C179" s="65"/>
      <c r="D179" s="65"/>
      <c r="E179" s="65"/>
      <c r="F179" s="65"/>
      <c r="G179" s="65"/>
      <c r="H179" s="65"/>
      <c r="I179" s="65"/>
      <c r="J179" s="65"/>
      <c r="K179" s="65"/>
      <c r="L179" s="65"/>
      <c r="M179" s="65"/>
      <c r="N179" s="65"/>
      <c r="O179" s="65"/>
      <c r="P179" s="65"/>
      <c r="Q179" s="65"/>
      <c r="R179" s="65"/>
      <c r="S179" s="65"/>
      <c r="T179" s="65"/>
      <c r="U179" s="65"/>
      <c r="V179" s="65"/>
      <c r="W179" s="65"/>
      <c r="X179" s="65"/>
      <c r="Y179" s="65"/>
      <c r="Z179" s="65"/>
    </row>
    <row r="180" customFormat="false" ht="15.75" hidden="false" customHeight="true" outlineLevel="0" collapsed="false">
      <c r="A180" s="65"/>
      <c r="B180" s="65"/>
      <c r="C180" s="65"/>
      <c r="D180" s="65"/>
      <c r="E180" s="65"/>
      <c r="F180" s="65"/>
      <c r="G180" s="65"/>
      <c r="H180" s="65"/>
      <c r="I180" s="65"/>
      <c r="J180" s="65"/>
      <c r="K180" s="65"/>
      <c r="L180" s="65"/>
      <c r="M180" s="65"/>
      <c r="N180" s="65"/>
      <c r="O180" s="65"/>
      <c r="P180" s="65"/>
      <c r="Q180" s="65"/>
      <c r="R180" s="65"/>
      <c r="S180" s="65"/>
      <c r="T180" s="65"/>
      <c r="U180" s="65"/>
      <c r="V180" s="65"/>
      <c r="W180" s="65"/>
      <c r="X180" s="65"/>
      <c r="Y180" s="65"/>
      <c r="Z180" s="65"/>
    </row>
    <row r="181" customFormat="false" ht="15.75" hidden="false" customHeight="true" outlineLevel="0" collapsed="false">
      <c r="A181" s="65"/>
      <c r="B181" s="65"/>
      <c r="C181" s="65"/>
      <c r="D181" s="65"/>
      <c r="E181" s="65"/>
      <c r="F181" s="65"/>
      <c r="G181" s="65"/>
      <c r="H181" s="65"/>
      <c r="I181" s="65"/>
      <c r="J181" s="65"/>
      <c r="K181" s="65"/>
      <c r="L181" s="65"/>
      <c r="M181" s="65"/>
      <c r="N181" s="65"/>
      <c r="O181" s="65"/>
      <c r="P181" s="65"/>
      <c r="Q181" s="65"/>
      <c r="R181" s="65"/>
      <c r="S181" s="65"/>
      <c r="T181" s="65"/>
      <c r="U181" s="65"/>
      <c r="V181" s="65"/>
      <c r="W181" s="65"/>
      <c r="X181" s="65"/>
      <c r="Y181" s="65"/>
      <c r="Z181" s="65"/>
    </row>
    <row r="182" customFormat="false" ht="15.75" hidden="false" customHeight="true" outlineLevel="0" collapsed="false">
      <c r="A182" s="65"/>
      <c r="B182" s="65"/>
      <c r="C182" s="65"/>
      <c r="D182" s="65"/>
      <c r="E182" s="65"/>
      <c r="F182" s="65"/>
      <c r="G182" s="65"/>
      <c r="H182" s="65"/>
      <c r="I182" s="65"/>
      <c r="J182" s="65"/>
      <c r="K182" s="65"/>
      <c r="L182" s="65"/>
      <c r="M182" s="65"/>
      <c r="N182" s="65"/>
      <c r="O182" s="65"/>
      <c r="P182" s="65"/>
      <c r="Q182" s="65"/>
      <c r="R182" s="65"/>
      <c r="S182" s="65"/>
      <c r="T182" s="65"/>
      <c r="U182" s="65"/>
      <c r="V182" s="65"/>
      <c r="W182" s="65"/>
      <c r="X182" s="65"/>
      <c r="Y182" s="65"/>
      <c r="Z182" s="65"/>
    </row>
    <row r="183" customFormat="false" ht="15.75" hidden="false" customHeight="true" outlineLevel="0" collapsed="false">
      <c r="A183" s="65"/>
      <c r="B183" s="65"/>
      <c r="C183" s="65"/>
      <c r="D183" s="65"/>
      <c r="E183" s="65"/>
      <c r="F183" s="65"/>
      <c r="G183" s="65"/>
      <c r="H183" s="65"/>
      <c r="I183" s="65"/>
      <c r="J183" s="65"/>
      <c r="K183" s="65"/>
      <c r="L183" s="65"/>
      <c r="M183" s="65"/>
      <c r="N183" s="65"/>
      <c r="O183" s="65"/>
      <c r="P183" s="65"/>
      <c r="Q183" s="65"/>
      <c r="R183" s="65"/>
      <c r="S183" s="65"/>
      <c r="T183" s="65"/>
      <c r="U183" s="65"/>
      <c r="V183" s="65"/>
      <c r="W183" s="65"/>
      <c r="X183" s="65"/>
      <c r="Y183" s="65"/>
      <c r="Z183" s="65"/>
    </row>
    <row r="184" customFormat="false" ht="15.75" hidden="false" customHeight="true" outlineLevel="0" collapsed="false">
      <c r="A184" s="65"/>
      <c r="B184" s="65"/>
      <c r="C184" s="65"/>
      <c r="D184" s="65"/>
      <c r="E184" s="65"/>
      <c r="F184" s="65"/>
      <c r="G184" s="65"/>
      <c r="H184" s="65"/>
      <c r="I184" s="65"/>
      <c r="J184" s="65"/>
      <c r="K184" s="65"/>
      <c r="L184" s="65"/>
      <c r="M184" s="65"/>
      <c r="N184" s="65"/>
      <c r="O184" s="65"/>
      <c r="P184" s="65"/>
      <c r="Q184" s="65"/>
      <c r="R184" s="65"/>
      <c r="S184" s="65"/>
      <c r="T184" s="65"/>
      <c r="U184" s="65"/>
      <c r="V184" s="65"/>
      <c r="W184" s="65"/>
      <c r="X184" s="65"/>
      <c r="Y184" s="65"/>
      <c r="Z184" s="65"/>
    </row>
    <row r="185" customFormat="false" ht="15.75" hidden="false" customHeight="true" outlineLevel="0" collapsed="false">
      <c r="A185" s="65"/>
      <c r="B185" s="65"/>
      <c r="C185" s="65"/>
      <c r="D185" s="65"/>
      <c r="E185" s="65"/>
      <c r="F185" s="65"/>
      <c r="G185" s="65"/>
      <c r="H185" s="65"/>
      <c r="I185" s="65"/>
      <c r="J185" s="65"/>
      <c r="K185" s="65"/>
      <c r="L185" s="65"/>
      <c r="M185" s="65"/>
      <c r="N185" s="65"/>
      <c r="O185" s="65"/>
      <c r="P185" s="65"/>
      <c r="Q185" s="65"/>
      <c r="R185" s="65"/>
      <c r="S185" s="65"/>
      <c r="T185" s="65"/>
      <c r="U185" s="65"/>
      <c r="V185" s="65"/>
      <c r="W185" s="65"/>
      <c r="X185" s="65"/>
      <c r="Y185" s="65"/>
      <c r="Z185" s="65"/>
    </row>
    <row r="186" customFormat="false" ht="15.75" hidden="false" customHeight="true" outlineLevel="0" collapsed="false">
      <c r="A186" s="65"/>
      <c r="B186" s="65"/>
      <c r="C186" s="65"/>
      <c r="D186" s="65"/>
      <c r="E186" s="65"/>
      <c r="F186" s="65"/>
      <c r="G186" s="65"/>
      <c r="H186" s="65"/>
      <c r="I186" s="65"/>
      <c r="J186" s="65"/>
      <c r="K186" s="65"/>
      <c r="L186" s="65"/>
      <c r="M186" s="65"/>
      <c r="N186" s="65"/>
      <c r="O186" s="65"/>
      <c r="P186" s="65"/>
      <c r="Q186" s="65"/>
      <c r="R186" s="65"/>
      <c r="S186" s="65"/>
      <c r="T186" s="65"/>
      <c r="U186" s="65"/>
      <c r="V186" s="65"/>
      <c r="W186" s="65"/>
      <c r="X186" s="65"/>
      <c r="Y186" s="65"/>
      <c r="Z186" s="65"/>
    </row>
    <row r="187" customFormat="false" ht="15.75" hidden="false" customHeight="true" outlineLevel="0" collapsed="false">
      <c r="A187" s="65"/>
      <c r="B187" s="65"/>
      <c r="C187" s="65"/>
      <c r="D187" s="65"/>
      <c r="E187" s="65"/>
      <c r="F187" s="65"/>
      <c r="G187" s="65"/>
      <c r="H187" s="65"/>
      <c r="I187" s="65"/>
      <c r="J187" s="65"/>
      <c r="K187" s="65"/>
      <c r="L187" s="65"/>
      <c r="M187" s="65"/>
      <c r="N187" s="65"/>
      <c r="O187" s="65"/>
      <c r="P187" s="65"/>
      <c r="Q187" s="65"/>
      <c r="R187" s="65"/>
      <c r="S187" s="65"/>
      <c r="T187" s="65"/>
      <c r="U187" s="65"/>
      <c r="V187" s="65"/>
      <c r="W187" s="65"/>
      <c r="X187" s="65"/>
      <c r="Y187" s="65"/>
      <c r="Z187" s="65"/>
    </row>
    <row r="188" customFormat="false" ht="15.75" hidden="false" customHeight="true" outlineLevel="0" collapsed="false">
      <c r="A188" s="65"/>
      <c r="B188" s="65"/>
      <c r="C188" s="65"/>
      <c r="D188" s="65"/>
      <c r="E188" s="65"/>
      <c r="F188" s="65"/>
      <c r="G188" s="65"/>
      <c r="H188" s="65"/>
      <c r="I188" s="65"/>
      <c r="J188" s="65"/>
      <c r="K188" s="65"/>
      <c r="L188" s="65"/>
      <c r="M188" s="65"/>
      <c r="N188" s="65"/>
      <c r="O188" s="65"/>
      <c r="P188" s="65"/>
      <c r="Q188" s="65"/>
      <c r="R188" s="65"/>
      <c r="S188" s="65"/>
      <c r="T188" s="65"/>
      <c r="U188" s="65"/>
      <c r="V188" s="65"/>
      <c r="W188" s="65"/>
      <c r="X188" s="65"/>
      <c r="Y188" s="65"/>
      <c r="Z188" s="65"/>
    </row>
    <row r="189" customFormat="false" ht="15.75" hidden="false" customHeight="true" outlineLevel="0" collapsed="false">
      <c r="A189" s="65"/>
      <c r="B189" s="65"/>
      <c r="C189" s="65"/>
      <c r="D189" s="65"/>
      <c r="E189" s="65"/>
      <c r="F189" s="65"/>
      <c r="G189" s="65"/>
      <c r="H189" s="65"/>
      <c r="I189" s="65"/>
      <c r="J189" s="65"/>
      <c r="K189" s="65"/>
      <c r="L189" s="65"/>
      <c r="M189" s="65"/>
      <c r="N189" s="65"/>
      <c r="O189" s="65"/>
      <c r="P189" s="65"/>
      <c r="Q189" s="65"/>
      <c r="R189" s="65"/>
      <c r="S189" s="65"/>
      <c r="T189" s="65"/>
      <c r="U189" s="65"/>
      <c r="V189" s="65"/>
      <c r="W189" s="65"/>
      <c r="X189" s="65"/>
      <c r="Y189" s="65"/>
      <c r="Z189" s="65"/>
    </row>
    <row r="190" customFormat="false" ht="15.75" hidden="false" customHeight="true" outlineLevel="0" collapsed="false">
      <c r="A190" s="65"/>
      <c r="B190" s="65"/>
      <c r="C190" s="65"/>
      <c r="D190" s="65"/>
      <c r="E190" s="65"/>
      <c r="F190" s="65"/>
      <c r="G190" s="65"/>
      <c r="H190" s="65"/>
      <c r="I190" s="65"/>
      <c r="J190" s="65"/>
      <c r="K190" s="65"/>
      <c r="L190" s="65"/>
      <c r="M190" s="65"/>
      <c r="N190" s="65"/>
      <c r="O190" s="65"/>
      <c r="P190" s="65"/>
      <c r="Q190" s="65"/>
      <c r="R190" s="65"/>
      <c r="S190" s="65"/>
      <c r="T190" s="65"/>
      <c r="U190" s="65"/>
      <c r="V190" s="65"/>
      <c r="W190" s="65"/>
      <c r="X190" s="65"/>
      <c r="Y190" s="65"/>
      <c r="Z190" s="65"/>
    </row>
    <row r="191" customFormat="false" ht="15.75" hidden="false" customHeight="true" outlineLevel="0" collapsed="false">
      <c r="A191" s="65"/>
      <c r="B191" s="65"/>
      <c r="C191" s="65"/>
      <c r="D191" s="65"/>
      <c r="E191" s="65"/>
      <c r="F191" s="65"/>
      <c r="G191" s="65"/>
      <c r="H191" s="65"/>
      <c r="I191" s="65"/>
      <c r="J191" s="65"/>
      <c r="K191" s="65"/>
      <c r="L191" s="65"/>
      <c r="M191" s="65"/>
      <c r="N191" s="65"/>
      <c r="O191" s="65"/>
      <c r="P191" s="65"/>
      <c r="Q191" s="65"/>
      <c r="R191" s="65"/>
      <c r="S191" s="65"/>
      <c r="T191" s="65"/>
      <c r="U191" s="65"/>
      <c r="V191" s="65"/>
      <c r="W191" s="65"/>
      <c r="X191" s="65"/>
      <c r="Y191" s="65"/>
      <c r="Z191" s="65"/>
    </row>
    <row r="192" customFormat="false" ht="15.75" hidden="false" customHeight="true" outlineLevel="0" collapsed="false">
      <c r="A192" s="65"/>
      <c r="B192" s="65"/>
      <c r="C192" s="65"/>
      <c r="D192" s="65"/>
      <c r="E192" s="65"/>
      <c r="F192" s="65"/>
      <c r="G192" s="65"/>
      <c r="H192" s="65"/>
      <c r="I192" s="65"/>
      <c r="J192" s="65"/>
      <c r="K192" s="65"/>
      <c r="L192" s="65"/>
      <c r="M192" s="65"/>
      <c r="N192" s="65"/>
      <c r="O192" s="65"/>
      <c r="P192" s="65"/>
      <c r="Q192" s="65"/>
      <c r="R192" s="65"/>
      <c r="S192" s="65"/>
      <c r="T192" s="65"/>
      <c r="U192" s="65"/>
      <c r="V192" s="65"/>
      <c r="W192" s="65"/>
      <c r="X192" s="65"/>
      <c r="Y192" s="65"/>
      <c r="Z192" s="65"/>
    </row>
    <row r="193" customFormat="false" ht="15.75" hidden="false" customHeight="true" outlineLevel="0" collapsed="false">
      <c r="A193" s="65"/>
      <c r="B193" s="65"/>
      <c r="C193" s="65"/>
      <c r="D193" s="65"/>
      <c r="E193" s="65"/>
      <c r="F193" s="65"/>
      <c r="G193" s="65"/>
      <c r="H193" s="65"/>
      <c r="I193" s="65"/>
      <c r="J193" s="65"/>
      <c r="K193" s="65"/>
      <c r="L193" s="65"/>
      <c r="M193" s="65"/>
      <c r="N193" s="65"/>
      <c r="O193" s="65"/>
      <c r="P193" s="65"/>
      <c r="Q193" s="65"/>
      <c r="R193" s="65"/>
      <c r="S193" s="65"/>
      <c r="T193" s="65"/>
      <c r="U193" s="65"/>
      <c r="V193" s="65"/>
      <c r="W193" s="65"/>
      <c r="X193" s="65"/>
      <c r="Y193" s="65"/>
      <c r="Z193" s="65"/>
    </row>
    <row r="194" customFormat="false" ht="15.75" hidden="false" customHeight="true" outlineLevel="0" collapsed="false">
      <c r="A194" s="65"/>
      <c r="B194" s="65"/>
      <c r="C194" s="65"/>
      <c r="D194" s="65"/>
      <c r="E194" s="65"/>
      <c r="F194" s="65"/>
      <c r="G194" s="65"/>
      <c r="H194" s="65"/>
      <c r="I194" s="65"/>
      <c r="J194" s="65"/>
      <c r="K194" s="65"/>
      <c r="L194" s="65"/>
      <c r="M194" s="65"/>
      <c r="N194" s="65"/>
      <c r="O194" s="65"/>
      <c r="P194" s="65"/>
      <c r="Q194" s="65"/>
      <c r="R194" s="65"/>
      <c r="S194" s="65"/>
      <c r="T194" s="65"/>
      <c r="U194" s="65"/>
      <c r="V194" s="65"/>
      <c r="W194" s="65"/>
      <c r="X194" s="65"/>
      <c r="Y194" s="65"/>
      <c r="Z194" s="65"/>
    </row>
    <row r="195" customFormat="false" ht="15.75" hidden="false" customHeight="true" outlineLevel="0" collapsed="false">
      <c r="A195" s="65"/>
      <c r="B195" s="65"/>
      <c r="C195" s="65"/>
      <c r="D195" s="65"/>
      <c r="E195" s="65"/>
      <c r="F195" s="65"/>
      <c r="G195" s="65"/>
      <c r="H195" s="65"/>
      <c r="I195" s="65"/>
      <c r="J195" s="65"/>
      <c r="K195" s="65"/>
      <c r="L195" s="65"/>
      <c r="M195" s="65"/>
      <c r="N195" s="65"/>
      <c r="O195" s="65"/>
      <c r="P195" s="65"/>
      <c r="Q195" s="65"/>
      <c r="R195" s="65"/>
      <c r="S195" s="65"/>
      <c r="T195" s="65"/>
      <c r="U195" s="65"/>
      <c r="V195" s="65"/>
      <c r="W195" s="65"/>
      <c r="X195" s="65"/>
      <c r="Y195" s="65"/>
      <c r="Z195" s="65"/>
    </row>
    <row r="196" customFormat="false" ht="15.75" hidden="false" customHeight="true" outlineLevel="0" collapsed="false">
      <c r="A196" s="65"/>
      <c r="B196" s="65"/>
      <c r="C196" s="65"/>
      <c r="D196" s="65"/>
      <c r="E196" s="65"/>
      <c r="F196" s="65"/>
      <c r="G196" s="65"/>
      <c r="H196" s="65"/>
      <c r="I196" s="65"/>
      <c r="J196" s="65"/>
      <c r="K196" s="65"/>
      <c r="L196" s="65"/>
      <c r="M196" s="65"/>
      <c r="N196" s="65"/>
      <c r="O196" s="65"/>
      <c r="P196" s="65"/>
      <c r="Q196" s="65"/>
      <c r="R196" s="65"/>
      <c r="S196" s="65"/>
      <c r="T196" s="65"/>
      <c r="U196" s="65"/>
      <c r="V196" s="65"/>
      <c r="W196" s="65"/>
      <c r="X196" s="65"/>
      <c r="Y196" s="65"/>
      <c r="Z196" s="65"/>
    </row>
    <row r="197" customFormat="false" ht="15.75" hidden="false" customHeight="true" outlineLevel="0" collapsed="false">
      <c r="A197" s="65"/>
      <c r="B197" s="65"/>
      <c r="C197" s="65"/>
      <c r="D197" s="65"/>
      <c r="E197" s="65"/>
      <c r="F197" s="65"/>
      <c r="G197" s="65"/>
      <c r="H197" s="65"/>
      <c r="I197" s="65"/>
      <c r="J197" s="65"/>
      <c r="K197" s="65"/>
      <c r="L197" s="65"/>
      <c r="M197" s="65"/>
      <c r="N197" s="65"/>
      <c r="O197" s="65"/>
      <c r="P197" s="65"/>
      <c r="Q197" s="65"/>
      <c r="R197" s="65"/>
      <c r="S197" s="65"/>
      <c r="T197" s="65"/>
      <c r="U197" s="65"/>
      <c r="V197" s="65"/>
      <c r="W197" s="65"/>
      <c r="X197" s="65"/>
      <c r="Y197" s="65"/>
      <c r="Z197" s="65"/>
    </row>
    <row r="198" customFormat="false" ht="15.75" hidden="false" customHeight="true" outlineLevel="0" collapsed="false">
      <c r="A198" s="65"/>
      <c r="B198" s="65"/>
      <c r="C198" s="65"/>
      <c r="D198" s="65"/>
      <c r="E198" s="65"/>
      <c r="F198" s="65"/>
      <c r="G198" s="65"/>
      <c r="H198" s="65"/>
      <c r="I198" s="65"/>
      <c r="J198" s="65"/>
      <c r="K198" s="65"/>
      <c r="L198" s="65"/>
      <c r="M198" s="65"/>
      <c r="N198" s="65"/>
      <c r="O198" s="65"/>
      <c r="P198" s="65"/>
      <c r="Q198" s="65"/>
      <c r="R198" s="65"/>
      <c r="S198" s="65"/>
      <c r="T198" s="65"/>
      <c r="U198" s="65"/>
      <c r="V198" s="65"/>
      <c r="W198" s="65"/>
      <c r="X198" s="65"/>
      <c r="Y198" s="65"/>
      <c r="Z198" s="65"/>
    </row>
    <row r="199" customFormat="false" ht="15.75" hidden="false" customHeight="true" outlineLevel="0" collapsed="false">
      <c r="A199" s="65"/>
      <c r="B199" s="65"/>
      <c r="C199" s="65"/>
      <c r="D199" s="65"/>
      <c r="E199" s="65"/>
      <c r="F199" s="65"/>
      <c r="G199" s="65"/>
      <c r="H199" s="65"/>
      <c r="I199" s="65"/>
      <c r="J199" s="65"/>
      <c r="K199" s="65"/>
      <c r="L199" s="65"/>
      <c r="M199" s="65"/>
      <c r="N199" s="65"/>
      <c r="O199" s="65"/>
      <c r="P199" s="65"/>
      <c r="Q199" s="65"/>
      <c r="R199" s="65"/>
      <c r="S199" s="65"/>
      <c r="T199" s="65"/>
      <c r="U199" s="65"/>
      <c r="V199" s="65"/>
      <c r="W199" s="65"/>
      <c r="X199" s="65"/>
      <c r="Y199" s="65"/>
      <c r="Z199" s="65"/>
    </row>
    <row r="200" customFormat="false" ht="15.75" hidden="false" customHeight="true" outlineLevel="0" collapsed="false">
      <c r="A200" s="65"/>
      <c r="B200" s="65"/>
      <c r="C200" s="65"/>
      <c r="D200" s="65"/>
      <c r="E200" s="65"/>
      <c r="F200" s="65"/>
      <c r="G200" s="65"/>
      <c r="H200" s="65"/>
      <c r="I200" s="65"/>
      <c r="J200" s="65"/>
      <c r="K200" s="65"/>
      <c r="L200" s="65"/>
      <c r="M200" s="65"/>
      <c r="N200" s="65"/>
      <c r="O200" s="65"/>
      <c r="P200" s="65"/>
      <c r="Q200" s="65"/>
      <c r="R200" s="65"/>
      <c r="S200" s="65"/>
      <c r="T200" s="65"/>
      <c r="U200" s="65"/>
      <c r="V200" s="65"/>
      <c r="W200" s="65"/>
      <c r="X200" s="65"/>
      <c r="Y200" s="65"/>
      <c r="Z200" s="65"/>
    </row>
    <row r="201" customFormat="false" ht="15.75" hidden="false" customHeight="true" outlineLevel="0" collapsed="false">
      <c r="A201" s="65"/>
      <c r="B201" s="65"/>
      <c r="C201" s="65"/>
      <c r="D201" s="65"/>
      <c r="E201" s="65"/>
      <c r="F201" s="65"/>
      <c r="G201" s="65"/>
      <c r="H201" s="65"/>
      <c r="I201" s="65"/>
      <c r="J201" s="65"/>
      <c r="K201" s="65"/>
      <c r="L201" s="65"/>
      <c r="M201" s="65"/>
      <c r="N201" s="65"/>
      <c r="O201" s="65"/>
      <c r="P201" s="65"/>
      <c r="Q201" s="65"/>
      <c r="R201" s="65"/>
      <c r="S201" s="65"/>
      <c r="T201" s="65"/>
      <c r="U201" s="65"/>
      <c r="V201" s="65"/>
      <c r="W201" s="65"/>
      <c r="X201" s="65"/>
      <c r="Y201" s="65"/>
      <c r="Z201" s="65"/>
    </row>
    <row r="202" customFormat="false" ht="15.75" hidden="false" customHeight="true" outlineLevel="0" collapsed="false">
      <c r="A202" s="65"/>
      <c r="B202" s="65"/>
      <c r="C202" s="65"/>
      <c r="D202" s="65"/>
      <c r="E202" s="65"/>
      <c r="F202" s="65"/>
      <c r="G202" s="65"/>
      <c r="H202" s="65"/>
      <c r="I202" s="65"/>
      <c r="J202" s="65"/>
      <c r="K202" s="65"/>
      <c r="L202" s="65"/>
      <c r="M202" s="65"/>
      <c r="N202" s="65"/>
      <c r="O202" s="65"/>
      <c r="P202" s="65"/>
      <c r="Q202" s="65"/>
      <c r="R202" s="65"/>
      <c r="S202" s="65"/>
      <c r="T202" s="65"/>
      <c r="U202" s="65"/>
      <c r="V202" s="65"/>
      <c r="W202" s="65"/>
      <c r="X202" s="65"/>
      <c r="Y202" s="65"/>
      <c r="Z202" s="65"/>
    </row>
    <row r="203" customFormat="false" ht="15.75" hidden="false" customHeight="true" outlineLevel="0" collapsed="false">
      <c r="A203" s="65"/>
      <c r="B203" s="65"/>
      <c r="C203" s="65"/>
      <c r="D203" s="65"/>
      <c r="E203" s="65"/>
      <c r="F203" s="65"/>
      <c r="G203" s="65"/>
      <c r="H203" s="65"/>
      <c r="I203" s="65"/>
      <c r="J203" s="65"/>
      <c r="K203" s="65"/>
      <c r="L203" s="65"/>
      <c r="M203" s="65"/>
      <c r="N203" s="65"/>
      <c r="O203" s="65"/>
      <c r="P203" s="65"/>
      <c r="Q203" s="65"/>
      <c r="R203" s="65"/>
      <c r="S203" s="65"/>
      <c r="T203" s="65"/>
      <c r="U203" s="65"/>
      <c r="V203" s="65"/>
      <c r="W203" s="65"/>
      <c r="X203" s="65"/>
      <c r="Y203" s="65"/>
      <c r="Z203" s="65"/>
    </row>
    <row r="204" customFormat="false" ht="15.75" hidden="false" customHeight="true" outlineLevel="0" collapsed="false">
      <c r="A204" s="65"/>
      <c r="B204" s="65"/>
      <c r="C204" s="65"/>
      <c r="D204" s="65"/>
      <c r="E204" s="65"/>
      <c r="F204" s="65"/>
      <c r="G204" s="65"/>
      <c r="H204" s="65"/>
      <c r="I204" s="65"/>
      <c r="J204" s="65"/>
      <c r="K204" s="65"/>
      <c r="L204" s="65"/>
      <c r="M204" s="65"/>
      <c r="N204" s="65"/>
      <c r="O204" s="65"/>
      <c r="P204" s="65"/>
      <c r="Q204" s="65"/>
      <c r="R204" s="65"/>
      <c r="S204" s="65"/>
      <c r="T204" s="65"/>
      <c r="U204" s="65"/>
      <c r="V204" s="65"/>
      <c r="W204" s="65"/>
      <c r="X204" s="65"/>
      <c r="Y204" s="65"/>
      <c r="Z204" s="65"/>
    </row>
    <row r="205" customFormat="false" ht="15.75" hidden="false" customHeight="true" outlineLevel="0" collapsed="false">
      <c r="A205" s="65"/>
      <c r="B205" s="65"/>
      <c r="C205" s="65"/>
      <c r="D205" s="65"/>
      <c r="E205" s="65"/>
      <c r="F205" s="65"/>
      <c r="G205" s="65"/>
      <c r="H205" s="65"/>
      <c r="I205" s="65"/>
      <c r="J205" s="65"/>
      <c r="K205" s="65"/>
      <c r="L205" s="65"/>
      <c r="M205" s="65"/>
      <c r="N205" s="65"/>
      <c r="O205" s="65"/>
      <c r="P205" s="65"/>
      <c r="Q205" s="65"/>
      <c r="R205" s="65"/>
      <c r="S205" s="65"/>
      <c r="T205" s="65"/>
      <c r="U205" s="65"/>
      <c r="V205" s="65"/>
      <c r="W205" s="65"/>
      <c r="X205" s="65"/>
      <c r="Y205" s="65"/>
      <c r="Z205" s="65"/>
    </row>
    <row r="206" customFormat="false" ht="15.75" hidden="false" customHeight="true" outlineLevel="0" collapsed="false">
      <c r="A206" s="65"/>
      <c r="B206" s="65"/>
      <c r="C206" s="65"/>
      <c r="D206" s="65"/>
      <c r="E206" s="65"/>
      <c r="F206" s="65"/>
      <c r="G206" s="65"/>
      <c r="H206" s="65"/>
      <c r="I206" s="65"/>
      <c r="J206" s="65"/>
      <c r="K206" s="65"/>
      <c r="L206" s="65"/>
      <c r="M206" s="65"/>
      <c r="N206" s="65"/>
      <c r="O206" s="65"/>
      <c r="P206" s="65"/>
      <c r="Q206" s="65"/>
      <c r="R206" s="65"/>
      <c r="S206" s="65"/>
      <c r="T206" s="65"/>
      <c r="U206" s="65"/>
      <c r="V206" s="65"/>
      <c r="W206" s="65"/>
      <c r="X206" s="65"/>
      <c r="Y206" s="65"/>
      <c r="Z206" s="65"/>
    </row>
    <row r="207" customFormat="false" ht="15.75" hidden="false" customHeight="true" outlineLevel="0" collapsed="false">
      <c r="A207" s="65"/>
      <c r="B207" s="65"/>
      <c r="C207" s="65"/>
      <c r="D207" s="65"/>
      <c r="E207" s="65"/>
      <c r="F207" s="65"/>
      <c r="G207" s="65"/>
      <c r="H207" s="65"/>
      <c r="I207" s="65"/>
      <c r="J207" s="65"/>
      <c r="K207" s="65"/>
      <c r="L207" s="65"/>
      <c r="M207" s="65"/>
      <c r="N207" s="65"/>
      <c r="O207" s="65"/>
      <c r="P207" s="65"/>
      <c r="Q207" s="65"/>
      <c r="R207" s="65"/>
      <c r="S207" s="65"/>
      <c r="T207" s="65"/>
      <c r="U207" s="65"/>
      <c r="V207" s="65"/>
      <c r="W207" s="65"/>
      <c r="X207" s="65"/>
      <c r="Y207" s="65"/>
      <c r="Z207" s="65"/>
    </row>
    <row r="208" customFormat="false" ht="15.75" hidden="false" customHeight="true" outlineLevel="0" collapsed="false">
      <c r="A208" s="65"/>
      <c r="B208" s="65"/>
      <c r="C208" s="65"/>
      <c r="D208" s="65"/>
      <c r="E208" s="65"/>
      <c r="F208" s="65"/>
      <c r="G208" s="65"/>
      <c r="H208" s="65"/>
      <c r="I208" s="65"/>
      <c r="J208" s="65"/>
      <c r="K208" s="65"/>
      <c r="L208" s="65"/>
      <c r="M208" s="65"/>
      <c r="N208" s="65"/>
      <c r="O208" s="65"/>
      <c r="P208" s="65"/>
      <c r="Q208" s="65"/>
      <c r="R208" s="65"/>
      <c r="S208" s="65"/>
      <c r="T208" s="65"/>
      <c r="U208" s="65"/>
      <c r="V208" s="65"/>
      <c r="W208" s="65"/>
      <c r="X208" s="65"/>
      <c r="Y208" s="65"/>
      <c r="Z208" s="65"/>
    </row>
    <row r="209" customFormat="false" ht="15.75" hidden="false" customHeight="true" outlineLevel="0" collapsed="false">
      <c r="A209" s="65"/>
      <c r="B209" s="65"/>
      <c r="C209" s="65"/>
      <c r="D209" s="65"/>
      <c r="E209" s="65"/>
      <c r="F209" s="65"/>
      <c r="G209" s="65"/>
      <c r="H209" s="65"/>
      <c r="I209" s="65"/>
      <c r="J209" s="65"/>
      <c r="K209" s="65"/>
      <c r="L209" s="65"/>
      <c r="M209" s="65"/>
      <c r="N209" s="65"/>
      <c r="O209" s="65"/>
      <c r="P209" s="65"/>
      <c r="Q209" s="65"/>
      <c r="R209" s="65"/>
      <c r="S209" s="65"/>
      <c r="T209" s="65"/>
      <c r="U209" s="65"/>
      <c r="V209" s="65"/>
      <c r="W209" s="65"/>
      <c r="X209" s="65"/>
      <c r="Y209" s="65"/>
      <c r="Z209" s="65"/>
    </row>
    <row r="210" customFormat="false" ht="15.75" hidden="false" customHeight="true" outlineLevel="0" collapsed="false">
      <c r="A210" s="65"/>
      <c r="B210" s="65"/>
      <c r="C210" s="65"/>
      <c r="D210" s="65"/>
      <c r="E210" s="65"/>
      <c r="F210" s="65"/>
      <c r="G210" s="65"/>
      <c r="H210" s="65"/>
      <c r="I210" s="65"/>
      <c r="J210" s="65"/>
      <c r="K210" s="65"/>
      <c r="L210" s="65"/>
      <c r="M210" s="65"/>
      <c r="N210" s="65"/>
      <c r="O210" s="65"/>
      <c r="P210" s="65"/>
      <c r="Q210" s="65"/>
      <c r="R210" s="65"/>
      <c r="S210" s="65"/>
      <c r="T210" s="65"/>
      <c r="U210" s="65"/>
      <c r="V210" s="65"/>
      <c r="W210" s="65"/>
      <c r="X210" s="65"/>
      <c r="Y210" s="65"/>
      <c r="Z210" s="65"/>
    </row>
    <row r="211" customFormat="false" ht="15.75" hidden="false" customHeight="true" outlineLevel="0" collapsed="false">
      <c r="A211" s="65"/>
      <c r="B211" s="65"/>
      <c r="C211" s="65"/>
      <c r="D211" s="65"/>
      <c r="E211" s="65"/>
      <c r="F211" s="65"/>
      <c r="G211" s="65"/>
      <c r="H211" s="65"/>
      <c r="I211" s="65"/>
      <c r="J211" s="65"/>
      <c r="K211" s="65"/>
      <c r="L211" s="65"/>
      <c r="M211" s="65"/>
      <c r="N211" s="65"/>
      <c r="O211" s="65"/>
      <c r="P211" s="65"/>
      <c r="Q211" s="65"/>
      <c r="R211" s="65"/>
      <c r="S211" s="65"/>
      <c r="T211" s="65"/>
      <c r="U211" s="65"/>
      <c r="V211" s="65"/>
      <c r="W211" s="65"/>
      <c r="X211" s="65"/>
      <c r="Y211" s="65"/>
      <c r="Z211" s="65"/>
    </row>
    <row r="212" customFormat="false" ht="15.75" hidden="false" customHeight="true" outlineLevel="0" collapsed="false">
      <c r="A212" s="65"/>
      <c r="B212" s="65"/>
      <c r="C212" s="65"/>
      <c r="D212" s="65"/>
      <c r="E212" s="65"/>
      <c r="F212" s="65"/>
      <c r="G212" s="65"/>
      <c r="H212" s="65"/>
      <c r="I212" s="65"/>
      <c r="J212" s="65"/>
      <c r="K212" s="65"/>
      <c r="L212" s="65"/>
      <c r="M212" s="65"/>
      <c r="N212" s="65"/>
      <c r="O212" s="65"/>
      <c r="P212" s="65"/>
      <c r="Q212" s="65"/>
      <c r="R212" s="65"/>
      <c r="S212" s="65"/>
      <c r="T212" s="65"/>
      <c r="U212" s="65"/>
      <c r="V212" s="65"/>
      <c r="W212" s="65"/>
      <c r="X212" s="65"/>
      <c r="Y212" s="65"/>
      <c r="Z212" s="65"/>
    </row>
    <row r="213" customFormat="false" ht="15.75" hidden="false" customHeight="true" outlineLevel="0" collapsed="false">
      <c r="A213" s="65"/>
      <c r="B213" s="65"/>
      <c r="C213" s="65"/>
      <c r="D213" s="65"/>
      <c r="E213" s="65"/>
      <c r="F213" s="65"/>
      <c r="G213" s="65"/>
      <c r="H213" s="65"/>
      <c r="I213" s="65"/>
      <c r="J213" s="65"/>
      <c r="K213" s="65"/>
      <c r="L213" s="65"/>
      <c r="M213" s="65"/>
      <c r="N213" s="65"/>
      <c r="O213" s="65"/>
      <c r="P213" s="65"/>
      <c r="Q213" s="65"/>
      <c r="R213" s="65"/>
      <c r="S213" s="65"/>
      <c r="T213" s="65"/>
      <c r="U213" s="65"/>
      <c r="V213" s="65"/>
      <c r="W213" s="65"/>
      <c r="X213" s="65"/>
      <c r="Y213" s="65"/>
      <c r="Z213" s="65"/>
    </row>
    <row r="214" customFormat="false" ht="15.75" hidden="false" customHeight="true" outlineLevel="0" collapsed="false">
      <c r="A214" s="65"/>
      <c r="B214" s="65"/>
      <c r="C214" s="65"/>
      <c r="D214" s="65"/>
      <c r="E214" s="65"/>
      <c r="F214" s="65"/>
      <c r="G214" s="65"/>
      <c r="H214" s="65"/>
      <c r="I214" s="65"/>
      <c r="J214" s="65"/>
      <c r="K214" s="65"/>
      <c r="L214" s="65"/>
      <c r="M214" s="65"/>
      <c r="N214" s="65"/>
      <c r="O214" s="65"/>
      <c r="P214" s="65"/>
      <c r="Q214" s="65"/>
      <c r="R214" s="65"/>
      <c r="S214" s="65"/>
      <c r="T214" s="65"/>
      <c r="U214" s="65"/>
      <c r="V214" s="65"/>
      <c r="W214" s="65"/>
      <c r="X214" s="65"/>
      <c r="Y214" s="65"/>
      <c r="Z214" s="65"/>
    </row>
    <row r="215" customFormat="false" ht="15.75" hidden="false" customHeight="true" outlineLevel="0" collapsed="false">
      <c r="A215" s="65"/>
      <c r="B215" s="65"/>
      <c r="C215" s="65"/>
      <c r="D215" s="65"/>
      <c r="E215" s="65"/>
      <c r="F215" s="65"/>
      <c r="G215" s="65"/>
      <c r="H215" s="65"/>
      <c r="I215" s="65"/>
      <c r="J215" s="65"/>
      <c r="K215" s="65"/>
      <c r="L215" s="65"/>
      <c r="M215" s="65"/>
      <c r="N215" s="65"/>
      <c r="O215" s="65"/>
      <c r="P215" s="65"/>
      <c r="Q215" s="65"/>
      <c r="R215" s="65"/>
      <c r="S215" s="65"/>
      <c r="T215" s="65"/>
      <c r="U215" s="65"/>
      <c r="V215" s="65"/>
      <c r="W215" s="65"/>
      <c r="X215" s="65"/>
      <c r="Y215" s="65"/>
      <c r="Z215" s="65"/>
    </row>
    <row r="216" customFormat="false" ht="15.75" hidden="false" customHeight="true" outlineLevel="0" collapsed="false">
      <c r="A216" s="65"/>
      <c r="B216" s="65"/>
      <c r="C216" s="65"/>
      <c r="D216" s="65"/>
      <c r="E216" s="65"/>
      <c r="F216" s="65"/>
      <c r="G216" s="65"/>
      <c r="H216" s="65"/>
      <c r="I216" s="65"/>
      <c r="J216" s="65"/>
      <c r="K216" s="65"/>
      <c r="L216" s="65"/>
      <c r="M216" s="65"/>
      <c r="N216" s="65"/>
      <c r="O216" s="65"/>
      <c r="P216" s="65"/>
      <c r="Q216" s="65"/>
      <c r="R216" s="65"/>
      <c r="S216" s="65"/>
      <c r="T216" s="65"/>
      <c r="U216" s="65"/>
      <c r="V216" s="65"/>
      <c r="W216" s="65"/>
      <c r="X216" s="65"/>
      <c r="Y216" s="65"/>
      <c r="Z216" s="65"/>
    </row>
    <row r="217" customFormat="false" ht="15.75" hidden="false" customHeight="true" outlineLevel="0" collapsed="false">
      <c r="A217" s="65"/>
      <c r="B217" s="65"/>
      <c r="C217" s="65"/>
      <c r="D217" s="65"/>
      <c r="E217" s="65"/>
      <c r="F217" s="65"/>
      <c r="G217" s="65"/>
      <c r="H217" s="65"/>
      <c r="I217" s="65"/>
      <c r="J217" s="65"/>
      <c r="K217" s="65"/>
      <c r="L217" s="65"/>
      <c r="M217" s="65"/>
      <c r="N217" s="65"/>
      <c r="O217" s="65"/>
      <c r="P217" s="65"/>
      <c r="Q217" s="65"/>
      <c r="R217" s="65"/>
      <c r="S217" s="65"/>
      <c r="T217" s="65"/>
      <c r="U217" s="65"/>
      <c r="V217" s="65"/>
      <c r="W217" s="65"/>
      <c r="X217" s="65"/>
      <c r="Y217" s="65"/>
      <c r="Z217" s="65"/>
    </row>
    <row r="218" customFormat="false" ht="15.75" hidden="false" customHeight="true" outlineLevel="0" collapsed="false">
      <c r="A218" s="65"/>
      <c r="B218" s="65"/>
      <c r="C218" s="65"/>
      <c r="D218" s="65"/>
      <c r="E218" s="65"/>
      <c r="F218" s="65"/>
      <c r="G218" s="65"/>
      <c r="H218" s="65"/>
      <c r="I218" s="65"/>
      <c r="J218" s="65"/>
      <c r="K218" s="65"/>
      <c r="L218" s="65"/>
      <c r="M218" s="65"/>
      <c r="N218" s="65"/>
      <c r="O218" s="65"/>
      <c r="P218" s="65"/>
      <c r="Q218" s="65"/>
      <c r="R218" s="65"/>
      <c r="S218" s="65"/>
      <c r="T218" s="65"/>
      <c r="U218" s="65"/>
      <c r="V218" s="65"/>
      <c r="W218" s="65"/>
      <c r="X218" s="65"/>
      <c r="Y218" s="65"/>
      <c r="Z218" s="65"/>
    </row>
    <row r="219" customFormat="false" ht="15.75" hidden="false" customHeight="true" outlineLevel="0" collapsed="false">
      <c r="A219" s="65"/>
      <c r="B219" s="65"/>
      <c r="C219" s="65"/>
      <c r="D219" s="65"/>
      <c r="E219" s="65"/>
      <c r="F219" s="65"/>
      <c r="G219" s="65"/>
      <c r="H219" s="65"/>
      <c r="I219" s="65"/>
      <c r="J219" s="65"/>
      <c r="K219" s="65"/>
      <c r="L219" s="65"/>
      <c r="M219" s="65"/>
      <c r="N219" s="65"/>
      <c r="O219" s="65"/>
      <c r="P219" s="65"/>
      <c r="Q219" s="65"/>
      <c r="R219" s="65"/>
      <c r="S219" s="65"/>
      <c r="T219" s="65"/>
      <c r="U219" s="65"/>
      <c r="V219" s="65"/>
      <c r="W219" s="65"/>
      <c r="X219" s="65"/>
      <c r="Y219" s="65"/>
      <c r="Z219" s="65"/>
    </row>
    <row r="220" customFormat="false" ht="15.75" hidden="false" customHeight="true" outlineLevel="0" collapsed="false">
      <c r="A220" s="65"/>
      <c r="B220" s="65"/>
      <c r="C220" s="65"/>
      <c r="D220" s="65"/>
      <c r="E220" s="65"/>
      <c r="F220" s="65"/>
      <c r="G220" s="65"/>
      <c r="H220" s="65"/>
      <c r="I220" s="65"/>
      <c r="J220" s="65"/>
      <c r="K220" s="65"/>
      <c r="L220" s="65"/>
      <c r="M220" s="65"/>
      <c r="N220" s="65"/>
      <c r="O220" s="65"/>
      <c r="P220" s="65"/>
      <c r="Q220" s="65"/>
      <c r="R220" s="65"/>
      <c r="S220" s="65"/>
      <c r="T220" s="65"/>
      <c r="U220" s="65"/>
      <c r="V220" s="65"/>
      <c r="W220" s="65"/>
      <c r="X220" s="65"/>
      <c r="Y220" s="65"/>
      <c r="Z220" s="65"/>
    </row>
    <row r="221" customFormat="false" ht="15.75" hidden="false" customHeight="true" outlineLevel="0" collapsed="false">
      <c r="A221" s="65"/>
      <c r="B221" s="65"/>
      <c r="C221" s="65"/>
      <c r="D221" s="65"/>
      <c r="E221" s="65"/>
      <c r="F221" s="65"/>
      <c r="G221" s="65"/>
      <c r="H221" s="65"/>
      <c r="I221" s="65"/>
      <c r="J221" s="65"/>
      <c r="K221" s="65"/>
      <c r="L221" s="65"/>
      <c r="M221" s="65"/>
      <c r="N221" s="65"/>
      <c r="O221" s="65"/>
      <c r="P221" s="65"/>
      <c r="Q221" s="65"/>
      <c r="R221" s="65"/>
      <c r="S221" s="65"/>
      <c r="T221" s="65"/>
      <c r="U221" s="65"/>
      <c r="V221" s="65"/>
      <c r="W221" s="65"/>
      <c r="X221" s="65"/>
      <c r="Y221" s="65"/>
      <c r="Z221" s="65"/>
    </row>
    <row r="222" customFormat="false" ht="15.75" hidden="false" customHeight="true" outlineLevel="0" collapsed="false">
      <c r="A222" s="65"/>
      <c r="B222" s="65"/>
      <c r="C222" s="65"/>
      <c r="D222" s="65"/>
      <c r="E222" s="65"/>
      <c r="F222" s="65"/>
      <c r="G222" s="65"/>
      <c r="H222" s="65"/>
      <c r="I222" s="65"/>
      <c r="J222" s="65"/>
      <c r="K222" s="65"/>
      <c r="L222" s="65"/>
      <c r="M222" s="65"/>
      <c r="N222" s="65"/>
      <c r="O222" s="65"/>
      <c r="P222" s="65"/>
      <c r="Q222" s="65"/>
      <c r="R222" s="65"/>
      <c r="S222" s="65"/>
      <c r="T222" s="65"/>
      <c r="U222" s="65"/>
      <c r="V222" s="65"/>
      <c r="W222" s="65"/>
      <c r="X222" s="65"/>
      <c r="Y222" s="65"/>
      <c r="Z222" s="65"/>
    </row>
    <row r="223" customFormat="false" ht="15.75" hidden="false" customHeight="true" outlineLevel="0" collapsed="false">
      <c r="A223" s="65"/>
      <c r="B223" s="65"/>
      <c r="C223" s="65"/>
      <c r="D223" s="65"/>
      <c r="E223" s="65"/>
      <c r="F223" s="65"/>
      <c r="G223" s="65"/>
      <c r="H223" s="65"/>
      <c r="I223" s="65"/>
      <c r="J223" s="65"/>
      <c r="K223" s="65"/>
      <c r="L223" s="65"/>
      <c r="M223" s="65"/>
      <c r="N223" s="65"/>
      <c r="O223" s="65"/>
      <c r="P223" s="65"/>
      <c r="Q223" s="65"/>
      <c r="R223" s="65"/>
      <c r="S223" s="65"/>
      <c r="T223" s="65"/>
      <c r="U223" s="65"/>
      <c r="V223" s="65"/>
      <c r="W223" s="65"/>
      <c r="X223" s="65"/>
      <c r="Y223" s="65"/>
      <c r="Z223" s="65"/>
    </row>
    <row r="224" customFormat="false" ht="15.75" hidden="false" customHeight="true" outlineLevel="0" collapsed="false">
      <c r="A224" s="65"/>
      <c r="B224" s="65"/>
      <c r="C224" s="65"/>
      <c r="D224" s="65"/>
      <c r="E224" s="65"/>
      <c r="F224" s="65"/>
      <c r="G224" s="65"/>
      <c r="H224" s="65"/>
      <c r="I224" s="65"/>
      <c r="J224" s="65"/>
      <c r="K224" s="65"/>
      <c r="L224" s="65"/>
      <c r="M224" s="65"/>
      <c r="N224" s="65"/>
      <c r="O224" s="65"/>
      <c r="P224" s="65"/>
      <c r="Q224" s="65"/>
      <c r="R224" s="65"/>
      <c r="S224" s="65"/>
      <c r="T224" s="65"/>
      <c r="U224" s="65"/>
      <c r="V224" s="65"/>
      <c r="W224" s="65"/>
      <c r="X224" s="65"/>
      <c r="Y224" s="65"/>
      <c r="Z224" s="65"/>
    </row>
    <row r="225" customFormat="false" ht="15.75" hidden="false" customHeight="true" outlineLevel="0" collapsed="false">
      <c r="A225" s="65"/>
      <c r="B225" s="65"/>
      <c r="C225" s="65"/>
      <c r="D225" s="65"/>
      <c r="E225" s="65"/>
      <c r="F225" s="65"/>
      <c r="G225" s="65"/>
      <c r="H225" s="65"/>
      <c r="I225" s="65"/>
      <c r="J225" s="65"/>
      <c r="K225" s="65"/>
      <c r="L225" s="65"/>
      <c r="M225" s="65"/>
      <c r="N225" s="65"/>
      <c r="O225" s="65"/>
      <c r="P225" s="65"/>
      <c r="Q225" s="65"/>
      <c r="R225" s="65"/>
      <c r="S225" s="65"/>
      <c r="T225" s="65"/>
      <c r="U225" s="65"/>
      <c r="V225" s="65"/>
      <c r="W225" s="65"/>
      <c r="X225" s="65"/>
      <c r="Y225" s="65"/>
      <c r="Z225" s="65"/>
    </row>
    <row r="226" customFormat="false" ht="15.75" hidden="false" customHeight="true" outlineLevel="0" collapsed="false">
      <c r="A226" s="65"/>
      <c r="B226" s="65"/>
      <c r="C226" s="65"/>
      <c r="D226" s="65"/>
      <c r="E226" s="65"/>
      <c r="F226" s="65"/>
      <c r="G226" s="65"/>
      <c r="H226" s="65"/>
      <c r="I226" s="65"/>
      <c r="J226" s="65"/>
      <c r="K226" s="65"/>
      <c r="L226" s="65"/>
      <c r="M226" s="65"/>
      <c r="N226" s="65"/>
      <c r="O226" s="65"/>
      <c r="P226" s="65"/>
      <c r="Q226" s="65"/>
      <c r="R226" s="65"/>
      <c r="S226" s="65"/>
      <c r="T226" s="65"/>
      <c r="U226" s="65"/>
      <c r="V226" s="65"/>
      <c r="W226" s="65"/>
      <c r="X226" s="65"/>
      <c r="Y226" s="65"/>
      <c r="Z226" s="65"/>
    </row>
    <row r="227" customFormat="false" ht="15.75" hidden="false" customHeight="true" outlineLevel="0" collapsed="false">
      <c r="A227" s="65"/>
      <c r="B227" s="65"/>
      <c r="C227" s="65"/>
      <c r="D227" s="65"/>
      <c r="E227" s="65"/>
      <c r="F227" s="65"/>
      <c r="G227" s="65"/>
      <c r="H227" s="65"/>
      <c r="I227" s="65"/>
      <c r="J227" s="65"/>
      <c r="K227" s="65"/>
      <c r="L227" s="65"/>
      <c r="M227" s="65"/>
      <c r="N227" s="65"/>
      <c r="O227" s="65"/>
      <c r="P227" s="65"/>
      <c r="Q227" s="65"/>
      <c r="R227" s="65"/>
      <c r="S227" s="65"/>
      <c r="T227" s="65"/>
      <c r="U227" s="65"/>
      <c r="V227" s="65"/>
      <c r="W227" s="65"/>
      <c r="X227" s="65"/>
      <c r="Y227" s="65"/>
      <c r="Z227" s="65"/>
    </row>
    <row r="228" customFormat="false" ht="15.75" hidden="false" customHeight="true" outlineLevel="0" collapsed="false">
      <c r="A228" s="65"/>
      <c r="B228" s="65"/>
      <c r="C228" s="65"/>
      <c r="D228" s="65"/>
      <c r="E228" s="65"/>
      <c r="F228" s="65"/>
      <c r="G228" s="65"/>
      <c r="H228" s="65"/>
      <c r="I228" s="65"/>
      <c r="J228" s="65"/>
      <c r="K228" s="65"/>
      <c r="L228" s="65"/>
      <c r="M228" s="65"/>
      <c r="N228" s="65"/>
      <c r="O228" s="65"/>
      <c r="P228" s="65"/>
      <c r="Q228" s="65"/>
      <c r="R228" s="65"/>
      <c r="S228" s="65"/>
      <c r="T228" s="65"/>
      <c r="U228" s="65"/>
      <c r="V228" s="65"/>
      <c r="W228" s="65"/>
      <c r="X228" s="65"/>
      <c r="Y228" s="65"/>
      <c r="Z228" s="65"/>
    </row>
    <row r="229" customFormat="false" ht="15.75" hidden="false" customHeight="true" outlineLevel="0" collapsed="false">
      <c r="A229" s="65"/>
      <c r="B229" s="65"/>
      <c r="C229" s="65"/>
      <c r="D229" s="65"/>
      <c r="E229" s="65"/>
      <c r="F229" s="65"/>
      <c r="G229" s="65"/>
      <c r="H229" s="65"/>
      <c r="I229" s="65"/>
      <c r="J229" s="65"/>
      <c r="K229" s="65"/>
      <c r="L229" s="65"/>
      <c r="M229" s="65"/>
      <c r="N229" s="65"/>
      <c r="O229" s="65"/>
      <c r="P229" s="65"/>
      <c r="Q229" s="65"/>
      <c r="R229" s="65"/>
      <c r="S229" s="65"/>
      <c r="T229" s="65"/>
      <c r="U229" s="65"/>
      <c r="V229" s="65"/>
      <c r="W229" s="65"/>
      <c r="X229" s="65"/>
      <c r="Y229" s="65"/>
      <c r="Z229" s="65"/>
    </row>
    <row r="230" customFormat="false" ht="15.75" hidden="false" customHeight="true" outlineLevel="0" collapsed="false">
      <c r="A230" s="65"/>
      <c r="B230" s="65"/>
      <c r="C230" s="65"/>
      <c r="D230" s="65"/>
      <c r="E230" s="65"/>
      <c r="F230" s="65"/>
      <c r="G230" s="65"/>
      <c r="H230" s="65"/>
      <c r="I230" s="65"/>
      <c r="J230" s="65"/>
      <c r="K230" s="65"/>
      <c r="L230" s="65"/>
      <c r="M230" s="65"/>
      <c r="N230" s="65"/>
      <c r="O230" s="65"/>
      <c r="P230" s="65"/>
      <c r="Q230" s="65"/>
      <c r="R230" s="65"/>
      <c r="S230" s="65"/>
      <c r="T230" s="65"/>
      <c r="U230" s="65"/>
      <c r="V230" s="65"/>
      <c r="W230" s="65"/>
      <c r="X230" s="65"/>
      <c r="Y230" s="65"/>
      <c r="Z230" s="65"/>
    </row>
    <row r="231" customFormat="false" ht="15.75" hidden="false" customHeight="true" outlineLevel="0" collapsed="false">
      <c r="A231" s="65"/>
      <c r="B231" s="65"/>
      <c r="C231" s="65"/>
      <c r="D231" s="65"/>
      <c r="E231" s="65"/>
      <c r="F231" s="65"/>
      <c r="G231" s="65"/>
      <c r="H231" s="65"/>
      <c r="I231" s="65"/>
      <c r="J231" s="65"/>
      <c r="K231" s="65"/>
      <c r="L231" s="65"/>
      <c r="M231" s="65"/>
      <c r="N231" s="65"/>
      <c r="O231" s="65"/>
      <c r="P231" s="65"/>
      <c r="Q231" s="65"/>
      <c r="R231" s="65"/>
      <c r="S231" s="65"/>
      <c r="T231" s="65"/>
      <c r="U231" s="65"/>
      <c r="V231" s="65"/>
      <c r="W231" s="65"/>
      <c r="X231" s="65"/>
      <c r="Y231" s="65"/>
      <c r="Z231" s="65"/>
    </row>
    <row r="232" customFormat="false" ht="15.75" hidden="false" customHeight="true" outlineLevel="0" collapsed="false">
      <c r="A232" s="65"/>
      <c r="B232" s="65"/>
      <c r="C232" s="65"/>
      <c r="D232" s="65"/>
      <c r="E232" s="65"/>
      <c r="F232" s="65"/>
      <c r="G232" s="65"/>
      <c r="H232" s="65"/>
      <c r="I232" s="65"/>
      <c r="J232" s="65"/>
      <c r="K232" s="65"/>
      <c r="L232" s="65"/>
      <c r="M232" s="65"/>
      <c r="N232" s="65"/>
      <c r="O232" s="65"/>
      <c r="P232" s="65"/>
      <c r="Q232" s="65"/>
      <c r="R232" s="65"/>
      <c r="S232" s="65"/>
      <c r="T232" s="65"/>
      <c r="U232" s="65"/>
      <c r="V232" s="65"/>
      <c r="W232" s="65"/>
      <c r="X232" s="65"/>
      <c r="Y232" s="65"/>
      <c r="Z232" s="65"/>
    </row>
    <row r="233" customFormat="false" ht="15.75" hidden="false" customHeight="true" outlineLevel="0" collapsed="false">
      <c r="A233" s="65"/>
      <c r="B233" s="65"/>
      <c r="C233" s="65"/>
      <c r="D233" s="65"/>
      <c r="E233" s="65"/>
      <c r="F233" s="65"/>
      <c r="G233" s="65"/>
      <c r="H233" s="65"/>
      <c r="I233" s="65"/>
      <c r="J233" s="65"/>
      <c r="K233" s="65"/>
      <c r="L233" s="65"/>
      <c r="M233" s="65"/>
      <c r="N233" s="65"/>
      <c r="O233" s="65"/>
      <c r="P233" s="65"/>
      <c r="Q233" s="65"/>
      <c r="R233" s="65"/>
      <c r="S233" s="65"/>
      <c r="T233" s="65"/>
      <c r="U233" s="65"/>
      <c r="V233" s="65"/>
      <c r="W233" s="65"/>
      <c r="X233" s="65"/>
      <c r="Y233" s="65"/>
      <c r="Z233" s="65"/>
    </row>
    <row r="234" customFormat="false" ht="15.75" hidden="false" customHeight="true" outlineLevel="0" collapsed="false">
      <c r="A234" s="65"/>
      <c r="B234" s="65"/>
      <c r="C234" s="65"/>
      <c r="D234" s="65"/>
      <c r="E234" s="65"/>
      <c r="F234" s="65"/>
      <c r="G234" s="65"/>
      <c r="H234" s="65"/>
      <c r="I234" s="65"/>
      <c r="J234" s="65"/>
      <c r="K234" s="65"/>
      <c r="L234" s="65"/>
      <c r="M234" s="65"/>
      <c r="N234" s="65"/>
      <c r="O234" s="65"/>
      <c r="P234" s="65"/>
      <c r="Q234" s="65"/>
      <c r="R234" s="65"/>
      <c r="S234" s="65"/>
      <c r="T234" s="65"/>
      <c r="U234" s="65"/>
      <c r="V234" s="65"/>
      <c r="W234" s="65"/>
      <c r="X234" s="65"/>
      <c r="Y234" s="65"/>
      <c r="Z234" s="65"/>
    </row>
    <row r="235" customFormat="false" ht="15.75" hidden="false" customHeight="true" outlineLevel="0" collapsed="false">
      <c r="A235" s="65"/>
      <c r="B235" s="65"/>
      <c r="C235" s="65"/>
      <c r="D235" s="65"/>
      <c r="E235" s="65"/>
      <c r="F235" s="65"/>
      <c r="G235" s="65"/>
      <c r="H235" s="65"/>
      <c r="I235" s="65"/>
      <c r="J235" s="65"/>
      <c r="K235" s="65"/>
      <c r="L235" s="65"/>
      <c r="M235" s="65"/>
      <c r="N235" s="65"/>
      <c r="O235" s="65"/>
      <c r="P235" s="65"/>
      <c r="Q235" s="65"/>
      <c r="R235" s="65"/>
      <c r="S235" s="65"/>
      <c r="T235" s="65"/>
      <c r="U235" s="65"/>
      <c r="V235" s="65"/>
      <c r="W235" s="65"/>
      <c r="X235" s="65"/>
      <c r="Y235" s="65"/>
      <c r="Z235" s="65"/>
    </row>
    <row r="236" customFormat="false" ht="15.75" hidden="false" customHeight="true" outlineLevel="0" collapsed="false">
      <c r="A236" s="65"/>
      <c r="B236" s="65"/>
      <c r="C236" s="65"/>
      <c r="D236" s="65"/>
      <c r="E236" s="65"/>
      <c r="F236" s="65"/>
      <c r="G236" s="65"/>
      <c r="H236" s="65"/>
      <c r="I236" s="65"/>
      <c r="J236" s="65"/>
      <c r="K236" s="65"/>
      <c r="L236" s="65"/>
      <c r="M236" s="65"/>
      <c r="N236" s="65"/>
      <c r="O236" s="65"/>
      <c r="P236" s="65"/>
      <c r="Q236" s="65"/>
      <c r="R236" s="65"/>
      <c r="S236" s="65"/>
      <c r="T236" s="65"/>
      <c r="U236" s="65"/>
      <c r="V236" s="65"/>
      <c r="W236" s="65"/>
      <c r="X236" s="65"/>
      <c r="Y236" s="65"/>
      <c r="Z236" s="65"/>
    </row>
    <row r="237" customFormat="false" ht="15.75" hidden="false" customHeight="true" outlineLevel="0" collapsed="false">
      <c r="A237" s="65"/>
      <c r="B237" s="65"/>
      <c r="C237" s="65"/>
      <c r="D237" s="65"/>
      <c r="E237" s="65"/>
      <c r="F237" s="65"/>
      <c r="G237" s="65"/>
      <c r="H237" s="65"/>
      <c r="I237" s="65"/>
      <c r="J237" s="65"/>
      <c r="K237" s="65"/>
      <c r="L237" s="65"/>
      <c r="M237" s="65"/>
      <c r="N237" s="65"/>
      <c r="O237" s="65"/>
      <c r="P237" s="65"/>
      <c r="Q237" s="65"/>
      <c r="R237" s="65"/>
      <c r="S237" s="65"/>
      <c r="T237" s="65"/>
      <c r="U237" s="65"/>
      <c r="V237" s="65"/>
      <c r="W237" s="65"/>
      <c r="X237" s="65"/>
      <c r="Y237" s="65"/>
      <c r="Z237" s="65"/>
    </row>
    <row r="238" customFormat="false" ht="15.75" hidden="false" customHeight="true" outlineLevel="0" collapsed="false">
      <c r="A238" s="65"/>
      <c r="B238" s="65"/>
      <c r="C238" s="65"/>
      <c r="D238" s="65"/>
      <c r="E238" s="65"/>
      <c r="F238" s="65"/>
      <c r="G238" s="65"/>
      <c r="H238" s="65"/>
      <c r="I238" s="65"/>
      <c r="J238" s="65"/>
      <c r="K238" s="65"/>
      <c r="L238" s="65"/>
      <c r="M238" s="65"/>
      <c r="N238" s="65"/>
      <c r="O238" s="65"/>
      <c r="P238" s="65"/>
      <c r="Q238" s="65"/>
      <c r="R238" s="65"/>
      <c r="S238" s="65"/>
      <c r="T238" s="65"/>
      <c r="U238" s="65"/>
      <c r="V238" s="65"/>
      <c r="W238" s="65"/>
      <c r="X238" s="65"/>
      <c r="Y238" s="65"/>
      <c r="Z238" s="65"/>
    </row>
    <row r="239" customFormat="false" ht="15.75" hidden="false" customHeight="true" outlineLevel="0" collapsed="false">
      <c r="A239" s="65"/>
      <c r="B239" s="65"/>
      <c r="C239" s="65"/>
      <c r="D239" s="65"/>
      <c r="E239" s="65"/>
      <c r="F239" s="65"/>
      <c r="G239" s="65"/>
      <c r="H239" s="65"/>
      <c r="I239" s="65"/>
      <c r="J239" s="65"/>
      <c r="K239" s="65"/>
      <c r="L239" s="65"/>
      <c r="M239" s="65"/>
      <c r="N239" s="65"/>
      <c r="O239" s="65"/>
      <c r="P239" s="65"/>
      <c r="Q239" s="65"/>
      <c r="R239" s="65"/>
      <c r="S239" s="65"/>
      <c r="T239" s="65"/>
      <c r="U239" s="65"/>
      <c r="V239" s="65"/>
      <c r="W239" s="65"/>
      <c r="X239" s="65"/>
      <c r="Y239" s="65"/>
      <c r="Z239" s="65"/>
    </row>
    <row r="240" customFormat="false" ht="15.75" hidden="false" customHeight="true" outlineLevel="0" collapsed="false">
      <c r="A240" s="65"/>
      <c r="B240" s="65"/>
      <c r="C240" s="65"/>
      <c r="D240" s="65"/>
      <c r="E240" s="65"/>
      <c r="F240" s="65"/>
      <c r="G240" s="65"/>
      <c r="H240" s="65"/>
      <c r="I240" s="65"/>
      <c r="J240" s="65"/>
      <c r="K240" s="65"/>
      <c r="L240" s="65"/>
      <c r="M240" s="65"/>
      <c r="N240" s="65"/>
      <c r="O240" s="65"/>
      <c r="P240" s="65"/>
      <c r="Q240" s="65"/>
      <c r="R240" s="65"/>
      <c r="S240" s="65"/>
      <c r="T240" s="65"/>
      <c r="U240" s="65"/>
      <c r="V240" s="65"/>
      <c r="W240" s="65"/>
      <c r="X240" s="65"/>
      <c r="Y240" s="65"/>
      <c r="Z240" s="65"/>
    </row>
    <row r="241" customFormat="false" ht="15.75" hidden="false" customHeight="true" outlineLevel="0" collapsed="false">
      <c r="A241" s="65"/>
      <c r="B241" s="65"/>
      <c r="C241" s="65"/>
      <c r="D241" s="65"/>
      <c r="E241" s="65"/>
      <c r="F241" s="65"/>
      <c r="G241" s="65"/>
      <c r="H241" s="65"/>
      <c r="I241" s="65"/>
      <c r="J241" s="65"/>
      <c r="K241" s="65"/>
      <c r="L241" s="65"/>
      <c r="M241" s="65"/>
      <c r="N241" s="65"/>
      <c r="O241" s="65"/>
      <c r="P241" s="65"/>
      <c r="Q241" s="65"/>
      <c r="R241" s="65"/>
      <c r="S241" s="65"/>
      <c r="T241" s="65"/>
      <c r="U241" s="65"/>
      <c r="V241" s="65"/>
      <c r="W241" s="65"/>
      <c r="X241" s="65"/>
      <c r="Y241" s="65"/>
      <c r="Z241" s="65"/>
    </row>
    <row r="242" customFormat="false" ht="15.75" hidden="false" customHeight="true" outlineLevel="0" collapsed="false">
      <c r="A242" s="65"/>
      <c r="B242" s="65"/>
      <c r="C242" s="65"/>
      <c r="D242" s="65"/>
      <c r="E242" s="65"/>
      <c r="F242" s="65"/>
      <c r="G242" s="65"/>
      <c r="H242" s="65"/>
      <c r="I242" s="65"/>
      <c r="J242" s="65"/>
      <c r="K242" s="65"/>
      <c r="L242" s="65"/>
      <c r="M242" s="65"/>
      <c r="N242" s="65"/>
      <c r="O242" s="65"/>
      <c r="P242" s="65"/>
      <c r="Q242" s="65"/>
      <c r="R242" s="65"/>
      <c r="S242" s="65"/>
      <c r="T242" s="65"/>
      <c r="U242" s="65"/>
      <c r="V242" s="65"/>
      <c r="W242" s="65"/>
      <c r="X242" s="65"/>
      <c r="Y242" s="65"/>
      <c r="Z242" s="65"/>
    </row>
    <row r="243" customFormat="false" ht="15.75" hidden="false" customHeight="true" outlineLevel="0" collapsed="false">
      <c r="A243" s="65"/>
      <c r="B243" s="65"/>
      <c r="C243" s="65"/>
      <c r="D243" s="65"/>
      <c r="E243" s="65"/>
      <c r="F243" s="65"/>
      <c r="G243" s="65"/>
      <c r="H243" s="65"/>
      <c r="I243" s="65"/>
      <c r="J243" s="65"/>
      <c r="K243" s="65"/>
      <c r="L243" s="65"/>
      <c r="M243" s="65"/>
      <c r="N243" s="65"/>
      <c r="O243" s="65"/>
      <c r="P243" s="65"/>
      <c r="Q243" s="65"/>
      <c r="R243" s="65"/>
      <c r="S243" s="65"/>
      <c r="T243" s="65"/>
      <c r="U243" s="65"/>
      <c r="V243" s="65"/>
      <c r="W243" s="65"/>
      <c r="X243" s="65"/>
      <c r="Y243" s="65"/>
      <c r="Z243" s="65"/>
    </row>
    <row r="244" customFormat="false" ht="15.75" hidden="false" customHeight="true" outlineLevel="0" collapsed="false">
      <c r="A244" s="65"/>
      <c r="B244" s="65"/>
      <c r="C244" s="65"/>
      <c r="D244" s="65"/>
      <c r="E244" s="65"/>
      <c r="F244" s="65"/>
      <c r="G244" s="65"/>
      <c r="H244" s="65"/>
      <c r="I244" s="65"/>
      <c r="J244" s="65"/>
      <c r="K244" s="65"/>
      <c r="L244" s="65"/>
      <c r="M244" s="65"/>
      <c r="N244" s="65"/>
      <c r="O244" s="65"/>
      <c r="P244" s="65"/>
      <c r="Q244" s="65"/>
      <c r="R244" s="65"/>
      <c r="S244" s="65"/>
      <c r="T244" s="65"/>
      <c r="U244" s="65"/>
      <c r="V244" s="65"/>
      <c r="W244" s="65"/>
      <c r="X244" s="65"/>
      <c r="Y244" s="65"/>
      <c r="Z244" s="65"/>
    </row>
    <row r="245" customFormat="false" ht="15.75" hidden="false" customHeight="true" outlineLevel="0" collapsed="false">
      <c r="A245" s="65"/>
      <c r="B245" s="65"/>
      <c r="C245" s="65"/>
      <c r="D245" s="65"/>
      <c r="E245" s="65"/>
      <c r="F245" s="65"/>
      <c r="G245" s="65"/>
      <c r="H245" s="65"/>
      <c r="I245" s="65"/>
      <c r="J245" s="65"/>
      <c r="K245" s="65"/>
      <c r="L245" s="65"/>
      <c r="M245" s="65"/>
      <c r="N245" s="65"/>
      <c r="O245" s="65"/>
      <c r="P245" s="65"/>
      <c r="Q245" s="65"/>
      <c r="R245" s="65"/>
      <c r="S245" s="65"/>
      <c r="T245" s="65"/>
      <c r="U245" s="65"/>
      <c r="V245" s="65"/>
      <c r="W245" s="65"/>
      <c r="X245" s="65"/>
      <c r="Y245" s="65"/>
      <c r="Z245" s="65"/>
    </row>
    <row r="246" customFormat="false" ht="15.75" hidden="false" customHeight="true" outlineLevel="0" collapsed="false">
      <c r="A246" s="65"/>
      <c r="B246" s="65"/>
      <c r="C246" s="65"/>
      <c r="D246" s="65"/>
      <c r="E246" s="65"/>
      <c r="F246" s="65"/>
      <c r="G246" s="65"/>
      <c r="H246" s="65"/>
      <c r="I246" s="65"/>
      <c r="J246" s="65"/>
      <c r="K246" s="65"/>
      <c r="L246" s="65"/>
      <c r="M246" s="65"/>
      <c r="N246" s="65"/>
      <c r="O246" s="65"/>
      <c r="P246" s="65"/>
      <c r="Q246" s="65"/>
      <c r="R246" s="65"/>
      <c r="S246" s="65"/>
      <c r="T246" s="65"/>
      <c r="U246" s="65"/>
      <c r="V246" s="65"/>
      <c r="W246" s="65"/>
      <c r="X246" s="65"/>
      <c r="Y246" s="65"/>
      <c r="Z246" s="65"/>
    </row>
    <row r="247" customFormat="false" ht="15.75" hidden="false" customHeight="true" outlineLevel="0" collapsed="false">
      <c r="A247" s="65"/>
      <c r="B247" s="65"/>
      <c r="C247" s="65"/>
      <c r="D247" s="65"/>
      <c r="E247" s="65"/>
      <c r="F247" s="65"/>
      <c r="G247" s="65"/>
      <c r="H247" s="65"/>
      <c r="I247" s="65"/>
      <c r="J247" s="65"/>
      <c r="K247" s="65"/>
      <c r="L247" s="65"/>
      <c r="M247" s="65"/>
      <c r="N247" s="65"/>
      <c r="O247" s="65"/>
      <c r="P247" s="65"/>
      <c r="Q247" s="65"/>
      <c r="R247" s="65"/>
      <c r="S247" s="65"/>
      <c r="T247" s="65"/>
      <c r="U247" s="65"/>
      <c r="V247" s="65"/>
      <c r="W247" s="65"/>
      <c r="X247" s="65"/>
      <c r="Y247" s="65"/>
      <c r="Z247" s="65"/>
    </row>
    <row r="248" customFormat="false" ht="15.75" hidden="false" customHeight="true" outlineLevel="0" collapsed="false">
      <c r="A248" s="65"/>
      <c r="B248" s="65"/>
      <c r="C248" s="65"/>
      <c r="D248" s="65"/>
      <c r="E248" s="65"/>
      <c r="F248" s="65"/>
      <c r="G248" s="65"/>
      <c r="H248" s="65"/>
      <c r="I248" s="65"/>
      <c r="J248" s="65"/>
      <c r="K248" s="65"/>
      <c r="L248" s="65"/>
      <c r="M248" s="65"/>
      <c r="N248" s="65"/>
      <c r="O248" s="65"/>
      <c r="P248" s="65"/>
      <c r="Q248" s="65"/>
      <c r="R248" s="65"/>
      <c r="S248" s="65"/>
      <c r="T248" s="65"/>
      <c r="U248" s="65"/>
      <c r="V248" s="65"/>
      <c r="W248" s="65"/>
      <c r="X248" s="65"/>
      <c r="Y248" s="65"/>
      <c r="Z248" s="65"/>
    </row>
    <row r="249" customFormat="false" ht="15.75" hidden="false" customHeight="true" outlineLevel="0" collapsed="false">
      <c r="A249" s="65"/>
      <c r="B249" s="65"/>
      <c r="C249" s="65"/>
      <c r="D249" s="65"/>
      <c r="E249" s="65"/>
      <c r="F249" s="65"/>
      <c r="G249" s="65"/>
      <c r="H249" s="65"/>
      <c r="I249" s="65"/>
      <c r="J249" s="65"/>
      <c r="K249" s="65"/>
      <c r="L249" s="65"/>
      <c r="M249" s="65"/>
      <c r="N249" s="65"/>
      <c r="O249" s="65"/>
      <c r="P249" s="65"/>
      <c r="Q249" s="65"/>
      <c r="R249" s="65"/>
      <c r="S249" s="65"/>
      <c r="T249" s="65"/>
      <c r="U249" s="65"/>
      <c r="V249" s="65"/>
      <c r="W249" s="65"/>
      <c r="X249" s="65"/>
      <c r="Y249" s="65"/>
      <c r="Z249" s="65"/>
    </row>
    <row r="250" customFormat="false" ht="15.75" hidden="false" customHeight="true" outlineLevel="0" collapsed="false">
      <c r="A250" s="65"/>
      <c r="B250" s="65"/>
      <c r="C250" s="65"/>
      <c r="D250" s="65"/>
      <c r="E250" s="65"/>
      <c r="F250" s="65"/>
      <c r="G250" s="65"/>
      <c r="H250" s="65"/>
      <c r="I250" s="65"/>
      <c r="J250" s="65"/>
      <c r="K250" s="65"/>
      <c r="L250" s="65"/>
      <c r="M250" s="65"/>
      <c r="N250" s="65"/>
      <c r="O250" s="65"/>
      <c r="P250" s="65"/>
      <c r="Q250" s="65"/>
      <c r="R250" s="65"/>
      <c r="S250" s="65"/>
      <c r="T250" s="65"/>
      <c r="U250" s="65"/>
      <c r="V250" s="65"/>
      <c r="W250" s="65"/>
      <c r="X250" s="65"/>
      <c r="Y250" s="65"/>
      <c r="Z250" s="65"/>
    </row>
    <row r="251" customFormat="false" ht="15.75" hidden="false" customHeight="true" outlineLevel="0" collapsed="false">
      <c r="A251" s="65"/>
      <c r="B251" s="65"/>
      <c r="C251" s="65"/>
      <c r="D251" s="65"/>
      <c r="E251" s="65"/>
      <c r="F251" s="65"/>
      <c r="G251" s="65"/>
      <c r="H251" s="65"/>
      <c r="I251" s="65"/>
      <c r="J251" s="65"/>
      <c r="K251" s="65"/>
      <c r="L251" s="65"/>
      <c r="M251" s="65"/>
      <c r="N251" s="65"/>
      <c r="O251" s="65"/>
      <c r="P251" s="65"/>
      <c r="Q251" s="65"/>
      <c r="R251" s="65"/>
      <c r="S251" s="65"/>
      <c r="T251" s="65"/>
      <c r="U251" s="65"/>
      <c r="V251" s="65"/>
      <c r="W251" s="65"/>
      <c r="X251" s="65"/>
      <c r="Y251" s="65"/>
      <c r="Z251" s="65"/>
    </row>
    <row r="252" customFormat="false" ht="15.75" hidden="false" customHeight="true" outlineLevel="0" collapsed="false">
      <c r="A252" s="65"/>
      <c r="B252" s="65"/>
      <c r="C252" s="65"/>
      <c r="D252" s="65"/>
      <c r="E252" s="65"/>
      <c r="F252" s="65"/>
      <c r="G252" s="65"/>
      <c r="H252" s="65"/>
      <c r="I252" s="65"/>
      <c r="J252" s="65"/>
      <c r="K252" s="65"/>
      <c r="L252" s="65"/>
      <c r="M252" s="65"/>
      <c r="N252" s="65"/>
      <c r="O252" s="65"/>
      <c r="P252" s="65"/>
      <c r="Q252" s="65"/>
      <c r="R252" s="65"/>
      <c r="S252" s="65"/>
      <c r="T252" s="65"/>
      <c r="U252" s="65"/>
      <c r="V252" s="65"/>
      <c r="W252" s="65"/>
      <c r="X252" s="65"/>
      <c r="Y252" s="65"/>
      <c r="Z252" s="65"/>
    </row>
    <row r="253" customFormat="false" ht="15.75" hidden="false" customHeight="true" outlineLevel="0" collapsed="false">
      <c r="A253" s="65"/>
      <c r="B253" s="65"/>
      <c r="C253" s="65"/>
      <c r="D253" s="65"/>
      <c r="E253" s="65"/>
      <c r="F253" s="65"/>
      <c r="G253" s="65"/>
      <c r="H253" s="65"/>
      <c r="I253" s="65"/>
      <c r="J253" s="65"/>
      <c r="K253" s="65"/>
      <c r="L253" s="65"/>
      <c r="M253" s="65"/>
      <c r="N253" s="65"/>
      <c r="O253" s="65"/>
      <c r="P253" s="65"/>
      <c r="Q253" s="65"/>
      <c r="R253" s="65"/>
      <c r="S253" s="65"/>
      <c r="T253" s="65"/>
      <c r="U253" s="65"/>
      <c r="V253" s="65"/>
      <c r="W253" s="65"/>
      <c r="X253" s="65"/>
      <c r="Y253" s="65"/>
      <c r="Z253" s="65"/>
    </row>
    <row r="254" customFormat="false" ht="15.75" hidden="false" customHeight="true" outlineLevel="0" collapsed="false">
      <c r="A254" s="65"/>
      <c r="B254" s="65"/>
      <c r="C254" s="65"/>
      <c r="D254" s="65"/>
      <c r="E254" s="65"/>
      <c r="F254" s="65"/>
      <c r="G254" s="65"/>
      <c r="H254" s="65"/>
      <c r="I254" s="65"/>
      <c r="J254" s="65"/>
      <c r="K254" s="65"/>
      <c r="L254" s="65"/>
      <c r="M254" s="65"/>
      <c r="N254" s="65"/>
      <c r="O254" s="65"/>
      <c r="P254" s="65"/>
      <c r="Q254" s="65"/>
      <c r="R254" s="65"/>
      <c r="S254" s="65"/>
      <c r="T254" s="65"/>
      <c r="U254" s="65"/>
      <c r="V254" s="65"/>
      <c r="W254" s="65"/>
      <c r="X254" s="65"/>
      <c r="Y254" s="65"/>
      <c r="Z254" s="65"/>
    </row>
    <row r="255" customFormat="false" ht="15.75" hidden="false" customHeight="true" outlineLevel="0" collapsed="false">
      <c r="A255" s="65"/>
      <c r="B255" s="65"/>
      <c r="C255" s="65"/>
      <c r="D255" s="65"/>
      <c r="E255" s="65"/>
      <c r="F255" s="65"/>
      <c r="G255" s="65"/>
      <c r="H255" s="65"/>
      <c r="I255" s="65"/>
      <c r="J255" s="65"/>
      <c r="K255" s="65"/>
      <c r="L255" s="65"/>
      <c r="M255" s="65"/>
      <c r="N255" s="65"/>
      <c r="O255" s="65"/>
      <c r="P255" s="65"/>
      <c r="Q255" s="65"/>
      <c r="R255" s="65"/>
      <c r="S255" s="65"/>
      <c r="T255" s="65"/>
      <c r="U255" s="65"/>
      <c r="V255" s="65"/>
      <c r="W255" s="65"/>
      <c r="X255" s="65"/>
      <c r="Y255" s="65"/>
      <c r="Z255" s="65"/>
    </row>
    <row r="256" customFormat="false" ht="15.75" hidden="false" customHeight="true" outlineLevel="0" collapsed="false">
      <c r="A256" s="65"/>
      <c r="B256" s="65"/>
      <c r="C256" s="65"/>
      <c r="D256" s="65"/>
      <c r="E256" s="65"/>
      <c r="F256" s="65"/>
      <c r="G256" s="65"/>
      <c r="H256" s="65"/>
      <c r="I256" s="65"/>
      <c r="J256" s="65"/>
      <c r="K256" s="65"/>
      <c r="L256" s="65"/>
      <c r="M256" s="65"/>
      <c r="N256" s="65"/>
      <c r="O256" s="65"/>
      <c r="P256" s="65"/>
      <c r="Q256" s="65"/>
      <c r="R256" s="65"/>
      <c r="S256" s="65"/>
      <c r="T256" s="65"/>
      <c r="U256" s="65"/>
      <c r="V256" s="65"/>
      <c r="W256" s="65"/>
      <c r="X256" s="65"/>
      <c r="Y256" s="65"/>
      <c r="Z256" s="65"/>
    </row>
    <row r="257" customFormat="false" ht="15.75" hidden="false" customHeight="true" outlineLevel="0" collapsed="false">
      <c r="A257" s="65"/>
      <c r="B257" s="65"/>
      <c r="C257" s="65"/>
      <c r="D257" s="65"/>
      <c r="E257" s="65"/>
      <c r="F257" s="65"/>
      <c r="G257" s="65"/>
      <c r="H257" s="65"/>
      <c r="I257" s="65"/>
      <c r="J257" s="65"/>
      <c r="K257" s="65"/>
      <c r="L257" s="65"/>
      <c r="M257" s="65"/>
      <c r="N257" s="65"/>
      <c r="O257" s="65"/>
      <c r="P257" s="65"/>
      <c r="Q257" s="65"/>
      <c r="R257" s="65"/>
      <c r="S257" s="65"/>
      <c r="T257" s="65"/>
      <c r="U257" s="65"/>
      <c r="V257" s="65"/>
      <c r="W257" s="65"/>
      <c r="X257" s="65"/>
      <c r="Y257" s="65"/>
      <c r="Z257" s="65"/>
    </row>
    <row r="258" customFormat="false" ht="15.75" hidden="false" customHeight="true" outlineLevel="0" collapsed="false">
      <c r="A258" s="65"/>
      <c r="B258" s="65"/>
      <c r="C258" s="65"/>
      <c r="D258" s="65"/>
      <c r="E258" s="65"/>
      <c r="F258" s="65"/>
      <c r="G258" s="65"/>
      <c r="H258" s="65"/>
      <c r="I258" s="65"/>
      <c r="J258" s="65"/>
      <c r="K258" s="65"/>
      <c r="L258" s="65"/>
      <c r="M258" s="65"/>
      <c r="N258" s="65"/>
      <c r="O258" s="65"/>
      <c r="P258" s="65"/>
      <c r="Q258" s="65"/>
      <c r="R258" s="65"/>
      <c r="S258" s="65"/>
      <c r="T258" s="65"/>
      <c r="U258" s="65"/>
      <c r="V258" s="65"/>
      <c r="W258" s="65"/>
      <c r="X258" s="65"/>
      <c r="Y258" s="65"/>
      <c r="Z258" s="65"/>
    </row>
    <row r="259" customFormat="false" ht="15.75" hidden="false" customHeight="true" outlineLevel="0" collapsed="false">
      <c r="A259" s="65"/>
      <c r="B259" s="65"/>
      <c r="C259" s="65"/>
      <c r="D259" s="65"/>
      <c r="E259" s="65"/>
      <c r="F259" s="65"/>
      <c r="G259" s="65"/>
      <c r="H259" s="65"/>
      <c r="I259" s="65"/>
      <c r="J259" s="65"/>
      <c r="K259" s="65"/>
      <c r="L259" s="65"/>
      <c r="M259" s="65"/>
      <c r="N259" s="65"/>
      <c r="O259" s="65"/>
      <c r="P259" s="65"/>
      <c r="Q259" s="65"/>
      <c r="R259" s="65"/>
      <c r="S259" s="65"/>
      <c r="T259" s="65"/>
      <c r="U259" s="65"/>
      <c r="V259" s="65"/>
      <c r="W259" s="65"/>
      <c r="X259" s="65"/>
      <c r="Y259" s="65"/>
      <c r="Z259" s="65"/>
    </row>
    <row r="260" customFormat="false" ht="15.75" hidden="false" customHeight="true" outlineLevel="0" collapsed="false">
      <c r="A260" s="65"/>
      <c r="B260" s="65"/>
      <c r="C260" s="65"/>
      <c r="D260" s="65"/>
      <c r="E260" s="65"/>
      <c r="F260" s="65"/>
      <c r="G260" s="65"/>
      <c r="H260" s="65"/>
      <c r="I260" s="65"/>
      <c r="J260" s="65"/>
      <c r="K260" s="65"/>
      <c r="L260" s="65"/>
      <c r="M260" s="65"/>
      <c r="N260" s="65"/>
      <c r="O260" s="65"/>
      <c r="P260" s="65"/>
      <c r="Q260" s="65"/>
      <c r="R260" s="65"/>
      <c r="S260" s="65"/>
      <c r="T260" s="65"/>
      <c r="U260" s="65"/>
      <c r="V260" s="65"/>
      <c r="W260" s="65"/>
      <c r="X260" s="65"/>
      <c r="Y260" s="65"/>
      <c r="Z260" s="65"/>
    </row>
    <row r="261" customFormat="false" ht="15.75" hidden="false" customHeight="true" outlineLevel="0" collapsed="false">
      <c r="A261" s="65"/>
      <c r="B261" s="65"/>
      <c r="C261" s="65"/>
      <c r="D261" s="65"/>
      <c r="E261" s="65"/>
      <c r="F261" s="65"/>
      <c r="G261" s="65"/>
      <c r="H261" s="65"/>
      <c r="I261" s="65"/>
      <c r="J261" s="65"/>
      <c r="K261" s="65"/>
      <c r="L261" s="65"/>
      <c r="M261" s="65"/>
      <c r="N261" s="65"/>
      <c r="O261" s="65"/>
      <c r="P261" s="65"/>
      <c r="Q261" s="65"/>
      <c r="R261" s="65"/>
      <c r="S261" s="65"/>
      <c r="T261" s="65"/>
      <c r="U261" s="65"/>
      <c r="V261" s="65"/>
      <c r="W261" s="65"/>
      <c r="X261" s="65"/>
      <c r="Y261" s="65"/>
      <c r="Z261" s="65"/>
    </row>
    <row r="262" customFormat="false" ht="15.75" hidden="false" customHeight="true" outlineLevel="0" collapsed="false">
      <c r="A262" s="65"/>
      <c r="B262" s="65"/>
      <c r="C262" s="65"/>
      <c r="D262" s="65"/>
      <c r="E262" s="65"/>
      <c r="F262" s="65"/>
      <c r="G262" s="65"/>
      <c r="H262" s="65"/>
      <c r="I262" s="65"/>
      <c r="J262" s="65"/>
      <c r="K262" s="65"/>
      <c r="L262" s="65"/>
      <c r="M262" s="65"/>
      <c r="N262" s="65"/>
      <c r="O262" s="65"/>
      <c r="P262" s="65"/>
      <c r="Q262" s="65"/>
      <c r="R262" s="65"/>
      <c r="S262" s="65"/>
      <c r="T262" s="65"/>
      <c r="U262" s="65"/>
      <c r="V262" s="65"/>
      <c r="W262" s="65"/>
      <c r="X262" s="65"/>
      <c r="Y262" s="65"/>
      <c r="Z262" s="65"/>
    </row>
    <row r="263" customFormat="false" ht="15.75" hidden="false" customHeight="true" outlineLevel="0" collapsed="false">
      <c r="A263" s="65"/>
      <c r="B263" s="65"/>
      <c r="C263" s="65"/>
      <c r="D263" s="65"/>
      <c r="E263" s="65"/>
      <c r="F263" s="65"/>
      <c r="G263" s="65"/>
      <c r="H263" s="65"/>
      <c r="I263" s="65"/>
      <c r="J263" s="65"/>
      <c r="K263" s="65"/>
      <c r="L263" s="65"/>
      <c r="M263" s="65"/>
      <c r="N263" s="65"/>
      <c r="O263" s="65"/>
      <c r="P263" s="65"/>
      <c r="Q263" s="65"/>
      <c r="R263" s="65"/>
      <c r="S263" s="65"/>
      <c r="T263" s="65"/>
      <c r="U263" s="65"/>
      <c r="V263" s="65"/>
      <c r="W263" s="65"/>
      <c r="X263" s="65"/>
      <c r="Y263" s="65"/>
      <c r="Z263" s="65"/>
    </row>
    <row r="264" customFormat="false" ht="15.75" hidden="false" customHeight="true" outlineLevel="0" collapsed="false">
      <c r="A264" s="65"/>
      <c r="B264" s="65"/>
      <c r="C264" s="65"/>
      <c r="D264" s="65"/>
      <c r="E264" s="65"/>
      <c r="F264" s="65"/>
      <c r="G264" s="65"/>
      <c r="H264" s="65"/>
      <c r="I264" s="65"/>
      <c r="J264" s="65"/>
      <c r="K264" s="65"/>
      <c r="L264" s="65"/>
      <c r="M264" s="65"/>
      <c r="N264" s="65"/>
      <c r="O264" s="65"/>
      <c r="P264" s="65"/>
      <c r="Q264" s="65"/>
      <c r="R264" s="65"/>
      <c r="S264" s="65"/>
      <c r="T264" s="65"/>
      <c r="U264" s="65"/>
      <c r="V264" s="65"/>
      <c r="W264" s="65"/>
      <c r="X264" s="65"/>
      <c r="Y264" s="65"/>
      <c r="Z264" s="65"/>
    </row>
    <row r="265" customFormat="false" ht="15.75" hidden="false" customHeight="true" outlineLevel="0" collapsed="false">
      <c r="A265" s="65"/>
      <c r="B265" s="65"/>
      <c r="C265" s="65"/>
      <c r="D265" s="65"/>
      <c r="E265" s="65"/>
      <c r="F265" s="65"/>
      <c r="G265" s="65"/>
      <c r="H265" s="65"/>
      <c r="I265" s="65"/>
      <c r="J265" s="65"/>
      <c r="K265" s="65"/>
      <c r="L265" s="65"/>
      <c r="M265" s="65"/>
      <c r="N265" s="65"/>
      <c r="O265" s="65"/>
      <c r="P265" s="65"/>
      <c r="Q265" s="65"/>
      <c r="R265" s="65"/>
      <c r="S265" s="65"/>
      <c r="T265" s="65"/>
      <c r="U265" s="65"/>
      <c r="V265" s="65"/>
      <c r="W265" s="65"/>
      <c r="X265" s="65"/>
      <c r="Y265" s="65"/>
      <c r="Z265" s="65"/>
    </row>
    <row r="266" customFormat="false" ht="15.75" hidden="false" customHeight="true" outlineLevel="0" collapsed="false">
      <c r="A266" s="65"/>
      <c r="B266" s="65"/>
      <c r="C266" s="65"/>
      <c r="D266" s="65"/>
      <c r="E266" s="65"/>
      <c r="F266" s="65"/>
      <c r="G266" s="65"/>
      <c r="H266" s="65"/>
      <c r="I266" s="65"/>
      <c r="J266" s="65"/>
      <c r="K266" s="65"/>
      <c r="L266" s="65"/>
      <c r="M266" s="65"/>
      <c r="N266" s="65"/>
      <c r="O266" s="65"/>
      <c r="P266" s="65"/>
      <c r="Q266" s="65"/>
      <c r="R266" s="65"/>
      <c r="S266" s="65"/>
      <c r="T266" s="65"/>
      <c r="U266" s="65"/>
      <c r="V266" s="65"/>
      <c r="W266" s="65"/>
      <c r="X266" s="65"/>
      <c r="Y266" s="65"/>
      <c r="Z266" s="65"/>
    </row>
    <row r="267" customFormat="false" ht="15.75" hidden="false" customHeight="true" outlineLevel="0" collapsed="false">
      <c r="A267" s="65"/>
      <c r="B267" s="65"/>
      <c r="C267" s="65"/>
      <c r="D267" s="65"/>
      <c r="E267" s="65"/>
      <c r="F267" s="65"/>
      <c r="G267" s="65"/>
      <c r="H267" s="65"/>
      <c r="I267" s="65"/>
      <c r="J267" s="65"/>
      <c r="K267" s="65"/>
      <c r="L267" s="65"/>
      <c r="M267" s="65"/>
      <c r="N267" s="65"/>
      <c r="O267" s="65"/>
      <c r="P267" s="65"/>
      <c r="Q267" s="65"/>
      <c r="R267" s="65"/>
      <c r="S267" s="65"/>
      <c r="T267" s="65"/>
      <c r="U267" s="65"/>
      <c r="V267" s="65"/>
      <c r="W267" s="65"/>
      <c r="X267" s="65"/>
      <c r="Y267" s="65"/>
      <c r="Z267" s="65"/>
    </row>
    <row r="268" customFormat="false" ht="15.75" hidden="false" customHeight="true" outlineLevel="0" collapsed="false">
      <c r="A268" s="65"/>
      <c r="B268" s="65"/>
      <c r="C268" s="65"/>
      <c r="D268" s="65"/>
      <c r="E268" s="65"/>
      <c r="F268" s="65"/>
      <c r="G268" s="65"/>
      <c r="H268" s="65"/>
      <c r="I268" s="65"/>
      <c r="J268" s="65"/>
      <c r="K268" s="65"/>
      <c r="L268" s="65"/>
      <c r="M268" s="65"/>
      <c r="N268" s="65"/>
      <c r="O268" s="65"/>
      <c r="P268" s="65"/>
      <c r="Q268" s="65"/>
      <c r="R268" s="65"/>
      <c r="S268" s="65"/>
      <c r="T268" s="65"/>
      <c r="U268" s="65"/>
      <c r="V268" s="65"/>
      <c r="W268" s="65"/>
      <c r="X268" s="65"/>
      <c r="Y268" s="65"/>
      <c r="Z268" s="65"/>
    </row>
    <row r="269" customFormat="false" ht="15.75" hidden="false" customHeight="true" outlineLevel="0" collapsed="false">
      <c r="A269" s="65"/>
      <c r="B269" s="65"/>
      <c r="C269" s="65"/>
      <c r="D269" s="65"/>
      <c r="E269" s="65"/>
      <c r="F269" s="65"/>
      <c r="G269" s="65"/>
      <c r="H269" s="65"/>
      <c r="I269" s="65"/>
      <c r="J269" s="65"/>
      <c r="K269" s="65"/>
      <c r="L269" s="65"/>
      <c r="M269" s="65"/>
      <c r="N269" s="65"/>
      <c r="O269" s="65"/>
      <c r="P269" s="65"/>
      <c r="Q269" s="65"/>
      <c r="R269" s="65"/>
      <c r="S269" s="65"/>
      <c r="T269" s="65"/>
      <c r="U269" s="65"/>
      <c r="V269" s="65"/>
      <c r="W269" s="65"/>
      <c r="X269" s="65"/>
      <c r="Y269" s="65"/>
      <c r="Z269" s="65"/>
    </row>
    <row r="270" customFormat="false" ht="15.75" hidden="false" customHeight="true" outlineLevel="0" collapsed="false">
      <c r="A270" s="65"/>
      <c r="B270" s="65"/>
      <c r="C270" s="65"/>
      <c r="D270" s="65"/>
      <c r="E270" s="65"/>
      <c r="F270" s="65"/>
      <c r="G270" s="65"/>
      <c r="H270" s="65"/>
      <c r="I270" s="65"/>
      <c r="J270" s="65"/>
      <c r="K270" s="65"/>
      <c r="L270" s="65"/>
      <c r="M270" s="65"/>
      <c r="N270" s="65"/>
      <c r="O270" s="65"/>
      <c r="P270" s="65"/>
      <c r="Q270" s="65"/>
      <c r="R270" s="65"/>
      <c r="S270" s="65"/>
      <c r="T270" s="65"/>
      <c r="U270" s="65"/>
      <c r="V270" s="65"/>
      <c r="W270" s="65"/>
      <c r="X270" s="65"/>
      <c r="Y270" s="65"/>
      <c r="Z270" s="65"/>
    </row>
    <row r="271" customFormat="false" ht="15.75" hidden="false" customHeight="true" outlineLevel="0" collapsed="false">
      <c r="A271" s="65"/>
      <c r="B271" s="65"/>
      <c r="C271" s="65"/>
      <c r="D271" s="65"/>
      <c r="E271" s="65"/>
      <c r="F271" s="65"/>
      <c r="G271" s="65"/>
      <c r="H271" s="65"/>
      <c r="I271" s="65"/>
      <c r="J271" s="65"/>
      <c r="K271" s="65"/>
      <c r="L271" s="65"/>
      <c r="M271" s="65"/>
      <c r="N271" s="65"/>
      <c r="O271" s="65"/>
      <c r="P271" s="65"/>
      <c r="Q271" s="65"/>
      <c r="R271" s="65"/>
      <c r="S271" s="65"/>
      <c r="T271" s="65"/>
      <c r="U271" s="65"/>
      <c r="V271" s="65"/>
      <c r="W271" s="65"/>
      <c r="X271" s="65"/>
      <c r="Y271" s="65"/>
      <c r="Z271" s="65"/>
    </row>
    <row r="272" customFormat="false" ht="15.75" hidden="false" customHeight="true" outlineLevel="0" collapsed="false">
      <c r="A272" s="65"/>
      <c r="B272" s="65"/>
      <c r="C272" s="65"/>
      <c r="D272" s="65"/>
      <c r="E272" s="65"/>
      <c r="F272" s="65"/>
      <c r="G272" s="65"/>
      <c r="H272" s="65"/>
      <c r="I272" s="65"/>
      <c r="J272" s="65"/>
      <c r="K272" s="65"/>
      <c r="L272" s="65"/>
      <c r="M272" s="65"/>
      <c r="N272" s="65"/>
      <c r="O272" s="65"/>
      <c r="P272" s="65"/>
      <c r="Q272" s="65"/>
      <c r="R272" s="65"/>
      <c r="S272" s="65"/>
      <c r="T272" s="65"/>
      <c r="U272" s="65"/>
      <c r="V272" s="65"/>
      <c r="W272" s="65"/>
      <c r="X272" s="65"/>
      <c r="Y272" s="65"/>
      <c r="Z272" s="65"/>
    </row>
    <row r="273" customFormat="false" ht="15.75" hidden="false" customHeight="true" outlineLevel="0" collapsed="false">
      <c r="A273" s="65"/>
      <c r="B273" s="65"/>
      <c r="C273" s="65"/>
      <c r="D273" s="65"/>
      <c r="E273" s="65"/>
      <c r="F273" s="65"/>
      <c r="G273" s="65"/>
      <c r="H273" s="65"/>
      <c r="I273" s="65"/>
      <c r="J273" s="65"/>
      <c r="K273" s="65"/>
      <c r="L273" s="65"/>
      <c r="M273" s="65"/>
      <c r="N273" s="65"/>
      <c r="O273" s="65"/>
      <c r="P273" s="65"/>
      <c r="Q273" s="65"/>
      <c r="R273" s="65"/>
      <c r="S273" s="65"/>
      <c r="T273" s="65"/>
      <c r="U273" s="65"/>
      <c r="V273" s="65"/>
      <c r="W273" s="65"/>
      <c r="X273" s="65"/>
      <c r="Y273" s="65"/>
      <c r="Z273" s="65"/>
    </row>
    <row r="274" customFormat="false" ht="15.75" hidden="false" customHeight="true" outlineLevel="0" collapsed="false">
      <c r="A274" s="65"/>
      <c r="B274" s="65"/>
      <c r="C274" s="65"/>
      <c r="D274" s="65"/>
      <c r="E274" s="65"/>
      <c r="F274" s="65"/>
      <c r="G274" s="65"/>
      <c r="H274" s="65"/>
      <c r="I274" s="65"/>
      <c r="J274" s="65"/>
      <c r="K274" s="65"/>
      <c r="L274" s="65"/>
      <c r="M274" s="65"/>
      <c r="N274" s="65"/>
      <c r="O274" s="65"/>
      <c r="P274" s="65"/>
      <c r="Q274" s="65"/>
      <c r="R274" s="65"/>
      <c r="S274" s="65"/>
      <c r="T274" s="65"/>
      <c r="U274" s="65"/>
      <c r="V274" s="65"/>
      <c r="W274" s="65"/>
      <c r="X274" s="65"/>
      <c r="Y274" s="65"/>
      <c r="Z274" s="65"/>
    </row>
    <row r="275" customFormat="false" ht="15.75" hidden="false" customHeight="true" outlineLevel="0" collapsed="false">
      <c r="A275" s="65"/>
      <c r="B275" s="65"/>
      <c r="C275" s="65"/>
      <c r="D275" s="65"/>
      <c r="E275" s="65"/>
      <c r="F275" s="65"/>
      <c r="G275" s="65"/>
      <c r="H275" s="65"/>
      <c r="I275" s="65"/>
      <c r="J275" s="65"/>
      <c r="K275" s="65"/>
      <c r="L275" s="65"/>
      <c r="M275" s="65"/>
      <c r="N275" s="65"/>
      <c r="O275" s="65"/>
      <c r="P275" s="65"/>
      <c r="Q275" s="65"/>
      <c r="R275" s="65"/>
      <c r="S275" s="65"/>
      <c r="T275" s="65"/>
      <c r="U275" s="65"/>
      <c r="V275" s="65"/>
      <c r="W275" s="65"/>
      <c r="X275" s="65"/>
      <c r="Y275" s="65"/>
      <c r="Z275" s="65"/>
    </row>
    <row r="276" customFormat="false" ht="15.75" hidden="false" customHeight="true" outlineLevel="0" collapsed="false">
      <c r="A276" s="65"/>
      <c r="B276" s="65"/>
      <c r="C276" s="65"/>
      <c r="D276" s="65"/>
      <c r="E276" s="65"/>
      <c r="F276" s="65"/>
      <c r="G276" s="65"/>
      <c r="H276" s="65"/>
      <c r="I276" s="65"/>
      <c r="J276" s="65"/>
      <c r="K276" s="65"/>
      <c r="L276" s="65"/>
      <c r="M276" s="65"/>
      <c r="N276" s="65"/>
      <c r="O276" s="65"/>
      <c r="P276" s="65"/>
      <c r="Q276" s="65"/>
      <c r="R276" s="65"/>
      <c r="S276" s="65"/>
      <c r="T276" s="65"/>
      <c r="U276" s="65"/>
      <c r="V276" s="65"/>
      <c r="W276" s="65"/>
      <c r="X276" s="65"/>
      <c r="Y276" s="65"/>
      <c r="Z276" s="65"/>
    </row>
    <row r="277" customFormat="false" ht="15.75" hidden="false" customHeight="true" outlineLevel="0" collapsed="false">
      <c r="A277" s="65"/>
      <c r="B277" s="65"/>
      <c r="C277" s="65"/>
      <c r="D277" s="65"/>
      <c r="E277" s="65"/>
      <c r="F277" s="65"/>
      <c r="G277" s="65"/>
      <c r="H277" s="65"/>
      <c r="I277" s="65"/>
      <c r="J277" s="65"/>
      <c r="K277" s="65"/>
      <c r="L277" s="65"/>
      <c r="M277" s="65"/>
      <c r="N277" s="65"/>
      <c r="O277" s="65"/>
      <c r="P277" s="65"/>
      <c r="Q277" s="65"/>
      <c r="R277" s="65"/>
      <c r="S277" s="65"/>
      <c r="T277" s="65"/>
      <c r="U277" s="65"/>
      <c r="V277" s="65"/>
      <c r="W277" s="65"/>
      <c r="X277" s="65"/>
      <c r="Y277" s="65"/>
      <c r="Z277" s="65"/>
    </row>
    <row r="278" customFormat="false" ht="15.75" hidden="false" customHeight="true" outlineLevel="0" collapsed="false">
      <c r="A278" s="65"/>
      <c r="B278" s="65"/>
      <c r="C278" s="65"/>
      <c r="D278" s="65"/>
      <c r="E278" s="65"/>
      <c r="F278" s="65"/>
      <c r="G278" s="65"/>
      <c r="H278" s="65"/>
      <c r="I278" s="65"/>
      <c r="J278" s="65"/>
      <c r="K278" s="65"/>
      <c r="L278" s="65"/>
      <c r="M278" s="65"/>
      <c r="N278" s="65"/>
      <c r="O278" s="65"/>
      <c r="P278" s="65"/>
      <c r="Q278" s="65"/>
      <c r="R278" s="65"/>
      <c r="S278" s="65"/>
      <c r="T278" s="65"/>
      <c r="U278" s="65"/>
      <c r="V278" s="65"/>
      <c r="W278" s="65"/>
      <c r="X278" s="65"/>
      <c r="Y278" s="65"/>
      <c r="Z278" s="65"/>
    </row>
    <row r="279" customFormat="false" ht="15.75" hidden="false" customHeight="true" outlineLevel="0" collapsed="false">
      <c r="A279" s="65"/>
      <c r="B279" s="65"/>
      <c r="C279" s="65"/>
      <c r="D279" s="65"/>
      <c r="E279" s="65"/>
      <c r="F279" s="65"/>
      <c r="G279" s="65"/>
      <c r="H279" s="65"/>
      <c r="I279" s="65"/>
      <c r="J279" s="65"/>
      <c r="K279" s="65"/>
      <c r="L279" s="65"/>
      <c r="M279" s="65"/>
      <c r="N279" s="65"/>
      <c r="O279" s="65"/>
      <c r="P279" s="65"/>
      <c r="Q279" s="65"/>
      <c r="R279" s="65"/>
      <c r="S279" s="65"/>
      <c r="T279" s="65"/>
      <c r="U279" s="65"/>
      <c r="V279" s="65"/>
      <c r="W279" s="65"/>
      <c r="X279" s="65"/>
      <c r="Y279" s="65"/>
      <c r="Z279" s="65"/>
    </row>
    <row r="280" customFormat="false" ht="15.75" hidden="false" customHeight="true" outlineLevel="0" collapsed="false">
      <c r="A280" s="65"/>
      <c r="B280" s="65"/>
      <c r="C280" s="65"/>
      <c r="D280" s="65"/>
      <c r="E280" s="65"/>
      <c r="F280" s="65"/>
      <c r="G280" s="65"/>
      <c r="H280" s="65"/>
      <c r="I280" s="65"/>
      <c r="J280" s="65"/>
      <c r="K280" s="65"/>
      <c r="L280" s="65"/>
      <c r="M280" s="65"/>
      <c r="N280" s="65"/>
      <c r="O280" s="65"/>
      <c r="P280" s="65"/>
      <c r="Q280" s="65"/>
      <c r="R280" s="65"/>
      <c r="S280" s="65"/>
      <c r="T280" s="65"/>
      <c r="U280" s="65"/>
      <c r="V280" s="65"/>
      <c r="W280" s="65"/>
      <c r="X280" s="65"/>
      <c r="Y280" s="65"/>
      <c r="Z280" s="65"/>
    </row>
    <row r="281" customFormat="false" ht="15.75" hidden="false" customHeight="true" outlineLevel="0" collapsed="false">
      <c r="A281" s="65"/>
      <c r="B281" s="65"/>
      <c r="C281" s="65"/>
      <c r="D281" s="65"/>
      <c r="E281" s="65"/>
      <c r="F281" s="65"/>
      <c r="G281" s="65"/>
      <c r="H281" s="65"/>
      <c r="I281" s="65"/>
      <c r="J281" s="65"/>
      <c r="K281" s="65"/>
      <c r="L281" s="65"/>
      <c r="M281" s="65"/>
      <c r="N281" s="65"/>
      <c r="O281" s="65"/>
      <c r="P281" s="65"/>
      <c r="Q281" s="65"/>
      <c r="R281" s="65"/>
      <c r="S281" s="65"/>
      <c r="T281" s="65"/>
      <c r="U281" s="65"/>
      <c r="V281" s="65"/>
      <c r="W281" s="65"/>
      <c r="X281" s="65"/>
      <c r="Y281" s="65"/>
      <c r="Z281" s="65"/>
    </row>
    <row r="282" customFormat="false" ht="15.75" hidden="false" customHeight="true" outlineLevel="0" collapsed="false">
      <c r="A282" s="65"/>
      <c r="B282" s="65"/>
      <c r="C282" s="65"/>
      <c r="D282" s="65"/>
      <c r="E282" s="65"/>
      <c r="F282" s="65"/>
      <c r="G282" s="65"/>
      <c r="H282" s="65"/>
      <c r="I282" s="65"/>
      <c r="J282" s="65"/>
      <c r="K282" s="65"/>
      <c r="L282" s="65"/>
      <c r="M282" s="65"/>
      <c r="N282" s="65"/>
      <c r="O282" s="65"/>
      <c r="P282" s="65"/>
      <c r="Q282" s="65"/>
      <c r="R282" s="65"/>
      <c r="S282" s="65"/>
      <c r="T282" s="65"/>
      <c r="U282" s="65"/>
      <c r="V282" s="65"/>
      <c r="W282" s="65"/>
      <c r="X282" s="65"/>
      <c r="Y282" s="65"/>
      <c r="Z282" s="65"/>
    </row>
    <row r="283" customFormat="false" ht="15.75" hidden="false" customHeight="true" outlineLevel="0" collapsed="false">
      <c r="A283" s="65"/>
      <c r="B283" s="65"/>
      <c r="C283" s="65"/>
      <c r="D283" s="65"/>
      <c r="E283" s="65"/>
      <c r="F283" s="65"/>
      <c r="G283" s="65"/>
      <c r="H283" s="65"/>
      <c r="I283" s="65"/>
      <c r="J283" s="65"/>
      <c r="K283" s="65"/>
      <c r="L283" s="65"/>
      <c r="M283" s="65"/>
      <c r="N283" s="65"/>
      <c r="O283" s="65"/>
      <c r="P283" s="65"/>
      <c r="Q283" s="65"/>
      <c r="R283" s="65"/>
      <c r="S283" s="65"/>
      <c r="T283" s="65"/>
      <c r="U283" s="65"/>
      <c r="V283" s="65"/>
      <c r="W283" s="65"/>
      <c r="X283" s="65"/>
      <c r="Y283" s="65"/>
      <c r="Z283" s="65"/>
    </row>
    <row r="284" customFormat="false" ht="15.75" hidden="false" customHeight="true" outlineLevel="0" collapsed="false">
      <c r="A284" s="65"/>
      <c r="B284" s="65"/>
      <c r="C284" s="65"/>
      <c r="D284" s="65"/>
      <c r="E284" s="65"/>
      <c r="F284" s="65"/>
      <c r="G284" s="65"/>
      <c r="H284" s="65"/>
      <c r="I284" s="65"/>
      <c r="J284" s="65"/>
      <c r="K284" s="65"/>
      <c r="L284" s="65"/>
      <c r="M284" s="65"/>
      <c r="N284" s="65"/>
      <c r="O284" s="65"/>
      <c r="P284" s="65"/>
      <c r="Q284" s="65"/>
      <c r="R284" s="65"/>
      <c r="S284" s="65"/>
      <c r="T284" s="65"/>
      <c r="U284" s="65"/>
      <c r="V284" s="65"/>
      <c r="W284" s="65"/>
      <c r="X284" s="65"/>
      <c r="Y284" s="65"/>
      <c r="Z284" s="65"/>
    </row>
    <row r="285" customFormat="false" ht="15.75" hidden="false" customHeight="true" outlineLevel="0" collapsed="false">
      <c r="A285" s="65"/>
      <c r="B285" s="65"/>
      <c r="C285" s="65"/>
      <c r="D285" s="65"/>
      <c r="E285" s="65"/>
      <c r="F285" s="65"/>
      <c r="G285" s="65"/>
      <c r="H285" s="65"/>
      <c r="I285" s="65"/>
      <c r="J285" s="65"/>
      <c r="K285" s="65"/>
      <c r="L285" s="65"/>
      <c r="M285" s="65"/>
      <c r="N285" s="65"/>
      <c r="O285" s="65"/>
      <c r="P285" s="65"/>
      <c r="Q285" s="65"/>
      <c r="R285" s="65"/>
      <c r="S285" s="65"/>
      <c r="T285" s="65"/>
      <c r="U285" s="65"/>
      <c r="V285" s="65"/>
      <c r="W285" s="65"/>
      <c r="X285" s="65"/>
      <c r="Y285" s="65"/>
      <c r="Z285" s="65"/>
    </row>
    <row r="286" customFormat="false" ht="15.75" hidden="false" customHeight="true" outlineLevel="0" collapsed="false">
      <c r="A286" s="65"/>
      <c r="B286" s="65"/>
      <c r="C286" s="65"/>
      <c r="D286" s="65"/>
      <c r="E286" s="65"/>
      <c r="F286" s="65"/>
      <c r="G286" s="65"/>
      <c r="H286" s="65"/>
      <c r="I286" s="65"/>
      <c r="J286" s="65"/>
      <c r="K286" s="65"/>
      <c r="L286" s="65"/>
      <c r="M286" s="65"/>
      <c r="N286" s="65"/>
      <c r="O286" s="65"/>
      <c r="P286" s="65"/>
      <c r="Q286" s="65"/>
      <c r="R286" s="65"/>
      <c r="S286" s="65"/>
      <c r="T286" s="65"/>
      <c r="U286" s="65"/>
      <c r="V286" s="65"/>
      <c r="W286" s="65"/>
      <c r="X286" s="65"/>
      <c r="Y286" s="65"/>
      <c r="Z286" s="65"/>
    </row>
    <row r="287" customFormat="false" ht="15.75" hidden="false" customHeight="true" outlineLevel="0" collapsed="false">
      <c r="A287" s="65"/>
      <c r="B287" s="65"/>
      <c r="C287" s="65"/>
      <c r="D287" s="65"/>
      <c r="E287" s="65"/>
      <c r="F287" s="65"/>
      <c r="G287" s="65"/>
      <c r="H287" s="65"/>
      <c r="I287" s="65"/>
      <c r="J287" s="65"/>
      <c r="K287" s="65"/>
      <c r="L287" s="65"/>
      <c r="M287" s="65"/>
      <c r="N287" s="65"/>
      <c r="O287" s="65"/>
      <c r="P287" s="65"/>
      <c r="Q287" s="65"/>
      <c r="R287" s="65"/>
      <c r="S287" s="65"/>
      <c r="T287" s="65"/>
      <c r="U287" s="65"/>
      <c r="V287" s="65"/>
      <c r="W287" s="65"/>
      <c r="X287" s="65"/>
      <c r="Y287" s="65"/>
      <c r="Z287" s="65"/>
    </row>
    <row r="288" customFormat="false" ht="15.75" hidden="false" customHeight="true" outlineLevel="0" collapsed="false">
      <c r="A288" s="65"/>
      <c r="B288" s="65"/>
      <c r="C288" s="65"/>
      <c r="D288" s="65"/>
      <c r="E288" s="65"/>
      <c r="F288" s="65"/>
      <c r="G288" s="65"/>
      <c r="H288" s="65"/>
      <c r="I288" s="65"/>
      <c r="J288" s="65"/>
      <c r="K288" s="65"/>
      <c r="L288" s="65"/>
      <c r="M288" s="65"/>
      <c r="N288" s="65"/>
      <c r="O288" s="65"/>
      <c r="P288" s="65"/>
      <c r="Q288" s="65"/>
      <c r="R288" s="65"/>
      <c r="S288" s="65"/>
      <c r="T288" s="65"/>
      <c r="U288" s="65"/>
      <c r="V288" s="65"/>
      <c r="W288" s="65"/>
      <c r="X288" s="65"/>
      <c r="Y288" s="65"/>
      <c r="Z288" s="65"/>
    </row>
    <row r="289" customFormat="false" ht="15.75" hidden="false" customHeight="true" outlineLevel="0" collapsed="false">
      <c r="A289" s="65"/>
      <c r="B289" s="65"/>
      <c r="C289" s="65"/>
      <c r="D289" s="65"/>
      <c r="E289" s="65"/>
      <c r="F289" s="65"/>
      <c r="G289" s="65"/>
      <c r="H289" s="65"/>
      <c r="I289" s="65"/>
      <c r="J289" s="65"/>
      <c r="K289" s="65"/>
      <c r="L289" s="65"/>
      <c r="M289" s="65"/>
      <c r="N289" s="65"/>
      <c r="O289" s="65"/>
      <c r="P289" s="65"/>
      <c r="Q289" s="65"/>
      <c r="R289" s="65"/>
      <c r="S289" s="65"/>
      <c r="T289" s="65"/>
      <c r="U289" s="65"/>
      <c r="V289" s="65"/>
      <c r="W289" s="65"/>
      <c r="X289" s="65"/>
      <c r="Y289" s="65"/>
      <c r="Z289" s="65"/>
    </row>
    <row r="290" customFormat="false" ht="15.75" hidden="false" customHeight="true" outlineLevel="0" collapsed="false">
      <c r="A290" s="65"/>
      <c r="B290" s="65"/>
      <c r="C290" s="65"/>
      <c r="D290" s="65"/>
      <c r="E290" s="65"/>
      <c r="F290" s="65"/>
      <c r="G290" s="65"/>
      <c r="H290" s="65"/>
      <c r="I290" s="65"/>
      <c r="J290" s="65"/>
      <c r="K290" s="65"/>
      <c r="L290" s="65"/>
      <c r="M290" s="65"/>
      <c r="N290" s="65"/>
      <c r="O290" s="65"/>
      <c r="P290" s="65"/>
      <c r="Q290" s="65"/>
      <c r="R290" s="65"/>
      <c r="S290" s="65"/>
      <c r="T290" s="65"/>
      <c r="U290" s="65"/>
      <c r="V290" s="65"/>
      <c r="W290" s="65"/>
      <c r="X290" s="65"/>
      <c r="Y290" s="65"/>
      <c r="Z290" s="65"/>
    </row>
    <row r="291" customFormat="false" ht="15.75" hidden="false" customHeight="true" outlineLevel="0" collapsed="false">
      <c r="A291" s="65"/>
      <c r="B291" s="65"/>
      <c r="C291" s="65"/>
      <c r="D291" s="65"/>
      <c r="E291" s="65"/>
      <c r="F291" s="65"/>
      <c r="G291" s="65"/>
      <c r="H291" s="65"/>
      <c r="I291" s="65"/>
      <c r="J291" s="65"/>
      <c r="K291" s="65"/>
      <c r="L291" s="65"/>
      <c r="M291" s="65"/>
      <c r="N291" s="65"/>
      <c r="O291" s="65"/>
      <c r="P291" s="65"/>
      <c r="Q291" s="65"/>
      <c r="R291" s="65"/>
      <c r="S291" s="65"/>
      <c r="T291" s="65"/>
      <c r="U291" s="65"/>
      <c r="V291" s="65"/>
      <c r="W291" s="65"/>
      <c r="X291" s="65"/>
      <c r="Y291" s="65"/>
      <c r="Z291" s="65"/>
    </row>
    <row r="292" customFormat="false" ht="15.75" hidden="false" customHeight="true" outlineLevel="0" collapsed="false">
      <c r="A292" s="65"/>
      <c r="B292" s="65"/>
      <c r="C292" s="65"/>
      <c r="D292" s="65"/>
      <c r="E292" s="65"/>
      <c r="F292" s="65"/>
      <c r="G292" s="65"/>
      <c r="H292" s="65"/>
      <c r="I292" s="65"/>
      <c r="J292" s="65"/>
      <c r="K292" s="65"/>
      <c r="L292" s="65"/>
      <c r="M292" s="65"/>
      <c r="N292" s="65"/>
      <c r="O292" s="65"/>
      <c r="P292" s="65"/>
      <c r="Q292" s="65"/>
      <c r="R292" s="65"/>
      <c r="S292" s="65"/>
      <c r="T292" s="65"/>
      <c r="U292" s="65"/>
      <c r="V292" s="65"/>
      <c r="W292" s="65"/>
      <c r="X292" s="65"/>
      <c r="Y292" s="65"/>
      <c r="Z292" s="65"/>
    </row>
    <row r="293" customFormat="false" ht="15.75" hidden="false" customHeight="true" outlineLevel="0" collapsed="false">
      <c r="A293" s="65"/>
      <c r="B293" s="65"/>
      <c r="C293" s="65"/>
      <c r="D293" s="65"/>
      <c r="E293" s="65"/>
      <c r="F293" s="65"/>
      <c r="G293" s="65"/>
      <c r="H293" s="65"/>
      <c r="I293" s="65"/>
      <c r="J293" s="65"/>
      <c r="K293" s="65"/>
      <c r="L293" s="65"/>
      <c r="M293" s="65"/>
      <c r="N293" s="65"/>
      <c r="O293" s="65"/>
      <c r="P293" s="65"/>
      <c r="Q293" s="65"/>
      <c r="R293" s="65"/>
      <c r="S293" s="65"/>
      <c r="T293" s="65"/>
      <c r="U293" s="65"/>
      <c r="V293" s="65"/>
      <c r="W293" s="65"/>
      <c r="X293" s="65"/>
      <c r="Y293" s="65"/>
      <c r="Z293" s="65"/>
    </row>
    <row r="294" customFormat="false" ht="15.75" hidden="false" customHeight="true" outlineLevel="0" collapsed="false">
      <c r="A294" s="65"/>
      <c r="B294" s="65"/>
      <c r="C294" s="65"/>
      <c r="D294" s="65"/>
      <c r="E294" s="65"/>
      <c r="F294" s="65"/>
      <c r="G294" s="65"/>
      <c r="H294" s="65"/>
      <c r="I294" s="65"/>
      <c r="J294" s="65"/>
      <c r="K294" s="65"/>
      <c r="L294" s="65"/>
      <c r="M294" s="65"/>
      <c r="N294" s="65"/>
      <c r="O294" s="65"/>
      <c r="P294" s="65"/>
      <c r="Q294" s="65"/>
      <c r="R294" s="65"/>
      <c r="S294" s="65"/>
      <c r="T294" s="65"/>
      <c r="U294" s="65"/>
      <c r="V294" s="65"/>
      <c r="W294" s="65"/>
      <c r="X294" s="65"/>
      <c r="Y294" s="65"/>
      <c r="Z294" s="65"/>
    </row>
    <row r="295" customFormat="false" ht="15.75" hidden="false" customHeight="true" outlineLevel="0" collapsed="false">
      <c r="A295" s="65"/>
      <c r="B295" s="65"/>
      <c r="C295" s="65"/>
      <c r="D295" s="65"/>
      <c r="E295" s="65"/>
      <c r="F295" s="65"/>
      <c r="G295" s="65"/>
      <c r="H295" s="65"/>
      <c r="I295" s="65"/>
      <c r="J295" s="65"/>
      <c r="K295" s="65"/>
      <c r="L295" s="65"/>
      <c r="M295" s="65"/>
      <c r="N295" s="65"/>
      <c r="O295" s="65"/>
      <c r="P295" s="65"/>
      <c r="Q295" s="65"/>
      <c r="R295" s="65"/>
      <c r="S295" s="65"/>
      <c r="T295" s="65"/>
      <c r="U295" s="65"/>
      <c r="V295" s="65"/>
      <c r="W295" s="65"/>
      <c r="X295" s="65"/>
      <c r="Y295" s="65"/>
      <c r="Z295" s="65"/>
    </row>
    <row r="296" customFormat="false" ht="15.75" hidden="false" customHeight="true" outlineLevel="0" collapsed="false">
      <c r="A296" s="65"/>
      <c r="B296" s="65"/>
      <c r="C296" s="65"/>
      <c r="D296" s="65"/>
      <c r="E296" s="65"/>
      <c r="F296" s="65"/>
      <c r="G296" s="65"/>
      <c r="H296" s="65"/>
      <c r="I296" s="65"/>
      <c r="J296" s="65"/>
      <c r="K296" s="65"/>
      <c r="L296" s="65"/>
      <c r="M296" s="65"/>
      <c r="N296" s="65"/>
      <c r="O296" s="65"/>
      <c r="P296" s="65"/>
      <c r="Q296" s="65"/>
      <c r="R296" s="65"/>
      <c r="S296" s="65"/>
      <c r="T296" s="65"/>
      <c r="U296" s="65"/>
      <c r="V296" s="65"/>
      <c r="W296" s="65"/>
      <c r="X296" s="65"/>
      <c r="Y296" s="65"/>
      <c r="Z296" s="65"/>
    </row>
    <row r="297" customFormat="false" ht="15.75" hidden="false" customHeight="true" outlineLevel="0" collapsed="false">
      <c r="A297" s="65"/>
      <c r="B297" s="65"/>
      <c r="C297" s="65"/>
      <c r="D297" s="65"/>
      <c r="E297" s="65"/>
      <c r="F297" s="65"/>
      <c r="G297" s="65"/>
      <c r="H297" s="65"/>
      <c r="I297" s="65"/>
      <c r="J297" s="65"/>
      <c r="K297" s="65"/>
      <c r="L297" s="65"/>
      <c r="M297" s="65"/>
      <c r="N297" s="65"/>
      <c r="O297" s="65"/>
      <c r="P297" s="65"/>
      <c r="Q297" s="65"/>
      <c r="R297" s="65"/>
      <c r="S297" s="65"/>
      <c r="T297" s="65"/>
      <c r="U297" s="65"/>
      <c r="V297" s="65"/>
      <c r="W297" s="65"/>
      <c r="X297" s="65"/>
      <c r="Y297" s="65"/>
      <c r="Z297" s="65"/>
    </row>
    <row r="298" customFormat="false" ht="15.75" hidden="false" customHeight="true" outlineLevel="0" collapsed="false">
      <c r="A298" s="65"/>
      <c r="B298" s="65"/>
      <c r="C298" s="65"/>
      <c r="D298" s="65"/>
      <c r="E298" s="65"/>
      <c r="F298" s="65"/>
      <c r="G298" s="65"/>
      <c r="H298" s="65"/>
      <c r="I298" s="65"/>
      <c r="J298" s="65"/>
      <c r="K298" s="65"/>
      <c r="L298" s="65"/>
      <c r="M298" s="65"/>
      <c r="N298" s="65"/>
      <c r="O298" s="65"/>
      <c r="P298" s="65"/>
      <c r="Q298" s="65"/>
      <c r="R298" s="65"/>
      <c r="S298" s="65"/>
      <c r="T298" s="65"/>
      <c r="U298" s="65"/>
      <c r="V298" s="65"/>
      <c r="W298" s="65"/>
      <c r="X298" s="65"/>
      <c r="Y298" s="65"/>
      <c r="Z298" s="65"/>
    </row>
    <row r="299" customFormat="false" ht="15.75" hidden="false" customHeight="true" outlineLevel="0" collapsed="false">
      <c r="A299" s="65"/>
      <c r="B299" s="65"/>
      <c r="C299" s="65"/>
      <c r="D299" s="65"/>
      <c r="E299" s="65"/>
      <c r="F299" s="65"/>
      <c r="G299" s="65"/>
      <c r="H299" s="65"/>
      <c r="I299" s="65"/>
      <c r="J299" s="65"/>
      <c r="K299" s="65"/>
      <c r="L299" s="65"/>
      <c r="M299" s="65"/>
      <c r="N299" s="65"/>
      <c r="O299" s="65"/>
      <c r="P299" s="65"/>
      <c r="Q299" s="65"/>
      <c r="R299" s="65"/>
      <c r="S299" s="65"/>
      <c r="T299" s="65"/>
      <c r="U299" s="65"/>
      <c r="V299" s="65"/>
      <c r="W299" s="65"/>
      <c r="X299" s="65"/>
      <c r="Y299" s="65"/>
      <c r="Z299" s="65"/>
    </row>
    <row r="300" customFormat="false" ht="15.75" hidden="false" customHeight="true" outlineLevel="0" collapsed="false">
      <c r="A300" s="65"/>
      <c r="B300" s="65"/>
      <c r="C300" s="65"/>
      <c r="D300" s="65"/>
      <c r="E300" s="65"/>
      <c r="F300" s="65"/>
      <c r="G300" s="65"/>
      <c r="H300" s="65"/>
      <c r="I300" s="65"/>
      <c r="J300" s="65"/>
      <c r="K300" s="65"/>
      <c r="L300" s="65"/>
      <c r="M300" s="65"/>
      <c r="N300" s="65"/>
      <c r="O300" s="65"/>
      <c r="P300" s="65"/>
      <c r="Q300" s="65"/>
      <c r="R300" s="65"/>
      <c r="S300" s="65"/>
      <c r="T300" s="65"/>
      <c r="U300" s="65"/>
      <c r="V300" s="65"/>
      <c r="W300" s="65"/>
      <c r="X300" s="65"/>
      <c r="Y300" s="65"/>
      <c r="Z300" s="65"/>
    </row>
    <row r="301" customFormat="false" ht="15.75" hidden="false" customHeight="true" outlineLevel="0" collapsed="false">
      <c r="A301" s="65"/>
      <c r="B301" s="65"/>
      <c r="C301" s="65"/>
      <c r="D301" s="65"/>
      <c r="E301" s="65"/>
      <c r="F301" s="65"/>
      <c r="G301" s="65"/>
      <c r="H301" s="65"/>
      <c r="I301" s="65"/>
      <c r="J301" s="65"/>
      <c r="K301" s="65"/>
      <c r="L301" s="65"/>
      <c r="M301" s="65"/>
      <c r="N301" s="65"/>
      <c r="O301" s="65"/>
      <c r="P301" s="65"/>
      <c r="Q301" s="65"/>
      <c r="R301" s="65"/>
      <c r="S301" s="65"/>
      <c r="T301" s="65"/>
      <c r="U301" s="65"/>
      <c r="V301" s="65"/>
      <c r="W301" s="65"/>
      <c r="X301" s="65"/>
      <c r="Y301" s="65"/>
      <c r="Z301" s="65"/>
    </row>
    <row r="302" customFormat="false" ht="15.75" hidden="false" customHeight="true" outlineLevel="0" collapsed="false">
      <c r="A302" s="65"/>
      <c r="B302" s="65"/>
      <c r="C302" s="65"/>
      <c r="D302" s="65"/>
      <c r="E302" s="65"/>
      <c r="F302" s="65"/>
      <c r="G302" s="65"/>
      <c r="H302" s="65"/>
      <c r="I302" s="65"/>
      <c r="J302" s="65"/>
      <c r="K302" s="65"/>
      <c r="L302" s="65"/>
      <c r="M302" s="65"/>
      <c r="N302" s="65"/>
      <c r="O302" s="65"/>
      <c r="P302" s="65"/>
      <c r="Q302" s="65"/>
      <c r="R302" s="65"/>
      <c r="S302" s="65"/>
      <c r="T302" s="65"/>
      <c r="U302" s="65"/>
      <c r="V302" s="65"/>
      <c r="W302" s="65"/>
      <c r="X302" s="65"/>
      <c r="Y302" s="65"/>
      <c r="Z302" s="65"/>
    </row>
    <row r="303" customFormat="false" ht="15.75" hidden="false" customHeight="true" outlineLevel="0" collapsed="false">
      <c r="A303" s="65"/>
      <c r="B303" s="65"/>
      <c r="C303" s="65"/>
      <c r="D303" s="65"/>
      <c r="E303" s="65"/>
      <c r="F303" s="65"/>
      <c r="G303" s="65"/>
      <c r="H303" s="65"/>
      <c r="I303" s="65"/>
      <c r="J303" s="65"/>
      <c r="K303" s="65"/>
      <c r="L303" s="65"/>
      <c r="M303" s="65"/>
      <c r="N303" s="65"/>
      <c r="O303" s="65"/>
      <c r="P303" s="65"/>
      <c r="Q303" s="65"/>
      <c r="R303" s="65"/>
      <c r="S303" s="65"/>
      <c r="T303" s="65"/>
      <c r="U303" s="65"/>
      <c r="V303" s="65"/>
      <c r="W303" s="65"/>
      <c r="X303" s="65"/>
      <c r="Y303" s="65"/>
      <c r="Z303" s="65"/>
    </row>
    <row r="304" customFormat="false" ht="15.75" hidden="false" customHeight="true" outlineLevel="0" collapsed="false">
      <c r="A304" s="65"/>
      <c r="B304" s="65"/>
      <c r="C304" s="65"/>
      <c r="D304" s="65"/>
      <c r="E304" s="65"/>
      <c r="F304" s="65"/>
      <c r="G304" s="65"/>
      <c r="H304" s="65"/>
      <c r="I304" s="65"/>
      <c r="J304" s="65"/>
      <c r="K304" s="65"/>
      <c r="L304" s="65"/>
      <c r="M304" s="65"/>
      <c r="N304" s="65"/>
      <c r="O304" s="65"/>
      <c r="P304" s="65"/>
      <c r="Q304" s="65"/>
      <c r="R304" s="65"/>
      <c r="S304" s="65"/>
      <c r="T304" s="65"/>
      <c r="U304" s="65"/>
      <c r="V304" s="65"/>
      <c r="W304" s="65"/>
      <c r="X304" s="65"/>
      <c r="Y304" s="65"/>
      <c r="Z304" s="65"/>
    </row>
    <row r="305" customFormat="false" ht="15.75" hidden="false" customHeight="true" outlineLevel="0" collapsed="false">
      <c r="A305" s="65"/>
      <c r="B305" s="65"/>
      <c r="C305" s="65"/>
      <c r="D305" s="65"/>
      <c r="E305" s="65"/>
      <c r="F305" s="65"/>
      <c r="G305" s="65"/>
      <c r="H305" s="65"/>
      <c r="I305" s="65"/>
      <c r="J305" s="65"/>
      <c r="K305" s="65"/>
      <c r="L305" s="65"/>
      <c r="M305" s="65"/>
      <c r="N305" s="65"/>
      <c r="O305" s="65"/>
      <c r="P305" s="65"/>
      <c r="Q305" s="65"/>
      <c r="R305" s="65"/>
      <c r="S305" s="65"/>
      <c r="T305" s="65"/>
      <c r="U305" s="65"/>
      <c r="V305" s="65"/>
      <c r="W305" s="65"/>
      <c r="X305" s="65"/>
      <c r="Y305" s="65"/>
      <c r="Z305" s="65"/>
    </row>
    <row r="306" customFormat="false" ht="15.75" hidden="false" customHeight="true" outlineLevel="0" collapsed="false">
      <c r="A306" s="65"/>
      <c r="B306" s="65"/>
      <c r="C306" s="65"/>
      <c r="D306" s="65"/>
      <c r="E306" s="65"/>
      <c r="F306" s="65"/>
      <c r="G306" s="65"/>
      <c r="H306" s="65"/>
      <c r="I306" s="65"/>
      <c r="J306" s="65"/>
      <c r="K306" s="65"/>
      <c r="L306" s="65"/>
      <c r="M306" s="65"/>
      <c r="N306" s="65"/>
      <c r="O306" s="65"/>
      <c r="P306" s="65"/>
      <c r="Q306" s="65"/>
      <c r="R306" s="65"/>
      <c r="S306" s="65"/>
      <c r="T306" s="65"/>
      <c r="U306" s="65"/>
      <c r="V306" s="65"/>
      <c r="W306" s="65"/>
      <c r="X306" s="65"/>
      <c r="Y306" s="65"/>
      <c r="Z306" s="65"/>
    </row>
    <row r="307" customFormat="false" ht="15.75" hidden="false" customHeight="true" outlineLevel="0" collapsed="false">
      <c r="A307" s="65"/>
      <c r="B307" s="65"/>
      <c r="C307" s="65"/>
      <c r="D307" s="65"/>
      <c r="E307" s="65"/>
      <c r="F307" s="65"/>
      <c r="G307" s="65"/>
      <c r="H307" s="65"/>
      <c r="I307" s="65"/>
      <c r="J307" s="65"/>
      <c r="K307" s="65"/>
      <c r="L307" s="65"/>
      <c r="M307" s="65"/>
      <c r="N307" s="65"/>
      <c r="O307" s="65"/>
      <c r="P307" s="65"/>
      <c r="Q307" s="65"/>
      <c r="R307" s="65"/>
      <c r="S307" s="65"/>
      <c r="T307" s="65"/>
      <c r="U307" s="65"/>
      <c r="V307" s="65"/>
      <c r="W307" s="65"/>
      <c r="X307" s="65"/>
      <c r="Y307" s="65"/>
      <c r="Z307" s="65"/>
    </row>
    <row r="308" customFormat="false" ht="15.75" hidden="false" customHeight="true" outlineLevel="0" collapsed="false">
      <c r="A308" s="65"/>
      <c r="B308" s="65"/>
      <c r="C308" s="65"/>
      <c r="D308" s="65"/>
      <c r="E308" s="65"/>
      <c r="F308" s="65"/>
      <c r="G308" s="65"/>
      <c r="H308" s="65"/>
      <c r="I308" s="65"/>
      <c r="J308" s="65"/>
      <c r="K308" s="65"/>
      <c r="L308" s="65"/>
      <c r="M308" s="65"/>
      <c r="N308" s="65"/>
      <c r="O308" s="65"/>
      <c r="P308" s="65"/>
      <c r="Q308" s="65"/>
      <c r="R308" s="65"/>
      <c r="S308" s="65"/>
      <c r="T308" s="65"/>
      <c r="U308" s="65"/>
      <c r="V308" s="65"/>
      <c r="W308" s="65"/>
      <c r="X308" s="65"/>
      <c r="Y308" s="65"/>
      <c r="Z308" s="65"/>
    </row>
    <row r="309" customFormat="false" ht="15.75" hidden="false" customHeight="true" outlineLevel="0" collapsed="false">
      <c r="A309" s="65"/>
      <c r="B309" s="65"/>
      <c r="C309" s="65"/>
      <c r="D309" s="65"/>
      <c r="E309" s="65"/>
      <c r="F309" s="65"/>
      <c r="G309" s="65"/>
      <c r="H309" s="65"/>
      <c r="I309" s="65"/>
      <c r="J309" s="65"/>
      <c r="K309" s="65"/>
      <c r="L309" s="65"/>
      <c r="M309" s="65"/>
      <c r="N309" s="65"/>
      <c r="O309" s="65"/>
      <c r="P309" s="65"/>
      <c r="Q309" s="65"/>
      <c r="R309" s="65"/>
      <c r="S309" s="65"/>
      <c r="T309" s="65"/>
      <c r="U309" s="65"/>
      <c r="V309" s="65"/>
      <c r="W309" s="65"/>
      <c r="X309" s="65"/>
      <c r="Y309" s="65"/>
      <c r="Z309" s="65"/>
    </row>
    <row r="310" customFormat="false" ht="15.75" hidden="false" customHeight="true" outlineLevel="0" collapsed="false">
      <c r="A310" s="65"/>
      <c r="B310" s="65"/>
      <c r="C310" s="65"/>
      <c r="D310" s="65"/>
      <c r="E310" s="65"/>
      <c r="F310" s="65"/>
      <c r="G310" s="65"/>
      <c r="H310" s="65"/>
      <c r="I310" s="65"/>
      <c r="J310" s="65"/>
      <c r="K310" s="65"/>
      <c r="L310" s="65"/>
      <c r="M310" s="65"/>
      <c r="N310" s="65"/>
      <c r="O310" s="65"/>
      <c r="P310" s="65"/>
      <c r="Q310" s="65"/>
      <c r="R310" s="65"/>
      <c r="S310" s="65"/>
      <c r="T310" s="65"/>
      <c r="U310" s="65"/>
      <c r="V310" s="65"/>
      <c r="W310" s="65"/>
      <c r="X310" s="65"/>
      <c r="Y310" s="65"/>
      <c r="Z310" s="65"/>
    </row>
    <row r="311" customFormat="false" ht="15.75" hidden="false" customHeight="true" outlineLevel="0" collapsed="false">
      <c r="A311" s="65"/>
      <c r="B311" s="65"/>
      <c r="C311" s="65"/>
      <c r="D311" s="65"/>
      <c r="E311" s="65"/>
      <c r="F311" s="65"/>
      <c r="G311" s="65"/>
      <c r="H311" s="65"/>
      <c r="I311" s="65"/>
      <c r="J311" s="65"/>
      <c r="K311" s="65"/>
      <c r="L311" s="65"/>
      <c r="M311" s="65"/>
      <c r="N311" s="65"/>
      <c r="O311" s="65"/>
      <c r="P311" s="65"/>
      <c r="Q311" s="65"/>
      <c r="R311" s="65"/>
      <c r="S311" s="65"/>
      <c r="T311" s="65"/>
      <c r="U311" s="65"/>
      <c r="V311" s="65"/>
      <c r="W311" s="65"/>
      <c r="X311" s="65"/>
      <c r="Y311" s="65"/>
      <c r="Z311" s="65"/>
    </row>
    <row r="312" customFormat="false" ht="15.75" hidden="false" customHeight="true" outlineLevel="0" collapsed="false">
      <c r="A312" s="65"/>
      <c r="B312" s="65"/>
      <c r="C312" s="65"/>
      <c r="D312" s="65"/>
      <c r="E312" s="65"/>
      <c r="F312" s="65"/>
      <c r="G312" s="65"/>
      <c r="H312" s="65"/>
      <c r="I312" s="65"/>
      <c r="J312" s="65"/>
      <c r="K312" s="65"/>
      <c r="L312" s="65"/>
      <c r="M312" s="65"/>
      <c r="N312" s="65"/>
      <c r="O312" s="65"/>
      <c r="P312" s="65"/>
      <c r="Q312" s="65"/>
      <c r="R312" s="65"/>
      <c r="S312" s="65"/>
      <c r="T312" s="65"/>
      <c r="U312" s="65"/>
      <c r="V312" s="65"/>
      <c r="W312" s="65"/>
      <c r="X312" s="65"/>
      <c r="Y312" s="65"/>
      <c r="Z312" s="65"/>
    </row>
    <row r="313" customFormat="false" ht="15.75" hidden="false" customHeight="true" outlineLevel="0" collapsed="false">
      <c r="A313" s="65"/>
      <c r="B313" s="65"/>
      <c r="C313" s="65"/>
      <c r="D313" s="65"/>
      <c r="E313" s="65"/>
      <c r="F313" s="65"/>
      <c r="G313" s="65"/>
      <c r="H313" s="65"/>
      <c r="I313" s="65"/>
      <c r="J313" s="65"/>
      <c r="K313" s="65"/>
      <c r="L313" s="65"/>
      <c r="M313" s="65"/>
      <c r="N313" s="65"/>
      <c r="O313" s="65"/>
      <c r="P313" s="65"/>
      <c r="Q313" s="65"/>
      <c r="R313" s="65"/>
      <c r="S313" s="65"/>
      <c r="T313" s="65"/>
      <c r="U313" s="65"/>
      <c r="V313" s="65"/>
      <c r="W313" s="65"/>
      <c r="X313" s="65"/>
      <c r="Y313" s="65"/>
      <c r="Z313" s="65"/>
    </row>
    <row r="314" customFormat="false" ht="15.75" hidden="false" customHeight="true" outlineLevel="0" collapsed="false">
      <c r="A314" s="65"/>
      <c r="B314" s="65"/>
      <c r="C314" s="65"/>
      <c r="D314" s="65"/>
      <c r="E314" s="65"/>
      <c r="F314" s="65"/>
      <c r="G314" s="65"/>
      <c r="H314" s="65"/>
      <c r="I314" s="65"/>
      <c r="J314" s="65"/>
      <c r="K314" s="65"/>
      <c r="L314" s="65"/>
      <c r="M314" s="65"/>
      <c r="N314" s="65"/>
      <c r="O314" s="65"/>
      <c r="P314" s="65"/>
      <c r="Q314" s="65"/>
      <c r="R314" s="65"/>
      <c r="S314" s="65"/>
      <c r="T314" s="65"/>
      <c r="U314" s="65"/>
      <c r="V314" s="65"/>
      <c r="W314" s="65"/>
      <c r="X314" s="65"/>
      <c r="Y314" s="65"/>
      <c r="Z314" s="65"/>
    </row>
    <row r="315" customFormat="false" ht="15.75" hidden="false" customHeight="true" outlineLevel="0" collapsed="false">
      <c r="A315" s="65"/>
      <c r="B315" s="65"/>
      <c r="C315" s="65"/>
      <c r="D315" s="65"/>
      <c r="E315" s="65"/>
      <c r="F315" s="65"/>
      <c r="G315" s="65"/>
      <c r="H315" s="65"/>
      <c r="I315" s="65"/>
      <c r="J315" s="65"/>
      <c r="K315" s="65"/>
      <c r="L315" s="65"/>
      <c r="M315" s="65"/>
      <c r="N315" s="65"/>
      <c r="O315" s="65"/>
      <c r="P315" s="65"/>
      <c r="Q315" s="65"/>
      <c r="R315" s="65"/>
      <c r="S315" s="65"/>
      <c r="T315" s="65"/>
      <c r="U315" s="65"/>
      <c r="V315" s="65"/>
      <c r="W315" s="65"/>
      <c r="X315" s="65"/>
      <c r="Y315" s="65"/>
      <c r="Z315" s="65"/>
    </row>
    <row r="316" customFormat="false" ht="15.75" hidden="false" customHeight="true" outlineLevel="0" collapsed="false">
      <c r="A316" s="65"/>
      <c r="B316" s="65"/>
      <c r="C316" s="65"/>
      <c r="D316" s="65"/>
      <c r="E316" s="65"/>
      <c r="F316" s="65"/>
      <c r="G316" s="65"/>
      <c r="H316" s="65"/>
      <c r="I316" s="65"/>
      <c r="J316" s="65"/>
      <c r="K316" s="65"/>
      <c r="L316" s="65"/>
      <c r="M316" s="65"/>
      <c r="N316" s="65"/>
      <c r="O316" s="65"/>
      <c r="P316" s="65"/>
      <c r="Q316" s="65"/>
      <c r="R316" s="65"/>
      <c r="S316" s="65"/>
      <c r="T316" s="65"/>
      <c r="U316" s="65"/>
      <c r="V316" s="65"/>
      <c r="W316" s="65"/>
      <c r="X316" s="65"/>
      <c r="Y316" s="65"/>
      <c r="Z316" s="65"/>
    </row>
    <row r="317" customFormat="false" ht="15.75" hidden="false" customHeight="true" outlineLevel="0" collapsed="false">
      <c r="A317" s="65"/>
      <c r="B317" s="65"/>
      <c r="C317" s="65"/>
      <c r="D317" s="65"/>
      <c r="E317" s="65"/>
      <c r="F317" s="65"/>
      <c r="G317" s="65"/>
      <c r="H317" s="65"/>
      <c r="I317" s="65"/>
      <c r="J317" s="65"/>
      <c r="K317" s="65"/>
      <c r="L317" s="65"/>
      <c r="M317" s="65"/>
      <c r="N317" s="65"/>
      <c r="O317" s="65"/>
      <c r="P317" s="65"/>
      <c r="Q317" s="65"/>
      <c r="R317" s="65"/>
      <c r="S317" s="65"/>
      <c r="T317" s="65"/>
      <c r="U317" s="65"/>
      <c r="V317" s="65"/>
      <c r="W317" s="65"/>
      <c r="X317" s="65"/>
      <c r="Y317" s="65"/>
      <c r="Z317" s="65"/>
    </row>
    <row r="318" customFormat="false" ht="15.75" hidden="false" customHeight="true" outlineLevel="0" collapsed="false">
      <c r="A318" s="65"/>
      <c r="B318" s="65"/>
      <c r="C318" s="65"/>
      <c r="D318" s="65"/>
      <c r="E318" s="65"/>
      <c r="F318" s="65"/>
      <c r="G318" s="65"/>
      <c r="H318" s="65"/>
      <c r="I318" s="65"/>
      <c r="J318" s="65"/>
      <c r="K318" s="65"/>
      <c r="L318" s="65"/>
      <c r="M318" s="65"/>
      <c r="N318" s="65"/>
      <c r="O318" s="65"/>
      <c r="P318" s="65"/>
      <c r="Q318" s="65"/>
      <c r="R318" s="65"/>
      <c r="S318" s="65"/>
      <c r="T318" s="65"/>
      <c r="U318" s="65"/>
      <c r="V318" s="65"/>
      <c r="W318" s="65"/>
      <c r="X318" s="65"/>
      <c r="Y318" s="65"/>
      <c r="Z318" s="65"/>
    </row>
    <row r="319" customFormat="false" ht="15.75" hidden="false" customHeight="true" outlineLevel="0" collapsed="false">
      <c r="A319" s="65"/>
      <c r="B319" s="65"/>
      <c r="C319" s="65"/>
      <c r="D319" s="65"/>
      <c r="E319" s="65"/>
      <c r="F319" s="65"/>
      <c r="G319" s="65"/>
      <c r="H319" s="65"/>
      <c r="I319" s="65"/>
      <c r="J319" s="65"/>
      <c r="K319" s="65"/>
      <c r="L319" s="65"/>
      <c r="M319" s="65"/>
      <c r="N319" s="65"/>
      <c r="O319" s="65"/>
      <c r="P319" s="65"/>
      <c r="Q319" s="65"/>
      <c r="R319" s="65"/>
      <c r="S319" s="65"/>
      <c r="T319" s="65"/>
      <c r="U319" s="65"/>
      <c r="V319" s="65"/>
      <c r="W319" s="65"/>
      <c r="X319" s="65"/>
      <c r="Y319" s="65"/>
      <c r="Z319" s="65"/>
    </row>
    <row r="320" customFormat="false" ht="15.75" hidden="false" customHeight="true" outlineLevel="0" collapsed="false">
      <c r="A320" s="65"/>
      <c r="B320" s="65"/>
      <c r="C320" s="65"/>
      <c r="D320" s="65"/>
      <c r="E320" s="65"/>
      <c r="F320" s="65"/>
      <c r="G320" s="65"/>
      <c r="H320" s="65"/>
      <c r="I320" s="65"/>
      <c r="J320" s="65"/>
      <c r="K320" s="65"/>
      <c r="L320" s="65"/>
      <c r="M320" s="65"/>
      <c r="N320" s="65"/>
      <c r="O320" s="65"/>
      <c r="P320" s="65"/>
      <c r="Q320" s="65"/>
      <c r="R320" s="65"/>
      <c r="S320" s="65"/>
      <c r="T320" s="65"/>
      <c r="U320" s="65"/>
      <c r="V320" s="65"/>
      <c r="W320" s="65"/>
      <c r="X320" s="65"/>
      <c r="Y320" s="65"/>
      <c r="Z320" s="65"/>
    </row>
    <row r="321" customFormat="false" ht="15.75" hidden="false" customHeight="true" outlineLevel="0" collapsed="false">
      <c r="A321" s="65"/>
      <c r="B321" s="65"/>
      <c r="C321" s="65"/>
      <c r="D321" s="65"/>
      <c r="E321" s="65"/>
      <c r="F321" s="65"/>
      <c r="G321" s="65"/>
      <c r="H321" s="65"/>
      <c r="I321" s="65"/>
      <c r="J321" s="65"/>
      <c r="K321" s="65"/>
      <c r="L321" s="65"/>
      <c r="M321" s="65"/>
      <c r="N321" s="65"/>
      <c r="O321" s="65"/>
      <c r="P321" s="65"/>
      <c r="Q321" s="65"/>
      <c r="R321" s="65"/>
      <c r="S321" s="65"/>
      <c r="T321" s="65"/>
      <c r="U321" s="65"/>
      <c r="V321" s="65"/>
      <c r="W321" s="65"/>
      <c r="X321" s="65"/>
      <c r="Y321" s="65"/>
      <c r="Z321" s="65"/>
    </row>
    <row r="322" customFormat="false" ht="15.75" hidden="false" customHeight="true" outlineLevel="0" collapsed="false">
      <c r="A322" s="65"/>
      <c r="B322" s="65"/>
      <c r="C322" s="65"/>
      <c r="D322" s="65"/>
      <c r="E322" s="65"/>
      <c r="F322" s="65"/>
      <c r="G322" s="65"/>
      <c r="H322" s="65"/>
      <c r="I322" s="65"/>
      <c r="J322" s="65"/>
      <c r="K322" s="65"/>
      <c r="L322" s="65"/>
      <c r="M322" s="65"/>
      <c r="N322" s="65"/>
      <c r="O322" s="65"/>
      <c r="P322" s="65"/>
      <c r="Q322" s="65"/>
      <c r="R322" s="65"/>
      <c r="S322" s="65"/>
      <c r="T322" s="65"/>
      <c r="U322" s="65"/>
      <c r="V322" s="65"/>
      <c r="W322" s="65"/>
      <c r="X322" s="65"/>
      <c r="Y322" s="65"/>
      <c r="Z322" s="65"/>
    </row>
    <row r="323" customFormat="false" ht="15.75" hidden="false" customHeight="true" outlineLevel="0" collapsed="false">
      <c r="A323" s="65"/>
      <c r="B323" s="65"/>
      <c r="C323" s="65"/>
      <c r="D323" s="65"/>
      <c r="E323" s="65"/>
      <c r="F323" s="65"/>
      <c r="G323" s="65"/>
      <c r="H323" s="65"/>
      <c r="I323" s="65"/>
      <c r="J323" s="65"/>
      <c r="K323" s="65"/>
      <c r="L323" s="65"/>
      <c r="M323" s="65"/>
      <c r="N323" s="65"/>
      <c r="O323" s="65"/>
      <c r="P323" s="65"/>
      <c r="Q323" s="65"/>
      <c r="R323" s="65"/>
      <c r="S323" s="65"/>
      <c r="T323" s="65"/>
      <c r="U323" s="65"/>
      <c r="V323" s="65"/>
      <c r="W323" s="65"/>
      <c r="X323" s="65"/>
      <c r="Y323" s="65"/>
      <c r="Z323" s="65"/>
    </row>
    <row r="324" customFormat="false" ht="15.75" hidden="false" customHeight="true" outlineLevel="0" collapsed="false">
      <c r="A324" s="65"/>
      <c r="B324" s="65"/>
      <c r="C324" s="65"/>
      <c r="D324" s="65"/>
      <c r="E324" s="65"/>
      <c r="F324" s="65"/>
      <c r="G324" s="65"/>
      <c r="H324" s="65"/>
      <c r="I324" s="65"/>
      <c r="J324" s="65"/>
      <c r="K324" s="65"/>
      <c r="L324" s="65"/>
      <c r="M324" s="65"/>
      <c r="N324" s="65"/>
      <c r="O324" s="65"/>
      <c r="P324" s="65"/>
      <c r="Q324" s="65"/>
      <c r="R324" s="65"/>
      <c r="S324" s="65"/>
      <c r="T324" s="65"/>
      <c r="U324" s="65"/>
      <c r="V324" s="65"/>
      <c r="W324" s="65"/>
      <c r="X324" s="65"/>
      <c r="Y324" s="65"/>
      <c r="Z324" s="65"/>
    </row>
    <row r="325" customFormat="false" ht="15.75" hidden="false" customHeight="true" outlineLevel="0" collapsed="false">
      <c r="A325" s="65"/>
      <c r="B325" s="65"/>
      <c r="C325" s="65"/>
      <c r="D325" s="65"/>
      <c r="E325" s="65"/>
      <c r="F325" s="65"/>
      <c r="G325" s="65"/>
      <c r="H325" s="65"/>
      <c r="I325" s="65"/>
      <c r="J325" s="65"/>
      <c r="K325" s="65"/>
      <c r="L325" s="65"/>
      <c r="M325" s="65"/>
      <c r="N325" s="65"/>
      <c r="O325" s="65"/>
      <c r="P325" s="65"/>
      <c r="Q325" s="65"/>
      <c r="R325" s="65"/>
      <c r="S325" s="65"/>
      <c r="T325" s="65"/>
      <c r="U325" s="65"/>
      <c r="V325" s="65"/>
      <c r="W325" s="65"/>
      <c r="X325" s="65"/>
      <c r="Y325" s="65"/>
      <c r="Z325" s="65"/>
    </row>
    <row r="326" customFormat="false" ht="15.75" hidden="false" customHeight="true" outlineLevel="0" collapsed="false">
      <c r="A326" s="65"/>
      <c r="B326" s="65"/>
      <c r="C326" s="65"/>
      <c r="D326" s="65"/>
      <c r="E326" s="65"/>
      <c r="F326" s="65"/>
      <c r="G326" s="65"/>
      <c r="H326" s="65"/>
      <c r="I326" s="65"/>
      <c r="J326" s="65"/>
      <c r="K326" s="65"/>
      <c r="L326" s="65"/>
      <c r="M326" s="65"/>
      <c r="N326" s="65"/>
      <c r="O326" s="65"/>
      <c r="P326" s="65"/>
      <c r="Q326" s="65"/>
      <c r="R326" s="65"/>
      <c r="S326" s="65"/>
      <c r="T326" s="65"/>
      <c r="U326" s="65"/>
      <c r="V326" s="65"/>
      <c r="W326" s="65"/>
      <c r="X326" s="65"/>
      <c r="Y326" s="65"/>
      <c r="Z326" s="65"/>
    </row>
    <row r="327" customFormat="false" ht="15.75" hidden="false" customHeight="true" outlineLevel="0" collapsed="false">
      <c r="A327" s="65"/>
      <c r="B327" s="65"/>
      <c r="C327" s="65"/>
      <c r="D327" s="65"/>
      <c r="E327" s="65"/>
      <c r="F327" s="65"/>
      <c r="G327" s="65"/>
      <c r="H327" s="65"/>
      <c r="I327" s="65"/>
      <c r="J327" s="65"/>
      <c r="K327" s="65"/>
      <c r="L327" s="65"/>
      <c r="M327" s="65"/>
      <c r="N327" s="65"/>
      <c r="O327" s="65"/>
      <c r="P327" s="65"/>
      <c r="Q327" s="65"/>
      <c r="R327" s="65"/>
      <c r="S327" s="65"/>
      <c r="T327" s="65"/>
      <c r="U327" s="65"/>
      <c r="V327" s="65"/>
      <c r="W327" s="65"/>
      <c r="X327" s="65"/>
      <c r="Y327" s="65"/>
      <c r="Z327" s="65"/>
    </row>
    <row r="328" customFormat="false" ht="15.75" hidden="false" customHeight="true" outlineLevel="0" collapsed="false">
      <c r="A328" s="65"/>
      <c r="B328" s="65"/>
      <c r="C328" s="65"/>
      <c r="D328" s="65"/>
      <c r="E328" s="65"/>
      <c r="F328" s="65"/>
      <c r="G328" s="65"/>
      <c r="H328" s="65"/>
      <c r="I328" s="65"/>
      <c r="J328" s="65"/>
      <c r="K328" s="65"/>
      <c r="L328" s="65"/>
      <c r="M328" s="65"/>
      <c r="N328" s="65"/>
      <c r="O328" s="65"/>
      <c r="P328" s="65"/>
      <c r="Q328" s="65"/>
      <c r="R328" s="65"/>
      <c r="S328" s="65"/>
      <c r="T328" s="65"/>
      <c r="U328" s="65"/>
      <c r="V328" s="65"/>
      <c r="W328" s="65"/>
      <c r="X328" s="65"/>
      <c r="Y328" s="65"/>
      <c r="Z328" s="65"/>
    </row>
    <row r="329" customFormat="false" ht="15.75" hidden="false" customHeight="true" outlineLevel="0" collapsed="false">
      <c r="A329" s="65"/>
      <c r="B329" s="65"/>
      <c r="C329" s="65"/>
      <c r="D329" s="65"/>
      <c r="E329" s="65"/>
      <c r="F329" s="65"/>
      <c r="G329" s="65"/>
      <c r="H329" s="65"/>
      <c r="I329" s="65"/>
      <c r="J329" s="65"/>
      <c r="K329" s="65"/>
      <c r="L329" s="65"/>
      <c r="M329" s="65"/>
      <c r="N329" s="65"/>
      <c r="O329" s="65"/>
      <c r="P329" s="65"/>
      <c r="Q329" s="65"/>
      <c r="R329" s="65"/>
      <c r="S329" s="65"/>
      <c r="T329" s="65"/>
      <c r="U329" s="65"/>
      <c r="V329" s="65"/>
      <c r="W329" s="65"/>
      <c r="X329" s="65"/>
      <c r="Y329" s="65"/>
      <c r="Z329" s="65"/>
    </row>
    <row r="330" customFormat="false" ht="15.75" hidden="false" customHeight="true" outlineLevel="0" collapsed="false">
      <c r="A330" s="65"/>
      <c r="B330" s="65"/>
      <c r="C330" s="65"/>
      <c r="D330" s="65"/>
      <c r="E330" s="65"/>
      <c r="F330" s="65"/>
      <c r="G330" s="65"/>
      <c r="H330" s="65"/>
      <c r="I330" s="65"/>
      <c r="J330" s="65"/>
      <c r="K330" s="65"/>
      <c r="L330" s="65"/>
      <c r="M330" s="65"/>
      <c r="N330" s="65"/>
      <c r="O330" s="65"/>
      <c r="P330" s="65"/>
      <c r="Q330" s="65"/>
      <c r="R330" s="65"/>
      <c r="S330" s="65"/>
      <c r="T330" s="65"/>
      <c r="U330" s="65"/>
      <c r="V330" s="65"/>
      <c r="W330" s="65"/>
      <c r="X330" s="65"/>
      <c r="Y330" s="65"/>
      <c r="Z330" s="65"/>
    </row>
    <row r="331" customFormat="false" ht="15.75" hidden="false" customHeight="true" outlineLevel="0" collapsed="false">
      <c r="A331" s="65"/>
      <c r="B331" s="65"/>
      <c r="C331" s="65"/>
      <c r="D331" s="65"/>
      <c r="E331" s="65"/>
      <c r="F331" s="65"/>
      <c r="G331" s="65"/>
      <c r="H331" s="65"/>
      <c r="I331" s="65"/>
      <c r="J331" s="65"/>
      <c r="K331" s="65"/>
      <c r="L331" s="65"/>
      <c r="M331" s="65"/>
      <c r="N331" s="65"/>
      <c r="O331" s="65"/>
      <c r="P331" s="65"/>
      <c r="Q331" s="65"/>
      <c r="R331" s="65"/>
      <c r="S331" s="65"/>
      <c r="T331" s="65"/>
      <c r="U331" s="65"/>
      <c r="V331" s="65"/>
      <c r="W331" s="65"/>
      <c r="X331" s="65"/>
      <c r="Y331" s="65"/>
      <c r="Z331" s="65"/>
    </row>
    <row r="332" customFormat="false" ht="15.75" hidden="false" customHeight="true" outlineLevel="0" collapsed="false">
      <c r="A332" s="65"/>
      <c r="B332" s="65"/>
      <c r="C332" s="65"/>
      <c r="D332" s="65"/>
      <c r="E332" s="65"/>
      <c r="F332" s="65"/>
      <c r="G332" s="65"/>
      <c r="H332" s="65"/>
      <c r="I332" s="65"/>
      <c r="J332" s="65"/>
      <c r="K332" s="65"/>
      <c r="L332" s="65"/>
      <c r="M332" s="65"/>
      <c r="N332" s="65"/>
      <c r="O332" s="65"/>
      <c r="P332" s="65"/>
      <c r="Q332" s="65"/>
      <c r="R332" s="65"/>
      <c r="S332" s="65"/>
      <c r="T332" s="65"/>
      <c r="U332" s="65"/>
      <c r="V332" s="65"/>
      <c r="W332" s="65"/>
      <c r="X332" s="65"/>
      <c r="Y332" s="65"/>
      <c r="Z332" s="65"/>
    </row>
    <row r="333" customFormat="false" ht="15.75" hidden="false" customHeight="true" outlineLevel="0" collapsed="false">
      <c r="A333" s="65"/>
      <c r="B333" s="65"/>
      <c r="C333" s="65"/>
      <c r="D333" s="65"/>
      <c r="E333" s="65"/>
      <c r="F333" s="65"/>
      <c r="G333" s="65"/>
      <c r="H333" s="65"/>
      <c r="I333" s="65"/>
      <c r="J333" s="65"/>
      <c r="K333" s="65"/>
      <c r="L333" s="65"/>
      <c r="M333" s="65"/>
      <c r="N333" s="65"/>
      <c r="O333" s="65"/>
      <c r="P333" s="65"/>
      <c r="Q333" s="65"/>
      <c r="R333" s="65"/>
      <c r="S333" s="65"/>
      <c r="T333" s="65"/>
      <c r="U333" s="65"/>
      <c r="V333" s="65"/>
      <c r="W333" s="65"/>
      <c r="X333" s="65"/>
      <c r="Y333" s="65"/>
      <c r="Z333" s="65"/>
    </row>
    <row r="334" customFormat="false" ht="15.75" hidden="false" customHeight="true" outlineLevel="0" collapsed="false">
      <c r="A334" s="65"/>
      <c r="B334" s="65"/>
      <c r="C334" s="65"/>
      <c r="D334" s="65"/>
      <c r="E334" s="65"/>
      <c r="F334" s="65"/>
      <c r="G334" s="65"/>
      <c r="H334" s="65"/>
      <c r="I334" s="65"/>
      <c r="J334" s="65"/>
      <c r="K334" s="65"/>
      <c r="L334" s="65"/>
      <c r="M334" s="65"/>
      <c r="N334" s="65"/>
      <c r="O334" s="65"/>
      <c r="P334" s="65"/>
      <c r="Q334" s="65"/>
      <c r="R334" s="65"/>
      <c r="S334" s="65"/>
      <c r="T334" s="65"/>
      <c r="U334" s="65"/>
      <c r="V334" s="65"/>
      <c r="W334" s="65"/>
      <c r="X334" s="65"/>
      <c r="Y334" s="65"/>
      <c r="Z334" s="65"/>
    </row>
    <row r="335" customFormat="false" ht="15.75" hidden="false" customHeight="true" outlineLevel="0" collapsed="false">
      <c r="A335" s="65"/>
      <c r="B335" s="65"/>
      <c r="C335" s="65"/>
      <c r="D335" s="65"/>
      <c r="E335" s="65"/>
      <c r="F335" s="65"/>
      <c r="G335" s="65"/>
      <c r="H335" s="65"/>
      <c r="I335" s="65"/>
      <c r="J335" s="65"/>
      <c r="K335" s="65"/>
      <c r="L335" s="65"/>
      <c r="M335" s="65"/>
      <c r="N335" s="65"/>
      <c r="O335" s="65"/>
      <c r="P335" s="65"/>
      <c r="Q335" s="65"/>
      <c r="R335" s="65"/>
      <c r="S335" s="65"/>
      <c r="T335" s="65"/>
      <c r="U335" s="65"/>
      <c r="V335" s="65"/>
      <c r="W335" s="65"/>
      <c r="X335" s="65"/>
      <c r="Y335" s="65"/>
      <c r="Z335" s="65"/>
    </row>
    <row r="336" customFormat="false" ht="15.75" hidden="false" customHeight="true" outlineLevel="0" collapsed="false">
      <c r="A336" s="65"/>
      <c r="B336" s="65"/>
      <c r="C336" s="65"/>
      <c r="D336" s="65"/>
      <c r="E336" s="65"/>
      <c r="F336" s="65"/>
      <c r="G336" s="65"/>
      <c r="H336" s="65"/>
      <c r="I336" s="65"/>
      <c r="J336" s="65"/>
      <c r="K336" s="65"/>
      <c r="L336" s="65"/>
      <c r="M336" s="65"/>
      <c r="N336" s="65"/>
      <c r="O336" s="65"/>
      <c r="P336" s="65"/>
      <c r="Q336" s="65"/>
      <c r="R336" s="65"/>
      <c r="S336" s="65"/>
      <c r="T336" s="65"/>
      <c r="U336" s="65"/>
      <c r="V336" s="65"/>
      <c r="W336" s="65"/>
      <c r="X336" s="65"/>
      <c r="Y336" s="65"/>
      <c r="Z336" s="65"/>
    </row>
    <row r="337" customFormat="false" ht="15.75" hidden="false" customHeight="true" outlineLevel="0" collapsed="false">
      <c r="A337" s="65"/>
      <c r="B337" s="65"/>
      <c r="C337" s="65"/>
      <c r="D337" s="65"/>
      <c r="E337" s="65"/>
      <c r="F337" s="65"/>
      <c r="G337" s="65"/>
      <c r="H337" s="65"/>
      <c r="I337" s="65"/>
      <c r="J337" s="65"/>
      <c r="K337" s="65"/>
      <c r="L337" s="65"/>
      <c r="M337" s="65"/>
      <c r="N337" s="65"/>
      <c r="O337" s="65"/>
      <c r="P337" s="65"/>
      <c r="Q337" s="65"/>
      <c r="R337" s="65"/>
      <c r="S337" s="65"/>
      <c r="T337" s="65"/>
      <c r="U337" s="65"/>
      <c r="V337" s="65"/>
      <c r="W337" s="65"/>
      <c r="X337" s="65"/>
      <c r="Y337" s="65"/>
      <c r="Z337" s="65"/>
    </row>
    <row r="338" customFormat="false" ht="15.75" hidden="false" customHeight="true" outlineLevel="0" collapsed="false">
      <c r="A338" s="65"/>
      <c r="B338" s="65"/>
      <c r="C338" s="65"/>
      <c r="D338" s="65"/>
      <c r="E338" s="65"/>
      <c r="F338" s="65"/>
      <c r="G338" s="65"/>
      <c r="H338" s="65"/>
      <c r="I338" s="65"/>
      <c r="J338" s="65"/>
      <c r="K338" s="65"/>
      <c r="L338" s="65"/>
      <c r="M338" s="65"/>
      <c r="N338" s="65"/>
      <c r="O338" s="65"/>
      <c r="P338" s="65"/>
      <c r="Q338" s="65"/>
      <c r="R338" s="65"/>
      <c r="S338" s="65"/>
      <c r="T338" s="65"/>
      <c r="U338" s="65"/>
      <c r="V338" s="65"/>
      <c r="W338" s="65"/>
      <c r="X338" s="65"/>
      <c r="Y338" s="65"/>
      <c r="Z338" s="65"/>
    </row>
    <row r="339" customFormat="false" ht="15.75" hidden="false" customHeight="true" outlineLevel="0" collapsed="false">
      <c r="A339" s="65"/>
      <c r="B339" s="65"/>
      <c r="C339" s="65"/>
      <c r="D339" s="65"/>
      <c r="E339" s="65"/>
      <c r="F339" s="65"/>
      <c r="G339" s="65"/>
      <c r="H339" s="65"/>
      <c r="I339" s="65"/>
      <c r="J339" s="65"/>
      <c r="K339" s="65"/>
      <c r="L339" s="65"/>
      <c r="M339" s="65"/>
      <c r="N339" s="65"/>
      <c r="O339" s="65"/>
      <c r="P339" s="65"/>
      <c r="Q339" s="65"/>
      <c r="R339" s="65"/>
      <c r="S339" s="65"/>
      <c r="T339" s="65"/>
      <c r="U339" s="65"/>
      <c r="V339" s="65"/>
      <c r="W339" s="65"/>
      <c r="X339" s="65"/>
      <c r="Y339" s="65"/>
      <c r="Z339" s="65"/>
    </row>
    <row r="340" customFormat="false" ht="15.75" hidden="false" customHeight="true" outlineLevel="0" collapsed="false">
      <c r="A340" s="65"/>
      <c r="B340" s="65"/>
      <c r="C340" s="65"/>
      <c r="D340" s="65"/>
      <c r="E340" s="65"/>
      <c r="F340" s="65"/>
      <c r="G340" s="65"/>
      <c r="H340" s="65"/>
      <c r="I340" s="65"/>
      <c r="J340" s="65"/>
      <c r="K340" s="65"/>
      <c r="L340" s="65"/>
      <c r="M340" s="65"/>
      <c r="N340" s="65"/>
      <c r="O340" s="65"/>
      <c r="P340" s="65"/>
      <c r="Q340" s="65"/>
      <c r="R340" s="65"/>
      <c r="S340" s="65"/>
      <c r="T340" s="65"/>
      <c r="U340" s="65"/>
      <c r="V340" s="65"/>
      <c r="W340" s="65"/>
      <c r="X340" s="65"/>
      <c r="Y340" s="65"/>
      <c r="Z340" s="65"/>
    </row>
    <row r="341" customFormat="false" ht="15.75" hidden="false" customHeight="true" outlineLevel="0" collapsed="false">
      <c r="A341" s="65"/>
      <c r="B341" s="65"/>
      <c r="C341" s="65"/>
      <c r="D341" s="65"/>
      <c r="E341" s="65"/>
      <c r="F341" s="65"/>
      <c r="G341" s="65"/>
      <c r="H341" s="65"/>
      <c r="I341" s="65"/>
      <c r="J341" s="65"/>
      <c r="K341" s="65"/>
      <c r="L341" s="65"/>
      <c r="M341" s="65"/>
      <c r="N341" s="65"/>
      <c r="O341" s="65"/>
      <c r="P341" s="65"/>
      <c r="Q341" s="65"/>
      <c r="R341" s="65"/>
      <c r="S341" s="65"/>
      <c r="T341" s="65"/>
      <c r="U341" s="65"/>
      <c r="V341" s="65"/>
      <c r="W341" s="65"/>
      <c r="X341" s="65"/>
      <c r="Y341" s="65"/>
      <c r="Z341" s="65"/>
    </row>
    <row r="342" customFormat="false" ht="15.75" hidden="false" customHeight="true" outlineLevel="0" collapsed="false">
      <c r="A342" s="65"/>
      <c r="B342" s="65"/>
      <c r="C342" s="65"/>
      <c r="D342" s="65"/>
      <c r="E342" s="65"/>
      <c r="F342" s="65"/>
      <c r="G342" s="65"/>
      <c r="H342" s="65"/>
      <c r="I342" s="65"/>
      <c r="J342" s="65"/>
      <c r="K342" s="65"/>
      <c r="L342" s="65"/>
      <c r="M342" s="65"/>
      <c r="N342" s="65"/>
      <c r="O342" s="65"/>
      <c r="P342" s="65"/>
      <c r="Q342" s="65"/>
      <c r="R342" s="65"/>
      <c r="S342" s="65"/>
      <c r="T342" s="65"/>
      <c r="U342" s="65"/>
      <c r="V342" s="65"/>
      <c r="W342" s="65"/>
      <c r="X342" s="65"/>
      <c r="Y342" s="65"/>
      <c r="Z342" s="65"/>
    </row>
    <row r="343" customFormat="false" ht="15.75" hidden="false" customHeight="true" outlineLevel="0" collapsed="false">
      <c r="A343" s="65"/>
      <c r="B343" s="65"/>
      <c r="C343" s="65"/>
      <c r="D343" s="65"/>
      <c r="E343" s="65"/>
      <c r="F343" s="65"/>
      <c r="G343" s="65"/>
      <c r="H343" s="65"/>
      <c r="I343" s="65"/>
      <c r="J343" s="65"/>
      <c r="K343" s="65"/>
      <c r="L343" s="65"/>
      <c r="M343" s="65"/>
      <c r="N343" s="65"/>
      <c r="O343" s="65"/>
      <c r="P343" s="65"/>
      <c r="Q343" s="65"/>
      <c r="R343" s="65"/>
      <c r="S343" s="65"/>
      <c r="T343" s="65"/>
      <c r="U343" s="65"/>
      <c r="V343" s="65"/>
      <c r="W343" s="65"/>
      <c r="X343" s="65"/>
      <c r="Y343" s="65"/>
      <c r="Z343" s="65"/>
    </row>
    <row r="344" customFormat="false" ht="15.75" hidden="false" customHeight="true" outlineLevel="0" collapsed="false">
      <c r="A344" s="65"/>
      <c r="B344" s="65"/>
      <c r="C344" s="65"/>
      <c r="D344" s="65"/>
      <c r="E344" s="65"/>
      <c r="F344" s="65"/>
      <c r="G344" s="65"/>
      <c r="H344" s="65"/>
      <c r="I344" s="65"/>
      <c r="J344" s="65"/>
      <c r="K344" s="65"/>
      <c r="L344" s="65"/>
      <c r="M344" s="65"/>
      <c r="N344" s="65"/>
      <c r="O344" s="65"/>
      <c r="P344" s="65"/>
      <c r="Q344" s="65"/>
      <c r="R344" s="65"/>
      <c r="S344" s="65"/>
      <c r="T344" s="65"/>
      <c r="U344" s="65"/>
      <c r="V344" s="65"/>
      <c r="W344" s="65"/>
      <c r="X344" s="65"/>
      <c r="Y344" s="65"/>
      <c r="Z344" s="65"/>
    </row>
    <row r="345" customFormat="false" ht="15.75" hidden="false" customHeight="true" outlineLevel="0" collapsed="false">
      <c r="A345" s="65"/>
      <c r="B345" s="65"/>
      <c r="C345" s="65"/>
      <c r="D345" s="65"/>
      <c r="E345" s="65"/>
      <c r="F345" s="65"/>
      <c r="G345" s="65"/>
      <c r="H345" s="65"/>
      <c r="I345" s="65"/>
      <c r="J345" s="65"/>
      <c r="K345" s="65"/>
      <c r="L345" s="65"/>
      <c r="M345" s="65"/>
      <c r="N345" s="65"/>
      <c r="O345" s="65"/>
      <c r="P345" s="65"/>
      <c r="Q345" s="65"/>
      <c r="R345" s="65"/>
      <c r="S345" s="65"/>
      <c r="T345" s="65"/>
      <c r="U345" s="65"/>
      <c r="V345" s="65"/>
      <c r="W345" s="65"/>
      <c r="X345" s="65"/>
      <c r="Y345" s="65"/>
      <c r="Z345" s="65"/>
    </row>
    <row r="346" customFormat="false" ht="15.75" hidden="false" customHeight="true" outlineLevel="0" collapsed="false">
      <c r="A346" s="65"/>
      <c r="B346" s="65"/>
      <c r="C346" s="65"/>
      <c r="D346" s="65"/>
      <c r="E346" s="65"/>
      <c r="F346" s="65"/>
      <c r="G346" s="65"/>
      <c r="H346" s="65"/>
      <c r="I346" s="65"/>
      <c r="J346" s="65"/>
      <c r="K346" s="65"/>
      <c r="L346" s="65"/>
      <c r="M346" s="65"/>
      <c r="N346" s="65"/>
      <c r="O346" s="65"/>
      <c r="P346" s="65"/>
      <c r="Q346" s="65"/>
      <c r="R346" s="65"/>
      <c r="S346" s="65"/>
      <c r="T346" s="65"/>
      <c r="U346" s="65"/>
      <c r="V346" s="65"/>
      <c r="W346" s="65"/>
      <c r="X346" s="65"/>
      <c r="Y346" s="65"/>
      <c r="Z346" s="65"/>
    </row>
    <row r="347" customFormat="false" ht="15.75" hidden="false" customHeight="true" outlineLevel="0" collapsed="false">
      <c r="A347" s="65"/>
      <c r="B347" s="65"/>
      <c r="C347" s="65"/>
      <c r="D347" s="65"/>
      <c r="E347" s="65"/>
      <c r="F347" s="65"/>
      <c r="G347" s="65"/>
      <c r="H347" s="65"/>
      <c r="I347" s="65"/>
      <c r="J347" s="65"/>
      <c r="K347" s="65"/>
      <c r="L347" s="65"/>
      <c r="M347" s="65"/>
      <c r="N347" s="65"/>
      <c r="O347" s="65"/>
      <c r="P347" s="65"/>
      <c r="Q347" s="65"/>
      <c r="R347" s="65"/>
      <c r="S347" s="65"/>
      <c r="T347" s="65"/>
      <c r="U347" s="65"/>
      <c r="V347" s="65"/>
      <c r="W347" s="65"/>
      <c r="X347" s="65"/>
      <c r="Y347" s="65"/>
      <c r="Z347" s="65"/>
    </row>
    <row r="348" customFormat="false" ht="15.75" hidden="false" customHeight="true" outlineLevel="0" collapsed="false">
      <c r="A348" s="65"/>
      <c r="B348" s="65"/>
      <c r="C348" s="65"/>
      <c r="D348" s="65"/>
      <c r="E348" s="65"/>
      <c r="F348" s="65"/>
      <c r="G348" s="65"/>
      <c r="H348" s="65"/>
      <c r="I348" s="65"/>
      <c r="J348" s="65"/>
      <c r="K348" s="65"/>
      <c r="L348" s="65"/>
      <c r="M348" s="65"/>
      <c r="N348" s="65"/>
      <c r="O348" s="65"/>
      <c r="P348" s="65"/>
      <c r="Q348" s="65"/>
      <c r="R348" s="65"/>
      <c r="S348" s="65"/>
      <c r="T348" s="65"/>
      <c r="U348" s="65"/>
      <c r="V348" s="65"/>
      <c r="W348" s="65"/>
      <c r="X348" s="65"/>
      <c r="Y348" s="65"/>
      <c r="Z348" s="65"/>
    </row>
    <row r="349" customFormat="false" ht="15.75" hidden="false" customHeight="true" outlineLevel="0" collapsed="false">
      <c r="A349" s="65"/>
      <c r="B349" s="65"/>
      <c r="C349" s="65"/>
      <c r="D349" s="65"/>
      <c r="E349" s="65"/>
      <c r="F349" s="65"/>
      <c r="G349" s="65"/>
      <c r="H349" s="65"/>
      <c r="I349" s="65"/>
      <c r="J349" s="65"/>
      <c r="K349" s="65"/>
      <c r="L349" s="65"/>
      <c r="M349" s="65"/>
      <c r="N349" s="65"/>
      <c r="O349" s="65"/>
      <c r="P349" s="65"/>
      <c r="Q349" s="65"/>
      <c r="R349" s="65"/>
      <c r="S349" s="65"/>
      <c r="T349" s="65"/>
      <c r="U349" s="65"/>
      <c r="V349" s="65"/>
      <c r="W349" s="65"/>
      <c r="X349" s="65"/>
      <c r="Y349" s="65"/>
      <c r="Z349" s="65"/>
    </row>
    <row r="350" customFormat="false" ht="15.75" hidden="false" customHeight="true" outlineLevel="0" collapsed="false">
      <c r="A350" s="65"/>
      <c r="B350" s="65"/>
      <c r="C350" s="65"/>
      <c r="D350" s="65"/>
      <c r="E350" s="65"/>
      <c r="F350" s="65"/>
      <c r="G350" s="65"/>
      <c r="H350" s="65"/>
      <c r="I350" s="65"/>
      <c r="J350" s="65"/>
      <c r="K350" s="65"/>
      <c r="L350" s="65"/>
      <c r="M350" s="65"/>
      <c r="N350" s="65"/>
      <c r="O350" s="65"/>
      <c r="P350" s="65"/>
      <c r="Q350" s="65"/>
      <c r="R350" s="65"/>
      <c r="S350" s="65"/>
      <c r="T350" s="65"/>
      <c r="U350" s="65"/>
      <c r="V350" s="65"/>
      <c r="W350" s="65"/>
      <c r="X350" s="65"/>
      <c r="Y350" s="65"/>
      <c r="Z350" s="65"/>
    </row>
    <row r="351" customFormat="false" ht="15.75" hidden="false" customHeight="true" outlineLevel="0" collapsed="false">
      <c r="A351" s="65"/>
      <c r="B351" s="65"/>
      <c r="C351" s="65"/>
      <c r="D351" s="65"/>
      <c r="E351" s="65"/>
      <c r="F351" s="65"/>
      <c r="G351" s="65"/>
      <c r="H351" s="65"/>
      <c r="I351" s="65"/>
      <c r="J351" s="65"/>
      <c r="K351" s="65"/>
      <c r="L351" s="65"/>
      <c r="M351" s="65"/>
      <c r="N351" s="65"/>
      <c r="O351" s="65"/>
      <c r="P351" s="65"/>
      <c r="Q351" s="65"/>
      <c r="R351" s="65"/>
      <c r="S351" s="65"/>
      <c r="T351" s="65"/>
      <c r="U351" s="65"/>
      <c r="V351" s="65"/>
      <c r="W351" s="65"/>
      <c r="X351" s="65"/>
      <c r="Y351" s="65"/>
      <c r="Z351" s="65"/>
    </row>
    <row r="352" customFormat="false" ht="15.75" hidden="false" customHeight="true" outlineLevel="0" collapsed="false">
      <c r="A352" s="65"/>
      <c r="B352" s="65"/>
      <c r="C352" s="65"/>
      <c r="D352" s="65"/>
      <c r="E352" s="65"/>
      <c r="F352" s="65"/>
      <c r="G352" s="65"/>
      <c r="H352" s="65"/>
      <c r="I352" s="65"/>
      <c r="J352" s="65"/>
      <c r="K352" s="65"/>
      <c r="L352" s="65"/>
      <c r="M352" s="65"/>
      <c r="N352" s="65"/>
      <c r="O352" s="65"/>
      <c r="P352" s="65"/>
      <c r="Q352" s="65"/>
      <c r="R352" s="65"/>
      <c r="S352" s="65"/>
      <c r="T352" s="65"/>
      <c r="U352" s="65"/>
      <c r="V352" s="65"/>
      <c r="W352" s="65"/>
      <c r="X352" s="65"/>
      <c r="Y352" s="65"/>
      <c r="Z352" s="65"/>
    </row>
    <row r="353" customFormat="false" ht="15.75" hidden="false" customHeight="true" outlineLevel="0" collapsed="false">
      <c r="A353" s="65"/>
      <c r="B353" s="65"/>
      <c r="C353" s="65"/>
      <c r="D353" s="65"/>
      <c r="E353" s="65"/>
      <c r="F353" s="65"/>
      <c r="G353" s="65"/>
      <c r="H353" s="65"/>
      <c r="I353" s="65"/>
      <c r="J353" s="65"/>
      <c r="K353" s="65"/>
      <c r="L353" s="65"/>
      <c r="M353" s="65"/>
      <c r="N353" s="65"/>
      <c r="O353" s="65"/>
      <c r="P353" s="65"/>
      <c r="Q353" s="65"/>
      <c r="R353" s="65"/>
      <c r="S353" s="65"/>
      <c r="T353" s="65"/>
      <c r="U353" s="65"/>
      <c r="V353" s="65"/>
      <c r="W353" s="65"/>
      <c r="X353" s="65"/>
      <c r="Y353" s="65"/>
      <c r="Z353" s="65"/>
    </row>
    <row r="354" customFormat="false" ht="15.75" hidden="false" customHeight="true" outlineLevel="0" collapsed="false">
      <c r="A354" s="65"/>
      <c r="B354" s="65"/>
      <c r="C354" s="65"/>
      <c r="D354" s="65"/>
      <c r="E354" s="65"/>
      <c r="F354" s="65"/>
      <c r="G354" s="65"/>
      <c r="H354" s="65"/>
      <c r="I354" s="65"/>
      <c r="J354" s="65"/>
      <c r="K354" s="65"/>
      <c r="L354" s="65"/>
      <c r="M354" s="65"/>
      <c r="N354" s="65"/>
      <c r="O354" s="65"/>
      <c r="P354" s="65"/>
      <c r="Q354" s="65"/>
      <c r="R354" s="65"/>
      <c r="S354" s="65"/>
      <c r="T354" s="65"/>
      <c r="U354" s="65"/>
      <c r="V354" s="65"/>
      <c r="W354" s="65"/>
      <c r="X354" s="65"/>
      <c r="Y354" s="65"/>
      <c r="Z354" s="65"/>
    </row>
    <row r="355" customFormat="false" ht="15.75" hidden="false" customHeight="true" outlineLevel="0" collapsed="false">
      <c r="A355" s="65"/>
      <c r="B355" s="65"/>
      <c r="C355" s="65"/>
      <c r="D355" s="65"/>
      <c r="E355" s="65"/>
      <c r="F355" s="65"/>
      <c r="G355" s="65"/>
      <c r="H355" s="65"/>
      <c r="I355" s="65"/>
      <c r="J355" s="65"/>
      <c r="K355" s="65"/>
      <c r="L355" s="65"/>
      <c r="M355" s="65"/>
      <c r="N355" s="65"/>
      <c r="O355" s="65"/>
      <c r="P355" s="65"/>
      <c r="Q355" s="65"/>
      <c r="R355" s="65"/>
      <c r="S355" s="65"/>
      <c r="T355" s="65"/>
      <c r="U355" s="65"/>
      <c r="V355" s="65"/>
      <c r="W355" s="65"/>
      <c r="X355" s="65"/>
      <c r="Y355" s="65"/>
      <c r="Z355" s="65"/>
    </row>
    <row r="356" customFormat="false" ht="15.75" hidden="false" customHeight="true" outlineLevel="0" collapsed="false">
      <c r="A356" s="65"/>
      <c r="B356" s="65"/>
      <c r="C356" s="65"/>
      <c r="D356" s="65"/>
      <c r="E356" s="65"/>
      <c r="F356" s="65"/>
      <c r="G356" s="65"/>
      <c r="H356" s="65"/>
      <c r="I356" s="65"/>
      <c r="J356" s="65"/>
      <c r="K356" s="65"/>
      <c r="L356" s="65"/>
      <c r="M356" s="65"/>
      <c r="N356" s="65"/>
      <c r="O356" s="65"/>
      <c r="P356" s="65"/>
      <c r="Q356" s="65"/>
      <c r="R356" s="65"/>
      <c r="S356" s="65"/>
      <c r="T356" s="65"/>
      <c r="U356" s="65"/>
      <c r="V356" s="65"/>
      <c r="W356" s="65"/>
      <c r="X356" s="65"/>
      <c r="Y356" s="65"/>
      <c r="Z356" s="65"/>
    </row>
    <row r="357" customFormat="false" ht="15.75" hidden="false" customHeight="true" outlineLevel="0" collapsed="false">
      <c r="A357" s="65"/>
      <c r="B357" s="65"/>
      <c r="C357" s="65"/>
      <c r="D357" s="65"/>
      <c r="E357" s="65"/>
      <c r="F357" s="65"/>
      <c r="G357" s="65"/>
      <c r="H357" s="65"/>
      <c r="I357" s="65"/>
      <c r="J357" s="65"/>
      <c r="K357" s="65"/>
      <c r="L357" s="65"/>
      <c r="M357" s="65"/>
      <c r="N357" s="65"/>
      <c r="O357" s="65"/>
      <c r="P357" s="65"/>
      <c r="Q357" s="65"/>
      <c r="R357" s="65"/>
      <c r="S357" s="65"/>
      <c r="T357" s="65"/>
      <c r="U357" s="65"/>
      <c r="V357" s="65"/>
      <c r="W357" s="65"/>
      <c r="X357" s="65"/>
      <c r="Y357" s="65"/>
      <c r="Z357" s="65"/>
    </row>
    <row r="358" customFormat="false" ht="15.75" hidden="false" customHeight="true" outlineLevel="0" collapsed="false">
      <c r="A358" s="65"/>
      <c r="B358" s="65"/>
      <c r="C358" s="65"/>
      <c r="D358" s="65"/>
      <c r="E358" s="65"/>
      <c r="F358" s="65"/>
      <c r="G358" s="65"/>
      <c r="H358" s="65"/>
      <c r="I358" s="65"/>
      <c r="J358" s="65"/>
      <c r="K358" s="65"/>
      <c r="L358" s="65"/>
      <c r="M358" s="65"/>
      <c r="N358" s="65"/>
      <c r="O358" s="65"/>
      <c r="P358" s="65"/>
      <c r="Q358" s="65"/>
      <c r="R358" s="65"/>
      <c r="S358" s="65"/>
      <c r="T358" s="65"/>
      <c r="U358" s="65"/>
      <c r="V358" s="65"/>
      <c r="W358" s="65"/>
      <c r="X358" s="65"/>
      <c r="Y358" s="65"/>
      <c r="Z358" s="65"/>
    </row>
    <row r="359" customFormat="false" ht="15.75" hidden="false" customHeight="true" outlineLevel="0" collapsed="false">
      <c r="A359" s="65"/>
      <c r="B359" s="65"/>
      <c r="C359" s="65"/>
      <c r="D359" s="65"/>
      <c r="E359" s="65"/>
      <c r="F359" s="65"/>
      <c r="G359" s="65"/>
      <c r="H359" s="65"/>
      <c r="I359" s="65"/>
      <c r="J359" s="65"/>
      <c r="K359" s="65"/>
      <c r="L359" s="65"/>
      <c r="M359" s="65"/>
      <c r="N359" s="65"/>
      <c r="O359" s="65"/>
      <c r="P359" s="65"/>
      <c r="Q359" s="65"/>
      <c r="R359" s="65"/>
      <c r="S359" s="65"/>
      <c r="T359" s="65"/>
      <c r="U359" s="65"/>
      <c r="V359" s="65"/>
      <c r="W359" s="65"/>
      <c r="X359" s="65"/>
      <c r="Y359" s="65"/>
      <c r="Z359" s="65"/>
    </row>
    <row r="360" customFormat="false" ht="15.75" hidden="false" customHeight="true" outlineLevel="0" collapsed="false">
      <c r="A360" s="65"/>
      <c r="B360" s="65"/>
      <c r="C360" s="65"/>
      <c r="D360" s="65"/>
      <c r="E360" s="65"/>
      <c r="F360" s="65"/>
      <c r="G360" s="65"/>
      <c r="H360" s="65"/>
      <c r="I360" s="65"/>
      <c r="J360" s="65"/>
      <c r="K360" s="65"/>
      <c r="L360" s="65"/>
      <c r="M360" s="65"/>
      <c r="N360" s="65"/>
      <c r="O360" s="65"/>
      <c r="P360" s="65"/>
      <c r="Q360" s="65"/>
      <c r="R360" s="65"/>
      <c r="S360" s="65"/>
      <c r="T360" s="65"/>
      <c r="U360" s="65"/>
      <c r="V360" s="65"/>
      <c r="W360" s="65"/>
      <c r="X360" s="65"/>
      <c r="Y360" s="65"/>
      <c r="Z360" s="65"/>
    </row>
    <row r="361" customFormat="false" ht="15.75" hidden="false" customHeight="true" outlineLevel="0" collapsed="false">
      <c r="A361" s="65"/>
      <c r="B361" s="65"/>
      <c r="C361" s="65"/>
      <c r="D361" s="65"/>
      <c r="E361" s="65"/>
      <c r="F361" s="65"/>
      <c r="G361" s="65"/>
      <c r="H361" s="65"/>
      <c r="I361" s="65"/>
      <c r="J361" s="65"/>
      <c r="K361" s="65"/>
      <c r="L361" s="65"/>
      <c r="M361" s="65"/>
      <c r="N361" s="65"/>
      <c r="O361" s="65"/>
      <c r="P361" s="65"/>
      <c r="Q361" s="65"/>
      <c r="R361" s="65"/>
      <c r="S361" s="65"/>
      <c r="T361" s="65"/>
      <c r="U361" s="65"/>
      <c r="V361" s="65"/>
      <c r="W361" s="65"/>
      <c r="X361" s="65"/>
      <c r="Y361" s="65"/>
      <c r="Z361" s="65"/>
    </row>
    <row r="362" customFormat="false" ht="15.75" hidden="false" customHeight="true" outlineLevel="0" collapsed="false">
      <c r="A362" s="65"/>
      <c r="B362" s="65"/>
      <c r="C362" s="65"/>
      <c r="D362" s="65"/>
      <c r="E362" s="65"/>
      <c r="F362" s="65"/>
      <c r="G362" s="65"/>
      <c r="H362" s="65"/>
      <c r="I362" s="65"/>
      <c r="J362" s="65"/>
      <c r="K362" s="65"/>
      <c r="L362" s="65"/>
      <c r="M362" s="65"/>
      <c r="N362" s="65"/>
      <c r="O362" s="65"/>
      <c r="P362" s="65"/>
      <c r="Q362" s="65"/>
      <c r="R362" s="65"/>
      <c r="S362" s="65"/>
      <c r="T362" s="65"/>
      <c r="U362" s="65"/>
      <c r="V362" s="65"/>
      <c r="W362" s="65"/>
      <c r="X362" s="65"/>
      <c r="Y362" s="65"/>
      <c r="Z362" s="65"/>
    </row>
    <row r="363" customFormat="false" ht="15.75" hidden="false" customHeight="true" outlineLevel="0" collapsed="false">
      <c r="A363" s="65"/>
      <c r="B363" s="65"/>
      <c r="C363" s="65"/>
      <c r="D363" s="65"/>
      <c r="E363" s="65"/>
      <c r="F363" s="65"/>
      <c r="G363" s="65"/>
      <c r="H363" s="65"/>
      <c r="I363" s="65"/>
      <c r="J363" s="65"/>
      <c r="K363" s="65"/>
      <c r="L363" s="65"/>
      <c r="M363" s="65"/>
      <c r="N363" s="65"/>
      <c r="O363" s="65"/>
      <c r="P363" s="65"/>
      <c r="Q363" s="65"/>
      <c r="R363" s="65"/>
      <c r="S363" s="65"/>
      <c r="T363" s="65"/>
      <c r="U363" s="65"/>
      <c r="V363" s="65"/>
      <c r="W363" s="65"/>
      <c r="X363" s="65"/>
      <c r="Y363" s="65"/>
      <c r="Z363" s="65"/>
    </row>
    <row r="364" customFormat="false" ht="15.75" hidden="false" customHeight="true" outlineLevel="0" collapsed="false">
      <c r="A364" s="65"/>
      <c r="B364" s="65"/>
      <c r="C364" s="65"/>
      <c r="D364" s="65"/>
      <c r="E364" s="65"/>
      <c r="F364" s="65"/>
      <c r="G364" s="65"/>
      <c r="H364" s="65"/>
      <c r="I364" s="65"/>
      <c r="J364" s="65"/>
      <c r="K364" s="65"/>
      <c r="L364" s="65"/>
      <c r="M364" s="65"/>
      <c r="N364" s="65"/>
      <c r="O364" s="65"/>
      <c r="P364" s="65"/>
      <c r="Q364" s="65"/>
      <c r="R364" s="65"/>
      <c r="S364" s="65"/>
      <c r="T364" s="65"/>
      <c r="U364" s="65"/>
      <c r="V364" s="65"/>
      <c r="W364" s="65"/>
      <c r="X364" s="65"/>
      <c r="Y364" s="65"/>
      <c r="Z364" s="65"/>
    </row>
    <row r="365" customFormat="false" ht="15.75" hidden="false" customHeight="true" outlineLevel="0" collapsed="false">
      <c r="A365" s="65"/>
      <c r="B365" s="65"/>
      <c r="C365" s="65"/>
      <c r="D365" s="65"/>
      <c r="E365" s="65"/>
      <c r="F365" s="65"/>
      <c r="G365" s="65"/>
      <c r="H365" s="65"/>
      <c r="I365" s="65"/>
      <c r="J365" s="65"/>
      <c r="K365" s="65"/>
      <c r="L365" s="65"/>
      <c r="M365" s="65"/>
      <c r="N365" s="65"/>
      <c r="O365" s="65"/>
      <c r="P365" s="65"/>
      <c r="Q365" s="65"/>
      <c r="R365" s="65"/>
      <c r="S365" s="65"/>
      <c r="T365" s="65"/>
      <c r="U365" s="65"/>
      <c r="V365" s="65"/>
      <c r="W365" s="65"/>
      <c r="X365" s="65"/>
      <c r="Y365" s="65"/>
      <c r="Z365" s="65"/>
    </row>
    <row r="366" customFormat="false" ht="15.75" hidden="false" customHeight="true" outlineLevel="0" collapsed="false">
      <c r="A366" s="65"/>
      <c r="B366" s="65"/>
      <c r="C366" s="65"/>
      <c r="D366" s="65"/>
      <c r="E366" s="65"/>
      <c r="F366" s="65"/>
      <c r="G366" s="65"/>
      <c r="H366" s="65"/>
      <c r="I366" s="65"/>
      <c r="J366" s="65"/>
      <c r="K366" s="65"/>
      <c r="L366" s="65"/>
      <c r="M366" s="65"/>
      <c r="N366" s="65"/>
      <c r="O366" s="65"/>
      <c r="P366" s="65"/>
      <c r="Q366" s="65"/>
      <c r="R366" s="65"/>
      <c r="S366" s="65"/>
      <c r="T366" s="65"/>
      <c r="U366" s="65"/>
      <c r="V366" s="65"/>
      <c r="W366" s="65"/>
      <c r="X366" s="65"/>
      <c r="Y366" s="65"/>
      <c r="Z366" s="65"/>
    </row>
    <row r="367" customFormat="false" ht="15.75" hidden="false" customHeight="true" outlineLevel="0" collapsed="false">
      <c r="A367" s="65"/>
      <c r="B367" s="65"/>
      <c r="C367" s="65"/>
      <c r="D367" s="65"/>
      <c r="E367" s="65"/>
      <c r="F367" s="65"/>
      <c r="G367" s="65"/>
      <c r="H367" s="65"/>
      <c r="I367" s="65"/>
      <c r="J367" s="65"/>
      <c r="K367" s="65"/>
      <c r="L367" s="65"/>
      <c r="M367" s="65"/>
      <c r="N367" s="65"/>
      <c r="O367" s="65"/>
      <c r="P367" s="65"/>
      <c r="Q367" s="65"/>
      <c r="R367" s="65"/>
      <c r="S367" s="65"/>
      <c r="T367" s="65"/>
      <c r="U367" s="65"/>
      <c r="V367" s="65"/>
      <c r="W367" s="65"/>
      <c r="X367" s="65"/>
      <c r="Y367" s="65"/>
      <c r="Z367" s="65"/>
    </row>
    <row r="368" customFormat="false" ht="15.75" hidden="false" customHeight="true" outlineLevel="0" collapsed="false">
      <c r="A368" s="65"/>
      <c r="B368" s="65"/>
      <c r="C368" s="65"/>
      <c r="D368" s="65"/>
      <c r="E368" s="65"/>
      <c r="F368" s="65"/>
      <c r="G368" s="65"/>
      <c r="H368" s="65"/>
      <c r="I368" s="65"/>
      <c r="J368" s="65"/>
      <c r="K368" s="65"/>
      <c r="L368" s="65"/>
      <c r="M368" s="65"/>
      <c r="N368" s="65"/>
      <c r="O368" s="65"/>
      <c r="P368" s="65"/>
      <c r="Q368" s="65"/>
      <c r="R368" s="65"/>
      <c r="S368" s="65"/>
      <c r="T368" s="65"/>
      <c r="U368" s="65"/>
      <c r="V368" s="65"/>
      <c r="W368" s="65"/>
      <c r="X368" s="65"/>
      <c r="Y368" s="65"/>
      <c r="Z368" s="65"/>
    </row>
    <row r="369" customFormat="false" ht="15.75" hidden="false" customHeight="true" outlineLevel="0" collapsed="false">
      <c r="A369" s="65"/>
      <c r="B369" s="65"/>
      <c r="C369" s="65"/>
      <c r="D369" s="65"/>
      <c r="E369" s="65"/>
      <c r="F369" s="65"/>
      <c r="G369" s="65"/>
      <c r="H369" s="65"/>
      <c r="I369" s="65"/>
      <c r="J369" s="65"/>
      <c r="K369" s="65"/>
      <c r="L369" s="65"/>
      <c r="M369" s="65"/>
      <c r="N369" s="65"/>
      <c r="O369" s="65"/>
      <c r="P369" s="65"/>
      <c r="Q369" s="65"/>
      <c r="R369" s="65"/>
      <c r="S369" s="65"/>
      <c r="T369" s="65"/>
      <c r="U369" s="65"/>
      <c r="V369" s="65"/>
      <c r="W369" s="65"/>
      <c r="X369" s="65"/>
      <c r="Y369" s="65"/>
      <c r="Z369" s="65"/>
    </row>
    <row r="370" customFormat="false" ht="15.75" hidden="false" customHeight="true" outlineLevel="0" collapsed="false">
      <c r="A370" s="65"/>
      <c r="B370" s="65"/>
      <c r="C370" s="65"/>
      <c r="D370" s="65"/>
      <c r="E370" s="65"/>
      <c r="F370" s="65"/>
      <c r="G370" s="65"/>
      <c r="H370" s="65"/>
      <c r="I370" s="65"/>
      <c r="J370" s="65"/>
      <c r="K370" s="65"/>
      <c r="L370" s="65"/>
      <c r="M370" s="65"/>
      <c r="N370" s="65"/>
      <c r="O370" s="65"/>
      <c r="P370" s="65"/>
      <c r="Q370" s="65"/>
      <c r="R370" s="65"/>
      <c r="S370" s="65"/>
      <c r="T370" s="65"/>
      <c r="U370" s="65"/>
      <c r="V370" s="65"/>
      <c r="W370" s="65"/>
      <c r="X370" s="65"/>
      <c r="Y370" s="65"/>
      <c r="Z370" s="65"/>
    </row>
    <row r="371" customFormat="false" ht="15.75" hidden="false" customHeight="true" outlineLevel="0" collapsed="false">
      <c r="A371" s="65"/>
      <c r="B371" s="65"/>
      <c r="C371" s="65"/>
      <c r="D371" s="65"/>
      <c r="E371" s="65"/>
      <c r="F371" s="65"/>
      <c r="G371" s="65"/>
      <c r="H371" s="65"/>
      <c r="I371" s="65"/>
      <c r="J371" s="65"/>
      <c r="K371" s="65"/>
      <c r="L371" s="65"/>
      <c r="M371" s="65"/>
      <c r="N371" s="65"/>
      <c r="O371" s="65"/>
      <c r="P371" s="65"/>
      <c r="Q371" s="65"/>
      <c r="R371" s="65"/>
      <c r="S371" s="65"/>
      <c r="T371" s="65"/>
      <c r="U371" s="65"/>
      <c r="V371" s="65"/>
      <c r="W371" s="65"/>
      <c r="X371" s="65"/>
      <c r="Y371" s="65"/>
      <c r="Z371" s="65"/>
    </row>
    <row r="372" customFormat="false" ht="15.75" hidden="false" customHeight="true" outlineLevel="0" collapsed="false">
      <c r="A372" s="65"/>
      <c r="B372" s="65"/>
      <c r="C372" s="65"/>
      <c r="D372" s="65"/>
      <c r="E372" s="65"/>
      <c r="F372" s="65"/>
      <c r="G372" s="65"/>
      <c r="H372" s="65"/>
      <c r="I372" s="65"/>
      <c r="J372" s="65"/>
      <c r="K372" s="65"/>
      <c r="L372" s="65"/>
      <c r="M372" s="65"/>
      <c r="N372" s="65"/>
      <c r="O372" s="65"/>
      <c r="P372" s="65"/>
      <c r="Q372" s="65"/>
      <c r="R372" s="65"/>
      <c r="S372" s="65"/>
      <c r="T372" s="65"/>
      <c r="U372" s="65"/>
      <c r="V372" s="65"/>
      <c r="W372" s="65"/>
      <c r="X372" s="65"/>
      <c r="Y372" s="65"/>
      <c r="Z372" s="65"/>
    </row>
    <row r="373" customFormat="false" ht="15.75" hidden="false" customHeight="true" outlineLevel="0" collapsed="false">
      <c r="A373" s="65"/>
      <c r="B373" s="65"/>
      <c r="C373" s="65"/>
      <c r="D373" s="65"/>
      <c r="E373" s="65"/>
      <c r="F373" s="65"/>
      <c r="G373" s="65"/>
      <c r="H373" s="65"/>
      <c r="I373" s="65"/>
      <c r="J373" s="65"/>
      <c r="K373" s="65"/>
      <c r="L373" s="65"/>
      <c r="M373" s="65"/>
      <c r="N373" s="65"/>
      <c r="O373" s="65"/>
      <c r="P373" s="65"/>
      <c r="Q373" s="65"/>
      <c r="R373" s="65"/>
      <c r="S373" s="65"/>
      <c r="T373" s="65"/>
      <c r="U373" s="65"/>
      <c r="V373" s="65"/>
      <c r="W373" s="65"/>
      <c r="X373" s="65"/>
      <c r="Y373" s="65"/>
      <c r="Z373" s="65"/>
    </row>
    <row r="374" customFormat="false" ht="15.75" hidden="false" customHeight="true" outlineLevel="0" collapsed="false">
      <c r="A374" s="65"/>
      <c r="B374" s="65"/>
      <c r="C374" s="65"/>
      <c r="D374" s="65"/>
      <c r="E374" s="65"/>
      <c r="F374" s="65"/>
      <c r="G374" s="65"/>
      <c r="H374" s="65"/>
      <c r="I374" s="65"/>
      <c r="J374" s="65"/>
      <c r="K374" s="65"/>
      <c r="L374" s="65"/>
      <c r="M374" s="65"/>
      <c r="N374" s="65"/>
      <c r="O374" s="65"/>
      <c r="P374" s="65"/>
      <c r="Q374" s="65"/>
      <c r="R374" s="65"/>
      <c r="S374" s="65"/>
      <c r="T374" s="65"/>
      <c r="U374" s="65"/>
      <c r="V374" s="65"/>
      <c r="W374" s="65"/>
      <c r="X374" s="65"/>
      <c r="Y374" s="65"/>
      <c r="Z374" s="65"/>
    </row>
    <row r="375" customFormat="false" ht="15.75" hidden="false" customHeight="true" outlineLevel="0" collapsed="false">
      <c r="A375" s="65"/>
      <c r="B375" s="65"/>
      <c r="C375" s="65"/>
      <c r="D375" s="65"/>
      <c r="E375" s="65"/>
      <c r="F375" s="65"/>
      <c r="G375" s="65"/>
      <c r="H375" s="65"/>
      <c r="I375" s="65"/>
      <c r="J375" s="65"/>
      <c r="K375" s="65"/>
      <c r="L375" s="65"/>
      <c r="M375" s="65"/>
      <c r="N375" s="65"/>
      <c r="O375" s="65"/>
      <c r="P375" s="65"/>
      <c r="Q375" s="65"/>
      <c r="R375" s="65"/>
      <c r="S375" s="65"/>
      <c r="T375" s="65"/>
      <c r="U375" s="65"/>
      <c r="V375" s="65"/>
      <c r="W375" s="65"/>
      <c r="X375" s="65"/>
      <c r="Y375" s="65"/>
      <c r="Z375" s="65"/>
    </row>
    <row r="376" customFormat="false" ht="15.75" hidden="false" customHeight="true" outlineLevel="0" collapsed="false">
      <c r="A376" s="65"/>
      <c r="B376" s="65"/>
      <c r="C376" s="65"/>
      <c r="D376" s="65"/>
      <c r="E376" s="65"/>
      <c r="F376" s="65"/>
      <c r="G376" s="65"/>
      <c r="H376" s="65"/>
      <c r="I376" s="65"/>
      <c r="J376" s="65"/>
      <c r="K376" s="65"/>
      <c r="L376" s="65"/>
      <c r="M376" s="65"/>
      <c r="N376" s="65"/>
      <c r="O376" s="65"/>
      <c r="P376" s="65"/>
      <c r="Q376" s="65"/>
      <c r="R376" s="65"/>
      <c r="S376" s="65"/>
      <c r="T376" s="65"/>
      <c r="U376" s="65"/>
      <c r="V376" s="65"/>
      <c r="W376" s="65"/>
      <c r="X376" s="65"/>
      <c r="Y376" s="65"/>
      <c r="Z376" s="65"/>
    </row>
    <row r="377" customFormat="false" ht="15.75" hidden="false" customHeight="true" outlineLevel="0" collapsed="false">
      <c r="A377" s="65"/>
      <c r="B377" s="65"/>
      <c r="C377" s="65"/>
      <c r="D377" s="65"/>
      <c r="E377" s="65"/>
      <c r="F377" s="65"/>
      <c r="G377" s="65"/>
      <c r="H377" s="65"/>
      <c r="I377" s="65"/>
      <c r="J377" s="65"/>
      <c r="K377" s="65"/>
      <c r="L377" s="65"/>
      <c r="M377" s="65"/>
      <c r="N377" s="65"/>
      <c r="O377" s="65"/>
      <c r="P377" s="65"/>
      <c r="Q377" s="65"/>
      <c r="R377" s="65"/>
      <c r="S377" s="65"/>
      <c r="T377" s="65"/>
      <c r="U377" s="65"/>
      <c r="V377" s="65"/>
      <c r="W377" s="65"/>
      <c r="X377" s="65"/>
      <c r="Y377" s="65"/>
      <c r="Z377" s="65"/>
    </row>
    <row r="378" customFormat="false" ht="15.75" hidden="false" customHeight="true" outlineLevel="0" collapsed="false">
      <c r="A378" s="65"/>
      <c r="B378" s="65"/>
      <c r="C378" s="65"/>
      <c r="D378" s="65"/>
      <c r="E378" s="65"/>
      <c r="F378" s="65"/>
      <c r="G378" s="65"/>
      <c r="H378" s="65"/>
      <c r="I378" s="65"/>
      <c r="J378" s="65"/>
      <c r="K378" s="65"/>
      <c r="L378" s="65"/>
      <c r="M378" s="65"/>
      <c r="N378" s="65"/>
      <c r="O378" s="65"/>
      <c r="P378" s="65"/>
      <c r="Q378" s="65"/>
      <c r="R378" s="65"/>
      <c r="S378" s="65"/>
      <c r="T378" s="65"/>
      <c r="U378" s="65"/>
      <c r="V378" s="65"/>
      <c r="W378" s="65"/>
      <c r="X378" s="65"/>
      <c r="Y378" s="65"/>
      <c r="Z378" s="65"/>
    </row>
    <row r="379" customFormat="false" ht="15.75" hidden="false" customHeight="true" outlineLevel="0" collapsed="false">
      <c r="A379" s="65"/>
      <c r="B379" s="65"/>
      <c r="C379" s="65"/>
      <c r="D379" s="65"/>
      <c r="E379" s="65"/>
      <c r="F379" s="65"/>
      <c r="G379" s="65"/>
      <c r="H379" s="65"/>
      <c r="I379" s="65"/>
      <c r="J379" s="65"/>
      <c r="K379" s="65"/>
      <c r="L379" s="65"/>
      <c r="M379" s="65"/>
      <c r="N379" s="65"/>
      <c r="O379" s="65"/>
      <c r="P379" s="65"/>
      <c r="Q379" s="65"/>
      <c r="R379" s="65"/>
      <c r="S379" s="65"/>
      <c r="T379" s="65"/>
      <c r="U379" s="65"/>
      <c r="V379" s="65"/>
      <c r="W379" s="65"/>
      <c r="X379" s="65"/>
      <c r="Y379" s="65"/>
      <c r="Z379" s="65"/>
    </row>
    <row r="380" customFormat="false" ht="15.75" hidden="false" customHeight="true" outlineLevel="0" collapsed="false">
      <c r="A380" s="65"/>
      <c r="B380" s="65"/>
      <c r="C380" s="65"/>
      <c r="D380" s="65"/>
      <c r="E380" s="65"/>
      <c r="F380" s="65"/>
      <c r="G380" s="65"/>
      <c r="H380" s="65"/>
      <c r="I380" s="65"/>
      <c r="J380" s="65"/>
      <c r="K380" s="65"/>
      <c r="L380" s="65"/>
      <c r="M380" s="65"/>
      <c r="N380" s="65"/>
      <c r="O380" s="65"/>
      <c r="P380" s="65"/>
      <c r="Q380" s="65"/>
      <c r="R380" s="65"/>
      <c r="S380" s="65"/>
      <c r="T380" s="65"/>
      <c r="U380" s="65"/>
      <c r="V380" s="65"/>
      <c r="W380" s="65"/>
      <c r="X380" s="65"/>
      <c r="Y380" s="65"/>
      <c r="Z380" s="65"/>
    </row>
    <row r="381" customFormat="false" ht="15.75" hidden="false" customHeight="true" outlineLevel="0" collapsed="false">
      <c r="A381" s="65"/>
      <c r="B381" s="65"/>
      <c r="C381" s="65"/>
      <c r="D381" s="65"/>
      <c r="E381" s="65"/>
      <c r="F381" s="65"/>
      <c r="G381" s="65"/>
      <c r="H381" s="65"/>
      <c r="I381" s="65"/>
      <c r="J381" s="65"/>
      <c r="K381" s="65"/>
      <c r="L381" s="65"/>
      <c r="M381" s="65"/>
      <c r="N381" s="65"/>
      <c r="O381" s="65"/>
      <c r="P381" s="65"/>
      <c r="Q381" s="65"/>
      <c r="R381" s="65"/>
      <c r="S381" s="65"/>
      <c r="T381" s="65"/>
      <c r="U381" s="65"/>
      <c r="V381" s="65"/>
      <c r="W381" s="65"/>
      <c r="X381" s="65"/>
      <c r="Y381" s="65"/>
      <c r="Z381" s="65"/>
    </row>
    <row r="382" customFormat="false" ht="15.75" hidden="false" customHeight="true" outlineLevel="0" collapsed="false">
      <c r="A382" s="65"/>
      <c r="B382" s="65"/>
      <c r="C382" s="65"/>
      <c r="D382" s="65"/>
      <c r="E382" s="65"/>
      <c r="F382" s="65"/>
      <c r="G382" s="65"/>
      <c r="H382" s="65"/>
      <c r="I382" s="65"/>
      <c r="J382" s="65"/>
      <c r="K382" s="65"/>
      <c r="L382" s="65"/>
      <c r="M382" s="65"/>
      <c r="N382" s="65"/>
      <c r="O382" s="65"/>
      <c r="P382" s="65"/>
      <c r="Q382" s="65"/>
      <c r="R382" s="65"/>
      <c r="S382" s="65"/>
      <c r="T382" s="65"/>
      <c r="U382" s="65"/>
      <c r="V382" s="65"/>
      <c r="W382" s="65"/>
      <c r="X382" s="65"/>
      <c r="Y382" s="65"/>
      <c r="Z382" s="65"/>
    </row>
    <row r="383" customFormat="false" ht="15.75" hidden="false" customHeight="true" outlineLevel="0" collapsed="false">
      <c r="A383" s="65"/>
      <c r="B383" s="65"/>
      <c r="C383" s="65"/>
      <c r="D383" s="65"/>
      <c r="E383" s="65"/>
      <c r="F383" s="65"/>
      <c r="G383" s="65"/>
      <c r="H383" s="65"/>
      <c r="I383" s="65"/>
      <c r="J383" s="65"/>
      <c r="K383" s="65"/>
      <c r="L383" s="65"/>
      <c r="M383" s="65"/>
      <c r="N383" s="65"/>
      <c r="O383" s="65"/>
      <c r="P383" s="65"/>
      <c r="Q383" s="65"/>
      <c r="R383" s="65"/>
      <c r="S383" s="65"/>
      <c r="T383" s="65"/>
      <c r="U383" s="65"/>
      <c r="V383" s="65"/>
      <c r="W383" s="65"/>
      <c r="X383" s="65"/>
      <c r="Y383" s="65"/>
      <c r="Z383" s="65"/>
    </row>
    <row r="384" customFormat="false" ht="15.75" hidden="false" customHeight="true" outlineLevel="0" collapsed="false">
      <c r="A384" s="65"/>
      <c r="B384" s="65"/>
      <c r="C384" s="65"/>
      <c r="D384" s="65"/>
      <c r="E384" s="65"/>
      <c r="F384" s="65"/>
      <c r="G384" s="65"/>
      <c r="H384" s="65"/>
      <c r="I384" s="65"/>
      <c r="J384" s="65"/>
      <c r="K384" s="65"/>
      <c r="L384" s="65"/>
      <c r="M384" s="65"/>
      <c r="N384" s="65"/>
      <c r="O384" s="65"/>
      <c r="P384" s="65"/>
      <c r="Q384" s="65"/>
      <c r="R384" s="65"/>
      <c r="S384" s="65"/>
      <c r="T384" s="65"/>
      <c r="U384" s="65"/>
      <c r="V384" s="65"/>
      <c r="W384" s="65"/>
      <c r="X384" s="65"/>
      <c r="Y384" s="65"/>
      <c r="Z384" s="65"/>
    </row>
    <row r="385" customFormat="false" ht="15.75" hidden="false" customHeight="true" outlineLevel="0" collapsed="false">
      <c r="A385" s="65"/>
      <c r="B385" s="65"/>
      <c r="C385" s="65"/>
      <c r="D385" s="65"/>
      <c r="E385" s="65"/>
      <c r="F385" s="65"/>
      <c r="G385" s="65"/>
      <c r="H385" s="65"/>
      <c r="I385" s="65"/>
      <c r="J385" s="65"/>
      <c r="K385" s="65"/>
      <c r="L385" s="65"/>
      <c r="M385" s="65"/>
      <c r="N385" s="65"/>
      <c r="O385" s="65"/>
      <c r="P385" s="65"/>
      <c r="Q385" s="65"/>
      <c r="R385" s="65"/>
      <c r="S385" s="65"/>
      <c r="T385" s="65"/>
      <c r="U385" s="65"/>
      <c r="V385" s="65"/>
      <c r="W385" s="65"/>
      <c r="X385" s="65"/>
      <c r="Y385" s="65"/>
      <c r="Z385" s="65"/>
    </row>
    <row r="386" customFormat="false" ht="15.75" hidden="false" customHeight="true" outlineLevel="0" collapsed="false">
      <c r="A386" s="65"/>
      <c r="B386" s="65"/>
      <c r="C386" s="65"/>
      <c r="D386" s="65"/>
      <c r="E386" s="65"/>
      <c r="F386" s="65"/>
      <c r="G386" s="65"/>
      <c r="H386" s="65"/>
      <c r="I386" s="65"/>
      <c r="J386" s="65"/>
      <c r="K386" s="65"/>
      <c r="L386" s="65"/>
      <c r="M386" s="65"/>
      <c r="N386" s="65"/>
      <c r="O386" s="65"/>
      <c r="P386" s="65"/>
      <c r="Q386" s="65"/>
      <c r="R386" s="65"/>
      <c r="S386" s="65"/>
      <c r="T386" s="65"/>
      <c r="U386" s="65"/>
      <c r="V386" s="65"/>
      <c r="W386" s="65"/>
      <c r="X386" s="65"/>
      <c r="Y386" s="65"/>
      <c r="Z386" s="65"/>
    </row>
    <row r="387" customFormat="false" ht="15.75" hidden="false" customHeight="true" outlineLevel="0" collapsed="false">
      <c r="A387" s="65"/>
      <c r="B387" s="65"/>
      <c r="C387" s="65"/>
      <c r="D387" s="65"/>
      <c r="E387" s="65"/>
      <c r="F387" s="65"/>
      <c r="G387" s="65"/>
      <c r="H387" s="65"/>
      <c r="I387" s="65"/>
      <c r="J387" s="65"/>
      <c r="K387" s="65"/>
      <c r="L387" s="65"/>
      <c r="M387" s="65"/>
      <c r="N387" s="65"/>
      <c r="O387" s="65"/>
      <c r="P387" s="65"/>
      <c r="Q387" s="65"/>
      <c r="R387" s="65"/>
      <c r="S387" s="65"/>
      <c r="T387" s="65"/>
      <c r="U387" s="65"/>
      <c r="V387" s="65"/>
      <c r="W387" s="65"/>
      <c r="X387" s="65"/>
      <c r="Y387" s="65"/>
      <c r="Z387" s="65"/>
    </row>
    <row r="388" customFormat="false" ht="15.75" hidden="false" customHeight="true" outlineLevel="0" collapsed="false">
      <c r="A388" s="65"/>
      <c r="B388" s="65"/>
      <c r="C388" s="65"/>
      <c r="D388" s="65"/>
      <c r="E388" s="65"/>
      <c r="F388" s="65"/>
      <c r="G388" s="65"/>
      <c r="H388" s="65"/>
      <c r="I388" s="65"/>
      <c r="J388" s="65"/>
      <c r="K388" s="65"/>
      <c r="L388" s="65"/>
      <c r="M388" s="65"/>
      <c r="N388" s="65"/>
      <c r="O388" s="65"/>
      <c r="P388" s="65"/>
      <c r="Q388" s="65"/>
      <c r="R388" s="65"/>
      <c r="S388" s="65"/>
      <c r="T388" s="65"/>
      <c r="U388" s="65"/>
      <c r="V388" s="65"/>
      <c r="W388" s="65"/>
      <c r="X388" s="65"/>
      <c r="Y388" s="65"/>
      <c r="Z388" s="65"/>
    </row>
    <row r="389" customFormat="false" ht="15.75" hidden="false" customHeight="true" outlineLevel="0" collapsed="false">
      <c r="A389" s="65"/>
      <c r="B389" s="65"/>
      <c r="C389" s="65"/>
      <c r="D389" s="65"/>
      <c r="E389" s="65"/>
      <c r="F389" s="65"/>
      <c r="G389" s="65"/>
      <c r="H389" s="65"/>
      <c r="I389" s="65"/>
      <c r="J389" s="65"/>
      <c r="K389" s="65"/>
      <c r="L389" s="65"/>
      <c r="M389" s="65"/>
      <c r="N389" s="65"/>
      <c r="O389" s="65"/>
      <c r="P389" s="65"/>
      <c r="Q389" s="65"/>
      <c r="R389" s="65"/>
      <c r="S389" s="65"/>
      <c r="T389" s="65"/>
      <c r="U389" s="65"/>
      <c r="V389" s="65"/>
      <c r="W389" s="65"/>
      <c r="X389" s="65"/>
      <c r="Y389" s="65"/>
      <c r="Z389" s="65"/>
    </row>
    <row r="390" customFormat="false" ht="15.75" hidden="false" customHeight="true" outlineLevel="0" collapsed="false">
      <c r="A390" s="65"/>
      <c r="B390" s="65"/>
      <c r="C390" s="65"/>
      <c r="D390" s="65"/>
      <c r="E390" s="65"/>
      <c r="F390" s="65"/>
      <c r="G390" s="65"/>
      <c r="H390" s="65"/>
      <c r="I390" s="65"/>
      <c r="J390" s="65"/>
      <c r="K390" s="65"/>
      <c r="L390" s="65"/>
      <c r="M390" s="65"/>
      <c r="N390" s="65"/>
      <c r="O390" s="65"/>
      <c r="P390" s="65"/>
      <c r="Q390" s="65"/>
      <c r="R390" s="65"/>
      <c r="S390" s="65"/>
      <c r="T390" s="65"/>
      <c r="U390" s="65"/>
      <c r="V390" s="65"/>
      <c r="W390" s="65"/>
      <c r="X390" s="65"/>
      <c r="Y390" s="65"/>
      <c r="Z390" s="65"/>
    </row>
    <row r="391" customFormat="false" ht="15.75" hidden="false" customHeight="true" outlineLevel="0" collapsed="false">
      <c r="A391" s="65"/>
      <c r="B391" s="65"/>
      <c r="C391" s="65"/>
      <c r="D391" s="65"/>
      <c r="E391" s="65"/>
      <c r="F391" s="65"/>
      <c r="G391" s="65"/>
      <c r="H391" s="65"/>
      <c r="I391" s="65"/>
      <c r="J391" s="65"/>
      <c r="K391" s="65"/>
      <c r="L391" s="65"/>
      <c r="M391" s="65"/>
      <c r="N391" s="65"/>
      <c r="O391" s="65"/>
      <c r="P391" s="65"/>
      <c r="Q391" s="65"/>
      <c r="R391" s="65"/>
      <c r="S391" s="65"/>
      <c r="T391" s="65"/>
      <c r="U391" s="65"/>
      <c r="V391" s="65"/>
      <c r="W391" s="65"/>
      <c r="X391" s="65"/>
      <c r="Y391" s="65"/>
      <c r="Z391" s="65"/>
    </row>
    <row r="392" customFormat="false" ht="15.75" hidden="false" customHeight="true" outlineLevel="0" collapsed="false">
      <c r="A392" s="65"/>
      <c r="B392" s="65"/>
      <c r="C392" s="65"/>
      <c r="D392" s="65"/>
      <c r="E392" s="65"/>
      <c r="F392" s="65"/>
      <c r="G392" s="65"/>
      <c r="H392" s="65"/>
      <c r="I392" s="65"/>
      <c r="J392" s="65"/>
      <c r="K392" s="65"/>
      <c r="L392" s="65"/>
      <c r="M392" s="65"/>
      <c r="N392" s="65"/>
      <c r="O392" s="65"/>
      <c r="P392" s="65"/>
      <c r="Q392" s="65"/>
      <c r="R392" s="65"/>
      <c r="S392" s="65"/>
      <c r="T392" s="65"/>
      <c r="U392" s="65"/>
      <c r="V392" s="65"/>
      <c r="W392" s="65"/>
      <c r="X392" s="65"/>
      <c r="Y392" s="65"/>
      <c r="Z392" s="65"/>
    </row>
    <row r="393" customFormat="false" ht="15.75" hidden="false" customHeight="true" outlineLevel="0" collapsed="false">
      <c r="A393" s="65"/>
      <c r="B393" s="65"/>
      <c r="C393" s="65"/>
      <c r="D393" s="65"/>
      <c r="E393" s="65"/>
      <c r="F393" s="65"/>
      <c r="G393" s="65"/>
      <c r="H393" s="65"/>
      <c r="I393" s="65"/>
      <c r="J393" s="65"/>
      <c r="K393" s="65"/>
      <c r="L393" s="65"/>
      <c r="M393" s="65"/>
      <c r="N393" s="65"/>
      <c r="O393" s="65"/>
      <c r="P393" s="65"/>
      <c r="Q393" s="65"/>
      <c r="R393" s="65"/>
      <c r="S393" s="65"/>
      <c r="T393" s="65"/>
      <c r="U393" s="65"/>
      <c r="V393" s="65"/>
      <c r="W393" s="65"/>
      <c r="X393" s="65"/>
      <c r="Y393" s="65"/>
      <c r="Z393" s="65"/>
    </row>
    <row r="394" customFormat="false" ht="15.75" hidden="false" customHeight="true" outlineLevel="0" collapsed="false">
      <c r="A394" s="65"/>
      <c r="B394" s="65"/>
      <c r="C394" s="65"/>
      <c r="D394" s="65"/>
      <c r="E394" s="65"/>
      <c r="F394" s="65"/>
      <c r="G394" s="65"/>
      <c r="H394" s="65"/>
      <c r="I394" s="65"/>
      <c r="J394" s="65"/>
      <c r="K394" s="65"/>
      <c r="L394" s="65"/>
      <c r="M394" s="65"/>
      <c r="N394" s="65"/>
      <c r="O394" s="65"/>
      <c r="P394" s="65"/>
      <c r="Q394" s="65"/>
      <c r="R394" s="65"/>
      <c r="S394" s="65"/>
      <c r="T394" s="65"/>
      <c r="U394" s="65"/>
      <c r="V394" s="65"/>
      <c r="W394" s="65"/>
      <c r="X394" s="65"/>
      <c r="Y394" s="65"/>
      <c r="Z394" s="65"/>
    </row>
    <row r="395" customFormat="false" ht="15.75" hidden="false" customHeight="true" outlineLevel="0" collapsed="false">
      <c r="A395" s="65"/>
      <c r="B395" s="65"/>
      <c r="C395" s="65"/>
      <c r="D395" s="65"/>
      <c r="E395" s="65"/>
      <c r="F395" s="65"/>
      <c r="G395" s="65"/>
      <c r="H395" s="65"/>
      <c r="I395" s="65"/>
      <c r="J395" s="65"/>
      <c r="K395" s="65"/>
      <c r="L395" s="65"/>
      <c r="M395" s="65"/>
      <c r="N395" s="65"/>
      <c r="O395" s="65"/>
      <c r="P395" s="65"/>
      <c r="Q395" s="65"/>
      <c r="R395" s="65"/>
      <c r="S395" s="65"/>
      <c r="T395" s="65"/>
      <c r="U395" s="65"/>
      <c r="V395" s="65"/>
      <c r="W395" s="65"/>
      <c r="X395" s="65"/>
      <c r="Y395" s="65"/>
      <c r="Z395" s="65"/>
    </row>
    <row r="396" customFormat="false" ht="15.75" hidden="false" customHeight="true" outlineLevel="0" collapsed="false">
      <c r="A396" s="65"/>
      <c r="B396" s="65"/>
      <c r="C396" s="65"/>
      <c r="D396" s="65"/>
      <c r="E396" s="65"/>
      <c r="F396" s="65"/>
      <c r="G396" s="65"/>
      <c r="H396" s="65"/>
      <c r="I396" s="65"/>
      <c r="J396" s="65"/>
      <c r="K396" s="65"/>
      <c r="L396" s="65"/>
      <c r="M396" s="65"/>
      <c r="N396" s="65"/>
      <c r="O396" s="65"/>
      <c r="P396" s="65"/>
      <c r="Q396" s="65"/>
      <c r="R396" s="65"/>
      <c r="S396" s="65"/>
      <c r="T396" s="65"/>
      <c r="U396" s="65"/>
      <c r="V396" s="65"/>
      <c r="W396" s="65"/>
      <c r="X396" s="65"/>
      <c r="Y396" s="65"/>
      <c r="Z396" s="65"/>
    </row>
    <row r="397" customFormat="false" ht="15.75" hidden="false" customHeight="true" outlineLevel="0" collapsed="false">
      <c r="A397" s="65"/>
      <c r="B397" s="65"/>
      <c r="C397" s="65"/>
      <c r="D397" s="65"/>
      <c r="E397" s="65"/>
      <c r="F397" s="65"/>
      <c r="G397" s="65"/>
      <c r="H397" s="65"/>
      <c r="I397" s="65"/>
      <c r="J397" s="65"/>
      <c r="K397" s="65"/>
      <c r="L397" s="65"/>
      <c r="M397" s="65"/>
      <c r="N397" s="65"/>
      <c r="O397" s="65"/>
      <c r="P397" s="65"/>
      <c r="Q397" s="65"/>
      <c r="R397" s="65"/>
      <c r="S397" s="65"/>
      <c r="T397" s="65"/>
      <c r="U397" s="65"/>
      <c r="V397" s="65"/>
      <c r="W397" s="65"/>
      <c r="X397" s="65"/>
      <c r="Y397" s="65"/>
      <c r="Z397" s="65"/>
    </row>
    <row r="398" customFormat="false" ht="15.75" hidden="false" customHeight="true" outlineLevel="0" collapsed="false">
      <c r="A398" s="65"/>
      <c r="B398" s="65"/>
      <c r="C398" s="65"/>
      <c r="D398" s="65"/>
      <c r="E398" s="65"/>
      <c r="F398" s="65"/>
      <c r="G398" s="65"/>
      <c r="H398" s="65"/>
      <c r="I398" s="65"/>
      <c r="J398" s="65"/>
      <c r="K398" s="65"/>
      <c r="L398" s="65"/>
      <c r="M398" s="65"/>
      <c r="N398" s="65"/>
      <c r="O398" s="65"/>
      <c r="P398" s="65"/>
      <c r="Q398" s="65"/>
      <c r="R398" s="65"/>
      <c r="S398" s="65"/>
      <c r="T398" s="65"/>
      <c r="U398" s="65"/>
      <c r="V398" s="65"/>
      <c r="W398" s="65"/>
      <c r="X398" s="65"/>
      <c r="Y398" s="65"/>
      <c r="Z398" s="65"/>
    </row>
    <row r="399" customFormat="false" ht="15.75" hidden="false" customHeight="true" outlineLevel="0" collapsed="false">
      <c r="A399" s="65"/>
      <c r="B399" s="65"/>
      <c r="C399" s="65"/>
      <c r="D399" s="65"/>
      <c r="E399" s="65"/>
      <c r="F399" s="65"/>
      <c r="G399" s="65"/>
      <c r="H399" s="65"/>
      <c r="I399" s="65"/>
      <c r="J399" s="65"/>
      <c r="K399" s="65"/>
      <c r="L399" s="65"/>
      <c r="M399" s="65"/>
      <c r="N399" s="65"/>
      <c r="O399" s="65"/>
      <c r="P399" s="65"/>
      <c r="Q399" s="65"/>
      <c r="R399" s="65"/>
      <c r="S399" s="65"/>
      <c r="T399" s="65"/>
      <c r="U399" s="65"/>
      <c r="V399" s="65"/>
      <c r="W399" s="65"/>
      <c r="X399" s="65"/>
      <c r="Y399" s="65"/>
      <c r="Z399" s="65"/>
    </row>
    <row r="400" customFormat="false" ht="15.75" hidden="false" customHeight="true" outlineLevel="0" collapsed="false">
      <c r="A400" s="65"/>
      <c r="B400" s="65"/>
      <c r="C400" s="65"/>
      <c r="D400" s="65"/>
      <c r="E400" s="65"/>
      <c r="F400" s="65"/>
      <c r="G400" s="65"/>
      <c r="H400" s="65"/>
      <c r="I400" s="65"/>
      <c r="J400" s="65"/>
      <c r="K400" s="65"/>
      <c r="L400" s="65"/>
      <c r="M400" s="65"/>
      <c r="N400" s="65"/>
      <c r="O400" s="65"/>
      <c r="P400" s="65"/>
      <c r="Q400" s="65"/>
      <c r="R400" s="65"/>
      <c r="S400" s="65"/>
      <c r="T400" s="65"/>
      <c r="U400" s="65"/>
      <c r="V400" s="65"/>
      <c r="W400" s="65"/>
      <c r="X400" s="65"/>
      <c r="Y400" s="65"/>
      <c r="Z400" s="65"/>
    </row>
    <row r="401" customFormat="false" ht="15.75" hidden="false" customHeight="true" outlineLevel="0" collapsed="false">
      <c r="A401" s="65"/>
      <c r="B401" s="65"/>
      <c r="C401" s="65"/>
      <c r="D401" s="65"/>
      <c r="E401" s="65"/>
      <c r="F401" s="65"/>
      <c r="G401" s="65"/>
      <c r="H401" s="65"/>
      <c r="I401" s="65"/>
      <c r="J401" s="65"/>
      <c r="K401" s="65"/>
      <c r="L401" s="65"/>
      <c r="M401" s="65"/>
      <c r="N401" s="65"/>
      <c r="O401" s="65"/>
      <c r="P401" s="65"/>
      <c r="Q401" s="65"/>
      <c r="R401" s="65"/>
      <c r="S401" s="65"/>
      <c r="T401" s="65"/>
      <c r="U401" s="65"/>
      <c r="V401" s="65"/>
      <c r="W401" s="65"/>
      <c r="X401" s="65"/>
      <c r="Y401" s="65"/>
      <c r="Z401" s="65"/>
    </row>
    <row r="402" customFormat="false" ht="15.75" hidden="false" customHeight="true" outlineLevel="0" collapsed="false">
      <c r="A402" s="65"/>
      <c r="B402" s="65"/>
      <c r="C402" s="65"/>
      <c r="D402" s="65"/>
      <c r="E402" s="65"/>
      <c r="F402" s="65"/>
      <c r="G402" s="65"/>
      <c r="H402" s="65"/>
      <c r="I402" s="65"/>
      <c r="J402" s="65"/>
      <c r="K402" s="65"/>
      <c r="L402" s="65"/>
      <c r="M402" s="65"/>
      <c r="N402" s="65"/>
      <c r="O402" s="65"/>
      <c r="P402" s="65"/>
      <c r="Q402" s="65"/>
      <c r="R402" s="65"/>
      <c r="S402" s="65"/>
      <c r="T402" s="65"/>
      <c r="U402" s="65"/>
      <c r="V402" s="65"/>
      <c r="W402" s="65"/>
      <c r="X402" s="65"/>
      <c r="Y402" s="65"/>
      <c r="Z402" s="65"/>
    </row>
    <row r="403" customFormat="false" ht="15.75" hidden="false" customHeight="true" outlineLevel="0" collapsed="false">
      <c r="A403" s="65"/>
      <c r="B403" s="65"/>
      <c r="C403" s="65"/>
      <c r="D403" s="65"/>
      <c r="E403" s="65"/>
      <c r="F403" s="65"/>
      <c r="G403" s="65"/>
      <c r="H403" s="65"/>
      <c r="I403" s="65"/>
      <c r="J403" s="65"/>
      <c r="K403" s="65"/>
      <c r="L403" s="65"/>
      <c r="M403" s="65"/>
      <c r="N403" s="65"/>
      <c r="O403" s="65"/>
      <c r="P403" s="65"/>
      <c r="Q403" s="65"/>
      <c r="R403" s="65"/>
      <c r="S403" s="65"/>
      <c r="T403" s="65"/>
      <c r="U403" s="65"/>
      <c r="V403" s="65"/>
      <c r="W403" s="65"/>
      <c r="X403" s="65"/>
      <c r="Y403" s="65"/>
      <c r="Z403" s="65"/>
    </row>
    <row r="404" customFormat="false" ht="15.75" hidden="false" customHeight="true" outlineLevel="0" collapsed="false">
      <c r="A404" s="65"/>
      <c r="B404" s="65"/>
      <c r="C404" s="65"/>
      <c r="D404" s="65"/>
      <c r="E404" s="65"/>
      <c r="F404" s="65"/>
      <c r="G404" s="65"/>
      <c r="H404" s="65"/>
      <c r="I404" s="65"/>
      <c r="J404" s="65"/>
      <c r="K404" s="65"/>
      <c r="L404" s="65"/>
      <c r="M404" s="65"/>
      <c r="N404" s="65"/>
      <c r="O404" s="65"/>
      <c r="P404" s="65"/>
      <c r="Q404" s="65"/>
      <c r="R404" s="65"/>
      <c r="S404" s="65"/>
      <c r="T404" s="65"/>
      <c r="U404" s="65"/>
      <c r="V404" s="65"/>
      <c r="W404" s="65"/>
      <c r="X404" s="65"/>
      <c r="Y404" s="65"/>
      <c r="Z404" s="65"/>
    </row>
    <row r="405" customFormat="false" ht="15.75" hidden="false" customHeight="true" outlineLevel="0" collapsed="false">
      <c r="A405" s="65"/>
      <c r="B405" s="65"/>
      <c r="C405" s="65"/>
      <c r="D405" s="65"/>
      <c r="E405" s="65"/>
      <c r="F405" s="65"/>
      <c r="G405" s="65"/>
      <c r="H405" s="65"/>
      <c r="I405" s="65"/>
      <c r="J405" s="65"/>
      <c r="K405" s="65"/>
      <c r="L405" s="65"/>
      <c r="M405" s="65"/>
      <c r="N405" s="65"/>
      <c r="O405" s="65"/>
      <c r="P405" s="65"/>
      <c r="Q405" s="65"/>
      <c r="R405" s="65"/>
      <c r="S405" s="65"/>
      <c r="T405" s="65"/>
      <c r="U405" s="65"/>
      <c r="V405" s="65"/>
      <c r="W405" s="65"/>
      <c r="X405" s="65"/>
      <c r="Y405" s="65"/>
      <c r="Z405" s="65"/>
    </row>
    <row r="406" customFormat="false" ht="15.75" hidden="false" customHeight="true" outlineLevel="0" collapsed="false">
      <c r="A406" s="65"/>
      <c r="B406" s="65"/>
      <c r="C406" s="65"/>
      <c r="D406" s="65"/>
      <c r="E406" s="65"/>
      <c r="F406" s="65"/>
      <c r="G406" s="65"/>
      <c r="H406" s="65"/>
      <c r="I406" s="65"/>
      <c r="J406" s="65"/>
      <c r="K406" s="65"/>
      <c r="L406" s="65"/>
      <c r="M406" s="65"/>
      <c r="N406" s="65"/>
      <c r="O406" s="65"/>
      <c r="P406" s="65"/>
      <c r="Q406" s="65"/>
      <c r="R406" s="65"/>
      <c r="S406" s="65"/>
      <c r="T406" s="65"/>
      <c r="U406" s="65"/>
      <c r="V406" s="65"/>
      <c r="W406" s="65"/>
      <c r="X406" s="65"/>
      <c r="Y406" s="65"/>
      <c r="Z406" s="65"/>
    </row>
    <row r="407" customFormat="false" ht="15.75" hidden="false" customHeight="true" outlineLevel="0" collapsed="false">
      <c r="A407" s="65"/>
      <c r="B407" s="65"/>
      <c r="C407" s="65"/>
      <c r="D407" s="65"/>
      <c r="E407" s="65"/>
      <c r="F407" s="65"/>
      <c r="G407" s="65"/>
      <c r="H407" s="65"/>
      <c r="I407" s="65"/>
      <c r="J407" s="65"/>
      <c r="K407" s="65"/>
      <c r="L407" s="65"/>
      <c r="M407" s="65"/>
      <c r="N407" s="65"/>
      <c r="O407" s="65"/>
      <c r="P407" s="65"/>
      <c r="Q407" s="65"/>
      <c r="R407" s="65"/>
      <c r="S407" s="65"/>
      <c r="T407" s="65"/>
      <c r="U407" s="65"/>
      <c r="V407" s="65"/>
      <c r="W407" s="65"/>
      <c r="X407" s="65"/>
      <c r="Y407" s="65"/>
      <c r="Z407" s="65"/>
    </row>
    <row r="408" customFormat="false" ht="15.75" hidden="false" customHeight="true" outlineLevel="0" collapsed="false">
      <c r="A408" s="65"/>
      <c r="B408" s="65"/>
      <c r="C408" s="65"/>
      <c r="D408" s="65"/>
      <c r="E408" s="65"/>
      <c r="F408" s="65"/>
      <c r="G408" s="65"/>
      <c r="H408" s="65"/>
      <c r="I408" s="65"/>
      <c r="J408" s="65"/>
      <c r="K408" s="65"/>
      <c r="L408" s="65"/>
      <c r="M408" s="65"/>
      <c r="N408" s="65"/>
      <c r="O408" s="65"/>
      <c r="P408" s="65"/>
      <c r="Q408" s="65"/>
      <c r="R408" s="65"/>
      <c r="S408" s="65"/>
      <c r="T408" s="65"/>
      <c r="U408" s="65"/>
      <c r="V408" s="65"/>
      <c r="W408" s="65"/>
      <c r="X408" s="65"/>
      <c r="Y408" s="65"/>
      <c r="Z408" s="65"/>
    </row>
    <row r="409" customFormat="false" ht="15.75" hidden="false" customHeight="true" outlineLevel="0" collapsed="false">
      <c r="A409" s="65"/>
      <c r="B409" s="65"/>
      <c r="C409" s="65"/>
      <c r="D409" s="65"/>
      <c r="E409" s="65"/>
      <c r="F409" s="65"/>
      <c r="G409" s="65"/>
      <c r="H409" s="65"/>
      <c r="I409" s="65"/>
      <c r="J409" s="65"/>
      <c r="K409" s="65"/>
      <c r="L409" s="65"/>
      <c r="M409" s="65"/>
      <c r="N409" s="65"/>
      <c r="O409" s="65"/>
      <c r="P409" s="65"/>
      <c r="Q409" s="65"/>
      <c r="R409" s="65"/>
      <c r="S409" s="65"/>
      <c r="T409" s="65"/>
      <c r="U409" s="65"/>
      <c r="V409" s="65"/>
      <c r="W409" s="65"/>
      <c r="X409" s="65"/>
      <c r="Y409" s="65"/>
      <c r="Z409" s="65"/>
    </row>
    <row r="410" customFormat="false" ht="15.75" hidden="false" customHeight="true" outlineLevel="0" collapsed="false">
      <c r="A410" s="65"/>
      <c r="B410" s="65"/>
      <c r="C410" s="65"/>
      <c r="D410" s="65"/>
      <c r="E410" s="65"/>
      <c r="F410" s="65"/>
      <c r="G410" s="65"/>
      <c r="H410" s="65"/>
      <c r="I410" s="65"/>
      <c r="J410" s="65"/>
      <c r="K410" s="65"/>
      <c r="L410" s="65"/>
      <c r="M410" s="65"/>
      <c r="N410" s="65"/>
      <c r="O410" s="65"/>
      <c r="P410" s="65"/>
      <c r="Q410" s="65"/>
      <c r="R410" s="65"/>
      <c r="S410" s="65"/>
      <c r="T410" s="65"/>
      <c r="U410" s="65"/>
      <c r="V410" s="65"/>
      <c r="W410" s="65"/>
      <c r="X410" s="65"/>
      <c r="Y410" s="65"/>
      <c r="Z410" s="65"/>
    </row>
    <row r="411" customFormat="false" ht="15.75" hidden="false" customHeight="true" outlineLevel="0" collapsed="false">
      <c r="A411" s="65"/>
      <c r="B411" s="65"/>
      <c r="C411" s="65"/>
      <c r="D411" s="65"/>
      <c r="E411" s="65"/>
      <c r="F411" s="65"/>
      <c r="G411" s="65"/>
      <c r="H411" s="65"/>
      <c r="I411" s="65"/>
      <c r="J411" s="65"/>
      <c r="K411" s="65"/>
      <c r="L411" s="65"/>
      <c r="M411" s="65"/>
      <c r="N411" s="65"/>
      <c r="O411" s="65"/>
      <c r="P411" s="65"/>
      <c r="Q411" s="65"/>
      <c r="R411" s="65"/>
      <c r="S411" s="65"/>
      <c r="T411" s="65"/>
      <c r="U411" s="65"/>
      <c r="V411" s="65"/>
      <c r="W411" s="65"/>
      <c r="X411" s="65"/>
      <c r="Y411" s="65"/>
      <c r="Z411" s="65"/>
    </row>
    <row r="412" customFormat="false" ht="15.75" hidden="false" customHeight="true" outlineLevel="0" collapsed="false">
      <c r="A412" s="65"/>
      <c r="B412" s="65"/>
      <c r="C412" s="65"/>
      <c r="D412" s="65"/>
      <c r="E412" s="65"/>
      <c r="F412" s="65"/>
      <c r="G412" s="65"/>
      <c r="H412" s="65"/>
      <c r="I412" s="65"/>
      <c r="J412" s="65"/>
      <c r="K412" s="65"/>
      <c r="L412" s="65"/>
      <c r="M412" s="65"/>
      <c r="N412" s="65"/>
      <c r="O412" s="65"/>
      <c r="P412" s="65"/>
      <c r="Q412" s="65"/>
      <c r="R412" s="65"/>
      <c r="S412" s="65"/>
      <c r="T412" s="65"/>
      <c r="U412" s="65"/>
      <c r="V412" s="65"/>
      <c r="W412" s="65"/>
      <c r="X412" s="65"/>
      <c r="Y412" s="65"/>
      <c r="Z412" s="65"/>
    </row>
    <row r="413" customFormat="false" ht="15.75" hidden="false" customHeight="true" outlineLevel="0" collapsed="false">
      <c r="A413" s="65"/>
      <c r="B413" s="65"/>
      <c r="C413" s="65"/>
      <c r="D413" s="65"/>
      <c r="E413" s="65"/>
      <c r="F413" s="65"/>
      <c r="G413" s="65"/>
      <c r="H413" s="65"/>
      <c r="I413" s="65"/>
      <c r="J413" s="65"/>
      <c r="K413" s="65"/>
      <c r="L413" s="65"/>
      <c r="M413" s="65"/>
      <c r="N413" s="65"/>
      <c r="O413" s="65"/>
      <c r="P413" s="65"/>
      <c r="Q413" s="65"/>
      <c r="R413" s="65"/>
      <c r="S413" s="65"/>
      <c r="T413" s="65"/>
      <c r="U413" s="65"/>
      <c r="V413" s="65"/>
      <c r="W413" s="65"/>
      <c r="X413" s="65"/>
      <c r="Y413" s="65"/>
      <c r="Z413" s="65"/>
    </row>
    <row r="414" customFormat="false" ht="15.75" hidden="false" customHeight="true" outlineLevel="0" collapsed="false">
      <c r="A414" s="65"/>
      <c r="B414" s="65"/>
      <c r="C414" s="65"/>
      <c r="D414" s="65"/>
      <c r="E414" s="65"/>
      <c r="F414" s="65"/>
      <c r="G414" s="65"/>
      <c r="H414" s="65"/>
      <c r="I414" s="65"/>
      <c r="J414" s="65"/>
      <c r="K414" s="65"/>
      <c r="L414" s="65"/>
      <c r="M414" s="65"/>
      <c r="N414" s="65"/>
      <c r="O414" s="65"/>
      <c r="P414" s="65"/>
      <c r="Q414" s="65"/>
      <c r="R414" s="65"/>
      <c r="S414" s="65"/>
      <c r="T414" s="65"/>
      <c r="U414" s="65"/>
      <c r="V414" s="65"/>
      <c r="W414" s="65"/>
      <c r="X414" s="65"/>
      <c r="Y414" s="65"/>
      <c r="Z414" s="65"/>
    </row>
    <row r="415" customFormat="false" ht="15.75" hidden="false" customHeight="true" outlineLevel="0" collapsed="false">
      <c r="A415" s="65"/>
      <c r="B415" s="65"/>
      <c r="C415" s="65"/>
      <c r="D415" s="65"/>
      <c r="E415" s="65"/>
      <c r="F415" s="65"/>
      <c r="G415" s="65"/>
      <c r="H415" s="65"/>
      <c r="I415" s="65"/>
      <c r="J415" s="65"/>
      <c r="K415" s="65"/>
      <c r="L415" s="65"/>
      <c r="M415" s="65"/>
      <c r="N415" s="65"/>
      <c r="O415" s="65"/>
      <c r="P415" s="65"/>
      <c r="Q415" s="65"/>
      <c r="R415" s="65"/>
      <c r="S415" s="65"/>
      <c r="T415" s="65"/>
      <c r="U415" s="65"/>
      <c r="V415" s="65"/>
      <c r="W415" s="65"/>
      <c r="X415" s="65"/>
      <c r="Y415" s="65"/>
      <c r="Z415" s="65"/>
    </row>
    <row r="416" customFormat="false" ht="15.75" hidden="false" customHeight="true" outlineLevel="0" collapsed="false">
      <c r="A416" s="65"/>
      <c r="B416" s="65"/>
      <c r="C416" s="65"/>
      <c r="D416" s="65"/>
      <c r="E416" s="65"/>
      <c r="F416" s="65"/>
      <c r="G416" s="65"/>
      <c r="H416" s="65"/>
      <c r="I416" s="65"/>
      <c r="J416" s="65"/>
      <c r="K416" s="65"/>
      <c r="L416" s="65"/>
      <c r="M416" s="65"/>
      <c r="N416" s="65"/>
      <c r="O416" s="65"/>
      <c r="P416" s="65"/>
      <c r="Q416" s="65"/>
      <c r="R416" s="65"/>
      <c r="S416" s="65"/>
      <c r="T416" s="65"/>
      <c r="U416" s="65"/>
      <c r="V416" s="65"/>
      <c r="W416" s="65"/>
      <c r="X416" s="65"/>
      <c r="Y416" s="65"/>
      <c r="Z416" s="65"/>
    </row>
    <row r="417" customFormat="false" ht="15.75" hidden="false" customHeight="true" outlineLevel="0" collapsed="false">
      <c r="A417" s="65"/>
      <c r="B417" s="65"/>
      <c r="C417" s="65"/>
      <c r="D417" s="65"/>
      <c r="E417" s="65"/>
      <c r="F417" s="65"/>
      <c r="G417" s="65"/>
      <c r="H417" s="65"/>
      <c r="I417" s="65"/>
      <c r="J417" s="65"/>
      <c r="K417" s="65"/>
      <c r="L417" s="65"/>
      <c r="M417" s="65"/>
      <c r="N417" s="65"/>
      <c r="O417" s="65"/>
      <c r="P417" s="65"/>
      <c r="Q417" s="65"/>
      <c r="R417" s="65"/>
      <c r="S417" s="65"/>
      <c r="T417" s="65"/>
      <c r="U417" s="65"/>
      <c r="V417" s="65"/>
      <c r="W417" s="65"/>
      <c r="X417" s="65"/>
      <c r="Y417" s="65"/>
      <c r="Z417" s="65"/>
    </row>
    <row r="418" customFormat="false" ht="15.75" hidden="false" customHeight="true" outlineLevel="0" collapsed="false">
      <c r="A418" s="65"/>
      <c r="B418" s="65"/>
      <c r="C418" s="65"/>
      <c r="D418" s="65"/>
      <c r="E418" s="65"/>
      <c r="F418" s="65"/>
      <c r="G418" s="65"/>
      <c r="H418" s="65"/>
      <c r="I418" s="65"/>
      <c r="J418" s="65"/>
      <c r="K418" s="65"/>
      <c r="L418" s="65"/>
      <c r="M418" s="65"/>
      <c r="N418" s="65"/>
      <c r="O418" s="65"/>
      <c r="P418" s="65"/>
      <c r="Q418" s="65"/>
      <c r="R418" s="65"/>
      <c r="S418" s="65"/>
      <c r="T418" s="65"/>
      <c r="U418" s="65"/>
      <c r="V418" s="65"/>
      <c r="W418" s="65"/>
      <c r="X418" s="65"/>
      <c r="Y418" s="65"/>
      <c r="Z418" s="65"/>
    </row>
    <row r="419" customFormat="false" ht="15.75" hidden="false" customHeight="true" outlineLevel="0" collapsed="false">
      <c r="A419" s="65"/>
      <c r="B419" s="65"/>
      <c r="C419" s="65"/>
      <c r="D419" s="65"/>
      <c r="E419" s="65"/>
      <c r="F419" s="65"/>
      <c r="G419" s="65"/>
      <c r="H419" s="65"/>
      <c r="I419" s="65"/>
      <c r="J419" s="65"/>
      <c r="K419" s="65"/>
      <c r="L419" s="65"/>
      <c r="M419" s="65"/>
      <c r="N419" s="65"/>
      <c r="O419" s="65"/>
      <c r="P419" s="65"/>
      <c r="Q419" s="65"/>
      <c r="R419" s="65"/>
      <c r="S419" s="65"/>
      <c r="T419" s="65"/>
      <c r="U419" s="65"/>
      <c r="V419" s="65"/>
      <c r="W419" s="65"/>
      <c r="X419" s="65"/>
      <c r="Y419" s="65"/>
      <c r="Z419" s="65"/>
    </row>
    <row r="420" customFormat="false" ht="15.75" hidden="false" customHeight="true" outlineLevel="0" collapsed="false">
      <c r="A420" s="65"/>
      <c r="B420" s="65"/>
      <c r="C420" s="65"/>
      <c r="D420" s="65"/>
      <c r="E420" s="65"/>
      <c r="F420" s="65"/>
      <c r="G420" s="65"/>
      <c r="H420" s="65"/>
      <c r="I420" s="65"/>
      <c r="J420" s="65"/>
      <c r="K420" s="65"/>
      <c r="L420" s="65"/>
      <c r="M420" s="65"/>
      <c r="N420" s="65"/>
      <c r="O420" s="65"/>
      <c r="P420" s="65"/>
      <c r="Q420" s="65"/>
      <c r="R420" s="65"/>
      <c r="S420" s="65"/>
      <c r="T420" s="65"/>
      <c r="U420" s="65"/>
      <c r="V420" s="65"/>
      <c r="W420" s="65"/>
      <c r="X420" s="65"/>
      <c r="Y420" s="65"/>
      <c r="Z420" s="65"/>
    </row>
    <row r="421" customFormat="false" ht="15.75" hidden="false" customHeight="true" outlineLevel="0" collapsed="false">
      <c r="A421" s="65"/>
      <c r="B421" s="65"/>
      <c r="C421" s="65"/>
      <c r="D421" s="65"/>
      <c r="E421" s="65"/>
      <c r="F421" s="65"/>
      <c r="G421" s="65"/>
      <c r="H421" s="65"/>
      <c r="I421" s="65"/>
      <c r="J421" s="65"/>
      <c r="K421" s="65"/>
      <c r="L421" s="65"/>
      <c r="M421" s="65"/>
      <c r="N421" s="65"/>
      <c r="O421" s="65"/>
      <c r="P421" s="65"/>
      <c r="Q421" s="65"/>
      <c r="R421" s="65"/>
      <c r="S421" s="65"/>
      <c r="T421" s="65"/>
      <c r="U421" s="65"/>
      <c r="V421" s="65"/>
      <c r="W421" s="65"/>
      <c r="X421" s="65"/>
      <c r="Y421" s="65"/>
      <c r="Z421" s="65"/>
    </row>
    <row r="422" customFormat="false" ht="15.75" hidden="false" customHeight="true" outlineLevel="0" collapsed="false">
      <c r="A422" s="65"/>
      <c r="B422" s="65"/>
      <c r="C422" s="65"/>
      <c r="D422" s="65"/>
      <c r="E422" s="65"/>
      <c r="F422" s="65"/>
      <c r="G422" s="65"/>
      <c r="H422" s="65"/>
      <c r="I422" s="65"/>
      <c r="J422" s="65"/>
      <c r="K422" s="65"/>
      <c r="L422" s="65"/>
      <c r="M422" s="65"/>
      <c r="N422" s="65"/>
      <c r="O422" s="65"/>
      <c r="P422" s="65"/>
      <c r="Q422" s="65"/>
      <c r="R422" s="65"/>
      <c r="S422" s="65"/>
      <c r="T422" s="65"/>
      <c r="U422" s="65"/>
      <c r="V422" s="65"/>
      <c r="W422" s="65"/>
      <c r="X422" s="65"/>
      <c r="Y422" s="65"/>
      <c r="Z422" s="65"/>
    </row>
    <row r="423" customFormat="false" ht="15.75" hidden="false" customHeight="true" outlineLevel="0" collapsed="false">
      <c r="A423" s="65"/>
      <c r="B423" s="65"/>
      <c r="C423" s="65"/>
      <c r="D423" s="65"/>
      <c r="E423" s="65"/>
      <c r="F423" s="65"/>
      <c r="G423" s="65"/>
      <c r="H423" s="65"/>
      <c r="I423" s="65"/>
      <c r="J423" s="65"/>
      <c r="K423" s="65"/>
      <c r="L423" s="65"/>
      <c r="M423" s="65"/>
      <c r="N423" s="65"/>
      <c r="O423" s="65"/>
      <c r="P423" s="65"/>
      <c r="Q423" s="65"/>
      <c r="R423" s="65"/>
      <c r="S423" s="65"/>
      <c r="T423" s="65"/>
      <c r="U423" s="65"/>
      <c r="V423" s="65"/>
      <c r="W423" s="65"/>
      <c r="X423" s="65"/>
      <c r="Y423" s="65"/>
      <c r="Z423" s="65"/>
    </row>
    <row r="424" customFormat="false" ht="15.75" hidden="false" customHeight="true" outlineLevel="0" collapsed="false">
      <c r="A424" s="65"/>
      <c r="B424" s="65"/>
      <c r="C424" s="65"/>
      <c r="D424" s="65"/>
      <c r="E424" s="65"/>
      <c r="F424" s="65"/>
      <c r="G424" s="65"/>
      <c r="H424" s="65"/>
      <c r="I424" s="65"/>
      <c r="J424" s="65"/>
      <c r="K424" s="65"/>
      <c r="L424" s="65"/>
      <c r="M424" s="65"/>
      <c r="N424" s="65"/>
      <c r="O424" s="65"/>
      <c r="P424" s="65"/>
      <c r="Q424" s="65"/>
      <c r="R424" s="65"/>
      <c r="S424" s="65"/>
      <c r="T424" s="65"/>
      <c r="U424" s="65"/>
      <c r="V424" s="65"/>
      <c r="W424" s="65"/>
      <c r="X424" s="65"/>
      <c r="Y424" s="65"/>
      <c r="Z424" s="65"/>
    </row>
    <row r="425" customFormat="false" ht="15.75" hidden="false" customHeight="true" outlineLevel="0" collapsed="false">
      <c r="A425" s="65"/>
      <c r="B425" s="65"/>
      <c r="C425" s="65"/>
      <c r="D425" s="65"/>
      <c r="E425" s="65"/>
      <c r="F425" s="65"/>
      <c r="G425" s="65"/>
      <c r="H425" s="65"/>
      <c r="I425" s="65"/>
      <c r="J425" s="65"/>
      <c r="K425" s="65"/>
      <c r="L425" s="65"/>
      <c r="M425" s="65"/>
      <c r="N425" s="65"/>
      <c r="O425" s="65"/>
      <c r="P425" s="65"/>
      <c r="Q425" s="65"/>
      <c r="R425" s="65"/>
      <c r="S425" s="65"/>
      <c r="T425" s="65"/>
      <c r="U425" s="65"/>
      <c r="V425" s="65"/>
      <c r="W425" s="65"/>
      <c r="X425" s="65"/>
      <c r="Y425" s="65"/>
      <c r="Z425" s="65"/>
    </row>
    <row r="426" customFormat="false" ht="15.75" hidden="false" customHeight="true" outlineLevel="0" collapsed="false">
      <c r="A426" s="65"/>
      <c r="B426" s="65"/>
      <c r="C426" s="65"/>
      <c r="D426" s="65"/>
      <c r="E426" s="65"/>
      <c r="F426" s="65"/>
      <c r="G426" s="65"/>
      <c r="H426" s="65"/>
      <c r="I426" s="65"/>
      <c r="J426" s="65"/>
      <c r="K426" s="65"/>
      <c r="L426" s="65"/>
      <c r="M426" s="65"/>
      <c r="N426" s="65"/>
      <c r="O426" s="65"/>
      <c r="P426" s="65"/>
      <c r="Q426" s="65"/>
      <c r="R426" s="65"/>
      <c r="S426" s="65"/>
      <c r="T426" s="65"/>
      <c r="U426" s="65"/>
      <c r="V426" s="65"/>
      <c r="W426" s="65"/>
      <c r="X426" s="65"/>
      <c r="Y426" s="65"/>
      <c r="Z426" s="65"/>
    </row>
    <row r="427" customFormat="false" ht="15.75" hidden="false" customHeight="true" outlineLevel="0" collapsed="false">
      <c r="A427" s="65"/>
      <c r="B427" s="65"/>
      <c r="C427" s="65"/>
      <c r="D427" s="65"/>
      <c r="E427" s="65"/>
      <c r="F427" s="65"/>
      <c r="G427" s="65"/>
      <c r="H427" s="65"/>
      <c r="I427" s="65"/>
      <c r="J427" s="65"/>
      <c r="K427" s="65"/>
      <c r="L427" s="65"/>
      <c r="M427" s="65"/>
      <c r="N427" s="65"/>
      <c r="O427" s="65"/>
      <c r="P427" s="65"/>
      <c r="Q427" s="65"/>
      <c r="R427" s="65"/>
      <c r="S427" s="65"/>
      <c r="T427" s="65"/>
      <c r="U427" s="65"/>
      <c r="V427" s="65"/>
      <c r="W427" s="65"/>
      <c r="X427" s="65"/>
      <c r="Y427" s="65"/>
      <c r="Z427" s="65"/>
    </row>
    <row r="428" customFormat="false" ht="15.75" hidden="false" customHeight="true" outlineLevel="0" collapsed="false">
      <c r="A428" s="65"/>
      <c r="B428" s="65"/>
      <c r="C428" s="65"/>
      <c r="D428" s="65"/>
      <c r="E428" s="65"/>
      <c r="F428" s="65"/>
      <c r="G428" s="65"/>
      <c r="H428" s="65"/>
      <c r="I428" s="65"/>
      <c r="J428" s="65"/>
      <c r="K428" s="65"/>
      <c r="L428" s="65"/>
      <c r="M428" s="65"/>
      <c r="N428" s="65"/>
      <c r="O428" s="65"/>
      <c r="P428" s="65"/>
      <c r="Q428" s="65"/>
      <c r="R428" s="65"/>
      <c r="S428" s="65"/>
      <c r="T428" s="65"/>
      <c r="U428" s="65"/>
      <c r="V428" s="65"/>
      <c r="W428" s="65"/>
      <c r="X428" s="65"/>
      <c r="Y428" s="65"/>
      <c r="Z428" s="65"/>
    </row>
    <row r="429" customFormat="false" ht="15.75" hidden="false" customHeight="true" outlineLevel="0" collapsed="false">
      <c r="A429" s="65"/>
      <c r="B429" s="65"/>
      <c r="C429" s="65"/>
      <c r="D429" s="65"/>
      <c r="E429" s="65"/>
      <c r="F429" s="65"/>
      <c r="G429" s="65"/>
      <c r="H429" s="65"/>
      <c r="I429" s="65"/>
      <c r="J429" s="65"/>
      <c r="K429" s="65"/>
      <c r="L429" s="65"/>
      <c r="M429" s="65"/>
      <c r="N429" s="65"/>
      <c r="O429" s="65"/>
      <c r="P429" s="65"/>
      <c r="Q429" s="65"/>
      <c r="R429" s="65"/>
      <c r="S429" s="65"/>
      <c r="T429" s="65"/>
      <c r="U429" s="65"/>
      <c r="V429" s="65"/>
      <c r="W429" s="65"/>
      <c r="X429" s="65"/>
      <c r="Y429" s="65"/>
      <c r="Z429" s="65"/>
    </row>
    <row r="430" customFormat="false" ht="15.75" hidden="false" customHeight="true" outlineLevel="0" collapsed="false">
      <c r="A430" s="65"/>
      <c r="B430" s="65"/>
      <c r="C430" s="65"/>
      <c r="D430" s="65"/>
      <c r="E430" s="65"/>
      <c r="F430" s="65"/>
      <c r="G430" s="65"/>
      <c r="H430" s="65"/>
      <c r="I430" s="65"/>
      <c r="J430" s="65"/>
      <c r="K430" s="65"/>
      <c r="L430" s="65"/>
      <c r="M430" s="65"/>
      <c r="N430" s="65"/>
      <c r="O430" s="65"/>
      <c r="P430" s="65"/>
      <c r="Q430" s="65"/>
      <c r="R430" s="65"/>
      <c r="S430" s="65"/>
      <c r="T430" s="65"/>
      <c r="U430" s="65"/>
      <c r="V430" s="65"/>
      <c r="W430" s="65"/>
      <c r="X430" s="65"/>
      <c r="Y430" s="65"/>
      <c r="Z430" s="65"/>
    </row>
    <row r="431" customFormat="false" ht="15.75" hidden="false" customHeight="true" outlineLevel="0" collapsed="false">
      <c r="A431" s="65"/>
      <c r="B431" s="65"/>
      <c r="C431" s="65"/>
      <c r="D431" s="65"/>
      <c r="E431" s="65"/>
      <c r="F431" s="65"/>
      <c r="G431" s="65"/>
      <c r="H431" s="65"/>
      <c r="I431" s="65"/>
      <c r="J431" s="65"/>
      <c r="K431" s="65"/>
      <c r="L431" s="65"/>
      <c r="M431" s="65"/>
      <c r="N431" s="65"/>
      <c r="O431" s="65"/>
      <c r="P431" s="65"/>
      <c r="Q431" s="65"/>
      <c r="R431" s="65"/>
      <c r="S431" s="65"/>
      <c r="T431" s="65"/>
      <c r="U431" s="65"/>
      <c r="V431" s="65"/>
      <c r="W431" s="65"/>
      <c r="X431" s="65"/>
      <c r="Y431" s="65"/>
      <c r="Z431" s="65"/>
    </row>
    <row r="432" customFormat="false" ht="15.75" hidden="false" customHeight="true" outlineLevel="0" collapsed="false">
      <c r="A432" s="65"/>
      <c r="B432" s="65"/>
      <c r="C432" s="65"/>
      <c r="D432" s="65"/>
      <c r="E432" s="65"/>
      <c r="F432" s="65"/>
      <c r="G432" s="65"/>
      <c r="H432" s="65"/>
      <c r="I432" s="65"/>
      <c r="J432" s="65"/>
      <c r="K432" s="65"/>
      <c r="L432" s="65"/>
      <c r="M432" s="65"/>
      <c r="N432" s="65"/>
      <c r="O432" s="65"/>
      <c r="P432" s="65"/>
      <c r="Q432" s="65"/>
      <c r="R432" s="65"/>
      <c r="S432" s="65"/>
      <c r="T432" s="65"/>
      <c r="U432" s="65"/>
      <c r="V432" s="65"/>
      <c r="W432" s="65"/>
      <c r="X432" s="65"/>
      <c r="Y432" s="65"/>
      <c r="Z432" s="65"/>
    </row>
    <row r="433" customFormat="false" ht="15.75" hidden="false" customHeight="true" outlineLevel="0" collapsed="false">
      <c r="A433" s="65"/>
      <c r="B433" s="65"/>
      <c r="C433" s="65"/>
      <c r="D433" s="65"/>
      <c r="E433" s="65"/>
      <c r="F433" s="65"/>
      <c r="G433" s="65"/>
      <c r="H433" s="65"/>
      <c r="I433" s="65"/>
      <c r="J433" s="65"/>
      <c r="K433" s="65"/>
      <c r="L433" s="65"/>
      <c r="M433" s="65"/>
      <c r="N433" s="65"/>
      <c r="O433" s="65"/>
      <c r="P433" s="65"/>
      <c r="Q433" s="65"/>
      <c r="R433" s="65"/>
      <c r="S433" s="65"/>
      <c r="T433" s="65"/>
      <c r="U433" s="65"/>
      <c r="V433" s="65"/>
      <c r="W433" s="65"/>
      <c r="X433" s="65"/>
      <c r="Y433" s="65"/>
      <c r="Z433" s="65"/>
    </row>
    <row r="434" customFormat="false" ht="15.75" hidden="false" customHeight="true" outlineLevel="0" collapsed="false">
      <c r="A434" s="65"/>
      <c r="B434" s="65"/>
      <c r="C434" s="65"/>
      <c r="D434" s="65"/>
      <c r="E434" s="65"/>
      <c r="F434" s="65"/>
      <c r="G434" s="65"/>
      <c r="H434" s="65"/>
      <c r="I434" s="65"/>
      <c r="J434" s="65"/>
      <c r="K434" s="65"/>
      <c r="L434" s="65"/>
      <c r="M434" s="65"/>
      <c r="N434" s="65"/>
      <c r="O434" s="65"/>
      <c r="P434" s="65"/>
      <c r="Q434" s="65"/>
      <c r="R434" s="65"/>
      <c r="S434" s="65"/>
      <c r="T434" s="65"/>
      <c r="U434" s="65"/>
      <c r="V434" s="65"/>
      <c r="W434" s="65"/>
      <c r="X434" s="65"/>
      <c r="Y434" s="65"/>
      <c r="Z434" s="65"/>
    </row>
    <row r="435" customFormat="false" ht="15.75" hidden="false" customHeight="true" outlineLevel="0" collapsed="false">
      <c r="A435" s="65"/>
      <c r="B435" s="65"/>
      <c r="C435" s="65"/>
      <c r="D435" s="65"/>
      <c r="E435" s="65"/>
      <c r="F435" s="65"/>
      <c r="G435" s="65"/>
      <c r="H435" s="65"/>
      <c r="I435" s="65"/>
      <c r="J435" s="65"/>
      <c r="K435" s="65"/>
      <c r="L435" s="65"/>
      <c r="M435" s="65"/>
      <c r="N435" s="65"/>
      <c r="O435" s="65"/>
      <c r="P435" s="65"/>
      <c r="Q435" s="65"/>
      <c r="R435" s="65"/>
      <c r="S435" s="65"/>
      <c r="T435" s="65"/>
      <c r="U435" s="65"/>
      <c r="V435" s="65"/>
      <c r="W435" s="65"/>
      <c r="X435" s="65"/>
      <c r="Y435" s="65"/>
      <c r="Z435" s="65"/>
    </row>
    <row r="436" customFormat="false" ht="15.75" hidden="false" customHeight="true" outlineLevel="0" collapsed="false">
      <c r="A436" s="65"/>
      <c r="B436" s="65"/>
      <c r="C436" s="65"/>
      <c r="D436" s="65"/>
      <c r="E436" s="65"/>
      <c r="F436" s="65"/>
      <c r="G436" s="65"/>
      <c r="H436" s="65"/>
      <c r="I436" s="65"/>
      <c r="J436" s="65"/>
      <c r="K436" s="65"/>
      <c r="L436" s="65"/>
      <c r="M436" s="65"/>
      <c r="N436" s="65"/>
      <c r="O436" s="65"/>
      <c r="P436" s="65"/>
      <c r="Q436" s="65"/>
      <c r="R436" s="65"/>
      <c r="S436" s="65"/>
      <c r="T436" s="65"/>
      <c r="U436" s="65"/>
      <c r="V436" s="65"/>
      <c r="W436" s="65"/>
      <c r="X436" s="65"/>
      <c r="Y436" s="65"/>
      <c r="Z436" s="65"/>
    </row>
    <row r="437" customFormat="false" ht="15.75" hidden="false" customHeight="true" outlineLevel="0" collapsed="false">
      <c r="A437" s="65"/>
      <c r="B437" s="65"/>
      <c r="C437" s="65"/>
      <c r="D437" s="65"/>
      <c r="E437" s="65"/>
      <c r="F437" s="65"/>
      <c r="G437" s="65"/>
      <c r="H437" s="65"/>
      <c r="I437" s="65"/>
      <c r="J437" s="65"/>
      <c r="K437" s="65"/>
      <c r="L437" s="65"/>
      <c r="M437" s="65"/>
      <c r="N437" s="65"/>
      <c r="O437" s="65"/>
      <c r="P437" s="65"/>
      <c r="Q437" s="65"/>
      <c r="R437" s="65"/>
      <c r="S437" s="65"/>
      <c r="T437" s="65"/>
      <c r="U437" s="65"/>
      <c r="V437" s="65"/>
      <c r="W437" s="65"/>
      <c r="X437" s="65"/>
      <c r="Y437" s="65"/>
      <c r="Z437" s="65"/>
    </row>
    <row r="438" customFormat="false" ht="15.75" hidden="false" customHeight="true" outlineLevel="0" collapsed="false">
      <c r="A438" s="65"/>
      <c r="B438" s="65"/>
      <c r="C438" s="65"/>
      <c r="D438" s="65"/>
      <c r="E438" s="65"/>
      <c r="F438" s="65"/>
      <c r="G438" s="65"/>
      <c r="H438" s="65"/>
      <c r="I438" s="65"/>
      <c r="J438" s="65"/>
      <c r="K438" s="65"/>
      <c r="L438" s="65"/>
      <c r="M438" s="65"/>
      <c r="N438" s="65"/>
      <c r="O438" s="65"/>
      <c r="P438" s="65"/>
      <c r="Q438" s="65"/>
      <c r="R438" s="65"/>
      <c r="S438" s="65"/>
      <c r="T438" s="65"/>
      <c r="U438" s="65"/>
      <c r="V438" s="65"/>
      <c r="W438" s="65"/>
      <c r="X438" s="65"/>
      <c r="Y438" s="65"/>
      <c r="Z438" s="65"/>
    </row>
    <row r="439" customFormat="false" ht="15.75" hidden="false" customHeight="true" outlineLevel="0" collapsed="false">
      <c r="A439" s="65"/>
      <c r="B439" s="65"/>
      <c r="C439" s="65"/>
      <c r="D439" s="65"/>
      <c r="E439" s="65"/>
      <c r="F439" s="65"/>
      <c r="G439" s="65"/>
      <c r="H439" s="65"/>
      <c r="I439" s="65"/>
      <c r="J439" s="65"/>
      <c r="K439" s="65"/>
      <c r="L439" s="65"/>
      <c r="M439" s="65"/>
      <c r="N439" s="65"/>
      <c r="O439" s="65"/>
      <c r="P439" s="65"/>
      <c r="Q439" s="65"/>
      <c r="R439" s="65"/>
      <c r="S439" s="65"/>
      <c r="T439" s="65"/>
      <c r="U439" s="65"/>
      <c r="V439" s="65"/>
      <c r="W439" s="65"/>
      <c r="X439" s="65"/>
      <c r="Y439" s="65"/>
      <c r="Z439" s="65"/>
    </row>
    <row r="440" customFormat="false" ht="15.75" hidden="false" customHeight="true" outlineLevel="0" collapsed="false">
      <c r="A440" s="65"/>
      <c r="B440" s="65"/>
      <c r="C440" s="65"/>
      <c r="D440" s="65"/>
      <c r="E440" s="65"/>
      <c r="F440" s="65"/>
      <c r="G440" s="65"/>
      <c r="H440" s="65"/>
      <c r="I440" s="65"/>
      <c r="J440" s="65"/>
      <c r="K440" s="65"/>
      <c r="L440" s="65"/>
      <c r="M440" s="65"/>
      <c r="N440" s="65"/>
      <c r="O440" s="65"/>
      <c r="P440" s="65"/>
      <c r="Q440" s="65"/>
      <c r="R440" s="65"/>
      <c r="S440" s="65"/>
      <c r="T440" s="65"/>
      <c r="U440" s="65"/>
      <c r="V440" s="65"/>
      <c r="W440" s="65"/>
      <c r="X440" s="65"/>
      <c r="Y440" s="65"/>
      <c r="Z440" s="65"/>
    </row>
    <row r="441" customFormat="false" ht="15.75" hidden="false" customHeight="true" outlineLevel="0" collapsed="false">
      <c r="A441" s="65"/>
      <c r="B441" s="65"/>
      <c r="C441" s="65"/>
      <c r="D441" s="65"/>
      <c r="E441" s="65"/>
      <c r="F441" s="65"/>
      <c r="G441" s="65"/>
      <c r="H441" s="65"/>
      <c r="I441" s="65"/>
      <c r="J441" s="65"/>
      <c r="K441" s="65"/>
      <c r="L441" s="65"/>
      <c r="M441" s="65"/>
      <c r="N441" s="65"/>
      <c r="O441" s="65"/>
      <c r="P441" s="65"/>
      <c r="Q441" s="65"/>
      <c r="R441" s="65"/>
      <c r="S441" s="65"/>
      <c r="T441" s="65"/>
      <c r="U441" s="65"/>
      <c r="V441" s="65"/>
      <c r="W441" s="65"/>
      <c r="X441" s="65"/>
      <c r="Y441" s="65"/>
      <c r="Z441" s="65"/>
    </row>
    <row r="442" customFormat="false" ht="15.75" hidden="false" customHeight="true" outlineLevel="0" collapsed="false">
      <c r="A442" s="65"/>
      <c r="B442" s="65"/>
      <c r="C442" s="65"/>
      <c r="D442" s="65"/>
      <c r="E442" s="65"/>
      <c r="F442" s="65"/>
      <c r="G442" s="65"/>
      <c r="H442" s="65"/>
      <c r="I442" s="65"/>
      <c r="J442" s="65"/>
      <c r="K442" s="65"/>
      <c r="L442" s="65"/>
      <c r="M442" s="65"/>
      <c r="N442" s="65"/>
      <c r="O442" s="65"/>
      <c r="P442" s="65"/>
      <c r="Q442" s="65"/>
      <c r="R442" s="65"/>
      <c r="S442" s="65"/>
      <c r="T442" s="65"/>
      <c r="U442" s="65"/>
      <c r="V442" s="65"/>
      <c r="W442" s="65"/>
      <c r="X442" s="65"/>
      <c r="Y442" s="65"/>
      <c r="Z442" s="65"/>
    </row>
    <row r="443" customFormat="false" ht="15.75" hidden="false" customHeight="true" outlineLevel="0" collapsed="false">
      <c r="A443" s="65"/>
      <c r="B443" s="65"/>
      <c r="C443" s="65"/>
      <c r="D443" s="65"/>
      <c r="E443" s="65"/>
      <c r="F443" s="65"/>
      <c r="G443" s="65"/>
      <c r="H443" s="65"/>
      <c r="I443" s="65"/>
      <c r="J443" s="65"/>
      <c r="K443" s="65"/>
      <c r="L443" s="65"/>
      <c r="M443" s="65"/>
      <c r="N443" s="65"/>
      <c r="O443" s="65"/>
      <c r="P443" s="65"/>
      <c r="Q443" s="65"/>
      <c r="R443" s="65"/>
      <c r="S443" s="65"/>
      <c r="T443" s="65"/>
      <c r="U443" s="65"/>
      <c r="V443" s="65"/>
      <c r="W443" s="65"/>
      <c r="X443" s="65"/>
      <c r="Y443" s="65"/>
      <c r="Z443" s="65"/>
    </row>
    <row r="444" customFormat="false" ht="15.75" hidden="false" customHeight="true" outlineLevel="0" collapsed="false">
      <c r="A444" s="65"/>
      <c r="B444" s="65"/>
      <c r="C444" s="65"/>
      <c r="D444" s="65"/>
      <c r="E444" s="65"/>
      <c r="F444" s="65"/>
      <c r="G444" s="65"/>
      <c r="H444" s="65"/>
      <c r="I444" s="65"/>
      <c r="J444" s="65"/>
      <c r="K444" s="65"/>
      <c r="L444" s="65"/>
      <c r="M444" s="65"/>
      <c r="N444" s="65"/>
      <c r="O444" s="65"/>
      <c r="P444" s="65"/>
      <c r="Q444" s="65"/>
      <c r="R444" s="65"/>
      <c r="S444" s="65"/>
      <c r="T444" s="65"/>
      <c r="U444" s="65"/>
      <c r="V444" s="65"/>
      <c r="W444" s="65"/>
      <c r="X444" s="65"/>
      <c r="Y444" s="65"/>
      <c r="Z444" s="65"/>
    </row>
    <row r="445" customFormat="false" ht="15.75" hidden="false" customHeight="true" outlineLevel="0" collapsed="false">
      <c r="A445" s="65"/>
      <c r="B445" s="65"/>
      <c r="C445" s="65"/>
      <c r="D445" s="65"/>
      <c r="E445" s="65"/>
      <c r="F445" s="65"/>
      <c r="G445" s="65"/>
      <c r="H445" s="65"/>
      <c r="I445" s="65"/>
      <c r="J445" s="65"/>
      <c r="K445" s="65"/>
      <c r="L445" s="65"/>
      <c r="M445" s="65"/>
      <c r="N445" s="65"/>
      <c r="O445" s="65"/>
      <c r="P445" s="65"/>
      <c r="Q445" s="65"/>
      <c r="R445" s="65"/>
      <c r="S445" s="65"/>
      <c r="T445" s="65"/>
      <c r="U445" s="65"/>
      <c r="V445" s="65"/>
      <c r="W445" s="65"/>
      <c r="X445" s="65"/>
      <c r="Y445" s="65"/>
      <c r="Z445" s="65"/>
    </row>
    <row r="446" customFormat="false" ht="15.75" hidden="false" customHeight="true" outlineLevel="0" collapsed="false">
      <c r="A446" s="65"/>
      <c r="B446" s="65"/>
      <c r="C446" s="65"/>
      <c r="D446" s="65"/>
      <c r="E446" s="65"/>
      <c r="F446" s="65"/>
      <c r="G446" s="65"/>
      <c r="H446" s="65"/>
      <c r="I446" s="65"/>
      <c r="J446" s="65"/>
      <c r="K446" s="65"/>
      <c r="L446" s="65"/>
      <c r="M446" s="65"/>
      <c r="N446" s="65"/>
      <c r="O446" s="65"/>
      <c r="P446" s="65"/>
      <c r="Q446" s="65"/>
      <c r="R446" s="65"/>
      <c r="S446" s="65"/>
      <c r="T446" s="65"/>
      <c r="U446" s="65"/>
      <c r="V446" s="65"/>
      <c r="W446" s="65"/>
      <c r="X446" s="65"/>
      <c r="Y446" s="65"/>
      <c r="Z446" s="65"/>
    </row>
    <row r="447" customFormat="false" ht="15.75" hidden="false" customHeight="true" outlineLevel="0" collapsed="false">
      <c r="A447" s="65"/>
      <c r="B447" s="65"/>
      <c r="C447" s="65"/>
      <c r="D447" s="65"/>
      <c r="E447" s="65"/>
      <c r="F447" s="65"/>
      <c r="G447" s="65"/>
      <c r="H447" s="65"/>
      <c r="I447" s="65"/>
      <c r="J447" s="65"/>
      <c r="K447" s="65"/>
      <c r="L447" s="65"/>
      <c r="M447" s="65"/>
      <c r="N447" s="65"/>
      <c r="O447" s="65"/>
      <c r="P447" s="65"/>
      <c r="Q447" s="65"/>
      <c r="R447" s="65"/>
      <c r="S447" s="65"/>
      <c r="T447" s="65"/>
      <c r="U447" s="65"/>
      <c r="V447" s="65"/>
      <c r="W447" s="65"/>
      <c r="X447" s="65"/>
      <c r="Y447" s="65"/>
      <c r="Z447" s="65"/>
    </row>
    <row r="448" customFormat="false" ht="15.75" hidden="false" customHeight="true" outlineLevel="0" collapsed="false">
      <c r="A448" s="65"/>
      <c r="B448" s="65"/>
      <c r="C448" s="65"/>
      <c r="D448" s="65"/>
      <c r="E448" s="65"/>
      <c r="F448" s="65"/>
      <c r="G448" s="65"/>
      <c r="H448" s="65"/>
      <c r="I448" s="65"/>
      <c r="J448" s="65"/>
      <c r="K448" s="65"/>
      <c r="L448" s="65"/>
      <c r="M448" s="65"/>
      <c r="N448" s="65"/>
      <c r="O448" s="65"/>
      <c r="P448" s="65"/>
      <c r="Q448" s="65"/>
      <c r="R448" s="65"/>
      <c r="S448" s="65"/>
      <c r="T448" s="65"/>
      <c r="U448" s="65"/>
      <c r="V448" s="65"/>
      <c r="W448" s="65"/>
      <c r="X448" s="65"/>
      <c r="Y448" s="65"/>
      <c r="Z448" s="65"/>
    </row>
    <row r="449" customFormat="false" ht="15.75" hidden="false" customHeight="true" outlineLevel="0" collapsed="false">
      <c r="A449" s="65"/>
      <c r="B449" s="65"/>
      <c r="C449" s="65"/>
      <c r="D449" s="65"/>
      <c r="E449" s="65"/>
      <c r="F449" s="65"/>
      <c r="G449" s="65"/>
      <c r="H449" s="65"/>
      <c r="I449" s="65"/>
      <c r="J449" s="65"/>
      <c r="K449" s="65"/>
      <c r="L449" s="65"/>
      <c r="M449" s="65"/>
      <c r="N449" s="65"/>
      <c r="O449" s="65"/>
      <c r="P449" s="65"/>
      <c r="Q449" s="65"/>
      <c r="R449" s="65"/>
      <c r="S449" s="65"/>
      <c r="T449" s="65"/>
      <c r="U449" s="65"/>
      <c r="V449" s="65"/>
      <c r="W449" s="65"/>
      <c r="X449" s="65"/>
      <c r="Y449" s="65"/>
      <c r="Z449" s="65"/>
    </row>
    <row r="450" customFormat="false" ht="15.75" hidden="false" customHeight="true" outlineLevel="0" collapsed="false">
      <c r="A450" s="65"/>
      <c r="B450" s="65"/>
      <c r="C450" s="65"/>
      <c r="D450" s="65"/>
      <c r="E450" s="65"/>
      <c r="F450" s="65"/>
      <c r="G450" s="65"/>
      <c r="H450" s="65"/>
      <c r="I450" s="65"/>
      <c r="J450" s="65"/>
      <c r="K450" s="65"/>
      <c r="L450" s="65"/>
      <c r="M450" s="65"/>
      <c r="N450" s="65"/>
      <c r="O450" s="65"/>
      <c r="P450" s="65"/>
      <c r="Q450" s="65"/>
      <c r="R450" s="65"/>
      <c r="S450" s="65"/>
      <c r="T450" s="65"/>
      <c r="U450" s="65"/>
      <c r="V450" s="65"/>
      <c r="W450" s="65"/>
      <c r="X450" s="65"/>
      <c r="Y450" s="65"/>
      <c r="Z450" s="65"/>
    </row>
    <row r="451" customFormat="false" ht="15.75" hidden="false" customHeight="true" outlineLevel="0" collapsed="false">
      <c r="A451" s="65"/>
      <c r="B451" s="65"/>
      <c r="C451" s="65"/>
      <c r="D451" s="65"/>
      <c r="E451" s="65"/>
      <c r="F451" s="65"/>
      <c r="G451" s="65"/>
      <c r="H451" s="65"/>
      <c r="I451" s="65"/>
      <c r="J451" s="65"/>
      <c r="K451" s="65"/>
      <c r="L451" s="65"/>
      <c r="M451" s="65"/>
      <c r="N451" s="65"/>
      <c r="O451" s="65"/>
      <c r="P451" s="65"/>
      <c r="Q451" s="65"/>
      <c r="R451" s="65"/>
      <c r="S451" s="65"/>
      <c r="T451" s="65"/>
      <c r="U451" s="65"/>
      <c r="V451" s="65"/>
      <c r="W451" s="65"/>
      <c r="X451" s="65"/>
      <c r="Y451" s="65"/>
      <c r="Z451" s="65"/>
    </row>
    <row r="452" customFormat="false" ht="15.75" hidden="false" customHeight="true" outlineLevel="0" collapsed="false">
      <c r="A452" s="65"/>
      <c r="B452" s="65"/>
      <c r="C452" s="65"/>
      <c r="D452" s="65"/>
      <c r="E452" s="65"/>
      <c r="F452" s="65"/>
      <c r="G452" s="65"/>
      <c r="H452" s="65"/>
      <c r="I452" s="65"/>
      <c r="J452" s="65"/>
      <c r="K452" s="65"/>
      <c r="L452" s="65"/>
      <c r="M452" s="65"/>
      <c r="N452" s="65"/>
      <c r="O452" s="65"/>
      <c r="P452" s="65"/>
      <c r="Q452" s="65"/>
      <c r="R452" s="65"/>
      <c r="S452" s="65"/>
      <c r="T452" s="65"/>
      <c r="U452" s="65"/>
      <c r="V452" s="65"/>
      <c r="W452" s="65"/>
      <c r="X452" s="65"/>
      <c r="Y452" s="65"/>
      <c r="Z452" s="65"/>
    </row>
    <row r="453" customFormat="false" ht="15.75" hidden="false" customHeight="true" outlineLevel="0" collapsed="false">
      <c r="A453" s="65"/>
      <c r="B453" s="65"/>
      <c r="C453" s="65"/>
      <c r="D453" s="65"/>
      <c r="E453" s="65"/>
      <c r="F453" s="65"/>
      <c r="G453" s="65"/>
      <c r="H453" s="65"/>
      <c r="I453" s="65"/>
      <c r="J453" s="65"/>
      <c r="K453" s="65"/>
      <c r="L453" s="65"/>
      <c r="M453" s="65"/>
      <c r="N453" s="65"/>
      <c r="O453" s="65"/>
      <c r="P453" s="65"/>
      <c r="Q453" s="65"/>
      <c r="R453" s="65"/>
      <c r="S453" s="65"/>
      <c r="T453" s="65"/>
      <c r="U453" s="65"/>
      <c r="V453" s="65"/>
      <c r="W453" s="65"/>
      <c r="X453" s="65"/>
      <c r="Y453" s="65"/>
      <c r="Z453" s="65"/>
    </row>
    <row r="454" customFormat="false" ht="15.75" hidden="false" customHeight="true" outlineLevel="0" collapsed="false">
      <c r="A454" s="65"/>
      <c r="B454" s="65"/>
      <c r="C454" s="65"/>
      <c r="D454" s="65"/>
      <c r="E454" s="65"/>
      <c r="F454" s="65"/>
      <c r="G454" s="65"/>
      <c r="H454" s="65"/>
      <c r="I454" s="65"/>
      <c r="J454" s="65"/>
      <c r="K454" s="65"/>
      <c r="L454" s="65"/>
      <c r="M454" s="65"/>
      <c r="N454" s="65"/>
      <c r="O454" s="65"/>
      <c r="P454" s="65"/>
      <c r="Q454" s="65"/>
      <c r="R454" s="65"/>
      <c r="S454" s="65"/>
      <c r="T454" s="65"/>
      <c r="U454" s="65"/>
      <c r="V454" s="65"/>
      <c r="W454" s="65"/>
      <c r="X454" s="65"/>
      <c r="Y454" s="65"/>
      <c r="Z454" s="65"/>
    </row>
    <row r="455" customFormat="false" ht="15.75" hidden="false" customHeight="true" outlineLevel="0" collapsed="false">
      <c r="A455" s="65"/>
      <c r="B455" s="65"/>
      <c r="C455" s="65"/>
      <c r="D455" s="65"/>
      <c r="E455" s="65"/>
      <c r="F455" s="65"/>
      <c r="G455" s="65"/>
      <c r="H455" s="65"/>
      <c r="I455" s="65"/>
      <c r="J455" s="65"/>
      <c r="K455" s="65"/>
      <c r="L455" s="65"/>
      <c r="M455" s="65"/>
      <c r="N455" s="65"/>
      <c r="O455" s="65"/>
      <c r="P455" s="65"/>
      <c r="Q455" s="65"/>
      <c r="R455" s="65"/>
      <c r="S455" s="65"/>
      <c r="T455" s="65"/>
      <c r="U455" s="65"/>
      <c r="V455" s="65"/>
      <c r="W455" s="65"/>
      <c r="X455" s="65"/>
      <c r="Y455" s="65"/>
      <c r="Z455" s="65"/>
    </row>
    <row r="456" customFormat="false" ht="15.75" hidden="false" customHeight="true" outlineLevel="0" collapsed="false">
      <c r="A456" s="65"/>
      <c r="B456" s="65"/>
      <c r="C456" s="65"/>
      <c r="D456" s="65"/>
      <c r="E456" s="65"/>
      <c r="F456" s="65"/>
      <c r="G456" s="65"/>
      <c r="H456" s="65"/>
      <c r="I456" s="65"/>
      <c r="J456" s="65"/>
      <c r="K456" s="65"/>
      <c r="L456" s="65"/>
      <c r="M456" s="65"/>
      <c r="N456" s="65"/>
      <c r="O456" s="65"/>
      <c r="P456" s="65"/>
      <c r="Q456" s="65"/>
      <c r="R456" s="65"/>
      <c r="S456" s="65"/>
      <c r="T456" s="65"/>
      <c r="U456" s="65"/>
      <c r="V456" s="65"/>
      <c r="W456" s="65"/>
      <c r="X456" s="65"/>
      <c r="Y456" s="65"/>
      <c r="Z456" s="65"/>
    </row>
    <row r="457" customFormat="false" ht="15.75" hidden="false" customHeight="true" outlineLevel="0" collapsed="false">
      <c r="A457" s="65"/>
      <c r="B457" s="65"/>
      <c r="C457" s="65"/>
      <c r="D457" s="65"/>
      <c r="E457" s="65"/>
      <c r="F457" s="65"/>
      <c r="G457" s="65"/>
      <c r="H457" s="65"/>
      <c r="I457" s="65"/>
      <c r="J457" s="65"/>
      <c r="K457" s="65"/>
      <c r="L457" s="65"/>
      <c r="M457" s="65"/>
      <c r="N457" s="65"/>
      <c r="O457" s="65"/>
      <c r="P457" s="65"/>
      <c r="Q457" s="65"/>
      <c r="R457" s="65"/>
      <c r="S457" s="65"/>
      <c r="T457" s="65"/>
      <c r="U457" s="65"/>
      <c r="V457" s="65"/>
      <c r="W457" s="65"/>
      <c r="X457" s="65"/>
      <c r="Y457" s="65"/>
      <c r="Z457" s="65"/>
    </row>
    <row r="458" customFormat="false" ht="15.75" hidden="false" customHeight="true" outlineLevel="0" collapsed="false">
      <c r="A458" s="65"/>
      <c r="B458" s="65"/>
      <c r="C458" s="65"/>
      <c r="D458" s="65"/>
      <c r="E458" s="65"/>
      <c r="F458" s="65"/>
      <c r="G458" s="65"/>
      <c r="H458" s="65"/>
      <c r="I458" s="65"/>
      <c r="J458" s="65"/>
      <c r="K458" s="65"/>
      <c r="L458" s="65"/>
      <c r="M458" s="65"/>
      <c r="N458" s="65"/>
      <c r="O458" s="65"/>
      <c r="P458" s="65"/>
      <c r="Q458" s="65"/>
      <c r="R458" s="65"/>
      <c r="S458" s="65"/>
      <c r="T458" s="65"/>
      <c r="U458" s="65"/>
      <c r="V458" s="65"/>
      <c r="W458" s="65"/>
      <c r="X458" s="65"/>
      <c r="Y458" s="65"/>
      <c r="Z458" s="65"/>
    </row>
    <row r="459" customFormat="false" ht="15.75" hidden="false" customHeight="true" outlineLevel="0" collapsed="false">
      <c r="A459" s="65"/>
      <c r="B459" s="65"/>
      <c r="C459" s="65"/>
      <c r="D459" s="65"/>
      <c r="E459" s="65"/>
      <c r="F459" s="65"/>
      <c r="G459" s="65"/>
      <c r="H459" s="65"/>
      <c r="I459" s="65"/>
      <c r="J459" s="65"/>
      <c r="K459" s="65"/>
      <c r="L459" s="65"/>
      <c r="M459" s="65"/>
      <c r="N459" s="65"/>
      <c r="O459" s="65"/>
      <c r="P459" s="65"/>
      <c r="Q459" s="65"/>
      <c r="R459" s="65"/>
      <c r="S459" s="65"/>
      <c r="T459" s="65"/>
      <c r="U459" s="65"/>
      <c r="V459" s="65"/>
      <c r="W459" s="65"/>
      <c r="X459" s="65"/>
      <c r="Y459" s="65"/>
      <c r="Z459" s="65"/>
    </row>
    <row r="460" customFormat="false" ht="15.75" hidden="false" customHeight="true" outlineLevel="0" collapsed="false">
      <c r="A460" s="65"/>
      <c r="B460" s="65"/>
      <c r="C460" s="65"/>
      <c r="D460" s="65"/>
      <c r="E460" s="65"/>
      <c r="F460" s="65"/>
      <c r="G460" s="65"/>
      <c r="H460" s="65"/>
      <c r="I460" s="65"/>
      <c r="J460" s="65"/>
      <c r="K460" s="65"/>
      <c r="L460" s="65"/>
      <c r="M460" s="65"/>
      <c r="N460" s="65"/>
      <c r="O460" s="65"/>
      <c r="P460" s="65"/>
      <c r="Q460" s="65"/>
      <c r="R460" s="65"/>
      <c r="S460" s="65"/>
      <c r="T460" s="65"/>
      <c r="U460" s="65"/>
      <c r="V460" s="65"/>
      <c r="W460" s="65"/>
      <c r="X460" s="65"/>
      <c r="Y460" s="65"/>
      <c r="Z460" s="65"/>
    </row>
    <row r="461" customFormat="false" ht="15.75" hidden="false" customHeight="true" outlineLevel="0" collapsed="false">
      <c r="A461" s="65"/>
      <c r="B461" s="65"/>
      <c r="C461" s="65"/>
      <c r="D461" s="65"/>
      <c r="E461" s="65"/>
      <c r="F461" s="65"/>
      <c r="G461" s="65"/>
      <c r="H461" s="65"/>
      <c r="I461" s="65"/>
      <c r="J461" s="65"/>
      <c r="K461" s="65"/>
      <c r="L461" s="65"/>
      <c r="M461" s="65"/>
      <c r="N461" s="65"/>
      <c r="O461" s="65"/>
      <c r="P461" s="65"/>
      <c r="Q461" s="65"/>
      <c r="R461" s="65"/>
      <c r="S461" s="65"/>
      <c r="T461" s="65"/>
      <c r="U461" s="65"/>
      <c r="V461" s="65"/>
      <c r="W461" s="65"/>
      <c r="X461" s="65"/>
      <c r="Y461" s="65"/>
      <c r="Z461" s="65"/>
    </row>
    <row r="462" customFormat="false" ht="15.75" hidden="false" customHeight="true" outlineLevel="0" collapsed="false">
      <c r="A462" s="65"/>
      <c r="B462" s="65"/>
      <c r="C462" s="65"/>
      <c r="D462" s="65"/>
      <c r="E462" s="65"/>
      <c r="F462" s="65"/>
      <c r="G462" s="65"/>
      <c r="H462" s="65"/>
      <c r="I462" s="65"/>
      <c r="J462" s="65"/>
      <c r="K462" s="65"/>
      <c r="L462" s="65"/>
      <c r="M462" s="65"/>
      <c r="N462" s="65"/>
      <c r="O462" s="65"/>
      <c r="P462" s="65"/>
      <c r="Q462" s="65"/>
      <c r="R462" s="65"/>
      <c r="S462" s="65"/>
      <c r="T462" s="65"/>
      <c r="U462" s="65"/>
      <c r="V462" s="65"/>
      <c r="W462" s="65"/>
      <c r="X462" s="65"/>
      <c r="Y462" s="65"/>
      <c r="Z462" s="65"/>
    </row>
    <row r="463" customFormat="false" ht="15.75" hidden="false" customHeight="true" outlineLevel="0" collapsed="false">
      <c r="A463" s="65"/>
      <c r="B463" s="65"/>
      <c r="C463" s="65"/>
      <c r="D463" s="65"/>
      <c r="E463" s="65"/>
      <c r="F463" s="65"/>
      <c r="G463" s="65"/>
      <c r="H463" s="65"/>
      <c r="I463" s="65"/>
      <c r="J463" s="65"/>
      <c r="K463" s="65"/>
      <c r="L463" s="65"/>
      <c r="M463" s="65"/>
      <c r="N463" s="65"/>
      <c r="O463" s="65"/>
      <c r="P463" s="65"/>
      <c r="Q463" s="65"/>
      <c r="R463" s="65"/>
      <c r="S463" s="65"/>
      <c r="T463" s="65"/>
      <c r="U463" s="65"/>
      <c r="V463" s="65"/>
      <c r="W463" s="65"/>
      <c r="X463" s="65"/>
      <c r="Y463" s="65"/>
      <c r="Z463" s="65"/>
    </row>
    <row r="464" customFormat="false" ht="15.75" hidden="false" customHeight="true" outlineLevel="0" collapsed="false">
      <c r="A464" s="65"/>
      <c r="B464" s="65"/>
      <c r="C464" s="65"/>
      <c r="D464" s="65"/>
      <c r="E464" s="65"/>
      <c r="F464" s="65"/>
      <c r="G464" s="65"/>
      <c r="H464" s="65"/>
      <c r="I464" s="65"/>
      <c r="J464" s="65"/>
      <c r="K464" s="65"/>
      <c r="L464" s="65"/>
      <c r="M464" s="65"/>
      <c r="N464" s="65"/>
      <c r="O464" s="65"/>
      <c r="P464" s="65"/>
      <c r="Q464" s="65"/>
      <c r="R464" s="65"/>
      <c r="S464" s="65"/>
      <c r="T464" s="65"/>
      <c r="U464" s="65"/>
      <c r="V464" s="65"/>
      <c r="W464" s="65"/>
      <c r="X464" s="65"/>
      <c r="Y464" s="65"/>
      <c r="Z464" s="65"/>
    </row>
    <row r="465" customFormat="false" ht="15.75" hidden="false" customHeight="true" outlineLevel="0" collapsed="false">
      <c r="A465" s="65"/>
      <c r="B465" s="65"/>
      <c r="C465" s="65"/>
      <c r="D465" s="65"/>
      <c r="E465" s="65"/>
      <c r="F465" s="65"/>
      <c r="G465" s="65"/>
      <c r="H465" s="65"/>
      <c r="I465" s="65"/>
      <c r="J465" s="65"/>
      <c r="K465" s="65"/>
      <c r="L465" s="65"/>
      <c r="M465" s="65"/>
      <c r="N465" s="65"/>
      <c r="O465" s="65"/>
      <c r="P465" s="65"/>
      <c r="Q465" s="65"/>
      <c r="R465" s="65"/>
      <c r="S465" s="65"/>
      <c r="T465" s="65"/>
      <c r="U465" s="65"/>
      <c r="V465" s="65"/>
      <c r="W465" s="65"/>
      <c r="X465" s="65"/>
      <c r="Y465" s="65"/>
      <c r="Z465" s="65"/>
    </row>
    <row r="466" customFormat="false" ht="15.75" hidden="false" customHeight="true" outlineLevel="0" collapsed="false">
      <c r="A466" s="65"/>
      <c r="B466" s="65"/>
      <c r="C466" s="65"/>
      <c r="D466" s="65"/>
      <c r="E466" s="65"/>
      <c r="F466" s="65"/>
      <c r="G466" s="65"/>
      <c r="H466" s="65"/>
      <c r="I466" s="65"/>
      <c r="J466" s="65"/>
      <c r="K466" s="65"/>
      <c r="L466" s="65"/>
      <c r="M466" s="65"/>
      <c r="N466" s="65"/>
      <c r="O466" s="65"/>
      <c r="P466" s="65"/>
      <c r="Q466" s="65"/>
      <c r="R466" s="65"/>
      <c r="S466" s="65"/>
      <c r="T466" s="65"/>
      <c r="U466" s="65"/>
      <c r="V466" s="65"/>
      <c r="W466" s="65"/>
      <c r="X466" s="65"/>
      <c r="Y466" s="65"/>
      <c r="Z466" s="65"/>
    </row>
    <row r="467" customFormat="false" ht="15.75" hidden="false" customHeight="true" outlineLevel="0" collapsed="false">
      <c r="A467" s="65"/>
      <c r="B467" s="65"/>
      <c r="C467" s="65"/>
      <c r="D467" s="65"/>
      <c r="E467" s="65"/>
      <c r="F467" s="65"/>
      <c r="G467" s="65"/>
      <c r="H467" s="65"/>
      <c r="I467" s="65"/>
      <c r="J467" s="65"/>
      <c r="K467" s="65"/>
      <c r="L467" s="65"/>
      <c r="M467" s="65"/>
      <c r="N467" s="65"/>
      <c r="O467" s="65"/>
      <c r="P467" s="65"/>
      <c r="Q467" s="65"/>
      <c r="R467" s="65"/>
      <c r="S467" s="65"/>
      <c r="T467" s="65"/>
      <c r="U467" s="65"/>
      <c r="V467" s="65"/>
      <c r="W467" s="65"/>
      <c r="X467" s="65"/>
      <c r="Y467" s="65"/>
      <c r="Z467" s="65"/>
    </row>
    <row r="468" customFormat="false" ht="15.75" hidden="false" customHeight="true" outlineLevel="0" collapsed="false">
      <c r="A468" s="65"/>
      <c r="B468" s="65"/>
      <c r="C468" s="65"/>
      <c r="D468" s="65"/>
      <c r="E468" s="65"/>
      <c r="F468" s="65"/>
      <c r="G468" s="65"/>
      <c r="H468" s="65"/>
      <c r="I468" s="65"/>
      <c r="J468" s="65"/>
      <c r="K468" s="65"/>
      <c r="L468" s="65"/>
      <c r="M468" s="65"/>
      <c r="N468" s="65"/>
      <c r="O468" s="65"/>
      <c r="P468" s="65"/>
      <c r="Q468" s="65"/>
      <c r="R468" s="65"/>
      <c r="S468" s="65"/>
      <c r="T468" s="65"/>
      <c r="U468" s="65"/>
      <c r="V468" s="65"/>
      <c r="W468" s="65"/>
      <c r="X468" s="65"/>
      <c r="Y468" s="65"/>
      <c r="Z468" s="65"/>
    </row>
    <row r="469" customFormat="false" ht="15.75" hidden="false" customHeight="true" outlineLevel="0" collapsed="false">
      <c r="A469" s="65"/>
      <c r="B469" s="65"/>
      <c r="C469" s="65"/>
      <c r="D469" s="65"/>
      <c r="E469" s="65"/>
      <c r="F469" s="65"/>
      <c r="G469" s="65"/>
      <c r="H469" s="65"/>
      <c r="I469" s="65"/>
      <c r="J469" s="65"/>
      <c r="K469" s="65"/>
      <c r="L469" s="65"/>
      <c r="M469" s="65"/>
      <c r="N469" s="65"/>
      <c r="O469" s="65"/>
      <c r="P469" s="65"/>
      <c r="Q469" s="65"/>
      <c r="R469" s="65"/>
      <c r="S469" s="65"/>
      <c r="T469" s="65"/>
      <c r="U469" s="65"/>
      <c r="V469" s="65"/>
      <c r="W469" s="65"/>
      <c r="X469" s="65"/>
      <c r="Y469" s="65"/>
      <c r="Z469" s="65"/>
    </row>
    <row r="470" customFormat="false" ht="15.75" hidden="false" customHeight="true" outlineLevel="0" collapsed="false">
      <c r="A470" s="65"/>
      <c r="B470" s="65"/>
      <c r="C470" s="65"/>
      <c r="D470" s="65"/>
      <c r="E470" s="65"/>
      <c r="F470" s="65"/>
      <c r="G470" s="65"/>
      <c r="H470" s="65"/>
      <c r="I470" s="65"/>
      <c r="J470" s="65"/>
      <c r="K470" s="65"/>
      <c r="L470" s="65"/>
      <c r="M470" s="65"/>
      <c r="N470" s="65"/>
      <c r="O470" s="65"/>
      <c r="P470" s="65"/>
      <c r="Q470" s="65"/>
      <c r="R470" s="65"/>
      <c r="S470" s="65"/>
      <c r="T470" s="65"/>
      <c r="U470" s="65"/>
      <c r="V470" s="65"/>
      <c r="W470" s="65"/>
      <c r="X470" s="65"/>
      <c r="Y470" s="65"/>
      <c r="Z470" s="65"/>
    </row>
    <row r="471" customFormat="false" ht="15.75" hidden="false" customHeight="true" outlineLevel="0" collapsed="false">
      <c r="A471" s="65"/>
      <c r="B471" s="65"/>
      <c r="C471" s="65"/>
      <c r="D471" s="65"/>
      <c r="E471" s="65"/>
      <c r="F471" s="65"/>
      <c r="G471" s="65"/>
      <c r="H471" s="65"/>
      <c r="I471" s="65"/>
      <c r="J471" s="65"/>
      <c r="K471" s="65"/>
      <c r="L471" s="65"/>
      <c r="M471" s="65"/>
      <c r="N471" s="65"/>
      <c r="O471" s="65"/>
      <c r="P471" s="65"/>
      <c r="Q471" s="65"/>
      <c r="R471" s="65"/>
      <c r="S471" s="65"/>
      <c r="T471" s="65"/>
      <c r="U471" s="65"/>
      <c r="V471" s="65"/>
      <c r="W471" s="65"/>
      <c r="X471" s="65"/>
      <c r="Y471" s="65"/>
      <c r="Z471" s="65"/>
    </row>
    <row r="472" customFormat="false" ht="15.75" hidden="false" customHeight="true" outlineLevel="0" collapsed="false">
      <c r="A472" s="65"/>
      <c r="B472" s="65"/>
      <c r="C472" s="65"/>
      <c r="D472" s="65"/>
      <c r="E472" s="65"/>
      <c r="F472" s="65"/>
      <c r="G472" s="65"/>
      <c r="H472" s="65"/>
      <c r="I472" s="65"/>
      <c r="J472" s="65"/>
      <c r="K472" s="65"/>
      <c r="L472" s="65"/>
      <c r="M472" s="65"/>
      <c r="N472" s="65"/>
      <c r="O472" s="65"/>
      <c r="P472" s="65"/>
      <c r="Q472" s="65"/>
      <c r="R472" s="65"/>
      <c r="S472" s="65"/>
      <c r="T472" s="65"/>
      <c r="U472" s="65"/>
      <c r="V472" s="65"/>
      <c r="W472" s="65"/>
      <c r="X472" s="65"/>
      <c r="Y472" s="65"/>
      <c r="Z472" s="65"/>
    </row>
    <row r="473" customFormat="false" ht="15.75" hidden="false" customHeight="true" outlineLevel="0" collapsed="false">
      <c r="A473" s="65"/>
      <c r="B473" s="65"/>
      <c r="C473" s="65"/>
      <c r="D473" s="65"/>
      <c r="E473" s="65"/>
      <c r="F473" s="65"/>
      <c r="G473" s="65"/>
      <c r="H473" s="65"/>
      <c r="I473" s="65"/>
      <c r="J473" s="65"/>
      <c r="K473" s="65"/>
      <c r="L473" s="65"/>
      <c r="M473" s="65"/>
      <c r="N473" s="65"/>
      <c r="O473" s="65"/>
      <c r="P473" s="65"/>
      <c r="Q473" s="65"/>
      <c r="R473" s="65"/>
      <c r="S473" s="65"/>
      <c r="T473" s="65"/>
      <c r="U473" s="65"/>
      <c r="V473" s="65"/>
      <c r="W473" s="65"/>
      <c r="X473" s="65"/>
      <c r="Y473" s="65"/>
      <c r="Z473" s="65"/>
    </row>
    <row r="474" customFormat="false" ht="15.75" hidden="false" customHeight="true" outlineLevel="0" collapsed="false">
      <c r="A474" s="65"/>
      <c r="B474" s="65"/>
      <c r="C474" s="65"/>
      <c r="D474" s="65"/>
      <c r="E474" s="65"/>
      <c r="F474" s="65"/>
      <c r="G474" s="65"/>
      <c r="H474" s="65"/>
      <c r="I474" s="65"/>
      <c r="J474" s="65"/>
      <c r="K474" s="65"/>
      <c r="L474" s="65"/>
      <c r="M474" s="65"/>
      <c r="N474" s="65"/>
      <c r="O474" s="65"/>
      <c r="P474" s="65"/>
      <c r="Q474" s="65"/>
      <c r="R474" s="65"/>
      <c r="S474" s="65"/>
      <c r="T474" s="65"/>
      <c r="U474" s="65"/>
      <c r="V474" s="65"/>
      <c r="W474" s="65"/>
      <c r="X474" s="65"/>
      <c r="Y474" s="65"/>
      <c r="Z474" s="65"/>
    </row>
    <row r="475" customFormat="false" ht="15.75" hidden="false" customHeight="true" outlineLevel="0" collapsed="false">
      <c r="A475" s="65"/>
      <c r="B475" s="65"/>
      <c r="C475" s="65"/>
      <c r="D475" s="65"/>
      <c r="E475" s="65"/>
      <c r="F475" s="65"/>
      <c r="G475" s="65"/>
      <c r="H475" s="65"/>
      <c r="I475" s="65"/>
      <c r="J475" s="65"/>
      <c r="K475" s="65"/>
      <c r="L475" s="65"/>
      <c r="M475" s="65"/>
      <c r="N475" s="65"/>
      <c r="O475" s="65"/>
      <c r="P475" s="65"/>
      <c r="Q475" s="65"/>
      <c r="R475" s="65"/>
      <c r="S475" s="65"/>
      <c r="T475" s="65"/>
      <c r="U475" s="65"/>
      <c r="V475" s="65"/>
      <c r="W475" s="65"/>
      <c r="X475" s="65"/>
      <c r="Y475" s="65"/>
      <c r="Z475" s="65"/>
    </row>
    <row r="476" customFormat="false" ht="15.75" hidden="false" customHeight="true" outlineLevel="0" collapsed="false">
      <c r="A476" s="65"/>
      <c r="B476" s="65"/>
      <c r="C476" s="65"/>
      <c r="D476" s="65"/>
      <c r="E476" s="65"/>
      <c r="F476" s="65"/>
      <c r="G476" s="65"/>
      <c r="H476" s="65"/>
      <c r="I476" s="65"/>
      <c r="J476" s="65"/>
      <c r="K476" s="65"/>
      <c r="L476" s="65"/>
      <c r="M476" s="65"/>
      <c r="N476" s="65"/>
      <c r="O476" s="65"/>
      <c r="P476" s="65"/>
      <c r="Q476" s="65"/>
      <c r="R476" s="65"/>
      <c r="S476" s="65"/>
      <c r="T476" s="65"/>
      <c r="U476" s="65"/>
      <c r="V476" s="65"/>
      <c r="W476" s="65"/>
      <c r="X476" s="65"/>
      <c r="Y476" s="65"/>
      <c r="Z476" s="65"/>
    </row>
    <row r="477" customFormat="false" ht="15.75" hidden="false" customHeight="true" outlineLevel="0" collapsed="false">
      <c r="A477" s="65"/>
      <c r="B477" s="65"/>
      <c r="C477" s="65"/>
      <c r="D477" s="65"/>
      <c r="E477" s="65"/>
      <c r="F477" s="65"/>
      <c r="G477" s="65"/>
      <c r="H477" s="65"/>
      <c r="I477" s="65"/>
      <c r="J477" s="65"/>
      <c r="K477" s="65"/>
      <c r="L477" s="65"/>
      <c r="M477" s="65"/>
      <c r="N477" s="65"/>
      <c r="O477" s="65"/>
      <c r="P477" s="65"/>
      <c r="Q477" s="65"/>
      <c r="R477" s="65"/>
      <c r="S477" s="65"/>
      <c r="T477" s="65"/>
      <c r="U477" s="65"/>
      <c r="V477" s="65"/>
      <c r="W477" s="65"/>
      <c r="X477" s="65"/>
      <c r="Y477" s="65"/>
      <c r="Z477" s="65"/>
    </row>
    <row r="478" customFormat="false" ht="15.75" hidden="false" customHeight="true" outlineLevel="0" collapsed="false">
      <c r="A478" s="65"/>
      <c r="B478" s="65"/>
      <c r="C478" s="65"/>
      <c r="D478" s="65"/>
      <c r="E478" s="65"/>
      <c r="F478" s="65"/>
      <c r="G478" s="65"/>
      <c r="H478" s="65"/>
      <c r="I478" s="65"/>
      <c r="J478" s="65"/>
      <c r="K478" s="65"/>
      <c r="L478" s="65"/>
      <c r="M478" s="65"/>
      <c r="N478" s="65"/>
      <c r="O478" s="65"/>
      <c r="P478" s="65"/>
      <c r="Q478" s="65"/>
      <c r="R478" s="65"/>
      <c r="S478" s="65"/>
      <c r="T478" s="65"/>
      <c r="U478" s="65"/>
      <c r="V478" s="65"/>
      <c r="W478" s="65"/>
      <c r="X478" s="65"/>
      <c r="Y478" s="65"/>
      <c r="Z478" s="65"/>
    </row>
    <row r="479" customFormat="false" ht="15.75" hidden="false" customHeight="true" outlineLevel="0" collapsed="false">
      <c r="A479" s="65"/>
      <c r="B479" s="65"/>
      <c r="C479" s="65"/>
      <c r="D479" s="65"/>
      <c r="E479" s="65"/>
      <c r="F479" s="65"/>
      <c r="G479" s="65"/>
      <c r="H479" s="65"/>
      <c r="I479" s="65"/>
      <c r="J479" s="65"/>
      <c r="K479" s="65"/>
      <c r="L479" s="65"/>
      <c r="M479" s="65"/>
      <c r="N479" s="65"/>
      <c r="O479" s="65"/>
      <c r="P479" s="65"/>
      <c r="Q479" s="65"/>
      <c r="R479" s="65"/>
      <c r="S479" s="65"/>
      <c r="T479" s="65"/>
      <c r="U479" s="65"/>
      <c r="V479" s="65"/>
      <c r="W479" s="65"/>
      <c r="X479" s="65"/>
      <c r="Y479" s="65"/>
      <c r="Z479" s="65"/>
    </row>
    <row r="480" customFormat="false" ht="15.75" hidden="false" customHeight="true" outlineLevel="0" collapsed="false">
      <c r="A480" s="65"/>
      <c r="B480" s="65"/>
      <c r="C480" s="65"/>
      <c r="D480" s="65"/>
      <c r="E480" s="65"/>
      <c r="F480" s="65"/>
      <c r="G480" s="65"/>
      <c r="H480" s="65"/>
      <c r="I480" s="65"/>
      <c r="J480" s="65"/>
      <c r="K480" s="65"/>
      <c r="L480" s="65"/>
      <c r="M480" s="65"/>
      <c r="N480" s="65"/>
      <c r="O480" s="65"/>
      <c r="P480" s="65"/>
      <c r="Q480" s="65"/>
      <c r="R480" s="65"/>
      <c r="S480" s="65"/>
      <c r="T480" s="65"/>
      <c r="U480" s="65"/>
      <c r="V480" s="65"/>
      <c r="W480" s="65"/>
      <c r="X480" s="65"/>
      <c r="Y480" s="65"/>
      <c r="Z480" s="65"/>
    </row>
    <row r="481" customFormat="false" ht="15.75" hidden="false" customHeight="true" outlineLevel="0" collapsed="false">
      <c r="A481" s="65"/>
      <c r="B481" s="65"/>
      <c r="C481" s="65"/>
      <c r="D481" s="65"/>
      <c r="E481" s="65"/>
      <c r="F481" s="65"/>
      <c r="G481" s="65"/>
      <c r="H481" s="65"/>
      <c r="I481" s="65"/>
      <c r="J481" s="65"/>
      <c r="K481" s="65"/>
      <c r="L481" s="65"/>
      <c r="M481" s="65"/>
      <c r="N481" s="65"/>
      <c r="O481" s="65"/>
      <c r="P481" s="65"/>
      <c r="Q481" s="65"/>
      <c r="R481" s="65"/>
      <c r="S481" s="65"/>
      <c r="T481" s="65"/>
      <c r="U481" s="65"/>
      <c r="V481" s="65"/>
      <c r="W481" s="65"/>
      <c r="X481" s="65"/>
      <c r="Y481" s="65"/>
      <c r="Z481" s="65"/>
    </row>
    <row r="482" customFormat="false" ht="15.75" hidden="false" customHeight="true" outlineLevel="0" collapsed="false">
      <c r="A482" s="65"/>
      <c r="B482" s="65"/>
      <c r="C482" s="65"/>
      <c r="D482" s="65"/>
      <c r="E482" s="65"/>
      <c r="F482" s="65"/>
      <c r="G482" s="65"/>
      <c r="H482" s="65"/>
      <c r="I482" s="65"/>
      <c r="J482" s="65"/>
      <c r="K482" s="65"/>
      <c r="L482" s="65"/>
      <c r="M482" s="65"/>
      <c r="N482" s="65"/>
      <c r="O482" s="65"/>
      <c r="P482" s="65"/>
      <c r="Q482" s="65"/>
      <c r="R482" s="65"/>
      <c r="S482" s="65"/>
      <c r="T482" s="65"/>
      <c r="U482" s="65"/>
      <c r="V482" s="65"/>
      <c r="W482" s="65"/>
      <c r="X482" s="65"/>
      <c r="Y482" s="65"/>
      <c r="Z482" s="65"/>
    </row>
    <row r="483" customFormat="false" ht="15.75" hidden="false" customHeight="true" outlineLevel="0" collapsed="false">
      <c r="A483" s="65"/>
      <c r="B483" s="65"/>
      <c r="C483" s="65"/>
      <c r="D483" s="65"/>
      <c r="E483" s="65"/>
      <c r="F483" s="65"/>
      <c r="G483" s="65"/>
      <c r="H483" s="65"/>
      <c r="I483" s="65"/>
      <c r="J483" s="65"/>
      <c r="K483" s="65"/>
      <c r="L483" s="65"/>
      <c r="M483" s="65"/>
      <c r="N483" s="65"/>
      <c r="O483" s="65"/>
      <c r="P483" s="65"/>
      <c r="Q483" s="65"/>
      <c r="R483" s="65"/>
      <c r="S483" s="65"/>
      <c r="T483" s="65"/>
      <c r="U483" s="65"/>
      <c r="V483" s="65"/>
      <c r="W483" s="65"/>
      <c r="X483" s="65"/>
      <c r="Y483" s="65"/>
      <c r="Z483" s="65"/>
    </row>
    <row r="484" customFormat="false" ht="15.75" hidden="false" customHeight="true" outlineLevel="0" collapsed="false">
      <c r="A484" s="65"/>
      <c r="B484" s="65"/>
      <c r="C484" s="65"/>
      <c r="D484" s="65"/>
      <c r="E484" s="65"/>
      <c r="F484" s="65"/>
      <c r="G484" s="65"/>
      <c r="H484" s="65"/>
      <c r="I484" s="65"/>
      <c r="J484" s="65"/>
      <c r="K484" s="65"/>
      <c r="L484" s="65"/>
      <c r="M484" s="65"/>
      <c r="N484" s="65"/>
      <c r="O484" s="65"/>
      <c r="P484" s="65"/>
      <c r="Q484" s="65"/>
      <c r="R484" s="65"/>
      <c r="S484" s="65"/>
      <c r="T484" s="65"/>
      <c r="U484" s="65"/>
      <c r="V484" s="65"/>
      <c r="W484" s="65"/>
      <c r="X484" s="65"/>
      <c r="Y484" s="65"/>
      <c r="Z484" s="65"/>
    </row>
    <row r="485" customFormat="false" ht="15.75" hidden="false" customHeight="true" outlineLevel="0" collapsed="false">
      <c r="A485" s="65"/>
      <c r="B485" s="65"/>
      <c r="C485" s="65"/>
      <c r="D485" s="65"/>
      <c r="E485" s="65"/>
      <c r="F485" s="65"/>
      <c r="G485" s="65"/>
      <c r="H485" s="65"/>
      <c r="I485" s="65"/>
      <c r="J485" s="65"/>
      <c r="K485" s="65"/>
      <c r="L485" s="65"/>
      <c r="M485" s="65"/>
      <c r="N485" s="65"/>
      <c r="O485" s="65"/>
      <c r="P485" s="65"/>
      <c r="Q485" s="65"/>
      <c r="R485" s="65"/>
      <c r="S485" s="65"/>
      <c r="T485" s="65"/>
      <c r="U485" s="65"/>
      <c r="V485" s="65"/>
      <c r="W485" s="65"/>
      <c r="X485" s="65"/>
      <c r="Y485" s="65"/>
      <c r="Z485" s="65"/>
    </row>
    <row r="486" customFormat="false" ht="15.75" hidden="false" customHeight="true" outlineLevel="0" collapsed="false">
      <c r="A486" s="65"/>
      <c r="B486" s="65"/>
      <c r="C486" s="65"/>
      <c r="D486" s="65"/>
      <c r="E486" s="65"/>
      <c r="F486" s="65"/>
      <c r="G486" s="65"/>
      <c r="H486" s="65"/>
      <c r="I486" s="65"/>
      <c r="J486" s="65"/>
      <c r="K486" s="65"/>
      <c r="L486" s="65"/>
      <c r="M486" s="65"/>
      <c r="N486" s="65"/>
      <c r="O486" s="65"/>
      <c r="P486" s="65"/>
      <c r="Q486" s="65"/>
      <c r="R486" s="65"/>
      <c r="S486" s="65"/>
      <c r="T486" s="65"/>
      <c r="U486" s="65"/>
      <c r="V486" s="65"/>
      <c r="W486" s="65"/>
      <c r="X486" s="65"/>
      <c r="Y486" s="65"/>
      <c r="Z486" s="65"/>
    </row>
    <row r="487" customFormat="false" ht="15.75" hidden="false" customHeight="true" outlineLevel="0" collapsed="false">
      <c r="A487" s="65"/>
      <c r="B487" s="65"/>
      <c r="C487" s="65"/>
      <c r="D487" s="65"/>
      <c r="E487" s="65"/>
      <c r="F487" s="65"/>
      <c r="G487" s="65"/>
      <c r="H487" s="65"/>
      <c r="I487" s="65"/>
      <c r="J487" s="65"/>
      <c r="K487" s="65"/>
      <c r="L487" s="65"/>
      <c r="M487" s="65"/>
      <c r="N487" s="65"/>
      <c r="O487" s="65"/>
      <c r="P487" s="65"/>
      <c r="Q487" s="65"/>
      <c r="R487" s="65"/>
      <c r="S487" s="65"/>
      <c r="T487" s="65"/>
      <c r="U487" s="65"/>
      <c r="V487" s="65"/>
      <c r="W487" s="65"/>
      <c r="X487" s="65"/>
      <c r="Y487" s="65"/>
      <c r="Z487" s="65"/>
    </row>
    <row r="488" customFormat="false" ht="15.75" hidden="false" customHeight="true" outlineLevel="0" collapsed="false">
      <c r="A488" s="65"/>
      <c r="B488" s="65"/>
      <c r="C488" s="65"/>
      <c r="D488" s="65"/>
      <c r="E488" s="65"/>
      <c r="F488" s="65"/>
      <c r="G488" s="65"/>
      <c r="H488" s="65"/>
      <c r="I488" s="65"/>
      <c r="J488" s="65"/>
      <c r="K488" s="65"/>
      <c r="L488" s="65"/>
      <c r="M488" s="65"/>
      <c r="N488" s="65"/>
      <c r="O488" s="65"/>
      <c r="P488" s="65"/>
      <c r="Q488" s="65"/>
      <c r="R488" s="65"/>
      <c r="S488" s="65"/>
      <c r="T488" s="65"/>
      <c r="U488" s="65"/>
      <c r="V488" s="65"/>
      <c r="W488" s="65"/>
      <c r="X488" s="65"/>
      <c r="Y488" s="65"/>
      <c r="Z488" s="65"/>
    </row>
    <row r="489" customFormat="false" ht="15.75" hidden="false" customHeight="true" outlineLevel="0" collapsed="false">
      <c r="A489" s="65"/>
      <c r="B489" s="65"/>
      <c r="C489" s="65"/>
      <c r="D489" s="65"/>
      <c r="E489" s="65"/>
      <c r="F489" s="65"/>
      <c r="G489" s="65"/>
      <c r="H489" s="65"/>
      <c r="I489" s="65"/>
      <c r="J489" s="65"/>
      <c r="K489" s="65"/>
      <c r="L489" s="65"/>
      <c r="M489" s="65"/>
      <c r="N489" s="65"/>
      <c r="O489" s="65"/>
      <c r="P489" s="65"/>
      <c r="Q489" s="65"/>
      <c r="R489" s="65"/>
      <c r="S489" s="65"/>
      <c r="T489" s="65"/>
      <c r="U489" s="65"/>
      <c r="V489" s="65"/>
      <c r="W489" s="65"/>
      <c r="X489" s="65"/>
      <c r="Y489" s="65"/>
      <c r="Z489" s="65"/>
    </row>
    <row r="490" customFormat="false" ht="15.75" hidden="false" customHeight="true" outlineLevel="0" collapsed="false">
      <c r="A490" s="65"/>
      <c r="B490" s="65"/>
      <c r="C490" s="65"/>
      <c r="D490" s="65"/>
      <c r="E490" s="65"/>
      <c r="F490" s="65"/>
      <c r="G490" s="65"/>
      <c r="H490" s="65"/>
      <c r="I490" s="65"/>
      <c r="J490" s="65"/>
      <c r="K490" s="65"/>
      <c r="L490" s="65"/>
      <c r="M490" s="65"/>
      <c r="N490" s="65"/>
      <c r="O490" s="65"/>
      <c r="P490" s="65"/>
      <c r="Q490" s="65"/>
      <c r="R490" s="65"/>
      <c r="S490" s="65"/>
      <c r="T490" s="65"/>
      <c r="U490" s="65"/>
      <c r="V490" s="65"/>
      <c r="W490" s="65"/>
      <c r="X490" s="65"/>
      <c r="Y490" s="65"/>
      <c r="Z490" s="65"/>
    </row>
    <row r="491" customFormat="false" ht="15.75" hidden="false" customHeight="true" outlineLevel="0" collapsed="false">
      <c r="A491" s="65"/>
      <c r="B491" s="65"/>
      <c r="C491" s="65"/>
      <c r="D491" s="65"/>
      <c r="E491" s="65"/>
      <c r="F491" s="65"/>
      <c r="G491" s="65"/>
      <c r="H491" s="65"/>
      <c r="I491" s="65"/>
      <c r="J491" s="65"/>
      <c r="K491" s="65"/>
      <c r="L491" s="65"/>
      <c r="M491" s="65"/>
      <c r="N491" s="65"/>
      <c r="O491" s="65"/>
      <c r="P491" s="65"/>
      <c r="Q491" s="65"/>
      <c r="R491" s="65"/>
      <c r="S491" s="65"/>
      <c r="T491" s="65"/>
      <c r="U491" s="65"/>
      <c r="V491" s="65"/>
      <c r="W491" s="65"/>
      <c r="X491" s="65"/>
      <c r="Y491" s="65"/>
      <c r="Z491" s="65"/>
    </row>
    <row r="492" customFormat="false" ht="15.75" hidden="false" customHeight="true" outlineLevel="0" collapsed="false">
      <c r="A492" s="65"/>
      <c r="B492" s="65"/>
      <c r="C492" s="65"/>
      <c r="D492" s="65"/>
      <c r="E492" s="65"/>
      <c r="F492" s="65"/>
      <c r="G492" s="65"/>
      <c r="H492" s="65"/>
      <c r="I492" s="65"/>
      <c r="J492" s="65"/>
      <c r="K492" s="65"/>
      <c r="L492" s="65"/>
      <c r="M492" s="65"/>
      <c r="N492" s="65"/>
      <c r="O492" s="65"/>
      <c r="P492" s="65"/>
      <c r="Q492" s="65"/>
      <c r="R492" s="65"/>
      <c r="S492" s="65"/>
      <c r="T492" s="65"/>
      <c r="U492" s="65"/>
      <c r="V492" s="65"/>
      <c r="W492" s="65"/>
      <c r="X492" s="65"/>
      <c r="Y492" s="65"/>
      <c r="Z492" s="65"/>
    </row>
    <row r="493" customFormat="false" ht="15.75" hidden="false" customHeight="true" outlineLevel="0" collapsed="false">
      <c r="A493" s="65"/>
      <c r="B493" s="65"/>
      <c r="C493" s="65"/>
      <c r="D493" s="65"/>
      <c r="E493" s="65"/>
      <c r="F493" s="65"/>
      <c r="G493" s="65"/>
      <c r="H493" s="65"/>
      <c r="I493" s="65"/>
      <c r="J493" s="65"/>
      <c r="K493" s="65"/>
      <c r="L493" s="65"/>
      <c r="M493" s="65"/>
      <c r="N493" s="65"/>
      <c r="O493" s="65"/>
      <c r="P493" s="65"/>
      <c r="Q493" s="65"/>
      <c r="R493" s="65"/>
      <c r="S493" s="65"/>
      <c r="T493" s="65"/>
      <c r="U493" s="65"/>
      <c r="V493" s="65"/>
      <c r="W493" s="65"/>
      <c r="X493" s="65"/>
      <c r="Y493" s="65"/>
      <c r="Z493" s="65"/>
    </row>
    <row r="494" customFormat="false" ht="15.75" hidden="false" customHeight="true" outlineLevel="0" collapsed="false">
      <c r="A494" s="65"/>
      <c r="B494" s="65"/>
      <c r="C494" s="65"/>
      <c r="D494" s="65"/>
      <c r="E494" s="65"/>
      <c r="F494" s="65"/>
      <c r="G494" s="65"/>
      <c r="H494" s="65"/>
      <c r="I494" s="65"/>
      <c r="J494" s="65"/>
      <c r="K494" s="65"/>
      <c r="L494" s="65"/>
      <c r="M494" s="65"/>
      <c r="N494" s="65"/>
      <c r="O494" s="65"/>
      <c r="P494" s="65"/>
      <c r="Q494" s="65"/>
      <c r="R494" s="65"/>
      <c r="S494" s="65"/>
      <c r="T494" s="65"/>
      <c r="U494" s="65"/>
      <c r="V494" s="65"/>
      <c r="W494" s="65"/>
      <c r="X494" s="65"/>
      <c r="Y494" s="65"/>
      <c r="Z494" s="65"/>
    </row>
    <row r="495" customFormat="false" ht="15.75" hidden="false" customHeight="true" outlineLevel="0" collapsed="false">
      <c r="A495" s="65"/>
      <c r="B495" s="65"/>
      <c r="C495" s="65"/>
      <c r="D495" s="65"/>
      <c r="E495" s="65"/>
      <c r="F495" s="65"/>
      <c r="G495" s="65"/>
      <c r="H495" s="65"/>
      <c r="I495" s="65"/>
      <c r="J495" s="65"/>
      <c r="K495" s="65"/>
      <c r="L495" s="65"/>
      <c r="M495" s="65"/>
      <c r="N495" s="65"/>
      <c r="O495" s="65"/>
      <c r="P495" s="65"/>
      <c r="Q495" s="65"/>
      <c r="R495" s="65"/>
      <c r="S495" s="65"/>
      <c r="T495" s="65"/>
      <c r="U495" s="65"/>
      <c r="V495" s="65"/>
      <c r="W495" s="65"/>
      <c r="X495" s="65"/>
      <c r="Y495" s="65"/>
      <c r="Z495" s="65"/>
    </row>
    <row r="496" customFormat="false" ht="15.75" hidden="false" customHeight="true" outlineLevel="0" collapsed="false">
      <c r="A496" s="65"/>
      <c r="B496" s="65"/>
      <c r="C496" s="65"/>
      <c r="D496" s="65"/>
      <c r="E496" s="65"/>
      <c r="F496" s="65"/>
      <c r="G496" s="65"/>
      <c r="H496" s="65"/>
      <c r="I496" s="65"/>
      <c r="J496" s="65"/>
      <c r="K496" s="65"/>
      <c r="L496" s="65"/>
      <c r="M496" s="65"/>
      <c r="N496" s="65"/>
      <c r="O496" s="65"/>
      <c r="P496" s="65"/>
      <c r="Q496" s="65"/>
      <c r="R496" s="65"/>
      <c r="S496" s="65"/>
      <c r="T496" s="65"/>
      <c r="U496" s="65"/>
      <c r="V496" s="65"/>
      <c r="W496" s="65"/>
      <c r="X496" s="65"/>
      <c r="Y496" s="65"/>
      <c r="Z496" s="65"/>
    </row>
    <row r="497" customFormat="false" ht="15.75" hidden="false" customHeight="true" outlineLevel="0" collapsed="false">
      <c r="A497" s="65"/>
      <c r="B497" s="65"/>
      <c r="C497" s="65"/>
      <c r="D497" s="65"/>
      <c r="E497" s="65"/>
      <c r="F497" s="65"/>
      <c r="G497" s="65"/>
      <c r="H497" s="65"/>
      <c r="I497" s="65"/>
      <c r="J497" s="65"/>
      <c r="K497" s="65"/>
      <c r="L497" s="65"/>
      <c r="M497" s="65"/>
      <c r="N497" s="65"/>
      <c r="O497" s="65"/>
      <c r="P497" s="65"/>
      <c r="Q497" s="65"/>
      <c r="R497" s="65"/>
      <c r="S497" s="65"/>
      <c r="T497" s="65"/>
      <c r="U497" s="65"/>
      <c r="V497" s="65"/>
      <c r="W497" s="65"/>
      <c r="X497" s="65"/>
      <c r="Y497" s="65"/>
      <c r="Z497" s="65"/>
    </row>
    <row r="498" customFormat="false" ht="15.75" hidden="false" customHeight="true" outlineLevel="0" collapsed="false">
      <c r="A498" s="65"/>
      <c r="B498" s="65"/>
      <c r="C498" s="65"/>
      <c r="D498" s="65"/>
      <c r="E498" s="65"/>
      <c r="F498" s="65"/>
      <c r="G498" s="65"/>
      <c r="H498" s="65"/>
      <c r="I498" s="65"/>
      <c r="J498" s="65"/>
      <c r="K498" s="65"/>
      <c r="L498" s="65"/>
      <c r="M498" s="65"/>
      <c r="N498" s="65"/>
      <c r="O498" s="65"/>
      <c r="P498" s="65"/>
      <c r="Q498" s="65"/>
      <c r="R498" s="65"/>
      <c r="S498" s="65"/>
      <c r="T498" s="65"/>
      <c r="U498" s="65"/>
      <c r="V498" s="65"/>
      <c r="W498" s="65"/>
      <c r="X498" s="65"/>
      <c r="Y498" s="65"/>
      <c r="Z498" s="65"/>
    </row>
    <row r="499" customFormat="false" ht="15.75" hidden="false" customHeight="true" outlineLevel="0" collapsed="false">
      <c r="A499" s="65"/>
      <c r="B499" s="65"/>
      <c r="C499" s="65"/>
      <c r="D499" s="65"/>
      <c r="E499" s="65"/>
      <c r="F499" s="65"/>
      <c r="G499" s="65"/>
      <c r="H499" s="65"/>
      <c r="I499" s="65"/>
      <c r="J499" s="65"/>
      <c r="K499" s="65"/>
      <c r="L499" s="65"/>
      <c r="M499" s="65"/>
      <c r="N499" s="65"/>
      <c r="O499" s="65"/>
      <c r="P499" s="65"/>
      <c r="Q499" s="65"/>
      <c r="R499" s="65"/>
      <c r="S499" s="65"/>
      <c r="T499" s="65"/>
      <c r="U499" s="65"/>
      <c r="V499" s="65"/>
      <c r="W499" s="65"/>
      <c r="X499" s="65"/>
      <c r="Y499" s="65"/>
      <c r="Z499" s="65"/>
    </row>
    <row r="500" customFormat="false" ht="15.75" hidden="false" customHeight="true" outlineLevel="0" collapsed="false">
      <c r="A500" s="65"/>
      <c r="B500" s="65"/>
      <c r="C500" s="65"/>
      <c r="D500" s="65"/>
      <c r="E500" s="65"/>
      <c r="F500" s="65"/>
      <c r="G500" s="65"/>
      <c r="H500" s="65"/>
      <c r="I500" s="65"/>
      <c r="J500" s="65"/>
      <c r="K500" s="65"/>
      <c r="L500" s="65"/>
      <c r="M500" s="65"/>
      <c r="N500" s="65"/>
      <c r="O500" s="65"/>
      <c r="P500" s="65"/>
      <c r="Q500" s="65"/>
      <c r="R500" s="65"/>
      <c r="S500" s="65"/>
      <c r="T500" s="65"/>
      <c r="U500" s="65"/>
      <c r="V500" s="65"/>
      <c r="W500" s="65"/>
      <c r="X500" s="65"/>
      <c r="Y500" s="65"/>
      <c r="Z500" s="65"/>
    </row>
    <row r="501" customFormat="false" ht="15.75" hidden="false" customHeight="true" outlineLevel="0" collapsed="false">
      <c r="A501" s="65"/>
      <c r="B501" s="65"/>
      <c r="C501" s="65"/>
      <c r="D501" s="65"/>
      <c r="E501" s="65"/>
      <c r="F501" s="65"/>
      <c r="G501" s="65"/>
      <c r="H501" s="65"/>
      <c r="I501" s="65"/>
      <c r="J501" s="65"/>
      <c r="K501" s="65"/>
      <c r="L501" s="65"/>
      <c r="M501" s="65"/>
      <c r="N501" s="65"/>
      <c r="O501" s="65"/>
      <c r="P501" s="65"/>
      <c r="Q501" s="65"/>
      <c r="R501" s="65"/>
      <c r="S501" s="65"/>
      <c r="T501" s="65"/>
      <c r="U501" s="65"/>
      <c r="V501" s="65"/>
      <c r="W501" s="65"/>
      <c r="X501" s="65"/>
      <c r="Y501" s="65"/>
      <c r="Z501" s="65"/>
    </row>
    <row r="502" customFormat="false" ht="15.75" hidden="false" customHeight="true" outlineLevel="0" collapsed="false">
      <c r="A502" s="65"/>
      <c r="B502" s="65"/>
      <c r="C502" s="65"/>
      <c r="D502" s="65"/>
      <c r="E502" s="65"/>
      <c r="F502" s="65"/>
      <c r="G502" s="65"/>
      <c r="H502" s="65"/>
      <c r="I502" s="65"/>
      <c r="J502" s="65"/>
      <c r="K502" s="65"/>
      <c r="L502" s="65"/>
      <c r="M502" s="65"/>
      <c r="N502" s="65"/>
      <c r="O502" s="65"/>
      <c r="P502" s="65"/>
      <c r="Q502" s="65"/>
      <c r="R502" s="65"/>
      <c r="S502" s="65"/>
      <c r="T502" s="65"/>
      <c r="U502" s="65"/>
      <c r="V502" s="65"/>
      <c r="W502" s="65"/>
      <c r="X502" s="65"/>
      <c r="Y502" s="65"/>
      <c r="Z502" s="65"/>
    </row>
    <row r="503" customFormat="false" ht="15.75" hidden="false" customHeight="true" outlineLevel="0" collapsed="false">
      <c r="A503" s="65"/>
      <c r="B503" s="65"/>
      <c r="C503" s="65"/>
      <c r="D503" s="65"/>
      <c r="E503" s="65"/>
      <c r="F503" s="65"/>
      <c r="G503" s="65"/>
      <c r="H503" s="65"/>
      <c r="I503" s="65"/>
      <c r="J503" s="65"/>
      <c r="K503" s="65"/>
      <c r="L503" s="65"/>
      <c r="M503" s="65"/>
      <c r="N503" s="65"/>
      <c r="O503" s="65"/>
      <c r="P503" s="65"/>
      <c r="Q503" s="65"/>
      <c r="R503" s="65"/>
      <c r="S503" s="65"/>
      <c r="T503" s="65"/>
      <c r="U503" s="65"/>
      <c r="V503" s="65"/>
      <c r="W503" s="65"/>
      <c r="X503" s="65"/>
      <c r="Y503" s="65"/>
      <c r="Z503" s="65"/>
    </row>
    <row r="504" customFormat="false" ht="15.75" hidden="false" customHeight="true" outlineLevel="0" collapsed="false">
      <c r="A504" s="65"/>
      <c r="B504" s="65"/>
      <c r="C504" s="65"/>
      <c r="D504" s="65"/>
      <c r="E504" s="65"/>
      <c r="F504" s="65"/>
      <c r="G504" s="65"/>
      <c r="H504" s="65"/>
      <c r="I504" s="65"/>
      <c r="J504" s="65"/>
      <c r="K504" s="65"/>
      <c r="L504" s="65"/>
      <c r="M504" s="65"/>
      <c r="N504" s="65"/>
      <c r="O504" s="65"/>
      <c r="P504" s="65"/>
      <c r="Q504" s="65"/>
      <c r="R504" s="65"/>
      <c r="S504" s="65"/>
      <c r="T504" s="65"/>
      <c r="U504" s="65"/>
      <c r="V504" s="65"/>
      <c r="W504" s="65"/>
      <c r="X504" s="65"/>
      <c r="Y504" s="65"/>
      <c r="Z504" s="65"/>
    </row>
    <row r="505" customFormat="false" ht="15.75" hidden="false" customHeight="true" outlineLevel="0" collapsed="false">
      <c r="A505" s="65"/>
      <c r="B505" s="65"/>
      <c r="C505" s="65"/>
      <c r="D505" s="65"/>
      <c r="E505" s="65"/>
      <c r="F505" s="65"/>
      <c r="G505" s="65"/>
      <c r="H505" s="65"/>
      <c r="I505" s="65"/>
      <c r="J505" s="65"/>
      <c r="K505" s="65"/>
      <c r="L505" s="65"/>
      <c r="M505" s="65"/>
      <c r="N505" s="65"/>
      <c r="O505" s="65"/>
      <c r="P505" s="65"/>
      <c r="Q505" s="65"/>
      <c r="R505" s="65"/>
      <c r="S505" s="65"/>
      <c r="T505" s="65"/>
      <c r="U505" s="65"/>
      <c r="V505" s="65"/>
      <c r="W505" s="65"/>
      <c r="X505" s="65"/>
      <c r="Y505" s="65"/>
      <c r="Z505" s="65"/>
    </row>
    <row r="506" customFormat="false" ht="15.75" hidden="false" customHeight="true" outlineLevel="0" collapsed="false">
      <c r="A506" s="65"/>
      <c r="B506" s="65"/>
      <c r="C506" s="65"/>
      <c r="D506" s="65"/>
      <c r="E506" s="65"/>
      <c r="F506" s="65"/>
      <c r="G506" s="65"/>
      <c r="H506" s="65"/>
      <c r="I506" s="65"/>
      <c r="J506" s="65"/>
      <c r="K506" s="65"/>
      <c r="L506" s="65"/>
      <c r="M506" s="65"/>
      <c r="N506" s="65"/>
      <c r="O506" s="65"/>
      <c r="P506" s="65"/>
      <c r="Q506" s="65"/>
      <c r="R506" s="65"/>
      <c r="S506" s="65"/>
      <c r="T506" s="65"/>
      <c r="U506" s="65"/>
      <c r="V506" s="65"/>
      <c r="W506" s="65"/>
      <c r="X506" s="65"/>
      <c r="Y506" s="65"/>
      <c r="Z506" s="65"/>
    </row>
    <row r="507" customFormat="false" ht="15.75" hidden="false" customHeight="true" outlineLevel="0" collapsed="false">
      <c r="A507" s="65"/>
      <c r="B507" s="65"/>
      <c r="C507" s="65"/>
      <c r="D507" s="65"/>
      <c r="E507" s="65"/>
      <c r="F507" s="65"/>
      <c r="G507" s="65"/>
      <c r="H507" s="65"/>
      <c r="I507" s="65"/>
      <c r="J507" s="65"/>
      <c r="K507" s="65"/>
      <c r="L507" s="65"/>
      <c r="M507" s="65"/>
      <c r="N507" s="65"/>
      <c r="O507" s="65"/>
      <c r="P507" s="65"/>
      <c r="Q507" s="65"/>
      <c r="R507" s="65"/>
      <c r="S507" s="65"/>
      <c r="T507" s="65"/>
      <c r="U507" s="65"/>
      <c r="V507" s="65"/>
      <c r="W507" s="65"/>
      <c r="X507" s="65"/>
      <c r="Y507" s="65"/>
      <c r="Z507" s="65"/>
    </row>
    <row r="508" customFormat="false" ht="15.75" hidden="false" customHeight="true" outlineLevel="0" collapsed="false">
      <c r="A508" s="65"/>
      <c r="B508" s="65"/>
      <c r="C508" s="65"/>
      <c r="D508" s="65"/>
      <c r="E508" s="65"/>
      <c r="F508" s="65"/>
      <c r="G508" s="65"/>
      <c r="H508" s="65"/>
      <c r="I508" s="65"/>
      <c r="J508" s="65"/>
      <c r="K508" s="65"/>
      <c r="L508" s="65"/>
      <c r="M508" s="65"/>
      <c r="N508" s="65"/>
      <c r="O508" s="65"/>
      <c r="P508" s="65"/>
      <c r="Q508" s="65"/>
      <c r="R508" s="65"/>
      <c r="S508" s="65"/>
      <c r="T508" s="65"/>
      <c r="U508" s="65"/>
      <c r="V508" s="65"/>
      <c r="W508" s="65"/>
      <c r="X508" s="65"/>
      <c r="Y508" s="65"/>
      <c r="Z508" s="65"/>
    </row>
    <row r="509" customFormat="false" ht="15.75" hidden="false" customHeight="true" outlineLevel="0" collapsed="false">
      <c r="A509" s="65"/>
      <c r="B509" s="65"/>
      <c r="C509" s="65"/>
      <c r="D509" s="65"/>
      <c r="E509" s="65"/>
      <c r="F509" s="65"/>
      <c r="G509" s="65"/>
      <c r="H509" s="65"/>
      <c r="I509" s="65"/>
      <c r="J509" s="65"/>
      <c r="K509" s="65"/>
      <c r="L509" s="65"/>
      <c r="M509" s="65"/>
      <c r="N509" s="65"/>
      <c r="O509" s="65"/>
      <c r="P509" s="65"/>
      <c r="Q509" s="65"/>
      <c r="R509" s="65"/>
      <c r="S509" s="65"/>
      <c r="T509" s="65"/>
      <c r="U509" s="65"/>
      <c r="V509" s="65"/>
      <c r="W509" s="65"/>
      <c r="X509" s="65"/>
      <c r="Y509" s="65"/>
      <c r="Z509" s="65"/>
    </row>
    <row r="510" customFormat="false" ht="15.75" hidden="false" customHeight="true" outlineLevel="0" collapsed="false">
      <c r="A510" s="65"/>
      <c r="B510" s="65"/>
      <c r="C510" s="65"/>
      <c r="D510" s="65"/>
      <c r="E510" s="65"/>
      <c r="F510" s="65"/>
      <c r="G510" s="65"/>
      <c r="H510" s="65"/>
      <c r="I510" s="65"/>
      <c r="J510" s="65"/>
      <c r="K510" s="65"/>
      <c r="L510" s="65"/>
      <c r="M510" s="65"/>
      <c r="N510" s="65"/>
      <c r="O510" s="65"/>
      <c r="P510" s="65"/>
      <c r="Q510" s="65"/>
      <c r="R510" s="65"/>
      <c r="S510" s="65"/>
      <c r="T510" s="65"/>
      <c r="U510" s="65"/>
      <c r="V510" s="65"/>
      <c r="W510" s="65"/>
      <c r="X510" s="65"/>
      <c r="Y510" s="65"/>
      <c r="Z510" s="65"/>
    </row>
    <row r="511" customFormat="false" ht="15.75" hidden="false" customHeight="true" outlineLevel="0" collapsed="false">
      <c r="A511" s="65"/>
      <c r="B511" s="65"/>
      <c r="C511" s="65"/>
      <c r="D511" s="65"/>
      <c r="E511" s="65"/>
      <c r="F511" s="65"/>
      <c r="G511" s="65"/>
      <c r="H511" s="65"/>
      <c r="I511" s="65"/>
      <c r="J511" s="65"/>
      <c r="K511" s="65"/>
      <c r="L511" s="65"/>
      <c r="M511" s="65"/>
      <c r="N511" s="65"/>
      <c r="O511" s="65"/>
      <c r="P511" s="65"/>
      <c r="Q511" s="65"/>
      <c r="R511" s="65"/>
      <c r="S511" s="65"/>
      <c r="T511" s="65"/>
      <c r="U511" s="65"/>
      <c r="V511" s="65"/>
      <c r="W511" s="65"/>
      <c r="X511" s="65"/>
      <c r="Y511" s="65"/>
      <c r="Z511" s="65"/>
    </row>
    <row r="512" customFormat="false" ht="15.75" hidden="false" customHeight="true" outlineLevel="0" collapsed="false">
      <c r="A512" s="65"/>
      <c r="B512" s="65"/>
      <c r="C512" s="65"/>
      <c r="D512" s="65"/>
      <c r="E512" s="65"/>
      <c r="F512" s="65"/>
      <c r="G512" s="65"/>
      <c r="H512" s="65"/>
      <c r="I512" s="65"/>
      <c r="J512" s="65"/>
      <c r="K512" s="65"/>
      <c r="L512" s="65"/>
      <c r="M512" s="65"/>
      <c r="N512" s="65"/>
      <c r="O512" s="65"/>
      <c r="P512" s="65"/>
      <c r="Q512" s="65"/>
      <c r="R512" s="65"/>
      <c r="S512" s="65"/>
      <c r="T512" s="65"/>
      <c r="U512" s="65"/>
      <c r="V512" s="65"/>
      <c r="W512" s="65"/>
      <c r="X512" s="65"/>
      <c r="Y512" s="65"/>
      <c r="Z512" s="65"/>
    </row>
    <row r="513" customFormat="false" ht="15.75" hidden="false" customHeight="true" outlineLevel="0" collapsed="false">
      <c r="A513" s="65"/>
      <c r="B513" s="65"/>
      <c r="C513" s="65"/>
      <c r="D513" s="65"/>
      <c r="E513" s="65"/>
      <c r="F513" s="65"/>
      <c r="G513" s="65"/>
      <c r="H513" s="65"/>
      <c r="I513" s="65"/>
      <c r="J513" s="65"/>
      <c r="K513" s="65"/>
      <c r="L513" s="65"/>
      <c r="M513" s="65"/>
      <c r="N513" s="65"/>
      <c r="O513" s="65"/>
      <c r="P513" s="65"/>
      <c r="Q513" s="65"/>
      <c r="R513" s="65"/>
      <c r="S513" s="65"/>
      <c r="T513" s="65"/>
      <c r="U513" s="65"/>
      <c r="V513" s="65"/>
      <c r="W513" s="65"/>
      <c r="X513" s="65"/>
      <c r="Y513" s="65"/>
      <c r="Z513" s="65"/>
    </row>
    <row r="514" customFormat="false" ht="15.75" hidden="false" customHeight="true" outlineLevel="0" collapsed="false">
      <c r="A514" s="65"/>
      <c r="B514" s="65"/>
      <c r="C514" s="65"/>
      <c r="D514" s="65"/>
      <c r="E514" s="65"/>
      <c r="F514" s="65"/>
      <c r="G514" s="65"/>
      <c r="H514" s="65"/>
      <c r="I514" s="65"/>
      <c r="J514" s="65"/>
      <c r="K514" s="65"/>
      <c r="L514" s="65"/>
      <c r="M514" s="65"/>
      <c r="N514" s="65"/>
      <c r="O514" s="65"/>
      <c r="P514" s="65"/>
      <c r="Q514" s="65"/>
      <c r="R514" s="65"/>
      <c r="S514" s="65"/>
      <c r="T514" s="65"/>
      <c r="U514" s="65"/>
      <c r="V514" s="65"/>
      <c r="W514" s="65"/>
      <c r="X514" s="65"/>
      <c r="Y514" s="65"/>
      <c r="Z514" s="65"/>
    </row>
    <row r="515" customFormat="false" ht="15.75" hidden="false" customHeight="true" outlineLevel="0" collapsed="false">
      <c r="A515" s="65"/>
      <c r="B515" s="65"/>
      <c r="C515" s="65"/>
      <c r="D515" s="65"/>
      <c r="E515" s="65"/>
      <c r="F515" s="65"/>
      <c r="G515" s="65"/>
      <c r="H515" s="65"/>
      <c r="I515" s="65"/>
      <c r="J515" s="65"/>
      <c r="K515" s="65"/>
      <c r="L515" s="65"/>
      <c r="M515" s="65"/>
      <c r="N515" s="65"/>
      <c r="O515" s="65"/>
      <c r="P515" s="65"/>
      <c r="Q515" s="65"/>
      <c r="R515" s="65"/>
      <c r="S515" s="65"/>
      <c r="T515" s="65"/>
      <c r="U515" s="65"/>
      <c r="V515" s="65"/>
      <c r="W515" s="65"/>
      <c r="X515" s="65"/>
      <c r="Y515" s="65"/>
      <c r="Z515" s="65"/>
    </row>
    <row r="516" customFormat="false" ht="15.75" hidden="false" customHeight="true" outlineLevel="0" collapsed="false">
      <c r="A516" s="65"/>
      <c r="B516" s="65"/>
      <c r="C516" s="65"/>
      <c r="D516" s="65"/>
      <c r="E516" s="65"/>
      <c r="F516" s="65"/>
      <c r="G516" s="65"/>
      <c r="H516" s="65"/>
      <c r="I516" s="65"/>
      <c r="J516" s="65"/>
      <c r="K516" s="65"/>
      <c r="L516" s="65"/>
      <c r="M516" s="65"/>
      <c r="N516" s="65"/>
      <c r="O516" s="65"/>
      <c r="P516" s="65"/>
      <c r="Q516" s="65"/>
      <c r="R516" s="65"/>
      <c r="S516" s="65"/>
      <c r="T516" s="65"/>
      <c r="U516" s="65"/>
      <c r="V516" s="65"/>
      <c r="W516" s="65"/>
      <c r="X516" s="65"/>
      <c r="Y516" s="65"/>
      <c r="Z516" s="65"/>
    </row>
    <row r="517" customFormat="false" ht="15.75" hidden="false" customHeight="true" outlineLevel="0" collapsed="false">
      <c r="A517" s="65"/>
      <c r="B517" s="65"/>
      <c r="C517" s="65"/>
      <c r="D517" s="65"/>
      <c r="E517" s="65"/>
      <c r="F517" s="65"/>
      <c r="G517" s="65"/>
      <c r="H517" s="65"/>
      <c r="I517" s="65"/>
      <c r="J517" s="65"/>
      <c r="K517" s="65"/>
      <c r="L517" s="65"/>
      <c r="M517" s="65"/>
      <c r="N517" s="65"/>
      <c r="O517" s="65"/>
      <c r="P517" s="65"/>
      <c r="Q517" s="65"/>
      <c r="R517" s="65"/>
      <c r="S517" s="65"/>
      <c r="T517" s="65"/>
      <c r="U517" s="65"/>
      <c r="V517" s="65"/>
      <c r="W517" s="65"/>
      <c r="X517" s="65"/>
      <c r="Y517" s="65"/>
      <c r="Z517" s="65"/>
    </row>
    <row r="518" customFormat="false" ht="15.75" hidden="false" customHeight="true" outlineLevel="0" collapsed="false">
      <c r="A518" s="65"/>
      <c r="B518" s="65"/>
      <c r="C518" s="65"/>
      <c r="D518" s="65"/>
      <c r="E518" s="65"/>
      <c r="F518" s="65"/>
      <c r="G518" s="65"/>
      <c r="H518" s="65"/>
      <c r="I518" s="65"/>
      <c r="J518" s="65"/>
      <c r="K518" s="65"/>
      <c r="L518" s="65"/>
      <c r="M518" s="65"/>
      <c r="N518" s="65"/>
      <c r="O518" s="65"/>
      <c r="P518" s="65"/>
      <c r="Q518" s="65"/>
      <c r="R518" s="65"/>
      <c r="S518" s="65"/>
      <c r="T518" s="65"/>
      <c r="U518" s="65"/>
      <c r="V518" s="65"/>
      <c r="W518" s="65"/>
      <c r="X518" s="65"/>
      <c r="Y518" s="65"/>
      <c r="Z518" s="65"/>
    </row>
    <row r="519" customFormat="false" ht="15.75" hidden="false" customHeight="true" outlineLevel="0" collapsed="false">
      <c r="A519" s="65"/>
      <c r="B519" s="65"/>
      <c r="C519" s="65"/>
      <c r="D519" s="65"/>
      <c r="E519" s="65"/>
      <c r="F519" s="65"/>
      <c r="G519" s="65"/>
      <c r="H519" s="65"/>
      <c r="I519" s="65"/>
      <c r="J519" s="65"/>
      <c r="K519" s="65"/>
      <c r="L519" s="65"/>
      <c r="M519" s="65"/>
      <c r="N519" s="65"/>
      <c r="O519" s="65"/>
      <c r="P519" s="65"/>
      <c r="Q519" s="65"/>
      <c r="R519" s="65"/>
      <c r="S519" s="65"/>
      <c r="T519" s="65"/>
      <c r="U519" s="65"/>
      <c r="V519" s="65"/>
      <c r="W519" s="65"/>
      <c r="X519" s="65"/>
      <c r="Y519" s="65"/>
      <c r="Z519" s="65"/>
    </row>
    <row r="520" customFormat="false" ht="15.75" hidden="false" customHeight="true" outlineLevel="0" collapsed="false">
      <c r="A520" s="65"/>
      <c r="B520" s="65"/>
      <c r="C520" s="65"/>
      <c r="D520" s="65"/>
      <c r="E520" s="65"/>
      <c r="F520" s="65"/>
      <c r="G520" s="65"/>
      <c r="H520" s="65"/>
      <c r="I520" s="65"/>
      <c r="J520" s="65"/>
      <c r="K520" s="65"/>
      <c r="L520" s="65"/>
      <c r="M520" s="65"/>
      <c r="N520" s="65"/>
      <c r="O520" s="65"/>
      <c r="P520" s="65"/>
      <c r="Q520" s="65"/>
      <c r="R520" s="65"/>
      <c r="S520" s="65"/>
      <c r="T520" s="65"/>
      <c r="U520" s="65"/>
      <c r="V520" s="65"/>
      <c r="W520" s="65"/>
      <c r="X520" s="65"/>
      <c r="Y520" s="65"/>
      <c r="Z520" s="65"/>
    </row>
    <row r="521" customFormat="false" ht="15.75" hidden="false" customHeight="true" outlineLevel="0" collapsed="false">
      <c r="A521" s="65"/>
      <c r="B521" s="65"/>
      <c r="C521" s="65"/>
      <c r="D521" s="65"/>
      <c r="E521" s="65"/>
      <c r="F521" s="65"/>
      <c r="G521" s="65"/>
      <c r="H521" s="65"/>
      <c r="I521" s="65"/>
      <c r="J521" s="65"/>
      <c r="K521" s="65"/>
      <c r="L521" s="65"/>
      <c r="M521" s="65"/>
      <c r="N521" s="65"/>
      <c r="O521" s="65"/>
      <c r="P521" s="65"/>
      <c r="Q521" s="65"/>
      <c r="R521" s="65"/>
      <c r="S521" s="65"/>
      <c r="T521" s="65"/>
      <c r="U521" s="65"/>
      <c r="V521" s="65"/>
      <c r="W521" s="65"/>
      <c r="X521" s="65"/>
      <c r="Y521" s="65"/>
      <c r="Z521" s="65"/>
    </row>
    <row r="522" customFormat="false" ht="15.75" hidden="false" customHeight="true" outlineLevel="0" collapsed="false">
      <c r="A522" s="65"/>
      <c r="B522" s="65"/>
      <c r="C522" s="65"/>
      <c r="D522" s="65"/>
      <c r="E522" s="65"/>
      <c r="F522" s="65"/>
      <c r="G522" s="65"/>
      <c r="H522" s="65"/>
      <c r="I522" s="65"/>
      <c r="J522" s="65"/>
      <c r="K522" s="65"/>
      <c r="L522" s="65"/>
      <c r="M522" s="65"/>
      <c r="N522" s="65"/>
      <c r="O522" s="65"/>
      <c r="P522" s="65"/>
      <c r="Q522" s="65"/>
      <c r="R522" s="65"/>
      <c r="S522" s="65"/>
      <c r="T522" s="65"/>
      <c r="U522" s="65"/>
      <c r="V522" s="65"/>
      <c r="W522" s="65"/>
      <c r="X522" s="65"/>
      <c r="Y522" s="65"/>
      <c r="Z522" s="65"/>
    </row>
    <row r="523" customFormat="false" ht="15.75" hidden="false" customHeight="true" outlineLevel="0" collapsed="false">
      <c r="A523" s="65"/>
      <c r="B523" s="65"/>
      <c r="C523" s="65"/>
      <c r="D523" s="65"/>
      <c r="E523" s="65"/>
      <c r="F523" s="65"/>
      <c r="G523" s="65"/>
      <c r="H523" s="65"/>
      <c r="I523" s="65"/>
      <c r="J523" s="65"/>
      <c r="K523" s="65"/>
      <c r="L523" s="65"/>
      <c r="M523" s="65"/>
      <c r="N523" s="65"/>
      <c r="O523" s="65"/>
      <c r="P523" s="65"/>
      <c r="Q523" s="65"/>
      <c r="R523" s="65"/>
      <c r="S523" s="65"/>
      <c r="T523" s="65"/>
      <c r="U523" s="65"/>
      <c r="V523" s="65"/>
      <c r="W523" s="65"/>
      <c r="X523" s="65"/>
      <c r="Y523" s="65"/>
      <c r="Z523" s="65"/>
    </row>
    <row r="524" customFormat="false" ht="15.75" hidden="false" customHeight="true" outlineLevel="0" collapsed="false">
      <c r="A524" s="65"/>
      <c r="B524" s="65"/>
      <c r="C524" s="65"/>
      <c r="D524" s="65"/>
      <c r="E524" s="65"/>
      <c r="F524" s="65"/>
      <c r="G524" s="65"/>
      <c r="H524" s="65"/>
      <c r="I524" s="65"/>
      <c r="J524" s="65"/>
      <c r="K524" s="65"/>
      <c r="L524" s="65"/>
      <c r="M524" s="65"/>
      <c r="N524" s="65"/>
      <c r="O524" s="65"/>
      <c r="P524" s="65"/>
      <c r="Q524" s="65"/>
      <c r="R524" s="65"/>
      <c r="S524" s="65"/>
      <c r="T524" s="65"/>
      <c r="U524" s="65"/>
      <c r="V524" s="65"/>
      <c r="W524" s="65"/>
      <c r="X524" s="65"/>
      <c r="Y524" s="65"/>
      <c r="Z524" s="65"/>
    </row>
    <row r="525" customFormat="false" ht="15.75" hidden="false" customHeight="true" outlineLevel="0" collapsed="false">
      <c r="A525" s="65"/>
      <c r="B525" s="65"/>
      <c r="C525" s="65"/>
      <c r="D525" s="65"/>
      <c r="E525" s="65"/>
      <c r="F525" s="65"/>
      <c r="G525" s="65"/>
      <c r="H525" s="65"/>
      <c r="I525" s="65"/>
      <c r="J525" s="65"/>
      <c r="K525" s="65"/>
      <c r="L525" s="65"/>
      <c r="M525" s="65"/>
      <c r="N525" s="65"/>
      <c r="O525" s="65"/>
      <c r="P525" s="65"/>
      <c r="Q525" s="65"/>
      <c r="R525" s="65"/>
      <c r="S525" s="65"/>
      <c r="T525" s="65"/>
      <c r="U525" s="65"/>
      <c r="V525" s="65"/>
      <c r="W525" s="65"/>
      <c r="X525" s="65"/>
      <c r="Y525" s="65"/>
      <c r="Z525" s="65"/>
    </row>
    <row r="526" customFormat="false" ht="15.75" hidden="false" customHeight="true" outlineLevel="0" collapsed="false">
      <c r="A526" s="65"/>
      <c r="B526" s="65"/>
      <c r="C526" s="65"/>
      <c r="D526" s="65"/>
      <c r="E526" s="65"/>
      <c r="F526" s="65"/>
      <c r="G526" s="65"/>
      <c r="H526" s="65"/>
      <c r="I526" s="65"/>
      <c r="J526" s="65"/>
      <c r="K526" s="65"/>
      <c r="L526" s="65"/>
      <c r="M526" s="65"/>
      <c r="N526" s="65"/>
      <c r="O526" s="65"/>
      <c r="P526" s="65"/>
      <c r="Q526" s="65"/>
      <c r="R526" s="65"/>
      <c r="S526" s="65"/>
      <c r="T526" s="65"/>
      <c r="U526" s="65"/>
      <c r="V526" s="65"/>
      <c r="W526" s="65"/>
      <c r="X526" s="65"/>
      <c r="Y526" s="65"/>
      <c r="Z526" s="65"/>
    </row>
    <row r="527" customFormat="false" ht="15.75" hidden="false" customHeight="true" outlineLevel="0" collapsed="false">
      <c r="A527" s="65"/>
      <c r="B527" s="65"/>
      <c r="C527" s="65"/>
      <c r="D527" s="65"/>
      <c r="E527" s="65"/>
      <c r="F527" s="65"/>
      <c r="G527" s="65"/>
      <c r="H527" s="65"/>
      <c r="I527" s="65"/>
      <c r="J527" s="65"/>
      <c r="K527" s="65"/>
      <c r="L527" s="65"/>
      <c r="M527" s="65"/>
      <c r="N527" s="65"/>
      <c r="O527" s="65"/>
      <c r="P527" s="65"/>
      <c r="Q527" s="65"/>
      <c r="R527" s="65"/>
      <c r="S527" s="65"/>
      <c r="T527" s="65"/>
      <c r="U527" s="65"/>
      <c r="V527" s="65"/>
      <c r="W527" s="65"/>
      <c r="X527" s="65"/>
      <c r="Y527" s="65"/>
      <c r="Z527" s="65"/>
    </row>
    <row r="528" customFormat="false" ht="15.75" hidden="false" customHeight="true" outlineLevel="0" collapsed="false">
      <c r="A528" s="65"/>
      <c r="B528" s="65"/>
      <c r="C528" s="65"/>
      <c r="D528" s="65"/>
      <c r="E528" s="65"/>
      <c r="F528" s="65"/>
      <c r="G528" s="65"/>
      <c r="H528" s="65"/>
      <c r="I528" s="65"/>
      <c r="J528" s="65"/>
      <c r="K528" s="65"/>
      <c r="L528" s="65"/>
      <c r="M528" s="65"/>
      <c r="N528" s="65"/>
      <c r="O528" s="65"/>
      <c r="P528" s="65"/>
      <c r="Q528" s="65"/>
      <c r="R528" s="65"/>
      <c r="S528" s="65"/>
      <c r="T528" s="65"/>
      <c r="U528" s="65"/>
      <c r="V528" s="65"/>
      <c r="W528" s="65"/>
      <c r="X528" s="65"/>
      <c r="Y528" s="65"/>
      <c r="Z528" s="65"/>
    </row>
    <row r="529" customFormat="false" ht="15.75" hidden="false" customHeight="true" outlineLevel="0" collapsed="false">
      <c r="A529" s="65"/>
      <c r="B529" s="65"/>
      <c r="C529" s="65"/>
      <c r="D529" s="65"/>
      <c r="E529" s="65"/>
      <c r="F529" s="65"/>
      <c r="G529" s="65"/>
      <c r="H529" s="65"/>
      <c r="I529" s="65"/>
      <c r="J529" s="65"/>
      <c r="K529" s="65"/>
      <c r="L529" s="65"/>
      <c r="M529" s="65"/>
      <c r="N529" s="65"/>
      <c r="O529" s="65"/>
      <c r="P529" s="65"/>
      <c r="Q529" s="65"/>
      <c r="R529" s="65"/>
      <c r="S529" s="65"/>
      <c r="T529" s="65"/>
      <c r="U529" s="65"/>
      <c r="V529" s="65"/>
      <c r="W529" s="65"/>
      <c r="X529" s="65"/>
      <c r="Y529" s="65"/>
      <c r="Z529" s="65"/>
    </row>
    <row r="530" customFormat="false" ht="15.75" hidden="false" customHeight="true" outlineLevel="0" collapsed="false">
      <c r="A530" s="65"/>
      <c r="B530" s="65"/>
      <c r="C530" s="65"/>
      <c r="D530" s="65"/>
      <c r="E530" s="65"/>
      <c r="F530" s="65"/>
      <c r="G530" s="65"/>
      <c r="H530" s="65"/>
      <c r="I530" s="65"/>
      <c r="J530" s="65"/>
      <c r="K530" s="65"/>
      <c r="L530" s="65"/>
      <c r="M530" s="65"/>
      <c r="N530" s="65"/>
      <c r="O530" s="65"/>
      <c r="P530" s="65"/>
      <c r="Q530" s="65"/>
      <c r="R530" s="65"/>
      <c r="S530" s="65"/>
      <c r="T530" s="65"/>
      <c r="U530" s="65"/>
      <c r="V530" s="65"/>
      <c r="W530" s="65"/>
      <c r="X530" s="65"/>
      <c r="Y530" s="65"/>
      <c r="Z530" s="65"/>
    </row>
    <row r="531" customFormat="false" ht="15.75" hidden="false" customHeight="true" outlineLevel="0" collapsed="false">
      <c r="A531" s="65"/>
      <c r="B531" s="65"/>
      <c r="C531" s="65"/>
      <c r="D531" s="65"/>
      <c r="E531" s="65"/>
      <c r="F531" s="65"/>
      <c r="G531" s="65"/>
      <c r="H531" s="65"/>
      <c r="I531" s="65"/>
      <c r="J531" s="65"/>
      <c r="K531" s="65"/>
      <c r="L531" s="65"/>
      <c r="M531" s="65"/>
      <c r="N531" s="65"/>
      <c r="O531" s="65"/>
      <c r="P531" s="65"/>
      <c r="Q531" s="65"/>
      <c r="R531" s="65"/>
      <c r="S531" s="65"/>
      <c r="T531" s="65"/>
      <c r="U531" s="65"/>
      <c r="V531" s="65"/>
      <c r="W531" s="65"/>
      <c r="X531" s="65"/>
      <c r="Y531" s="65"/>
      <c r="Z531" s="65"/>
    </row>
    <row r="532" customFormat="false" ht="15.75" hidden="false" customHeight="true" outlineLevel="0" collapsed="false">
      <c r="A532" s="65"/>
      <c r="B532" s="65"/>
      <c r="C532" s="65"/>
      <c r="D532" s="65"/>
      <c r="E532" s="65"/>
      <c r="F532" s="65"/>
      <c r="G532" s="65"/>
      <c r="H532" s="65"/>
      <c r="I532" s="65"/>
      <c r="J532" s="65"/>
      <c r="K532" s="65"/>
      <c r="L532" s="65"/>
      <c r="M532" s="65"/>
      <c r="N532" s="65"/>
      <c r="O532" s="65"/>
      <c r="P532" s="65"/>
      <c r="Q532" s="65"/>
      <c r="R532" s="65"/>
      <c r="S532" s="65"/>
      <c r="T532" s="65"/>
      <c r="U532" s="65"/>
      <c r="V532" s="65"/>
      <c r="W532" s="65"/>
      <c r="X532" s="65"/>
      <c r="Y532" s="65"/>
      <c r="Z532" s="65"/>
    </row>
    <row r="533" customFormat="false" ht="15.75" hidden="false" customHeight="true" outlineLevel="0" collapsed="false">
      <c r="A533" s="65"/>
      <c r="B533" s="65"/>
      <c r="C533" s="65"/>
      <c r="D533" s="65"/>
      <c r="E533" s="65"/>
      <c r="F533" s="65"/>
      <c r="G533" s="65"/>
      <c r="H533" s="65"/>
      <c r="I533" s="65"/>
      <c r="J533" s="65"/>
      <c r="K533" s="65"/>
      <c r="L533" s="65"/>
      <c r="M533" s="65"/>
      <c r="N533" s="65"/>
      <c r="O533" s="65"/>
      <c r="P533" s="65"/>
      <c r="Q533" s="65"/>
      <c r="R533" s="65"/>
      <c r="S533" s="65"/>
      <c r="T533" s="65"/>
      <c r="U533" s="65"/>
      <c r="V533" s="65"/>
      <c r="W533" s="65"/>
      <c r="X533" s="65"/>
      <c r="Y533" s="65"/>
      <c r="Z533" s="65"/>
    </row>
    <row r="534" customFormat="false" ht="15.75" hidden="false" customHeight="true" outlineLevel="0" collapsed="false">
      <c r="A534" s="65"/>
      <c r="B534" s="65"/>
      <c r="C534" s="65"/>
      <c r="D534" s="65"/>
      <c r="E534" s="65"/>
      <c r="F534" s="65"/>
      <c r="G534" s="65"/>
      <c r="H534" s="65"/>
      <c r="I534" s="65"/>
      <c r="J534" s="65"/>
      <c r="K534" s="65"/>
      <c r="L534" s="65"/>
      <c r="M534" s="65"/>
      <c r="N534" s="65"/>
      <c r="O534" s="65"/>
      <c r="P534" s="65"/>
      <c r="Q534" s="65"/>
      <c r="R534" s="65"/>
      <c r="S534" s="65"/>
      <c r="T534" s="65"/>
      <c r="U534" s="65"/>
      <c r="V534" s="65"/>
      <c r="W534" s="65"/>
      <c r="X534" s="65"/>
      <c r="Y534" s="65"/>
      <c r="Z534" s="65"/>
    </row>
    <row r="535" customFormat="false" ht="15.75" hidden="false" customHeight="true" outlineLevel="0" collapsed="false">
      <c r="A535" s="65"/>
      <c r="B535" s="65"/>
      <c r="C535" s="65"/>
      <c r="D535" s="65"/>
      <c r="E535" s="65"/>
      <c r="F535" s="65"/>
      <c r="G535" s="65"/>
      <c r="H535" s="65"/>
      <c r="I535" s="65"/>
      <c r="J535" s="65"/>
      <c r="K535" s="65"/>
      <c r="L535" s="65"/>
      <c r="M535" s="65"/>
      <c r="N535" s="65"/>
      <c r="O535" s="65"/>
      <c r="P535" s="65"/>
      <c r="Q535" s="65"/>
      <c r="R535" s="65"/>
      <c r="S535" s="65"/>
      <c r="T535" s="65"/>
      <c r="U535" s="65"/>
      <c r="V535" s="65"/>
      <c r="W535" s="65"/>
      <c r="X535" s="65"/>
      <c r="Y535" s="65"/>
      <c r="Z535" s="65"/>
    </row>
    <row r="536" customFormat="false" ht="15.75" hidden="false" customHeight="true" outlineLevel="0" collapsed="false">
      <c r="A536" s="65"/>
      <c r="B536" s="65"/>
      <c r="C536" s="65"/>
      <c r="D536" s="65"/>
      <c r="E536" s="65"/>
      <c r="F536" s="65"/>
      <c r="G536" s="65"/>
      <c r="H536" s="65"/>
      <c r="I536" s="65"/>
      <c r="J536" s="65"/>
      <c r="K536" s="65"/>
      <c r="L536" s="65"/>
      <c r="M536" s="65"/>
      <c r="N536" s="65"/>
      <c r="O536" s="65"/>
      <c r="P536" s="65"/>
      <c r="Q536" s="65"/>
      <c r="R536" s="65"/>
      <c r="S536" s="65"/>
      <c r="T536" s="65"/>
      <c r="U536" s="65"/>
      <c r="V536" s="65"/>
      <c r="W536" s="65"/>
      <c r="X536" s="65"/>
      <c r="Y536" s="65"/>
      <c r="Z536" s="65"/>
    </row>
    <row r="537" customFormat="false" ht="15.75" hidden="false" customHeight="true" outlineLevel="0" collapsed="false">
      <c r="A537" s="65"/>
      <c r="B537" s="65"/>
      <c r="C537" s="65"/>
      <c r="D537" s="65"/>
      <c r="E537" s="65"/>
      <c r="F537" s="65"/>
      <c r="G537" s="65"/>
      <c r="H537" s="65"/>
      <c r="I537" s="65"/>
      <c r="J537" s="65"/>
      <c r="K537" s="65"/>
      <c r="L537" s="65"/>
      <c r="M537" s="65"/>
      <c r="N537" s="65"/>
      <c r="O537" s="65"/>
      <c r="P537" s="65"/>
      <c r="Q537" s="65"/>
      <c r="R537" s="65"/>
      <c r="S537" s="65"/>
      <c r="T537" s="65"/>
      <c r="U537" s="65"/>
      <c r="V537" s="65"/>
      <c r="W537" s="65"/>
      <c r="X537" s="65"/>
      <c r="Y537" s="65"/>
      <c r="Z537" s="65"/>
    </row>
    <row r="538" customFormat="false" ht="15.75" hidden="false" customHeight="true" outlineLevel="0" collapsed="false">
      <c r="A538" s="65"/>
      <c r="B538" s="65"/>
      <c r="C538" s="65"/>
      <c r="D538" s="65"/>
      <c r="E538" s="65"/>
      <c r="F538" s="65"/>
      <c r="G538" s="65"/>
      <c r="H538" s="65"/>
      <c r="I538" s="65"/>
      <c r="J538" s="65"/>
      <c r="K538" s="65"/>
      <c r="L538" s="65"/>
      <c r="M538" s="65"/>
      <c r="N538" s="65"/>
      <c r="O538" s="65"/>
      <c r="P538" s="65"/>
      <c r="Q538" s="65"/>
      <c r="R538" s="65"/>
      <c r="S538" s="65"/>
      <c r="T538" s="65"/>
      <c r="U538" s="65"/>
      <c r="V538" s="65"/>
      <c r="W538" s="65"/>
      <c r="X538" s="65"/>
      <c r="Y538" s="65"/>
      <c r="Z538" s="65"/>
    </row>
    <row r="539" customFormat="false" ht="15.75" hidden="false" customHeight="true" outlineLevel="0" collapsed="false">
      <c r="A539" s="65"/>
      <c r="B539" s="65"/>
      <c r="C539" s="65"/>
      <c r="D539" s="65"/>
      <c r="E539" s="65"/>
      <c r="F539" s="65"/>
      <c r="G539" s="65"/>
      <c r="H539" s="65"/>
      <c r="I539" s="65"/>
      <c r="J539" s="65"/>
      <c r="K539" s="65"/>
      <c r="L539" s="65"/>
      <c r="M539" s="65"/>
      <c r="N539" s="65"/>
      <c r="O539" s="65"/>
      <c r="P539" s="65"/>
      <c r="Q539" s="65"/>
      <c r="R539" s="65"/>
      <c r="S539" s="65"/>
      <c r="T539" s="65"/>
      <c r="U539" s="65"/>
      <c r="V539" s="65"/>
      <c r="W539" s="65"/>
      <c r="X539" s="65"/>
      <c r="Y539" s="65"/>
      <c r="Z539" s="65"/>
    </row>
    <row r="540" customFormat="false" ht="15.75" hidden="false" customHeight="true" outlineLevel="0" collapsed="false">
      <c r="A540" s="65"/>
      <c r="B540" s="65"/>
      <c r="C540" s="65"/>
      <c r="D540" s="65"/>
      <c r="E540" s="65"/>
      <c r="F540" s="65"/>
      <c r="G540" s="65"/>
      <c r="H540" s="65"/>
      <c r="I540" s="65"/>
      <c r="J540" s="65"/>
      <c r="K540" s="65"/>
      <c r="L540" s="65"/>
      <c r="M540" s="65"/>
      <c r="N540" s="65"/>
      <c r="O540" s="65"/>
      <c r="P540" s="65"/>
      <c r="Q540" s="65"/>
      <c r="R540" s="65"/>
      <c r="S540" s="65"/>
      <c r="T540" s="65"/>
      <c r="U540" s="65"/>
      <c r="V540" s="65"/>
      <c r="W540" s="65"/>
      <c r="X540" s="65"/>
      <c r="Y540" s="65"/>
      <c r="Z540" s="65"/>
    </row>
    <row r="541" customFormat="false" ht="15.75" hidden="false" customHeight="true" outlineLevel="0" collapsed="false">
      <c r="A541" s="65"/>
      <c r="B541" s="65"/>
      <c r="C541" s="65"/>
      <c r="D541" s="65"/>
      <c r="E541" s="65"/>
      <c r="F541" s="65"/>
      <c r="G541" s="65"/>
      <c r="H541" s="65"/>
      <c r="I541" s="65"/>
      <c r="J541" s="65"/>
      <c r="K541" s="65"/>
      <c r="L541" s="65"/>
      <c r="M541" s="65"/>
      <c r="N541" s="65"/>
      <c r="O541" s="65"/>
      <c r="P541" s="65"/>
      <c r="Q541" s="65"/>
      <c r="R541" s="65"/>
      <c r="S541" s="65"/>
      <c r="T541" s="65"/>
      <c r="U541" s="65"/>
      <c r="V541" s="65"/>
      <c r="W541" s="65"/>
      <c r="X541" s="65"/>
      <c r="Y541" s="65"/>
      <c r="Z541" s="65"/>
    </row>
    <row r="542" customFormat="false" ht="15.75" hidden="false" customHeight="true" outlineLevel="0" collapsed="false">
      <c r="A542" s="65"/>
      <c r="B542" s="65"/>
      <c r="C542" s="65"/>
      <c r="D542" s="65"/>
      <c r="E542" s="65"/>
      <c r="F542" s="65"/>
      <c r="G542" s="65"/>
      <c r="H542" s="65"/>
      <c r="I542" s="65"/>
      <c r="J542" s="65"/>
      <c r="K542" s="65"/>
      <c r="L542" s="65"/>
      <c r="M542" s="65"/>
      <c r="N542" s="65"/>
      <c r="O542" s="65"/>
      <c r="P542" s="65"/>
      <c r="Q542" s="65"/>
      <c r="R542" s="65"/>
      <c r="S542" s="65"/>
      <c r="T542" s="65"/>
      <c r="U542" s="65"/>
      <c r="V542" s="65"/>
      <c r="W542" s="65"/>
      <c r="X542" s="65"/>
      <c r="Y542" s="65"/>
      <c r="Z542" s="65"/>
    </row>
    <row r="543" customFormat="false" ht="15.75" hidden="false" customHeight="true" outlineLevel="0" collapsed="false">
      <c r="A543" s="65"/>
      <c r="B543" s="65"/>
      <c r="C543" s="65"/>
      <c r="D543" s="65"/>
      <c r="E543" s="65"/>
      <c r="F543" s="65"/>
      <c r="G543" s="65"/>
      <c r="H543" s="65"/>
      <c r="I543" s="65"/>
      <c r="J543" s="65"/>
      <c r="K543" s="65"/>
      <c r="L543" s="65"/>
      <c r="M543" s="65"/>
      <c r="N543" s="65"/>
      <c r="O543" s="65"/>
      <c r="P543" s="65"/>
      <c r="Q543" s="65"/>
      <c r="R543" s="65"/>
      <c r="S543" s="65"/>
      <c r="T543" s="65"/>
      <c r="U543" s="65"/>
      <c r="V543" s="65"/>
      <c r="W543" s="65"/>
      <c r="X543" s="65"/>
      <c r="Y543" s="65"/>
      <c r="Z543" s="65"/>
    </row>
    <row r="544" customFormat="false" ht="15.75" hidden="false" customHeight="true" outlineLevel="0" collapsed="false">
      <c r="A544" s="65"/>
      <c r="B544" s="65"/>
      <c r="C544" s="65"/>
      <c r="D544" s="65"/>
      <c r="E544" s="65"/>
      <c r="F544" s="65"/>
      <c r="G544" s="65"/>
      <c r="H544" s="65"/>
      <c r="I544" s="65"/>
      <c r="J544" s="65"/>
      <c r="K544" s="65"/>
      <c r="L544" s="65"/>
      <c r="M544" s="65"/>
      <c r="N544" s="65"/>
      <c r="O544" s="65"/>
      <c r="P544" s="65"/>
      <c r="Q544" s="65"/>
      <c r="R544" s="65"/>
      <c r="S544" s="65"/>
      <c r="T544" s="65"/>
      <c r="U544" s="65"/>
      <c r="V544" s="65"/>
      <c r="W544" s="65"/>
      <c r="X544" s="65"/>
      <c r="Y544" s="65"/>
      <c r="Z544" s="65"/>
    </row>
    <row r="545" customFormat="false" ht="15.75" hidden="false" customHeight="true" outlineLevel="0" collapsed="false">
      <c r="A545" s="65"/>
      <c r="B545" s="65"/>
      <c r="C545" s="65"/>
      <c r="D545" s="65"/>
      <c r="E545" s="65"/>
      <c r="F545" s="65"/>
      <c r="G545" s="65"/>
      <c r="H545" s="65"/>
      <c r="I545" s="65"/>
      <c r="J545" s="65"/>
      <c r="K545" s="65"/>
      <c r="L545" s="65"/>
      <c r="M545" s="65"/>
      <c r="N545" s="65"/>
      <c r="O545" s="65"/>
      <c r="P545" s="65"/>
      <c r="Q545" s="65"/>
      <c r="R545" s="65"/>
      <c r="S545" s="65"/>
      <c r="T545" s="65"/>
      <c r="U545" s="65"/>
      <c r="V545" s="65"/>
      <c r="W545" s="65"/>
      <c r="X545" s="65"/>
      <c r="Y545" s="65"/>
      <c r="Z545" s="65"/>
    </row>
    <row r="546" customFormat="false" ht="15.75" hidden="false" customHeight="true" outlineLevel="0" collapsed="false">
      <c r="A546" s="65"/>
      <c r="B546" s="65"/>
      <c r="C546" s="65"/>
      <c r="D546" s="65"/>
      <c r="E546" s="65"/>
      <c r="F546" s="65"/>
      <c r="G546" s="65"/>
      <c r="H546" s="65"/>
      <c r="I546" s="65"/>
      <c r="J546" s="65"/>
      <c r="K546" s="65"/>
      <c r="L546" s="65"/>
      <c r="M546" s="65"/>
      <c r="N546" s="65"/>
      <c r="O546" s="65"/>
      <c r="P546" s="65"/>
      <c r="Q546" s="65"/>
      <c r="R546" s="65"/>
      <c r="S546" s="65"/>
      <c r="T546" s="65"/>
      <c r="U546" s="65"/>
      <c r="V546" s="65"/>
      <c r="W546" s="65"/>
      <c r="X546" s="65"/>
      <c r="Y546" s="65"/>
      <c r="Z546" s="65"/>
    </row>
    <row r="547" customFormat="false" ht="15.75" hidden="false" customHeight="true" outlineLevel="0" collapsed="false">
      <c r="A547" s="65"/>
      <c r="B547" s="65"/>
      <c r="C547" s="65"/>
      <c r="D547" s="65"/>
      <c r="E547" s="65"/>
      <c r="F547" s="65"/>
      <c r="G547" s="65"/>
      <c r="H547" s="65"/>
      <c r="I547" s="65"/>
      <c r="J547" s="65"/>
      <c r="K547" s="65"/>
      <c r="L547" s="65"/>
      <c r="M547" s="65"/>
      <c r="N547" s="65"/>
      <c r="O547" s="65"/>
      <c r="P547" s="65"/>
      <c r="Q547" s="65"/>
      <c r="R547" s="65"/>
      <c r="S547" s="65"/>
      <c r="T547" s="65"/>
      <c r="U547" s="65"/>
      <c r="V547" s="65"/>
      <c r="W547" s="65"/>
      <c r="X547" s="65"/>
      <c r="Y547" s="65"/>
      <c r="Z547" s="65"/>
    </row>
    <row r="548" customFormat="false" ht="15.75" hidden="false" customHeight="true" outlineLevel="0" collapsed="false">
      <c r="A548" s="65"/>
      <c r="B548" s="65"/>
      <c r="C548" s="65"/>
      <c r="D548" s="65"/>
      <c r="E548" s="65"/>
      <c r="F548" s="65"/>
      <c r="G548" s="65"/>
      <c r="H548" s="65"/>
      <c r="I548" s="65"/>
      <c r="J548" s="65"/>
      <c r="K548" s="65"/>
      <c r="L548" s="65"/>
      <c r="M548" s="65"/>
      <c r="N548" s="65"/>
      <c r="O548" s="65"/>
      <c r="P548" s="65"/>
      <c r="Q548" s="65"/>
      <c r="R548" s="65"/>
      <c r="S548" s="65"/>
      <c r="T548" s="65"/>
      <c r="U548" s="65"/>
      <c r="V548" s="65"/>
      <c r="W548" s="65"/>
      <c r="X548" s="65"/>
      <c r="Y548" s="65"/>
      <c r="Z548" s="65"/>
    </row>
    <row r="549" customFormat="false" ht="15.75" hidden="false" customHeight="true" outlineLevel="0" collapsed="false">
      <c r="A549" s="65"/>
      <c r="B549" s="65"/>
      <c r="C549" s="65"/>
      <c r="D549" s="65"/>
      <c r="E549" s="65"/>
      <c r="F549" s="65"/>
      <c r="G549" s="65"/>
      <c r="H549" s="65"/>
      <c r="I549" s="65"/>
      <c r="J549" s="65"/>
      <c r="K549" s="65"/>
      <c r="L549" s="65"/>
      <c r="M549" s="65"/>
      <c r="N549" s="65"/>
      <c r="O549" s="65"/>
      <c r="P549" s="65"/>
      <c r="Q549" s="65"/>
      <c r="R549" s="65"/>
      <c r="S549" s="65"/>
      <c r="T549" s="65"/>
      <c r="U549" s="65"/>
      <c r="V549" s="65"/>
      <c r="W549" s="65"/>
      <c r="X549" s="65"/>
      <c r="Y549" s="65"/>
      <c r="Z549" s="65"/>
    </row>
    <row r="550" customFormat="false" ht="15.75" hidden="false" customHeight="true" outlineLevel="0" collapsed="false">
      <c r="A550" s="65"/>
      <c r="B550" s="65"/>
      <c r="C550" s="65"/>
      <c r="D550" s="65"/>
      <c r="E550" s="65"/>
      <c r="F550" s="65"/>
      <c r="G550" s="65"/>
      <c r="H550" s="65"/>
      <c r="I550" s="65"/>
      <c r="J550" s="65"/>
      <c r="K550" s="65"/>
      <c r="L550" s="65"/>
      <c r="M550" s="65"/>
      <c r="N550" s="65"/>
      <c r="O550" s="65"/>
      <c r="P550" s="65"/>
      <c r="Q550" s="65"/>
      <c r="R550" s="65"/>
      <c r="S550" s="65"/>
      <c r="T550" s="65"/>
      <c r="U550" s="65"/>
      <c r="V550" s="65"/>
      <c r="W550" s="65"/>
      <c r="X550" s="65"/>
      <c r="Y550" s="65"/>
      <c r="Z550" s="65"/>
    </row>
    <row r="551" customFormat="false" ht="15.75" hidden="false" customHeight="true" outlineLevel="0" collapsed="false">
      <c r="A551" s="65"/>
      <c r="B551" s="65"/>
      <c r="C551" s="65"/>
      <c r="D551" s="65"/>
      <c r="E551" s="65"/>
      <c r="F551" s="65"/>
      <c r="G551" s="65"/>
      <c r="H551" s="65"/>
      <c r="I551" s="65"/>
      <c r="J551" s="65"/>
      <c r="K551" s="65"/>
      <c r="L551" s="65"/>
      <c r="M551" s="65"/>
      <c r="N551" s="65"/>
      <c r="O551" s="65"/>
      <c r="P551" s="65"/>
      <c r="Q551" s="65"/>
      <c r="R551" s="65"/>
      <c r="S551" s="65"/>
      <c r="T551" s="65"/>
      <c r="U551" s="65"/>
      <c r="V551" s="65"/>
      <c r="W551" s="65"/>
      <c r="X551" s="65"/>
      <c r="Y551" s="65"/>
      <c r="Z551" s="65"/>
    </row>
    <row r="552" customFormat="false" ht="15.75" hidden="false" customHeight="true" outlineLevel="0" collapsed="false">
      <c r="A552" s="65"/>
      <c r="B552" s="65"/>
      <c r="C552" s="65"/>
      <c r="D552" s="65"/>
      <c r="E552" s="65"/>
      <c r="F552" s="65"/>
      <c r="G552" s="65"/>
      <c r="H552" s="65"/>
      <c r="I552" s="65"/>
      <c r="J552" s="65"/>
      <c r="K552" s="65"/>
      <c r="L552" s="65"/>
      <c r="M552" s="65"/>
      <c r="N552" s="65"/>
      <c r="O552" s="65"/>
      <c r="P552" s="65"/>
      <c r="Q552" s="65"/>
      <c r="R552" s="65"/>
      <c r="S552" s="65"/>
      <c r="T552" s="65"/>
      <c r="U552" s="65"/>
      <c r="V552" s="65"/>
      <c r="W552" s="65"/>
      <c r="X552" s="65"/>
      <c r="Y552" s="65"/>
      <c r="Z552" s="65"/>
    </row>
    <row r="553" customFormat="false" ht="15.75" hidden="false" customHeight="true" outlineLevel="0" collapsed="false">
      <c r="A553" s="65"/>
      <c r="B553" s="65"/>
      <c r="C553" s="65"/>
      <c r="D553" s="65"/>
      <c r="E553" s="65"/>
      <c r="F553" s="65"/>
      <c r="G553" s="65"/>
      <c r="H553" s="65"/>
      <c r="I553" s="65"/>
      <c r="J553" s="65"/>
      <c r="K553" s="65"/>
      <c r="L553" s="65"/>
      <c r="M553" s="65"/>
      <c r="N553" s="65"/>
      <c r="O553" s="65"/>
      <c r="P553" s="65"/>
      <c r="Q553" s="65"/>
      <c r="R553" s="65"/>
      <c r="S553" s="65"/>
      <c r="T553" s="65"/>
      <c r="U553" s="65"/>
      <c r="V553" s="65"/>
      <c r="W553" s="65"/>
      <c r="X553" s="65"/>
      <c r="Y553" s="65"/>
      <c r="Z553" s="65"/>
    </row>
    <row r="554" customFormat="false" ht="15.75" hidden="false" customHeight="true" outlineLevel="0" collapsed="false">
      <c r="A554" s="65"/>
      <c r="B554" s="65"/>
      <c r="C554" s="65"/>
      <c r="D554" s="65"/>
      <c r="E554" s="65"/>
      <c r="F554" s="65"/>
      <c r="G554" s="65"/>
      <c r="H554" s="65"/>
      <c r="I554" s="65"/>
      <c r="J554" s="65"/>
      <c r="K554" s="65"/>
      <c r="L554" s="65"/>
      <c r="M554" s="65"/>
      <c r="N554" s="65"/>
      <c r="O554" s="65"/>
      <c r="P554" s="65"/>
      <c r="Q554" s="65"/>
      <c r="R554" s="65"/>
      <c r="S554" s="65"/>
      <c r="T554" s="65"/>
      <c r="U554" s="65"/>
      <c r="V554" s="65"/>
      <c r="W554" s="65"/>
      <c r="X554" s="65"/>
      <c r="Y554" s="65"/>
      <c r="Z554" s="65"/>
    </row>
    <row r="555" customFormat="false" ht="15.75" hidden="false" customHeight="true" outlineLevel="0" collapsed="false">
      <c r="A555" s="65"/>
      <c r="B555" s="65"/>
      <c r="C555" s="65"/>
      <c r="D555" s="65"/>
      <c r="E555" s="65"/>
      <c r="F555" s="65"/>
      <c r="G555" s="65"/>
      <c r="H555" s="65"/>
      <c r="I555" s="65"/>
      <c r="J555" s="65"/>
      <c r="K555" s="65"/>
      <c r="L555" s="65"/>
      <c r="M555" s="65"/>
      <c r="N555" s="65"/>
      <c r="O555" s="65"/>
      <c r="P555" s="65"/>
      <c r="Q555" s="65"/>
      <c r="R555" s="65"/>
      <c r="S555" s="65"/>
      <c r="T555" s="65"/>
      <c r="U555" s="65"/>
      <c r="V555" s="65"/>
      <c r="W555" s="65"/>
      <c r="X555" s="65"/>
      <c r="Y555" s="65"/>
      <c r="Z555" s="65"/>
    </row>
    <row r="556" customFormat="false" ht="15.75" hidden="false" customHeight="true" outlineLevel="0" collapsed="false">
      <c r="A556" s="65"/>
      <c r="B556" s="65"/>
      <c r="C556" s="65"/>
      <c r="D556" s="65"/>
      <c r="E556" s="65"/>
      <c r="F556" s="65"/>
      <c r="G556" s="65"/>
      <c r="H556" s="65"/>
      <c r="I556" s="65"/>
      <c r="J556" s="65"/>
      <c r="K556" s="65"/>
      <c r="L556" s="65"/>
      <c r="M556" s="65"/>
      <c r="N556" s="65"/>
      <c r="O556" s="65"/>
      <c r="P556" s="65"/>
      <c r="Q556" s="65"/>
      <c r="R556" s="65"/>
      <c r="S556" s="65"/>
      <c r="T556" s="65"/>
      <c r="U556" s="65"/>
      <c r="V556" s="65"/>
      <c r="W556" s="65"/>
      <c r="X556" s="65"/>
      <c r="Y556" s="65"/>
      <c r="Z556" s="65"/>
    </row>
    <row r="557" customFormat="false" ht="15.75" hidden="false" customHeight="true" outlineLevel="0" collapsed="false">
      <c r="A557" s="65"/>
      <c r="B557" s="65"/>
      <c r="C557" s="65"/>
      <c r="D557" s="65"/>
      <c r="E557" s="65"/>
      <c r="F557" s="65"/>
      <c r="G557" s="65"/>
      <c r="H557" s="65"/>
      <c r="I557" s="65"/>
      <c r="J557" s="65"/>
      <c r="K557" s="65"/>
      <c r="L557" s="65"/>
      <c r="M557" s="65"/>
      <c r="N557" s="65"/>
      <c r="O557" s="65"/>
      <c r="P557" s="65"/>
      <c r="Q557" s="65"/>
      <c r="R557" s="65"/>
      <c r="S557" s="65"/>
      <c r="T557" s="65"/>
      <c r="U557" s="65"/>
      <c r="V557" s="65"/>
      <c r="W557" s="65"/>
      <c r="X557" s="65"/>
      <c r="Y557" s="65"/>
      <c r="Z557" s="65"/>
    </row>
    <row r="558" customFormat="false" ht="15.75" hidden="false" customHeight="true" outlineLevel="0" collapsed="false">
      <c r="A558" s="65"/>
      <c r="B558" s="65"/>
      <c r="C558" s="65"/>
      <c r="D558" s="65"/>
      <c r="E558" s="65"/>
      <c r="F558" s="65"/>
      <c r="G558" s="65"/>
      <c r="H558" s="65"/>
      <c r="I558" s="65"/>
      <c r="J558" s="65"/>
      <c r="K558" s="65"/>
      <c r="L558" s="65"/>
      <c r="M558" s="65"/>
      <c r="N558" s="65"/>
      <c r="O558" s="65"/>
      <c r="P558" s="65"/>
      <c r="Q558" s="65"/>
      <c r="R558" s="65"/>
      <c r="S558" s="65"/>
      <c r="T558" s="65"/>
      <c r="U558" s="65"/>
      <c r="V558" s="65"/>
      <c r="W558" s="65"/>
      <c r="X558" s="65"/>
      <c r="Y558" s="65"/>
      <c r="Z558" s="65"/>
    </row>
    <row r="559" customFormat="false" ht="15.75" hidden="false" customHeight="true" outlineLevel="0" collapsed="false">
      <c r="A559" s="65"/>
      <c r="B559" s="65"/>
      <c r="C559" s="65"/>
      <c r="D559" s="65"/>
      <c r="E559" s="65"/>
      <c r="F559" s="65"/>
      <c r="G559" s="65"/>
      <c r="H559" s="65"/>
      <c r="I559" s="65"/>
      <c r="J559" s="65"/>
      <c r="K559" s="65"/>
      <c r="L559" s="65"/>
      <c r="M559" s="65"/>
      <c r="N559" s="65"/>
      <c r="O559" s="65"/>
      <c r="P559" s="65"/>
      <c r="Q559" s="65"/>
      <c r="R559" s="65"/>
      <c r="S559" s="65"/>
      <c r="T559" s="65"/>
      <c r="U559" s="65"/>
      <c r="V559" s="65"/>
      <c r="W559" s="65"/>
      <c r="X559" s="65"/>
      <c r="Y559" s="65"/>
      <c r="Z559" s="65"/>
    </row>
    <row r="560" customFormat="false" ht="15.75" hidden="false" customHeight="true" outlineLevel="0" collapsed="false">
      <c r="A560" s="65"/>
      <c r="B560" s="65"/>
      <c r="C560" s="65"/>
      <c r="D560" s="65"/>
      <c r="E560" s="65"/>
      <c r="F560" s="65"/>
      <c r="G560" s="65"/>
      <c r="H560" s="65"/>
      <c r="I560" s="65"/>
      <c r="J560" s="65"/>
      <c r="K560" s="65"/>
      <c r="L560" s="65"/>
      <c r="M560" s="65"/>
      <c r="N560" s="65"/>
      <c r="O560" s="65"/>
      <c r="P560" s="65"/>
      <c r="Q560" s="65"/>
      <c r="R560" s="65"/>
      <c r="S560" s="65"/>
      <c r="T560" s="65"/>
      <c r="U560" s="65"/>
      <c r="V560" s="65"/>
      <c r="W560" s="65"/>
      <c r="X560" s="65"/>
      <c r="Y560" s="65"/>
      <c r="Z560" s="65"/>
    </row>
    <row r="561" customFormat="false" ht="15.75" hidden="false" customHeight="true" outlineLevel="0" collapsed="false">
      <c r="A561" s="65"/>
      <c r="B561" s="65"/>
      <c r="C561" s="65"/>
      <c r="D561" s="65"/>
      <c r="E561" s="65"/>
      <c r="F561" s="65"/>
      <c r="G561" s="65"/>
      <c r="H561" s="65"/>
      <c r="I561" s="65"/>
      <c r="J561" s="65"/>
      <c r="K561" s="65"/>
      <c r="L561" s="65"/>
      <c r="M561" s="65"/>
      <c r="N561" s="65"/>
      <c r="O561" s="65"/>
      <c r="P561" s="65"/>
      <c r="Q561" s="65"/>
      <c r="R561" s="65"/>
      <c r="S561" s="65"/>
      <c r="T561" s="65"/>
      <c r="U561" s="65"/>
      <c r="V561" s="65"/>
      <c r="W561" s="65"/>
      <c r="X561" s="65"/>
      <c r="Y561" s="65"/>
      <c r="Z561" s="65"/>
    </row>
    <row r="562" customFormat="false" ht="15.75" hidden="false" customHeight="true" outlineLevel="0" collapsed="false">
      <c r="A562" s="65"/>
      <c r="B562" s="65"/>
      <c r="C562" s="65"/>
      <c r="D562" s="65"/>
      <c r="E562" s="65"/>
      <c r="F562" s="65"/>
      <c r="G562" s="65"/>
      <c r="H562" s="65"/>
      <c r="I562" s="65"/>
      <c r="J562" s="65"/>
      <c r="K562" s="65"/>
      <c r="L562" s="65"/>
      <c r="M562" s="65"/>
      <c r="N562" s="65"/>
      <c r="O562" s="65"/>
      <c r="P562" s="65"/>
      <c r="Q562" s="65"/>
      <c r="R562" s="65"/>
      <c r="S562" s="65"/>
      <c r="T562" s="65"/>
      <c r="U562" s="65"/>
      <c r="V562" s="65"/>
      <c r="W562" s="65"/>
      <c r="X562" s="65"/>
      <c r="Y562" s="65"/>
      <c r="Z562" s="65"/>
    </row>
    <row r="563" customFormat="false" ht="15.75" hidden="false" customHeight="true" outlineLevel="0" collapsed="false">
      <c r="A563" s="65"/>
      <c r="B563" s="65"/>
      <c r="C563" s="65"/>
      <c r="D563" s="65"/>
      <c r="E563" s="65"/>
      <c r="F563" s="65"/>
      <c r="G563" s="65"/>
      <c r="H563" s="65"/>
      <c r="I563" s="65"/>
      <c r="J563" s="65"/>
      <c r="K563" s="65"/>
      <c r="L563" s="65"/>
      <c r="M563" s="65"/>
      <c r="N563" s="65"/>
      <c r="O563" s="65"/>
      <c r="P563" s="65"/>
      <c r="Q563" s="65"/>
      <c r="R563" s="65"/>
      <c r="S563" s="65"/>
      <c r="T563" s="65"/>
      <c r="U563" s="65"/>
      <c r="V563" s="65"/>
      <c r="W563" s="65"/>
      <c r="X563" s="65"/>
      <c r="Y563" s="65"/>
      <c r="Z563" s="65"/>
    </row>
    <row r="564" customFormat="false" ht="15.75" hidden="false" customHeight="true" outlineLevel="0" collapsed="false">
      <c r="A564" s="65"/>
      <c r="B564" s="65"/>
      <c r="C564" s="65"/>
      <c r="D564" s="65"/>
      <c r="E564" s="65"/>
      <c r="F564" s="65"/>
      <c r="G564" s="65"/>
      <c r="H564" s="65"/>
      <c r="I564" s="65"/>
      <c r="J564" s="65"/>
      <c r="K564" s="65"/>
      <c r="L564" s="65"/>
      <c r="M564" s="65"/>
      <c r="N564" s="65"/>
      <c r="O564" s="65"/>
      <c r="P564" s="65"/>
      <c r="Q564" s="65"/>
      <c r="R564" s="65"/>
      <c r="S564" s="65"/>
      <c r="T564" s="65"/>
      <c r="U564" s="65"/>
      <c r="V564" s="65"/>
      <c r="W564" s="65"/>
      <c r="X564" s="65"/>
      <c r="Y564" s="65"/>
      <c r="Z564" s="65"/>
    </row>
    <row r="565" customFormat="false" ht="15.75" hidden="false" customHeight="true" outlineLevel="0" collapsed="false">
      <c r="A565" s="65"/>
      <c r="B565" s="65"/>
      <c r="C565" s="65"/>
      <c r="D565" s="65"/>
      <c r="E565" s="65"/>
      <c r="F565" s="65"/>
      <c r="G565" s="65"/>
      <c r="H565" s="65"/>
      <c r="I565" s="65"/>
      <c r="J565" s="65"/>
      <c r="K565" s="65"/>
      <c r="L565" s="65"/>
      <c r="M565" s="65"/>
      <c r="N565" s="65"/>
      <c r="O565" s="65"/>
      <c r="P565" s="65"/>
      <c r="Q565" s="65"/>
      <c r="R565" s="65"/>
      <c r="S565" s="65"/>
      <c r="T565" s="65"/>
      <c r="U565" s="65"/>
      <c r="V565" s="65"/>
      <c r="W565" s="65"/>
      <c r="X565" s="65"/>
      <c r="Y565" s="65"/>
      <c r="Z565" s="65"/>
    </row>
    <row r="566" customFormat="false" ht="15.75" hidden="false" customHeight="true" outlineLevel="0" collapsed="false">
      <c r="A566" s="65"/>
      <c r="B566" s="65"/>
      <c r="C566" s="65"/>
      <c r="D566" s="65"/>
      <c r="E566" s="65"/>
      <c r="F566" s="65"/>
      <c r="G566" s="65"/>
      <c r="H566" s="65"/>
      <c r="I566" s="65"/>
      <c r="J566" s="65"/>
      <c r="K566" s="65"/>
      <c r="L566" s="65"/>
      <c r="M566" s="65"/>
      <c r="N566" s="65"/>
      <c r="O566" s="65"/>
      <c r="P566" s="65"/>
      <c r="Q566" s="65"/>
      <c r="R566" s="65"/>
      <c r="S566" s="65"/>
      <c r="T566" s="65"/>
      <c r="U566" s="65"/>
      <c r="V566" s="65"/>
      <c r="W566" s="65"/>
      <c r="X566" s="65"/>
      <c r="Y566" s="65"/>
      <c r="Z566" s="65"/>
    </row>
    <row r="567" customFormat="false" ht="15.75" hidden="false" customHeight="true" outlineLevel="0" collapsed="false">
      <c r="A567" s="65"/>
      <c r="B567" s="65"/>
      <c r="C567" s="65"/>
      <c r="D567" s="65"/>
      <c r="E567" s="65"/>
      <c r="F567" s="65"/>
      <c r="G567" s="65"/>
      <c r="H567" s="65"/>
      <c r="I567" s="65"/>
      <c r="J567" s="65"/>
      <c r="K567" s="65"/>
      <c r="L567" s="65"/>
      <c r="M567" s="65"/>
      <c r="N567" s="65"/>
      <c r="O567" s="65"/>
      <c r="P567" s="65"/>
      <c r="Q567" s="65"/>
      <c r="R567" s="65"/>
      <c r="S567" s="65"/>
      <c r="T567" s="65"/>
      <c r="U567" s="65"/>
      <c r="V567" s="65"/>
      <c r="W567" s="65"/>
      <c r="X567" s="65"/>
      <c r="Y567" s="65"/>
      <c r="Z567" s="65"/>
    </row>
    <row r="568" customFormat="false" ht="15.75" hidden="false" customHeight="true" outlineLevel="0" collapsed="false">
      <c r="A568" s="65"/>
      <c r="B568" s="65"/>
      <c r="C568" s="65"/>
      <c r="D568" s="65"/>
      <c r="E568" s="65"/>
      <c r="F568" s="65"/>
      <c r="G568" s="65"/>
      <c r="H568" s="65"/>
      <c r="I568" s="65"/>
      <c r="J568" s="65"/>
      <c r="K568" s="65"/>
      <c r="L568" s="65"/>
      <c r="M568" s="65"/>
      <c r="N568" s="65"/>
      <c r="O568" s="65"/>
      <c r="P568" s="65"/>
      <c r="Q568" s="65"/>
      <c r="R568" s="65"/>
      <c r="S568" s="65"/>
      <c r="T568" s="65"/>
      <c r="U568" s="65"/>
      <c r="V568" s="65"/>
      <c r="W568" s="65"/>
      <c r="X568" s="65"/>
      <c r="Y568" s="65"/>
      <c r="Z568" s="65"/>
    </row>
    <row r="569" customFormat="false" ht="15.75" hidden="false" customHeight="true" outlineLevel="0" collapsed="false">
      <c r="A569" s="65"/>
      <c r="B569" s="65"/>
      <c r="C569" s="65"/>
      <c r="D569" s="65"/>
      <c r="E569" s="65"/>
      <c r="F569" s="65"/>
      <c r="G569" s="65"/>
      <c r="H569" s="65"/>
      <c r="I569" s="65"/>
      <c r="J569" s="65"/>
      <c r="K569" s="65"/>
      <c r="L569" s="65"/>
      <c r="M569" s="65"/>
      <c r="N569" s="65"/>
      <c r="O569" s="65"/>
      <c r="P569" s="65"/>
      <c r="Q569" s="65"/>
      <c r="R569" s="65"/>
      <c r="S569" s="65"/>
      <c r="T569" s="65"/>
      <c r="U569" s="65"/>
      <c r="V569" s="65"/>
      <c r="W569" s="65"/>
      <c r="X569" s="65"/>
      <c r="Y569" s="65"/>
      <c r="Z569" s="65"/>
    </row>
    <row r="570" customFormat="false" ht="15.75" hidden="false" customHeight="true" outlineLevel="0" collapsed="false">
      <c r="A570" s="65"/>
      <c r="B570" s="65"/>
      <c r="C570" s="65"/>
      <c r="D570" s="65"/>
      <c r="E570" s="65"/>
      <c r="F570" s="65"/>
      <c r="G570" s="65"/>
      <c r="H570" s="65"/>
      <c r="I570" s="65"/>
      <c r="J570" s="65"/>
      <c r="K570" s="65"/>
      <c r="L570" s="65"/>
      <c r="M570" s="65"/>
      <c r="N570" s="65"/>
      <c r="O570" s="65"/>
      <c r="P570" s="65"/>
      <c r="Q570" s="65"/>
      <c r="R570" s="65"/>
      <c r="S570" s="65"/>
      <c r="T570" s="65"/>
      <c r="U570" s="65"/>
      <c r="V570" s="65"/>
      <c r="W570" s="65"/>
      <c r="X570" s="65"/>
      <c r="Y570" s="65"/>
      <c r="Z570" s="65"/>
    </row>
    <row r="571" customFormat="false" ht="15.75" hidden="false" customHeight="true" outlineLevel="0" collapsed="false">
      <c r="A571" s="65"/>
      <c r="B571" s="65"/>
      <c r="C571" s="65"/>
      <c r="D571" s="65"/>
      <c r="E571" s="65"/>
      <c r="F571" s="65"/>
      <c r="G571" s="65"/>
      <c r="H571" s="65"/>
      <c r="I571" s="65"/>
      <c r="J571" s="65"/>
      <c r="K571" s="65"/>
      <c r="L571" s="65"/>
      <c r="M571" s="65"/>
      <c r="N571" s="65"/>
      <c r="O571" s="65"/>
      <c r="P571" s="65"/>
      <c r="Q571" s="65"/>
      <c r="R571" s="65"/>
      <c r="S571" s="65"/>
      <c r="T571" s="65"/>
      <c r="U571" s="65"/>
      <c r="V571" s="65"/>
      <c r="W571" s="65"/>
      <c r="X571" s="65"/>
      <c r="Y571" s="65"/>
      <c r="Z571" s="65"/>
    </row>
    <row r="572" customFormat="false" ht="15.75" hidden="false" customHeight="true" outlineLevel="0" collapsed="false">
      <c r="A572" s="65"/>
      <c r="B572" s="65"/>
      <c r="C572" s="65"/>
      <c r="D572" s="65"/>
      <c r="E572" s="65"/>
      <c r="F572" s="65"/>
      <c r="G572" s="65"/>
      <c r="H572" s="65"/>
      <c r="I572" s="65"/>
      <c r="J572" s="65"/>
      <c r="K572" s="65"/>
      <c r="L572" s="65"/>
      <c r="M572" s="65"/>
      <c r="N572" s="65"/>
      <c r="O572" s="65"/>
      <c r="P572" s="65"/>
      <c r="Q572" s="65"/>
      <c r="R572" s="65"/>
      <c r="S572" s="65"/>
      <c r="T572" s="65"/>
      <c r="U572" s="65"/>
      <c r="V572" s="65"/>
      <c r="W572" s="65"/>
      <c r="X572" s="65"/>
      <c r="Y572" s="65"/>
      <c r="Z572" s="65"/>
    </row>
    <row r="573" customFormat="false" ht="15.75" hidden="false" customHeight="true" outlineLevel="0" collapsed="false">
      <c r="A573" s="65"/>
      <c r="B573" s="65"/>
      <c r="C573" s="65"/>
      <c r="D573" s="65"/>
      <c r="E573" s="65"/>
      <c r="F573" s="65"/>
      <c r="G573" s="65"/>
      <c r="H573" s="65"/>
      <c r="I573" s="65"/>
      <c r="J573" s="65"/>
      <c r="K573" s="65"/>
      <c r="L573" s="65"/>
      <c r="M573" s="65"/>
      <c r="N573" s="65"/>
      <c r="O573" s="65"/>
      <c r="P573" s="65"/>
      <c r="Q573" s="65"/>
      <c r="R573" s="65"/>
      <c r="S573" s="65"/>
      <c r="T573" s="65"/>
      <c r="U573" s="65"/>
      <c r="V573" s="65"/>
      <c r="W573" s="65"/>
      <c r="X573" s="65"/>
      <c r="Y573" s="65"/>
      <c r="Z573" s="65"/>
    </row>
    <row r="574" customFormat="false" ht="15.75" hidden="false" customHeight="true" outlineLevel="0" collapsed="false">
      <c r="A574" s="65"/>
      <c r="B574" s="65"/>
      <c r="C574" s="65"/>
      <c r="D574" s="65"/>
      <c r="E574" s="65"/>
      <c r="F574" s="65"/>
      <c r="G574" s="65"/>
      <c r="H574" s="65"/>
      <c r="I574" s="65"/>
      <c r="J574" s="65"/>
      <c r="K574" s="65"/>
      <c r="L574" s="65"/>
      <c r="M574" s="65"/>
      <c r="N574" s="65"/>
      <c r="O574" s="65"/>
      <c r="P574" s="65"/>
      <c r="Q574" s="65"/>
      <c r="R574" s="65"/>
      <c r="S574" s="65"/>
      <c r="T574" s="65"/>
      <c r="U574" s="65"/>
      <c r="V574" s="65"/>
      <c r="W574" s="65"/>
      <c r="X574" s="65"/>
      <c r="Y574" s="65"/>
      <c r="Z574" s="65"/>
    </row>
    <row r="575" customFormat="false" ht="15.75" hidden="false" customHeight="true" outlineLevel="0" collapsed="false">
      <c r="A575" s="65"/>
      <c r="B575" s="65"/>
      <c r="C575" s="65"/>
      <c r="D575" s="65"/>
      <c r="E575" s="65"/>
      <c r="F575" s="65"/>
      <c r="G575" s="65"/>
      <c r="H575" s="65"/>
      <c r="I575" s="65"/>
      <c r="J575" s="65"/>
      <c r="K575" s="65"/>
      <c r="L575" s="65"/>
      <c r="M575" s="65"/>
      <c r="N575" s="65"/>
      <c r="O575" s="65"/>
      <c r="P575" s="65"/>
      <c r="Q575" s="65"/>
      <c r="R575" s="65"/>
      <c r="S575" s="65"/>
      <c r="T575" s="65"/>
      <c r="U575" s="65"/>
      <c r="V575" s="65"/>
      <c r="W575" s="65"/>
      <c r="X575" s="65"/>
      <c r="Y575" s="65"/>
      <c r="Z575" s="65"/>
    </row>
    <row r="576" customFormat="false" ht="15.75" hidden="false" customHeight="true" outlineLevel="0" collapsed="false">
      <c r="A576" s="65"/>
      <c r="B576" s="65"/>
      <c r="C576" s="65"/>
      <c r="D576" s="65"/>
      <c r="E576" s="65"/>
      <c r="F576" s="65"/>
      <c r="G576" s="65"/>
      <c r="H576" s="65"/>
      <c r="I576" s="65"/>
      <c r="J576" s="65"/>
      <c r="K576" s="65"/>
      <c r="L576" s="65"/>
      <c r="M576" s="65"/>
      <c r="N576" s="65"/>
      <c r="O576" s="65"/>
      <c r="P576" s="65"/>
      <c r="Q576" s="65"/>
      <c r="R576" s="65"/>
      <c r="S576" s="65"/>
      <c r="T576" s="65"/>
      <c r="U576" s="65"/>
      <c r="V576" s="65"/>
      <c r="W576" s="65"/>
      <c r="X576" s="65"/>
      <c r="Y576" s="65"/>
      <c r="Z576" s="65"/>
    </row>
    <row r="577" customFormat="false" ht="15.75" hidden="false" customHeight="true" outlineLevel="0" collapsed="false">
      <c r="A577" s="65"/>
      <c r="B577" s="65"/>
      <c r="C577" s="65"/>
      <c r="D577" s="65"/>
      <c r="E577" s="65"/>
      <c r="F577" s="65"/>
      <c r="G577" s="65"/>
      <c r="H577" s="65"/>
      <c r="I577" s="65"/>
      <c r="J577" s="65"/>
      <c r="K577" s="65"/>
      <c r="L577" s="65"/>
      <c r="M577" s="65"/>
      <c r="N577" s="65"/>
      <c r="O577" s="65"/>
      <c r="P577" s="65"/>
      <c r="Q577" s="65"/>
      <c r="R577" s="65"/>
      <c r="S577" s="65"/>
      <c r="T577" s="65"/>
      <c r="U577" s="65"/>
      <c r="V577" s="65"/>
      <c r="W577" s="65"/>
      <c r="X577" s="65"/>
      <c r="Y577" s="65"/>
      <c r="Z577" s="65"/>
    </row>
    <row r="578" customFormat="false" ht="15.75" hidden="false" customHeight="true" outlineLevel="0" collapsed="false">
      <c r="A578" s="65"/>
      <c r="B578" s="65"/>
      <c r="C578" s="65"/>
      <c r="D578" s="65"/>
      <c r="E578" s="65"/>
      <c r="F578" s="65"/>
      <c r="G578" s="65"/>
      <c r="H578" s="65"/>
      <c r="I578" s="65"/>
      <c r="J578" s="65"/>
      <c r="K578" s="65"/>
      <c r="L578" s="65"/>
      <c r="M578" s="65"/>
      <c r="N578" s="65"/>
      <c r="O578" s="65"/>
      <c r="P578" s="65"/>
      <c r="Q578" s="65"/>
      <c r="R578" s="65"/>
      <c r="S578" s="65"/>
      <c r="T578" s="65"/>
      <c r="U578" s="65"/>
      <c r="V578" s="65"/>
      <c r="W578" s="65"/>
      <c r="X578" s="65"/>
      <c r="Y578" s="65"/>
      <c r="Z578" s="65"/>
    </row>
    <row r="579" customFormat="false" ht="15.75" hidden="false" customHeight="true" outlineLevel="0" collapsed="false">
      <c r="A579" s="65"/>
      <c r="B579" s="65"/>
      <c r="C579" s="65"/>
      <c r="D579" s="65"/>
      <c r="E579" s="65"/>
      <c r="F579" s="65"/>
      <c r="G579" s="65"/>
      <c r="H579" s="65"/>
      <c r="I579" s="65"/>
      <c r="J579" s="65"/>
      <c r="K579" s="65"/>
      <c r="L579" s="65"/>
      <c r="M579" s="65"/>
      <c r="N579" s="65"/>
      <c r="O579" s="65"/>
      <c r="P579" s="65"/>
      <c r="Q579" s="65"/>
      <c r="R579" s="65"/>
      <c r="S579" s="65"/>
      <c r="T579" s="65"/>
      <c r="U579" s="65"/>
      <c r="V579" s="65"/>
      <c r="W579" s="65"/>
      <c r="X579" s="65"/>
      <c r="Y579" s="65"/>
      <c r="Z579" s="65"/>
    </row>
    <row r="580" customFormat="false" ht="15.75" hidden="false" customHeight="true" outlineLevel="0" collapsed="false">
      <c r="A580" s="65"/>
      <c r="B580" s="65"/>
      <c r="C580" s="65"/>
      <c r="D580" s="65"/>
      <c r="E580" s="65"/>
      <c r="F580" s="65"/>
      <c r="G580" s="65"/>
      <c r="H580" s="65"/>
      <c r="I580" s="65"/>
      <c r="J580" s="65"/>
      <c r="K580" s="65"/>
      <c r="L580" s="65"/>
      <c r="M580" s="65"/>
      <c r="N580" s="65"/>
      <c r="O580" s="65"/>
      <c r="P580" s="65"/>
      <c r="Q580" s="65"/>
      <c r="R580" s="65"/>
      <c r="S580" s="65"/>
      <c r="T580" s="65"/>
      <c r="U580" s="65"/>
      <c r="V580" s="65"/>
      <c r="W580" s="65"/>
      <c r="X580" s="65"/>
      <c r="Y580" s="65"/>
      <c r="Z580" s="65"/>
    </row>
    <row r="581" customFormat="false" ht="15.75" hidden="false" customHeight="true" outlineLevel="0" collapsed="false">
      <c r="A581" s="65"/>
      <c r="B581" s="65"/>
      <c r="C581" s="65"/>
      <c r="D581" s="65"/>
      <c r="E581" s="65"/>
      <c r="F581" s="65"/>
      <c r="G581" s="65"/>
      <c r="H581" s="65"/>
      <c r="I581" s="65"/>
      <c r="J581" s="65"/>
      <c r="K581" s="65"/>
      <c r="L581" s="65"/>
      <c r="M581" s="65"/>
      <c r="N581" s="65"/>
      <c r="O581" s="65"/>
      <c r="P581" s="65"/>
      <c r="Q581" s="65"/>
      <c r="R581" s="65"/>
      <c r="S581" s="65"/>
      <c r="T581" s="65"/>
      <c r="U581" s="65"/>
      <c r="V581" s="65"/>
      <c r="W581" s="65"/>
      <c r="X581" s="65"/>
      <c r="Y581" s="65"/>
      <c r="Z581" s="65"/>
    </row>
    <row r="582" customFormat="false" ht="15.75" hidden="false" customHeight="true" outlineLevel="0" collapsed="false">
      <c r="A582" s="65"/>
      <c r="B582" s="65"/>
      <c r="C582" s="65"/>
      <c r="D582" s="65"/>
      <c r="E582" s="65"/>
      <c r="F582" s="65"/>
      <c r="G582" s="65"/>
      <c r="H582" s="65"/>
      <c r="I582" s="65"/>
      <c r="J582" s="65"/>
      <c r="K582" s="65"/>
      <c r="L582" s="65"/>
      <c r="M582" s="65"/>
      <c r="N582" s="65"/>
      <c r="O582" s="65"/>
      <c r="P582" s="65"/>
      <c r="Q582" s="65"/>
      <c r="R582" s="65"/>
      <c r="S582" s="65"/>
      <c r="T582" s="65"/>
      <c r="U582" s="65"/>
      <c r="V582" s="65"/>
      <c r="W582" s="65"/>
      <c r="X582" s="65"/>
      <c r="Y582" s="65"/>
      <c r="Z582" s="65"/>
    </row>
    <row r="583" customFormat="false" ht="15.75" hidden="false" customHeight="true" outlineLevel="0" collapsed="false">
      <c r="A583" s="65"/>
      <c r="B583" s="65"/>
      <c r="C583" s="65"/>
      <c r="D583" s="65"/>
      <c r="E583" s="65"/>
      <c r="F583" s="65"/>
      <c r="G583" s="65"/>
      <c r="H583" s="65"/>
      <c r="I583" s="65"/>
      <c r="J583" s="65"/>
      <c r="K583" s="65"/>
      <c r="L583" s="65"/>
      <c r="M583" s="65"/>
      <c r="N583" s="65"/>
      <c r="O583" s="65"/>
      <c r="P583" s="65"/>
      <c r="Q583" s="65"/>
      <c r="R583" s="65"/>
      <c r="S583" s="65"/>
      <c r="T583" s="65"/>
      <c r="U583" s="65"/>
      <c r="V583" s="65"/>
      <c r="W583" s="65"/>
      <c r="X583" s="65"/>
      <c r="Y583" s="65"/>
      <c r="Z583" s="65"/>
    </row>
    <row r="584" customFormat="false" ht="15.75" hidden="false" customHeight="true" outlineLevel="0" collapsed="false">
      <c r="A584" s="65"/>
      <c r="B584" s="65"/>
      <c r="C584" s="65"/>
      <c r="D584" s="65"/>
      <c r="E584" s="65"/>
      <c r="F584" s="65"/>
      <c r="G584" s="65"/>
      <c r="H584" s="65"/>
      <c r="I584" s="65"/>
      <c r="J584" s="65"/>
      <c r="K584" s="65"/>
      <c r="L584" s="65"/>
      <c r="M584" s="65"/>
      <c r="N584" s="65"/>
      <c r="O584" s="65"/>
      <c r="P584" s="65"/>
      <c r="Q584" s="65"/>
      <c r="R584" s="65"/>
      <c r="S584" s="65"/>
      <c r="T584" s="65"/>
      <c r="U584" s="65"/>
      <c r="V584" s="65"/>
      <c r="W584" s="65"/>
      <c r="X584" s="65"/>
      <c r="Y584" s="65"/>
      <c r="Z584" s="65"/>
    </row>
    <row r="585" customFormat="false" ht="15.75" hidden="false" customHeight="true" outlineLevel="0" collapsed="false">
      <c r="A585" s="65"/>
      <c r="B585" s="65"/>
      <c r="C585" s="65"/>
      <c r="D585" s="65"/>
      <c r="E585" s="65"/>
      <c r="F585" s="65"/>
      <c r="G585" s="65"/>
      <c r="H585" s="65"/>
      <c r="I585" s="65"/>
      <c r="J585" s="65"/>
      <c r="K585" s="65"/>
      <c r="L585" s="65"/>
      <c r="M585" s="65"/>
      <c r="N585" s="65"/>
      <c r="O585" s="65"/>
      <c r="P585" s="65"/>
      <c r="Q585" s="65"/>
      <c r="R585" s="65"/>
      <c r="S585" s="65"/>
      <c r="T585" s="65"/>
      <c r="U585" s="65"/>
      <c r="V585" s="65"/>
      <c r="W585" s="65"/>
      <c r="X585" s="65"/>
      <c r="Y585" s="65"/>
      <c r="Z585" s="65"/>
    </row>
    <row r="586" customFormat="false" ht="15.75" hidden="false" customHeight="true" outlineLevel="0" collapsed="false">
      <c r="A586" s="65"/>
      <c r="B586" s="65"/>
      <c r="C586" s="65"/>
      <c r="D586" s="65"/>
      <c r="E586" s="65"/>
      <c r="F586" s="65"/>
      <c r="G586" s="65"/>
      <c r="H586" s="65"/>
      <c r="I586" s="65"/>
      <c r="J586" s="65"/>
      <c r="K586" s="65"/>
      <c r="L586" s="65"/>
      <c r="M586" s="65"/>
      <c r="N586" s="65"/>
      <c r="O586" s="65"/>
      <c r="P586" s="65"/>
      <c r="Q586" s="65"/>
      <c r="R586" s="65"/>
      <c r="S586" s="65"/>
      <c r="T586" s="65"/>
      <c r="U586" s="65"/>
      <c r="V586" s="65"/>
      <c r="W586" s="65"/>
      <c r="X586" s="65"/>
      <c r="Y586" s="65"/>
      <c r="Z586" s="65"/>
    </row>
    <row r="587" customFormat="false" ht="15.75" hidden="false" customHeight="true" outlineLevel="0" collapsed="false">
      <c r="A587" s="65"/>
      <c r="B587" s="65"/>
      <c r="C587" s="65"/>
      <c r="D587" s="65"/>
      <c r="E587" s="65"/>
      <c r="F587" s="65"/>
      <c r="G587" s="65"/>
      <c r="H587" s="65"/>
      <c r="I587" s="65"/>
      <c r="J587" s="65"/>
      <c r="K587" s="65"/>
      <c r="L587" s="65"/>
      <c r="M587" s="65"/>
      <c r="N587" s="65"/>
      <c r="O587" s="65"/>
      <c r="P587" s="65"/>
      <c r="Q587" s="65"/>
      <c r="R587" s="65"/>
      <c r="S587" s="65"/>
      <c r="T587" s="65"/>
      <c r="U587" s="65"/>
      <c r="V587" s="65"/>
      <c r="W587" s="65"/>
      <c r="X587" s="65"/>
      <c r="Y587" s="65"/>
      <c r="Z587" s="65"/>
    </row>
    <row r="588" customFormat="false" ht="15.75" hidden="false" customHeight="true" outlineLevel="0" collapsed="false">
      <c r="A588" s="65"/>
      <c r="B588" s="65"/>
      <c r="C588" s="65"/>
      <c r="D588" s="65"/>
      <c r="E588" s="65"/>
      <c r="F588" s="65"/>
      <c r="G588" s="65"/>
      <c r="H588" s="65"/>
      <c r="I588" s="65"/>
      <c r="J588" s="65"/>
      <c r="K588" s="65"/>
      <c r="L588" s="65"/>
      <c r="M588" s="65"/>
      <c r="N588" s="65"/>
      <c r="O588" s="65"/>
      <c r="P588" s="65"/>
      <c r="Q588" s="65"/>
      <c r="R588" s="65"/>
      <c r="S588" s="65"/>
      <c r="T588" s="65"/>
      <c r="U588" s="65"/>
      <c r="V588" s="65"/>
      <c r="W588" s="65"/>
      <c r="X588" s="65"/>
      <c r="Y588" s="65"/>
      <c r="Z588" s="65"/>
    </row>
    <row r="589" customFormat="false" ht="15.75" hidden="false" customHeight="true" outlineLevel="0" collapsed="false">
      <c r="A589" s="65"/>
      <c r="B589" s="65"/>
      <c r="C589" s="65"/>
      <c r="D589" s="65"/>
      <c r="E589" s="65"/>
      <c r="F589" s="65"/>
      <c r="G589" s="65"/>
      <c r="H589" s="65"/>
      <c r="I589" s="65"/>
      <c r="J589" s="65"/>
      <c r="K589" s="65"/>
      <c r="L589" s="65"/>
      <c r="M589" s="65"/>
      <c r="N589" s="65"/>
      <c r="O589" s="65"/>
      <c r="P589" s="65"/>
      <c r="Q589" s="65"/>
      <c r="R589" s="65"/>
      <c r="S589" s="65"/>
      <c r="T589" s="65"/>
      <c r="U589" s="65"/>
      <c r="V589" s="65"/>
      <c r="W589" s="65"/>
      <c r="X589" s="65"/>
      <c r="Y589" s="65"/>
      <c r="Z589" s="65"/>
    </row>
    <row r="590" customFormat="false" ht="15.75" hidden="false" customHeight="true" outlineLevel="0" collapsed="false">
      <c r="A590" s="65"/>
      <c r="B590" s="65"/>
      <c r="C590" s="65"/>
      <c r="D590" s="65"/>
      <c r="E590" s="65"/>
      <c r="F590" s="65"/>
      <c r="G590" s="65"/>
      <c r="H590" s="65"/>
      <c r="I590" s="65"/>
      <c r="J590" s="65"/>
      <c r="K590" s="65"/>
      <c r="L590" s="65"/>
      <c r="M590" s="65"/>
      <c r="N590" s="65"/>
      <c r="O590" s="65"/>
      <c r="P590" s="65"/>
      <c r="Q590" s="65"/>
      <c r="R590" s="65"/>
      <c r="S590" s="65"/>
      <c r="T590" s="65"/>
      <c r="U590" s="65"/>
      <c r="V590" s="65"/>
      <c r="W590" s="65"/>
      <c r="X590" s="65"/>
      <c r="Y590" s="65"/>
      <c r="Z590" s="65"/>
    </row>
    <row r="591" customFormat="false" ht="15.75" hidden="false" customHeight="true" outlineLevel="0" collapsed="false">
      <c r="A591" s="65"/>
      <c r="B591" s="65"/>
      <c r="C591" s="65"/>
      <c r="D591" s="65"/>
      <c r="E591" s="65"/>
      <c r="F591" s="65"/>
      <c r="G591" s="65"/>
      <c r="H591" s="65"/>
      <c r="I591" s="65"/>
      <c r="J591" s="65"/>
      <c r="K591" s="65"/>
      <c r="L591" s="65"/>
      <c r="M591" s="65"/>
      <c r="N591" s="65"/>
      <c r="O591" s="65"/>
      <c r="P591" s="65"/>
      <c r="Q591" s="65"/>
      <c r="R591" s="65"/>
      <c r="S591" s="65"/>
      <c r="T591" s="65"/>
      <c r="U591" s="65"/>
      <c r="V591" s="65"/>
      <c r="W591" s="65"/>
      <c r="X591" s="65"/>
      <c r="Y591" s="65"/>
      <c r="Z591" s="65"/>
    </row>
    <row r="592" customFormat="false" ht="15.75" hidden="false" customHeight="true" outlineLevel="0" collapsed="false">
      <c r="A592" s="65"/>
      <c r="B592" s="65"/>
      <c r="C592" s="65"/>
      <c r="D592" s="65"/>
      <c r="E592" s="65"/>
      <c r="F592" s="65"/>
      <c r="G592" s="65"/>
      <c r="H592" s="65"/>
      <c r="I592" s="65"/>
      <c r="J592" s="65"/>
      <c r="K592" s="65"/>
      <c r="L592" s="65"/>
      <c r="M592" s="65"/>
      <c r="N592" s="65"/>
      <c r="O592" s="65"/>
      <c r="P592" s="65"/>
      <c r="Q592" s="65"/>
      <c r="R592" s="65"/>
      <c r="S592" s="65"/>
      <c r="T592" s="65"/>
      <c r="U592" s="65"/>
      <c r="V592" s="65"/>
      <c r="W592" s="65"/>
      <c r="X592" s="65"/>
      <c r="Y592" s="65"/>
      <c r="Z592" s="65"/>
    </row>
    <row r="593" customFormat="false" ht="15.75" hidden="false" customHeight="true" outlineLevel="0" collapsed="false">
      <c r="A593" s="65"/>
      <c r="B593" s="65"/>
      <c r="C593" s="65"/>
      <c r="D593" s="65"/>
      <c r="E593" s="65"/>
      <c r="F593" s="65"/>
      <c r="G593" s="65"/>
      <c r="H593" s="65"/>
      <c r="I593" s="65"/>
      <c r="J593" s="65"/>
      <c r="K593" s="65"/>
      <c r="L593" s="65"/>
      <c r="M593" s="65"/>
      <c r="N593" s="65"/>
      <c r="O593" s="65"/>
      <c r="P593" s="65"/>
      <c r="Q593" s="65"/>
      <c r="R593" s="65"/>
      <c r="S593" s="65"/>
      <c r="T593" s="65"/>
      <c r="U593" s="65"/>
      <c r="V593" s="65"/>
      <c r="W593" s="65"/>
      <c r="X593" s="65"/>
      <c r="Y593" s="65"/>
      <c r="Z593" s="65"/>
    </row>
    <row r="594" customFormat="false" ht="15.75" hidden="false" customHeight="true" outlineLevel="0" collapsed="false">
      <c r="A594" s="65"/>
      <c r="B594" s="65"/>
      <c r="C594" s="65"/>
      <c r="D594" s="65"/>
      <c r="E594" s="65"/>
      <c r="F594" s="65"/>
      <c r="G594" s="65"/>
      <c r="H594" s="65"/>
      <c r="I594" s="65"/>
      <c r="J594" s="65"/>
      <c r="K594" s="65"/>
      <c r="L594" s="65"/>
      <c r="M594" s="65"/>
      <c r="N594" s="65"/>
      <c r="O594" s="65"/>
      <c r="P594" s="65"/>
      <c r="Q594" s="65"/>
      <c r="R594" s="65"/>
      <c r="S594" s="65"/>
      <c r="T594" s="65"/>
      <c r="U594" s="65"/>
      <c r="V594" s="65"/>
      <c r="W594" s="65"/>
      <c r="X594" s="65"/>
      <c r="Y594" s="65"/>
      <c r="Z594" s="65"/>
    </row>
    <row r="595" customFormat="false" ht="15.75" hidden="false" customHeight="true" outlineLevel="0" collapsed="false">
      <c r="A595" s="65"/>
      <c r="B595" s="65"/>
      <c r="C595" s="65"/>
      <c r="D595" s="65"/>
      <c r="E595" s="65"/>
      <c r="F595" s="65"/>
      <c r="G595" s="65"/>
      <c r="H595" s="65"/>
      <c r="I595" s="65"/>
      <c r="J595" s="65"/>
      <c r="K595" s="65"/>
      <c r="L595" s="65"/>
      <c r="M595" s="65"/>
      <c r="N595" s="65"/>
      <c r="O595" s="65"/>
      <c r="P595" s="65"/>
      <c r="Q595" s="65"/>
      <c r="R595" s="65"/>
      <c r="S595" s="65"/>
      <c r="T595" s="65"/>
      <c r="U595" s="65"/>
      <c r="V595" s="65"/>
      <c r="W595" s="65"/>
      <c r="X595" s="65"/>
      <c r="Y595" s="65"/>
      <c r="Z595" s="65"/>
    </row>
    <row r="596" customFormat="false" ht="15.75" hidden="false" customHeight="true" outlineLevel="0" collapsed="false">
      <c r="A596" s="65"/>
      <c r="B596" s="65"/>
      <c r="C596" s="65"/>
      <c r="D596" s="65"/>
      <c r="E596" s="65"/>
      <c r="F596" s="65"/>
      <c r="G596" s="65"/>
      <c r="H596" s="65"/>
      <c r="I596" s="65"/>
      <c r="J596" s="65"/>
      <c r="K596" s="65"/>
      <c r="L596" s="65"/>
      <c r="M596" s="65"/>
      <c r="N596" s="65"/>
      <c r="O596" s="65"/>
      <c r="P596" s="65"/>
      <c r="Q596" s="65"/>
      <c r="R596" s="65"/>
      <c r="S596" s="65"/>
      <c r="T596" s="65"/>
      <c r="U596" s="65"/>
      <c r="V596" s="65"/>
      <c r="W596" s="65"/>
      <c r="X596" s="65"/>
      <c r="Y596" s="65"/>
      <c r="Z596" s="65"/>
    </row>
    <row r="597" customFormat="false" ht="15.75" hidden="false" customHeight="true" outlineLevel="0" collapsed="false">
      <c r="A597" s="65"/>
      <c r="B597" s="65"/>
      <c r="C597" s="65"/>
      <c r="D597" s="65"/>
      <c r="E597" s="65"/>
      <c r="F597" s="65"/>
      <c r="G597" s="65"/>
      <c r="H597" s="65"/>
      <c r="I597" s="65"/>
      <c r="J597" s="65"/>
      <c r="K597" s="65"/>
      <c r="L597" s="65"/>
      <c r="M597" s="65"/>
      <c r="N597" s="65"/>
      <c r="O597" s="65"/>
      <c r="P597" s="65"/>
      <c r="Q597" s="65"/>
      <c r="R597" s="65"/>
      <c r="S597" s="65"/>
      <c r="T597" s="65"/>
      <c r="U597" s="65"/>
      <c r="V597" s="65"/>
      <c r="W597" s="65"/>
      <c r="X597" s="65"/>
      <c r="Y597" s="65"/>
      <c r="Z597" s="65"/>
    </row>
    <row r="598" customFormat="false" ht="15.75" hidden="false" customHeight="true" outlineLevel="0" collapsed="false">
      <c r="A598" s="65"/>
      <c r="B598" s="65"/>
      <c r="C598" s="65"/>
      <c r="D598" s="65"/>
      <c r="E598" s="65"/>
      <c r="F598" s="65"/>
      <c r="G598" s="65"/>
      <c r="H598" s="65"/>
      <c r="I598" s="65"/>
      <c r="J598" s="65"/>
      <c r="K598" s="65"/>
      <c r="L598" s="65"/>
      <c r="M598" s="65"/>
      <c r="N598" s="65"/>
      <c r="O598" s="65"/>
      <c r="P598" s="65"/>
      <c r="Q598" s="65"/>
      <c r="R598" s="65"/>
      <c r="S598" s="65"/>
      <c r="T598" s="65"/>
      <c r="U598" s="65"/>
      <c r="V598" s="65"/>
      <c r="W598" s="65"/>
      <c r="X598" s="65"/>
      <c r="Y598" s="65"/>
      <c r="Z598" s="65"/>
    </row>
    <row r="599" customFormat="false" ht="15.75" hidden="false" customHeight="true" outlineLevel="0" collapsed="false">
      <c r="A599" s="65"/>
      <c r="B599" s="65"/>
      <c r="C599" s="65"/>
      <c r="D599" s="65"/>
      <c r="E599" s="65"/>
      <c r="F599" s="65"/>
      <c r="G599" s="65"/>
      <c r="H599" s="65"/>
      <c r="I599" s="65"/>
      <c r="J599" s="65"/>
      <c r="K599" s="65"/>
      <c r="L599" s="65"/>
      <c r="M599" s="65"/>
      <c r="N599" s="65"/>
      <c r="O599" s="65"/>
      <c r="P599" s="65"/>
      <c r="Q599" s="65"/>
      <c r="R599" s="65"/>
      <c r="S599" s="65"/>
      <c r="T599" s="65"/>
      <c r="U599" s="65"/>
      <c r="V599" s="65"/>
      <c r="W599" s="65"/>
      <c r="X599" s="65"/>
      <c r="Y599" s="65"/>
      <c r="Z599" s="65"/>
    </row>
    <row r="600" customFormat="false" ht="15.75" hidden="false" customHeight="true" outlineLevel="0" collapsed="false">
      <c r="A600" s="65"/>
      <c r="B600" s="65"/>
      <c r="C600" s="65"/>
      <c r="D600" s="65"/>
      <c r="E600" s="65"/>
      <c r="F600" s="65"/>
      <c r="G600" s="65"/>
      <c r="H600" s="65"/>
      <c r="I600" s="65"/>
      <c r="J600" s="65"/>
      <c r="K600" s="65"/>
      <c r="L600" s="65"/>
      <c r="M600" s="65"/>
      <c r="N600" s="65"/>
      <c r="O600" s="65"/>
      <c r="P600" s="65"/>
      <c r="Q600" s="65"/>
      <c r="R600" s="65"/>
      <c r="S600" s="65"/>
      <c r="T600" s="65"/>
      <c r="U600" s="65"/>
      <c r="V600" s="65"/>
      <c r="W600" s="65"/>
      <c r="X600" s="65"/>
      <c r="Y600" s="65"/>
      <c r="Z600" s="65"/>
    </row>
    <row r="601" customFormat="false" ht="15.75" hidden="false" customHeight="true" outlineLevel="0" collapsed="false">
      <c r="A601" s="65"/>
      <c r="B601" s="65"/>
      <c r="C601" s="65"/>
      <c r="D601" s="65"/>
      <c r="E601" s="65"/>
      <c r="F601" s="65"/>
      <c r="G601" s="65"/>
      <c r="H601" s="65"/>
      <c r="I601" s="65"/>
      <c r="J601" s="65"/>
      <c r="K601" s="65"/>
      <c r="L601" s="65"/>
      <c r="M601" s="65"/>
      <c r="N601" s="65"/>
      <c r="O601" s="65"/>
      <c r="P601" s="65"/>
      <c r="Q601" s="65"/>
      <c r="R601" s="65"/>
      <c r="S601" s="65"/>
      <c r="T601" s="65"/>
      <c r="U601" s="65"/>
      <c r="V601" s="65"/>
      <c r="W601" s="65"/>
      <c r="X601" s="65"/>
      <c r="Y601" s="65"/>
      <c r="Z601" s="65"/>
    </row>
    <row r="602" customFormat="false" ht="15.75" hidden="false" customHeight="true" outlineLevel="0" collapsed="false">
      <c r="A602" s="65"/>
      <c r="B602" s="65"/>
      <c r="C602" s="65"/>
      <c r="D602" s="65"/>
      <c r="E602" s="65"/>
      <c r="F602" s="65"/>
      <c r="G602" s="65"/>
      <c r="H602" s="65"/>
      <c r="I602" s="65"/>
      <c r="J602" s="65"/>
      <c r="K602" s="65"/>
      <c r="L602" s="65"/>
      <c r="M602" s="65"/>
      <c r="N602" s="65"/>
      <c r="O602" s="65"/>
      <c r="P602" s="65"/>
      <c r="Q602" s="65"/>
      <c r="R602" s="65"/>
      <c r="S602" s="65"/>
      <c r="T602" s="65"/>
      <c r="U602" s="65"/>
      <c r="V602" s="65"/>
      <c r="W602" s="65"/>
      <c r="X602" s="65"/>
      <c r="Y602" s="65"/>
      <c r="Z602" s="65"/>
    </row>
    <row r="603" customFormat="false" ht="15.75" hidden="false" customHeight="true" outlineLevel="0" collapsed="false">
      <c r="A603" s="65"/>
      <c r="B603" s="65"/>
      <c r="C603" s="65"/>
      <c r="D603" s="65"/>
      <c r="E603" s="65"/>
      <c r="F603" s="65"/>
      <c r="G603" s="65"/>
      <c r="H603" s="65"/>
      <c r="I603" s="65"/>
      <c r="J603" s="65"/>
      <c r="K603" s="65"/>
      <c r="L603" s="65"/>
      <c r="M603" s="65"/>
      <c r="N603" s="65"/>
      <c r="O603" s="65"/>
      <c r="P603" s="65"/>
      <c r="Q603" s="65"/>
      <c r="R603" s="65"/>
      <c r="S603" s="65"/>
      <c r="T603" s="65"/>
      <c r="U603" s="65"/>
      <c r="V603" s="65"/>
      <c r="W603" s="65"/>
      <c r="X603" s="65"/>
      <c r="Y603" s="65"/>
      <c r="Z603" s="65"/>
    </row>
    <row r="604" customFormat="false" ht="15.75" hidden="false" customHeight="true" outlineLevel="0" collapsed="false">
      <c r="A604" s="65"/>
      <c r="B604" s="65"/>
      <c r="C604" s="65"/>
      <c r="D604" s="65"/>
      <c r="E604" s="65"/>
      <c r="F604" s="65"/>
      <c r="G604" s="65"/>
      <c r="H604" s="65"/>
      <c r="I604" s="65"/>
      <c r="J604" s="65"/>
      <c r="K604" s="65"/>
      <c r="L604" s="65"/>
      <c r="M604" s="65"/>
      <c r="N604" s="65"/>
      <c r="O604" s="65"/>
      <c r="P604" s="65"/>
      <c r="Q604" s="65"/>
      <c r="R604" s="65"/>
      <c r="S604" s="65"/>
      <c r="T604" s="65"/>
      <c r="U604" s="65"/>
      <c r="V604" s="65"/>
      <c r="W604" s="65"/>
      <c r="X604" s="65"/>
      <c r="Y604" s="65"/>
      <c r="Z604" s="65"/>
    </row>
    <row r="605" customFormat="false" ht="15.75" hidden="false" customHeight="true" outlineLevel="0" collapsed="false">
      <c r="A605" s="65"/>
      <c r="B605" s="65"/>
      <c r="C605" s="65"/>
      <c r="D605" s="65"/>
      <c r="E605" s="65"/>
      <c r="F605" s="65"/>
      <c r="G605" s="65"/>
      <c r="H605" s="65"/>
      <c r="I605" s="65"/>
      <c r="J605" s="65"/>
      <c r="K605" s="65"/>
      <c r="L605" s="65"/>
      <c r="M605" s="65"/>
      <c r="N605" s="65"/>
      <c r="O605" s="65"/>
      <c r="P605" s="65"/>
      <c r="Q605" s="65"/>
      <c r="R605" s="65"/>
      <c r="S605" s="65"/>
      <c r="T605" s="65"/>
      <c r="U605" s="65"/>
      <c r="V605" s="65"/>
      <c r="W605" s="65"/>
      <c r="X605" s="65"/>
      <c r="Y605" s="65"/>
      <c r="Z605" s="65"/>
    </row>
    <row r="606" customFormat="false" ht="15.75" hidden="false" customHeight="true" outlineLevel="0" collapsed="false">
      <c r="A606" s="65"/>
      <c r="B606" s="65"/>
      <c r="C606" s="65"/>
      <c r="D606" s="65"/>
      <c r="E606" s="65"/>
      <c r="F606" s="65"/>
      <c r="G606" s="65"/>
      <c r="H606" s="65"/>
      <c r="I606" s="65"/>
      <c r="J606" s="65"/>
      <c r="K606" s="65"/>
      <c r="L606" s="65"/>
      <c r="M606" s="65"/>
      <c r="N606" s="65"/>
      <c r="O606" s="65"/>
      <c r="P606" s="65"/>
      <c r="Q606" s="65"/>
      <c r="R606" s="65"/>
      <c r="S606" s="65"/>
      <c r="T606" s="65"/>
      <c r="U606" s="65"/>
      <c r="V606" s="65"/>
      <c r="W606" s="65"/>
      <c r="X606" s="65"/>
      <c r="Y606" s="65"/>
      <c r="Z606" s="65"/>
    </row>
    <row r="607" customFormat="false" ht="15.75" hidden="false" customHeight="true" outlineLevel="0" collapsed="false">
      <c r="A607" s="65"/>
      <c r="B607" s="65"/>
      <c r="C607" s="65"/>
      <c r="D607" s="65"/>
      <c r="E607" s="65"/>
      <c r="F607" s="65"/>
      <c r="G607" s="65"/>
      <c r="H607" s="65"/>
      <c r="I607" s="65"/>
      <c r="J607" s="65"/>
      <c r="K607" s="65"/>
      <c r="L607" s="65"/>
      <c r="M607" s="65"/>
      <c r="N607" s="65"/>
      <c r="O607" s="65"/>
      <c r="P607" s="65"/>
      <c r="Q607" s="65"/>
      <c r="R607" s="65"/>
      <c r="S607" s="65"/>
      <c r="T607" s="65"/>
      <c r="U607" s="65"/>
      <c r="V607" s="65"/>
      <c r="W607" s="65"/>
      <c r="X607" s="65"/>
      <c r="Y607" s="65"/>
      <c r="Z607" s="65"/>
    </row>
    <row r="608" customFormat="false" ht="15.75" hidden="false" customHeight="true" outlineLevel="0" collapsed="false">
      <c r="A608" s="65"/>
      <c r="B608" s="65"/>
      <c r="C608" s="65"/>
      <c r="D608" s="65"/>
      <c r="E608" s="65"/>
      <c r="F608" s="65"/>
      <c r="G608" s="65"/>
      <c r="H608" s="65"/>
      <c r="I608" s="65"/>
      <c r="J608" s="65"/>
      <c r="K608" s="65"/>
      <c r="L608" s="65"/>
      <c r="M608" s="65"/>
      <c r="N608" s="65"/>
      <c r="O608" s="65"/>
      <c r="P608" s="65"/>
      <c r="Q608" s="65"/>
      <c r="R608" s="65"/>
      <c r="S608" s="65"/>
      <c r="T608" s="65"/>
      <c r="U608" s="65"/>
      <c r="V608" s="65"/>
      <c r="W608" s="65"/>
      <c r="X608" s="65"/>
      <c r="Y608" s="65"/>
      <c r="Z608" s="65"/>
    </row>
    <row r="609" customFormat="false" ht="15.75" hidden="false" customHeight="true" outlineLevel="0" collapsed="false">
      <c r="A609" s="65"/>
      <c r="B609" s="65"/>
      <c r="C609" s="65"/>
      <c r="D609" s="65"/>
      <c r="E609" s="65"/>
      <c r="F609" s="65"/>
      <c r="G609" s="65"/>
      <c r="H609" s="65"/>
      <c r="I609" s="65"/>
      <c r="J609" s="65"/>
      <c r="K609" s="65"/>
      <c r="L609" s="65"/>
      <c r="M609" s="65"/>
      <c r="N609" s="65"/>
      <c r="O609" s="65"/>
      <c r="P609" s="65"/>
      <c r="Q609" s="65"/>
      <c r="R609" s="65"/>
      <c r="S609" s="65"/>
      <c r="T609" s="65"/>
      <c r="U609" s="65"/>
      <c r="V609" s="65"/>
      <c r="W609" s="65"/>
      <c r="X609" s="65"/>
      <c r="Y609" s="65"/>
      <c r="Z609" s="65"/>
    </row>
    <row r="610" customFormat="false" ht="15.75" hidden="false" customHeight="true" outlineLevel="0" collapsed="false">
      <c r="A610" s="65"/>
      <c r="B610" s="65"/>
      <c r="C610" s="65"/>
      <c r="D610" s="65"/>
      <c r="E610" s="65"/>
      <c r="F610" s="65"/>
      <c r="G610" s="65"/>
      <c r="H610" s="65"/>
      <c r="I610" s="65"/>
      <c r="J610" s="65"/>
      <c r="K610" s="65"/>
      <c r="L610" s="65"/>
      <c r="M610" s="65"/>
      <c r="N610" s="65"/>
      <c r="O610" s="65"/>
      <c r="P610" s="65"/>
      <c r="Q610" s="65"/>
      <c r="R610" s="65"/>
      <c r="S610" s="65"/>
      <c r="T610" s="65"/>
      <c r="U610" s="65"/>
      <c r="V610" s="65"/>
      <c r="W610" s="65"/>
      <c r="X610" s="65"/>
      <c r="Y610" s="65"/>
      <c r="Z610" s="65"/>
    </row>
    <row r="611" customFormat="false" ht="15.75" hidden="false" customHeight="true" outlineLevel="0" collapsed="false">
      <c r="A611" s="65"/>
      <c r="B611" s="65"/>
      <c r="C611" s="65"/>
      <c r="D611" s="65"/>
      <c r="E611" s="65"/>
      <c r="F611" s="65"/>
      <c r="G611" s="65"/>
      <c r="H611" s="65"/>
      <c r="I611" s="65"/>
      <c r="J611" s="65"/>
      <c r="K611" s="65"/>
      <c r="L611" s="65"/>
      <c r="M611" s="65"/>
      <c r="N611" s="65"/>
      <c r="O611" s="65"/>
      <c r="P611" s="65"/>
      <c r="Q611" s="65"/>
      <c r="R611" s="65"/>
      <c r="S611" s="65"/>
      <c r="T611" s="65"/>
      <c r="U611" s="65"/>
      <c r="V611" s="65"/>
      <c r="W611" s="65"/>
      <c r="X611" s="65"/>
      <c r="Y611" s="65"/>
      <c r="Z611" s="65"/>
    </row>
    <row r="612" customFormat="false" ht="15.75" hidden="false" customHeight="true" outlineLevel="0" collapsed="false">
      <c r="A612" s="65"/>
      <c r="B612" s="65"/>
      <c r="C612" s="65"/>
      <c r="D612" s="65"/>
      <c r="E612" s="65"/>
      <c r="F612" s="65"/>
      <c r="G612" s="65"/>
      <c r="H612" s="65"/>
      <c r="I612" s="65"/>
      <c r="J612" s="65"/>
      <c r="K612" s="65"/>
      <c r="L612" s="65"/>
      <c r="M612" s="65"/>
      <c r="N612" s="65"/>
      <c r="O612" s="65"/>
      <c r="P612" s="65"/>
      <c r="Q612" s="65"/>
      <c r="R612" s="65"/>
      <c r="S612" s="65"/>
      <c r="T612" s="65"/>
      <c r="U612" s="65"/>
      <c r="V612" s="65"/>
      <c r="W612" s="65"/>
      <c r="X612" s="65"/>
      <c r="Y612" s="65"/>
      <c r="Z612" s="65"/>
    </row>
    <row r="613" customFormat="false" ht="15.75" hidden="false" customHeight="true" outlineLevel="0" collapsed="false">
      <c r="A613" s="65"/>
      <c r="B613" s="65"/>
      <c r="C613" s="65"/>
      <c r="D613" s="65"/>
      <c r="E613" s="65"/>
      <c r="F613" s="65"/>
      <c r="G613" s="65"/>
      <c r="H613" s="65"/>
      <c r="I613" s="65"/>
      <c r="J613" s="65"/>
      <c r="K613" s="65"/>
      <c r="L613" s="65"/>
      <c r="M613" s="65"/>
      <c r="N613" s="65"/>
      <c r="O613" s="65"/>
      <c r="P613" s="65"/>
      <c r="Q613" s="65"/>
      <c r="R613" s="65"/>
      <c r="S613" s="65"/>
      <c r="T613" s="65"/>
      <c r="U613" s="65"/>
      <c r="V613" s="65"/>
      <c r="W613" s="65"/>
      <c r="X613" s="65"/>
      <c r="Y613" s="65"/>
      <c r="Z613" s="65"/>
    </row>
    <row r="614" customFormat="false" ht="15.75" hidden="false" customHeight="true" outlineLevel="0" collapsed="false">
      <c r="A614" s="65"/>
      <c r="B614" s="65"/>
      <c r="C614" s="65"/>
      <c r="D614" s="65"/>
      <c r="E614" s="65"/>
      <c r="F614" s="65"/>
      <c r="G614" s="65"/>
      <c r="H614" s="65"/>
      <c r="I614" s="65"/>
      <c r="J614" s="65"/>
      <c r="K614" s="65"/>
      <c r="L614" s="65"/>
      <c r="M614" s="65"/>
      <c r="N614" s="65"/>
      <c r="O614" s="65"/>
      <c r="P614" s="65"/>
      <c r="Q614" s="65"/>
      <c r="R614" s="65"/>
      <c r="S614" s="65"/>
      <c r="T614" s="65"/>
      <c r="U614" s="65"/>
      <c r="V614" s="65"/>
      <c r="W614" s="65"/>
      <c r="X614" s="65"/>
      <c r="Y614" s="65"/>
      <c r="Z614" s="65"/>
    </row>
    <row r="615" customFormat="false" ht="15.75" hidden="false" customHeight="true" outlineLevel="0" collapsed="false">
      <c r="A615" s="65"/>
      <c r="B615" s="65"/>
      <c r="C615" s="65"/>
      <c r="D615" s="65"/>
      <c r="E615" s="65"/>
      <c r="F615" s="65"/>
      <c r="G615" s="65"/>
      <c r="H615" s="65"/>
      <c r="I615" s="65"/>
      <c r="J615" s="65"/>
      <c r="K615" s="65"/>
      <c r="L615" s="65"/>
      <c r="M615" s="65"/>
      <c r="N615" s="65"/>
      <c r="O615" s="65"/>
      <c r="P615" s="65"/>
      <c r="Q615" s="65"/>
      <c r="R615" s="65"/>
      <c r="S615" s="65"/>
      <c r="T615" s="65"/>
      <c r="U615" s="65"/>
      <c r="V615" s="65"/>
      <c r="W615" s="65"/>
      <c r="X615" s="65"/>
      <c r="Y615" s="65"/>
      <c r="Z615" s="65"/>
    </row>
    <row r="616" customFormat="false" ht="15.75" hidden="false" customHeight="true" outlineLevel="0" collapsed="false">
      <c r="A616" s="65"/>
      <c r="B616" s="65"/>
      <c r="C616" s="65"/>
      <c r="D616" s="65"/>
      <c r="E616" s="65"/>
      <c r="F616" s="65"/>
      <c r="G616" s="65"/>
      <c r="H616" s="65"/>
      <c r="I616" s="65"/>
      <c r="J616" s="65"/>
      <c r="K616" s="65"/>
      <c r="L616" s="65"/>
      <c r="M616" s="65"/>
      <c r="N616" s="65"/>
      <c r="O616" s="65"/>
      <c r="P616" s="65"/>
      <c r="Q616" s="65"/>
      <c r="R616" s="65"/>
      <c r="S616" s="65"/>
      <c r="T616" s="65"/>
      <c r="U616" s="65"/>
      <c r="V616" s="65"/>
      <c r="W616" s="65"/>
      <c r="X616" s="65"/>
      <c r="Y616" s="65"/>
      <c r="Z616" s="65"/>
    </row>
    <row r="617" customFormat="false" ht="15.75" hidden="false" customHeight="true" outlineLevel="0" collapsed="false">
      <c r="A617" s="65"/>
      <c r="B617" s="65"/>
      <c r="C617" s="65"/>
      <c r="D617" s="65"/>
      <c r="E617" s="65"/>
      <c r="F617" s="65"/>
      <c r="G617" s="65"/>
      <c r="H617" s="65"/>
      <c r="I617" s="65"/>
      <c r="J617" s="65"/>
      <c r="K617" s="65"/>
      <c r="L617" s="65"/>
      <c r="M617" s="65"/>
      <c r="N617" s="65"/>
      <c r="O617" s="65"/>
      <c r="P617" s="65"/>
      <c r="Q617" s="65"/>
      <c r="R617" s="65"/>
      <c r="S617" s="65"/>
      <c r="T617" s="65"/>
      <c r="U617" s="65"/>
      <c r="V617" s="65"/>
      <c r="W617" s="65"/>
      <c r="X617" s="65"/>
      <c r="Y617" s="65"/>
      <c r="Z617" s="65"/>
    </row>
    <row r="618" customFormat="false" ht="15.75" hidden="false" customHeight="true" outlineLevel="0" collapsed="false">
      <c r="A618" s="65"/>
      <c r="B618" s="65"/>
      <c r="C618" s="65"/>
      <c r="D618" s="65"/>
      <c r="E618" s="65"/>
      <c r="F618" s="65"/>
      <c r="G618" s="65"/>
      <c r="H618" s="65"/>
      <c r="I618" s="65"/>
      <c r="J618" s="65"/>
      <c r="K618" s="65"/>
      <c r="L618" s="65"/>
      <c r="M618" s="65"/>
      <c r="N618" s="65"/>
      <c r="O618" s="65"/>
      <c r="P618" s="65"/>
      <c r="Q618" s="65"/>
      <c r="R618" s="65"/>
      <c r="S618" s="65"/>
      <c r="T618" s="65"/>
      <c r="U618" s="65"/>
      <c r="V618" s="65"/>
      <c r="W618" s="65"/>
      <c r="X618" s="65"/>
      <c r="Y618" s="65"/>
      <c r="Z618" s="65"/>
    </row>
    <row r="619" customFormat="false" ht="15.75" hidden="false" customHeight="true" outlineLevel="0" collapsed="false">
      <c r="A619" s="65"/>
      <c r="B619" s="65"/>
      <c r="C619" s="65"/>
      <c r="D619" s="65"/>
      <c r="E619" s="65"/>
      <c r="F619" s="65"/>
      <c r="G619" s="65"/>
      <c r="H619" s="65"/>
      <c r="I619" s="65"/>
      <c r="J619" s="65"/>
      <c r="K619" s="65"/>
      <c r="L619" s="65"/>
      <c r="M619" s="65"/>
      <c r="N619" s="65"/>
      <c r="O619" s="65"/>
      <c r="P619" s="65"/>
      <c r="Q619" s="65"/>
      <c r="R619" s="65"/>
      <c r="S619" s="65"/>
      <c r="T619" s="65"/>
      <c r="U619" s="65"/>
      <c r="V619" s="65"/>
      <c r="W619" s="65"/>
      <c r="X619" s="65"/>
      <c r="Y619" s="65"/>
      <c r="Z619" s="65"/>
    </row>
    <row r="620" customFormat="false" ht="15.75" hidden="false" customHeight="true" outlineLevel="0" collapsed="false">
      <c r="A620" s="65"/>
      <c r="B620" s="65"/>
      <c r="C620" s="65"/>
      <c r="D620" s="65"/>
      <c r="E620" s="65"/>
      <c r="F620" s="65"/>
      <c r="G620" s="65"/>
      <c r="H620" s="65"/>
      <c r="I620" s="65"/>
      <c r="J620" s="65"/>
      <c r="K620" s="65"/>
      <c r="L620" s="65"/>
      <c r="M620" s="65"/>
      <c r="N620" s="65"/>
      <c r="O620" s="65"/>
      <c r="P620" s="65"/>
      <c r="Q620" s="65"/>
      <c r="R620" s="65"/>
      <c r="S620" s="65"/>
      <c r="T620" s="65"/>
      <c r="U620" s="65"/>
      <c r="V620" s="65"/>
      <c r="W620" s="65"/>
      <c r="X620" s="65"/>
      <c r="Y620" s="65"/>
      <c r="Z620" s="65"/>
    </row>
    <row r="621" customFormat="false" ht="15.75" hidden="false" customHeight="true" outlineLevel="0" collapsed="false">
      <c r="A621" s="65"/>
      <c r="B621" s="65"/>
      <c r="C621" s="65"/>
      <c r="D621" s="65"/>
      <c r="E621" s="65"/>
      <c r="F621" s="65"/>
      <c r="G621" s="65"/>
      <c r="H621" s="65"/>
      <c r="I621" s="65"/>
      <c r="J621" s="65"/>
      <c r="K621" s="65"/>
      <c r="L621" s="65"/>
      <c r="M621" s="65"/>
      <c r="N621" s="65"/>
      <c r="O621" s="65"/>
      <c r="P621" s="65"/>
      <c r="Q621" s="65"/>
      <c r="R621" s="65"/>
      <c r="S621" s="65"/>
      <c r="T621" s="65"/>
      <c r="U621" s="65"/>
      <c r="V621" s="65"/>
      <c r="W621" s="65"/>
      <c r="X621" s="65"/>
      <c r="Y621" s="65"/>
      <c r="Z621" s="65"/>
    </row>
    <row r="622" customFormat="false" ht="15.75" hidden="false" customHeight="true" outlineLevel="0" collapsed="false">
      <c r="A622" s="65"/>
      <c r="B622" s="65"/>
      <c r="C622" s="65"/>
      <c r="D622" s="65"/>
      <c r="E622" s="65"/>
      <c r="F622" s="65"/>
      <c r="G622" s="65"/>
      <c r="H622" s="65"/>
      <c r="I622" s="65"/>
      <c r="J622" s="65"/>
      <c r="K622" s="65"/>
      <c r="L622" s="65"/>
      <c r="M622" s="65"/>
      <c r="N622" s="65"/>
      <c r="O622" s="65"/>
      <c r="P622" s="65"/>
      <c r="Q622" s="65"/>
      <c r="R622" s="65"/>
      <c r="S622" s="65"/>
      <c r="T622" s="65"/>
      <c r="U622" s="65"/>
      <c r="V622" s="65"/>
      <c r="W622" s="65"/>
      <c r="X622" s="65"/>
      <c r="Y622" s="65"/>
      <c r="Z622" s="65"/>
    </row>
    <row r="623" customFormat="false" ht="15.75" hidden="false" customHeight="true" outlineLevel="0" collapsed="false">
      <c r="A623" s="65"/>
      <c r="B623" s="65"/>
      <c r="C623" s="65"/>
      <c r="D623" s="65"/>
      <c r="E623" s="65"/>
      <c r="F623" s="65"/>
      <c r="G623" s="65"/>
      <c r="H623" s="65"/>
      <c r="I623" s="65"/>
      <c r="J623" s="65"/>
      <c r="K623" s="65"/>
      <c r="L623" s="65"/>
      <c r="M623" s="65"/>
      <c r="N623" s="65"/>
      <c r="O623" s="65"/>
      <c r="P623" s="65"/>
      <c r="Q623" s="65"/>
      <c r="R623" s="65"/>
      <c r="S623" s="65"/>
      <c r="T623" s="65"/>
      <c r="U623" s="65"/>
      <c r="V623" s="65"/>
      <c r="W623" s="65"/>
      <c r="X623" s="65"/>
      <c r="Y623" s="65"/>
      <c r="Z623" s="65"/>
    </row>
    <row r="624" customFormat="false" ht="15.75" hidden="false" customHeight="true" outlineLevel="0" collapsed="false">
      <c r="A624" s="65"/>
      <c r="B624" s="65"/>
      <c r="C624" s="65"/>
      <c r="D624" s="65"/>
      <c r="E624" s="65"/>
      <c r="F624" s="65"/>
      <c r="G624" s="65"/>
      <c r="H624" s="65"/>
      <c r="I624" s="65"/>
      <c r="J624" s="65"/>
      <c r="K624" s="65"/>
      <c r="L624" s="65"/>
      <c r="M624" s="65"/>
      <c r="N624" s="65"/>
      <c r="O624" s="65"/>
      <c r="P624" s="65"/>
      <c r="Q624" s="65"/>
      <c r="R624" s="65"/>
      <c r="S624" s="65"/>
      <c r="T624" s="65"/>
      <c r="U624" s="65"/>
      <c r="V624" s="65"/>
      <c r="W624" s="65"/>
      <c r="X624" s="65"/>
      <c r="Y624" s="65"/>
      <c r="Z624" s="65"/>
    </row>
    <row r="625" customFormat="false" ht="15.75" hidden="false" customHeight="true" outlineLevel="0" collapsed="false">
      <c r="A625" s="65"/>
      <c r="B625" s="65"/>
      <c r="C625" s="65"/>
      <c r="D625" s="65"/>
      <c r="E625" s="65"/>
      <c r="F625" s="65"/>
      <c r="G625" s="65"/>
      <c r="H625" s="65"/>
      <c r="I625" s="65"/>
      <c r="J625" s="65"/>
      <c r="K625" s="65"/>
      <c r="L625" s="65"/>
      <c r="M625" s="65"/>
      <c r="N625" s="65"/>
      <c r="O625" s="65"/>
      <c r="P625" s="65"/>
      <c r="Q625" s="65"/>
      <c r="R625" s="65"/>
      <c r="S625" s="65"/>
      <c r="T625" s="65"/>
      <c r="U625" s="65"/>
      <c r="V625" s="65"/>
      <c r="W625" s="65"/>
      <c r="X625" s="65"/>
      <c r="Y625" s="65"/>
      <c r="Z625" s="65"/>
    </row>
    <row r="626" customFormat="false" ht="15.75" hidden="false" customHeight="true" outlineLevel="0" collapsed="false">
      <c r="A626" s="65"/>
      <c r="B626" s="65"/>
      <c r="C626" s="65"/>
      <c r="D626" s="65"/>
      <c r="E626" s="65"/>
      <c r="F626" s="65"/>
      <c r="G626" s="65"/>
      <c r="H626" s="65"/>
      <c r="I626" s="65"/>
      <c r="J626" s="65"/>
      <c r="K626" s="65"/>
      <c r="L626" s="65"/>
      <c r="M626" s="65"/>
      <c r="N626" s="65"/>
      <c r="O626" s="65"/>
      <c r="P626" s="65"/>
      <c r="Q626" s="65"/>
      <c r="R626" s="65"/>
      <c r="S626" s="65"/>
      <c r="T626" s="65"/>
      <c r="U626" s="65"/>
      <c r="V626" s="65"/>
      <c r="W626" s="65"/>
      <c r="X626" s="65"/>
      <c r="Y626" s="65"/>
      <c r="Z626" s="65"/>
    </row>
    <row r="627" customFormat="false" ht="15.75" hidden="false" customHeight="true" outlineLevel="0" collapsed="false">
      <c r="A627" s="65"/>
      <c r="B627" s="65"/>
      <c r="C627" s="65"/>
      <c r="D627" s="65"/>
      <c r="E627" s="65"/>
      <c r="F627" s="65"/>
      <c r="G627" s="65"/>
      <c r="H627" s="65"/>
      <c r="I627" s="65"/>
      <c r="J627" s="65"/>
      <c r="K627" s="65"/>
      <c r="L627" s="65"/>
      <c r="M627" s="65"/>
      <c r="N627" s="65"/>
      <c r="O627" s="65"/>
      <c r="P627" s="65"/>
      <c r="Q627" s="65"/>
      <c r="R627" s="65"/>
      <c r="S627" s="65"/>
      <c r="T627" s="65"/>
      <c r="U627" s="65"/>
      <c r="V627" s="65"/>
      <c r="W627" s="65"/>
      <c r="X627" s="65"/>
      <c r="Y627" s="65"/>
      <c r="Z627" s="65"/>
    </row>
    <row r="628" customFormat="false" ht="15.75" hidden="false" customHeight="true" outlineLevel="0" collapsed="false">
      <c r="A628" s="65"/>
      <c r="B628" s="65"/>
      <c r="C628" s="65"/>
      <c r="D628" s="65"/>
      <c r="E628" s="65"/>
      <c r="F628" s="65"/>
      <c r="G628" s="65"/>
      <c r="H628" s="65"/>
      <c r="I628" s="65"/>
      <c r="J628" s="65"/>
      <c r="K628" s="65"/>
      <c r="L628" s="65"/>
      <c r="M628" s="65"/>
      <c r="N628" s="65"/>
      <c r="O628" s="65"/>
      <c r="P628" s="65"/>
      <c r="Q628" s="65"/>
      <c r="R628" s="65"/>
      <c r="S628" s="65"/>
      <c r="T628" s="65"/>
      <c r="U628" s="65"/>
      <c r="V628" s="65"/>
      <c r="W628" s="65"/>
      <c r="X628" s="65"/>
      <c r="Y628" s="65"/>
      <c r="Z628" s="65"/>
    </row>
    <row r="629" customFormat="false" ht="15.75" hidden="false" customHeight="true" outlineLevel="0" collapsed="false">
      <c r="A629" s="65"/>
      <c r="B629" s="65"/>
      <c r="C629" s="65"/>
      <c r="D629" s="65"/>
      <c r="E629" s="65"/>
      <c r="F629" s="65"/>
      <c r="G629" s="65"/>
      <c r="H629" s="65"/>
      <c r="I629" s="65"/>
      <c r="J629" s="65"/>
      <c r="K629" s="65"/>
      <c r="L629" s="65"/>
      <c r="M629" s="65"/>
      <c r="N629" s="65"/>
      <c r="O629" s="65"/>
      <c r="P629" s="65"/>
      <c r="Q629" s="65"/>
      <c r="R629" s="65"/>
      <c r="S629" s="65"/>
      <c r="T629" s="65"/>
      <c r="U629" s="65"/>
      <c r="V629" s="65"/>
      <c r="W629" s="65"/>
      <c r="X629" s="65"/>
      <c r="Y629" s="65"/>
      <c r="Z629" s="65"/>
    </row>
    <row r="630" customFormat="false" ht="15.75" hidden="false" customHeight="true" outlineLevel="0" collapsed="false">
      <c r="A630" s="65"/>
      <c r="B630" s="65"/>
      <c r="C630" s="65"/>
      <c r="D630" s="65"/>
      <c r="E630" s="65"/>
      <c r="F630" s="65"/>
      <c r="G630" s="65"/>
      <c r="H630" s="65"/>
      <c r="I630" s="65"/>
      <c r="J630" s="65"/>
      <c r="K630" s="65"/>
      <c r="L630" s="65"/>
      <c r="M630" s="65"/>
      <c r="N630" s="65"/>
      <c r="O630" s="65"/>
      <c r="P630" s="65"/>
      <c r="Q630" s="65"/>
      <c r="R630" s="65"/>
      <c r="S630" s="65"/>
      <c r="T630" s="65"/>
      <c r="U630" s="65"/>
      <c r="V630" s="65"/>
      <c r="W630" s="65"/>
      <c r="X630" s="65"/>
      <c r="Y630" s="65"/>
      <c r="Z630" s="65"/>
    </row>
    <row r="631" customFormat="false" ht="15.75" hidden="false" customHeight="true" outlineLevel="0" collapsed="false">
      <c r="A631" s="65"/>
      <c r="B631" s="65"/>
      <c r="C631" s="65"/>
      <c r="D631" s="65"/>
      <c r="E631" s="65"/>
      <c r="F631" s="65"/>
      <c r="G631" s="65"/>
      <c r="H631" s="65"/>
      <c r="I631" s="65"/>
      <c r="J631" s="65"/>
      <c r="K631" s="65"/>
      <c r="L631" s="65"/>
      <c r="M631" s="65"/>
      <c r="N631" s="65"/>
      <c r="O631" s="65"/>
      <c r="P631" s="65"/>
      <c r="Q631" s="65"/>
      <c r="R631" s="65"/>
      <c r="S631" s="65"/>
      <c r="T631" s="65"/>
      <c r="U631" s="65"/>
      <c r="V631" s="65"/>
      <c r="W631" s="65"/>
      <c r="X631" s="65"/>
      <c r="Y631" s="65"/>
      <c r="Z631" s="65"/>
    </row>
    <row r="632" customFormat="false" ht="15.75" hidden="false" customHeight="true" outlineLevel="0" collapsed="false">
      <c r="A632" s="65"/>
      <c r="B632" s="65"/>
      <c r="C632" s="65"/>
      <c r="D632" s="65"/>
      <c r="E632" s="65"/>
      <c r="F632" s="65"/>
      <c r="G632" s="65"/>
      <c r="H632" s="65"/>
      <c r="I632" s="65"/>
      <c r="J632" s="65"/>
      <c r="K632" s="65"/>
      <c r="L632" s="65"/>
      <c r="M632" s="65"/>
      <c r="N632" s="65"/>
      <c r="O632" s="65"/>
      <c r="P632" s="65"/>
      <c r="Q632" s="65"/>
      <c r="R632" s="65"/>
      <c r="S632" s="65"/>
      <c r="T632" s="65"/>
      <c r="U632" s="65"/>
      <c r="V632" s="65"/>
      <c r="W632" s="65"/>
      <c r="X632" s="65"/>
      <c r="Y632" s="65"/>
      <c r="Z632" s="65"/>
    </row>
    <row r="633" customFormat="false" ht="15.75" hidden="false" customHeight="true" outlineLevel="0" collapsed="false">
      <c r="A633" s="65"/>
      <c r="B633" s="65"/>
      <c r="C633" s="65"/>
      <c r="D633" s="65"/>
      <c r="E633" s="65"/>
      <c r="F633" s="65"/>
      <c r="G633" s="65"/>
      <c r="H633" s="65"/>
      <c r="I633" s="65"/>
      <c r="J633" s="65"/>
      <c r="K633" s="65"/>
      <c r="L633" s="65"/>
      <c r="M633" s="65"/>
      <c r="N633" s="65"/>
      <c r="O633" s="65"/>
      <c r="P633" s="65"/>
      <c r="Q633" s="65"/>
      <c r="R633" s="65"/>
      <c r="S633" s="65"/>
      <c r="T633" s="65"/>
      <c r="U633" s="65"/>
      <c r="V633" s="65"/>
      <c r="W633" s="65"/>
      <c r="X633" s="65"/>
      <c r="Y633" s="65"/>
      <c r="Z633" s="65"/>
    </row>
    <row r="634" customFormat="false" ht="15.75" hidden="false" customHeight="true" outlineLevel="0" collapsed="false">
      <c r="A634" s="65"/>
      <c r="B634" s="65"/>
      <c r="C634" s="65"/>
      <c r="D634" s="65"/>
      <c r="E634" s="65"/>
      <c r="F634" s="65"/>
      <c r="G634" s="65"/>
      <c r="H634" s="65"/>
      <c r="I634" s="65"/>
      <c r="J634" s="65"/>
      <c r="K634" s="65"/>
      <c r="L634" s="65"/>
      <c r="M634" s="65"/>
      <c r="N634" s="65"/>
      <c r="O634" s="65"/>
      <c r="P634" s="65"/>
      <c r="Q634" s="65"/>
      <c r="R634" s="65"/>
      <c r="S634" s="65"/>
      <c r="T634" s="65"/>
      <c r="U634" s="65"/>
      <c r="V634" s="65"/>
      <c r="W634" s="65"/>
      <c r="X634" s="65"/>
      <c r="Y634" s="65"/>
      <c r="Z634" s="65"/>
    </row>
    <row r="635" customFormat="false" ht="15.75" hidden="false" customHeight="true" outlineLevel="0" collapsed="false">
      <c r="A635" s="65"/>
      <c r="B635" s="65"/>
      <c r="C635" s="65"/>
      <c r="D635" s="65"/>
      <c r="E635" s="65"/>
      <c r="F635" s="65"/>
      <c r="G635" s="65"/>
      <c r="H635" s="65"/>
      <c r="I635" s="65"/>
      <c r="J635" s="65"/>
      <c r="K635" s="65"/>
      <c r="L635" s="65"/>
      <c r="M635" s="65"/>
      <c r="N635" s="65"/>
      <c r="O635" s="65"/>
      <c r="P635" s="65"/>
      <c r="Q635" s="65"/>
      <c r="R635" s="65"/>
      <c r="S635" s="65"/>
      <c r="T635" s="65"/>
      <c r="U635" s="65"/>
      <c r="V635" s="65"/>
      <c r="W635" s="65"/>
      <c r="X635" s="65"/>
      <c r="Y635" s="65"/>
      <c r="Z635" s="65"/>
    </row>
    <row r="636" customFormat="false" ht="15.75" hidden="false" customHeight="true" outlineLevel="0" collapsed="false">
      <c r="A636" s="65"/>
      <c r="B636" s="65"/>
      <c r="C636" s="65"/>
      <c r="D636" s="65"/>
      <c r="E636" s="65"/>
      <c r="F636" s="65"/>
      <c r="G636" s="65"/>
      <c r="H636" s="65"/>
      <c r="I636" s="65"/>
      <c r="J636" s="65"/>
      <c r="K636" s="65"/>
      <c r="L636" s="65"/>
      <c r="M636" s="65"/>
      <c r="N636" s="65"/>
      <c r="O636" s="65"/>
      <c r="P636" s="65"/>
      <c r="Q636" s="65"/>
      <c r="R636" s="65"/>
      <c r="S636" s="65"/>
      <c r="T636" s="65"/>
      <c r="U636" s="65"/>
      <c r="V636" s="65"/>
      <c r="W636" s="65"/>
      <c r="X636" s="65"/>
      <c r="Y636" s="65"/>
      <c r="Z636" s="65"/>
    </row>
    <row r="637" customFormat="false" ht="15.75" hidden="false" customHeight="true" outlineLevel="0" collapsed="false">
      <c r="A637" s="65"/>
      <c r="B637" s="65"/>
      <c r="C637" s="65"/>
      <c r="D637" s="65"/>
      <c r="E637" s="65"/>
      <c r="F637" s="65"/>
      <c r="G637" s="65"/>
      <c r="H637" s="65"/>
      <c r="I637" s="65"/>
      <c r="J637" s="65"/>
      <c r="K637" s="65"/>
      <c r="L637" s="65"/>
      <c r="M637" s="65"/>
      <c r="N637" s="65"/>
      <c r="O637" s="65"/>
      <c r="P637" s="65"/>
      <c r="Q637" s="65"/>
      <c r="R637" s="65"/>
      <c r="S637" s="65"/>
      <c r="T637" s="65"/>
      <c r="U637" s="65"/>
      <c r="V637" s="65"/>
      <c r="W637" s="65"/>
      <c r="X637" s="65"/>
      <c r="Y637" s="65"/>
      <c r="Z637" s="65"/>
    </row>
    <row r="638" customFormat="false" ht="15.75" hidden="false" customHeight="true" outlineLevel="0" collapsed="false">
      <c r="A638" s="65"/>
      <c r="B638" s="65"/>
      <c r="C638" s="65"/>
      <c r="D638" s="65"/>
      <c r="E638" s="65"/>
      <c r="F638" s="65"/>
      <c r="G638" s="65"/>
      <c r="H638" s="65"/>
      <c r="I638" s="65"/>
      <c r="J638" s="65"/>
      <c r="K638" s="65"/>
      <c r="L638" s="65"/>
      <c r="M638" s="65"/>
      <c r="N638" s="65"/>
      <c r="O638" s="65"/>
      <c r="P638" s="65"/>
      <c r="Q638" s="65"/>
      <c r="R638" s="65"/>
      <c r="S638" s="65"/>
      <c r="T638" s="65"/>
      <c r="U638" s="65"/>
      <c r="V638" s="65"/>
      <c r="W638" s="65"/>
      <c r="X638" s="65"/>
      <c r="Y638" s="65"/>
      <c r="Z638" s="65"/>
    </row>
    <row r="639" customFormat="false" ht="15.75" hidden="false" customHeight="true" outlineLevel="0" collapsed="false">
      <c r="A639" s="65"/>
      <c r="B639" s="65"/>
      <c r="C639" s="65"/>
      <c r="D639" s="65"/>
      <c r="E639" s="65"/>
      <c r="F639" s="65"/>
      <c r="G639" s="65"/>
      <c r="H639" s="65"/>
      <c r="I639" s="65"/>
      <c r="J639" s="65"/>
      <c r="K639" s="65"/>
      <c r="L639" s="65"/>
      <c r="M639" s="65"/>
      <c r="N639" s="65"/>
      <c r="O639" s="65"/>
      <c r="P639" s="65"/>
      <c r="Q639" s="65"/>
      <c r="R639" s="65"/>
      <c r="S639" s="65"/>
      <c r="T639" s="65"/>
      <c r="U639" s="65"/>
      <c r="V639" s="65"/>
      <c r="W639" s="65"/>
      <c r="X639" s="65"/>
      <c r="Y639" s="65"/>
      <c r="Z639" s="65"/>
    </row>
    <row r="640" customFormat="false" ht="15.75" hidden="false" customHeight="true" outlineLevel="0" collapsed="false">
      <c r="A640" s="65"/>
      <c r="B640" s="65"/>
      <c r="C640" s="65"/>
      <c r="D640" s="65"/>
      <c r="E640" s="65"/>
      <c r="F640" s="65"/>
      <c r="G640" s="65"/>
      <c r="H640" s="65"/>
      <c r="I640" s="65"/>
      <c r="J640" s="65"/>
      <c r="K640" s="65"/>
      <c r="L640" s="65"/>
      <c r="M640" s="65"/>
      <c r="N640" s="65"/>
      <c r="O640" s="65"/>
      <c r="P640" s="65"/>
      <c r="Q640" s="65"/>
      <c r="R640" s="65"/>
      <c r="S640" s="65"/>
      <c r="T640" s="65"/>
      <c r="U640" s="65"/>
      <c r="V640" s="65"/>
      <c r="W640" s="65"/>
      <c r="X640" s="65"/>
      <c r="Y640" s="65"/>
      <c r="Z640" s="65"/>
    </row>
    <row r="641" customFormat="false" ht="15.75" hidden="false" customHeight="true" outlineLevel="0" collapsed="false">
      <c r="A641" s="65"/>
      <c r="B641" s="65"/>
      <c r="C641" s="65"/>
      <c r="D641" s="65"/>
      <c r="E641" s="65"/>
      <c r="F641" s="65"/>
      <c r="G641" s="65"/>
      <c r="H641" s="65"/>
      <c r="I641" s="65"/>
      <c r="J641" s="65"/>
      <c r="K641" s="65"/>
      <c r="L641" s="65"/>
      <c r="M641" s="65"/>
      <c r="N641" s="65"/>
      <c r="O641" s="65"/>
      <c r="P641" s="65"/>
      <c r="Q641" s="65"/>
      <c r="R641" s="65"/>
      <c r="S641" s="65"/>
      <c r="T641" s="65"/>
      <c r="U641" s="65"/>
      <c r="V641" s="65"/>
      <c r="W641" s="65"/>
      <c r="X641" s="65"/>
      <c r="Y641" s="65"/>
      <c r="Z641" s="65"/>
    </row>
    <row r="642" customFormat="false" ht="15.75" hidden="false" customHeight="true" outlineLevel="0" collapsed="false">
      <c r="A642" s="65"/>
      <c r="B642" s="65"/>
      <c r="C642" s="65"/>
      <c r="D642" s="65"/>
      <c r="E642" s="65"/>
      <c r="F642" s="65"/>
      <c r="G642" s="65"/>
      <c r="H642" s="65"/>
      <c r="I642" s="65"/>
      <c r="J642" s="65"/>
      <c r="K642" s="65"/>
      <c r="L642" s="65"/>
      <c r="M642" s="65"/>
      <c r="N642" s="65"/>
      <c r="O642" s="65"/>
      <c r="P642" s="65"/>
      <c r="Q642" s="65"/>
      <c r="R642" s="65"/>
      <c r="S642" s="65"/>
      <c r="T642" s="65"/>
      <c r="U642" s="65"/>
      <c r="V642" s="65"/>
      <c r="W642" s="65"/>
      <c r="X642" s="65"/>
      <c r="Y642" s="65"/>
      <c r="Z642" s="65"/>
    </row>
    <row r="643" customFormat="false" ht="15.75" hidden="false" customHeight="true" outlineLevel="0" collapsed="false">
      <c r="A643" s="65"/>
      <c r="B643" s="65"/>
      <c r="C643" s="65"/>
      <c r="D643" s="65"/>
      <c r="E643" s="65"/>
      <c r="F643" s="65"/>
      <c r="G643" s="65"/>
      <c r="H643" s="65"/>
      <c r="I643" s="65"/>
      <c r="J643" s="65"/>
      <c r="K643" s="65"/>
      <c r="L643" s="65"/>
      <c r="M643" s="65"/>
      <c r="N643" s="65"/>
      <c r="O643" s="65"/>
      <c r="P643" s="65"/>
      <c r="Q643" s="65"/>
      <c r="R643" s="65"/>
      <c r="S643" s="65"/>
      <c r="T643" s="65"/>
      <c r="U643" s="65"/>
      <c r="V643" s="65"/>
      <c r="W643" s="65"/>
      <c r="X643" s="65"/>
      <c r="Y643" s="65"/>
      <c r="Z643" s="65"/>
    </row>
    <row r="644" customFormat="false" ht="15.75" hidden="false" customHeight="true" outlineLevel="0" collapsed="false">
      <c r="A644" s="65"/>
      <c r="B644" s="65"/>
      <c r="C644" s="65"/>
      <c r="D644" s="65"/>
      <c r="E644" s="65"/>
      <c r="F644" s="65"/>
      <c r="G644" s="65"/>
      <c r="H644" s="65"/>
      <c r="I644" s="65"/>
      <c r="J644" s="65"/>
      <c r="K644" s="65"/>
      <c r="L644" s="65"/>
      <c r="M644" s="65"/>
      <c r="N644" s="65"/>
      <c r="O644" s="65"/>
      <c r="P644" s="65"/>
      <c r="Q644" s="65"/>
      <c r="R644" s="65"/>
      <c r="S644" s="65"/>
      <c r="T644" s="65"/>
      <c r="U644" s="65"/>
      <c r="V644" s="65"/>
      <c r="W644" s="65"/>
      <c r="X644" s="65"/>
      <c r="Y644" s="65"/>
      <c r="Z644" s="65"/>
    </row>
    <row r="645" customFormat="false" ht="15.75" hidden="false" customHeight="true" outlineLevel="0" collapsed="false">
      <c r="A645" s="65"/>
      <c r="B645" s="65"/>
      <c r="C645" s="65"/>
      <c r="D645" s="65"/>
      <c r="E645" s="65"/>
      <c r="F645" s="65"/>
      <c r="G645" s="65"/>
      <c r="H645" s="65"/>
      <c r="I645" s="65"/>
      <c r="J645" s="65"/>
      <c r="K645" s="65"/>
      <c r="L645" s="65"/>
      <c r="M645" s="65"/>
      <c r="N645" s="65"/>
      <c r="O645" s="65"/>
      <c r="P645" s="65"/>
      <c r="Q645" s="65"/>
      <c r="R645" s="65"/>
      <c r="S645" s="65"/>
      <c r="T645" s="65"/>
      <c r="U645" s="65"/>
      <c r="V645" s="65"/>
      <c r="W645" s="65"/>
      <c r="X645" s="65"/>
      <c r="Y645" s="65"/>
      <c r="Z645" s="65"/>
    </row>
    <row r="646" customFormat="false" ht="15.75" hidden="false" customHeight="true" outlineLevel="0" collapsed="false">
      <c r="A646" s="65"/>
      <c r="B646" s="65"/>
      <c r="C646" s="65"/>
      <c r="D646" s="65"/>
      <c r="E646" s="65"/>
      <c r="F646" s="65"/>
      <c r="G646" s="65"/>
      <c r="H646" s="65"/>
      <c r="I646" s="65"/>
      <c r="J646" s="65"/>
      <c r="K646" s="65"/>
      <c r="L646" s="65"/>
      <c r="M646" s="65"/>
      <c r="N646" s="65"/>
      <c r="O646" s="65"/>
      <c r="P646" s="65"/>
      <c r="Q646" s="65"/>
      <c r="R646" s="65"/>
      <c r="S646" s="65"/>
      <c r="T646" s="65"/>
      <c r="U646" s="65"/>
      <c r="V646" s="65"/>
      <c r="W646" s="65"/>
      <c r="X646" s="65"/>
      <c r="Y646" s="65"/>
      <c r="Z646" s="65"/>
    </row>
    <row r="647" customFormat="false" ht="15.75" hidden="false" customHeight="true" outlineLevel="0" collapsed="false">
      <c r="A647" s="65"/>
      <c r="B647" s="65"/>
      <c r="C647" s="65"/>
      <c r="D647" s="65"/>
      <c r="E647" s="65"/>
      <c r="F647" s="65"/>
      <c r="G647" s="65"/>
      <c r="H647" s="65"/>
      <c r="I647" s="65"/>
      <c r="J647" s="65"/>
      <c r="K647" s="65"/>
      <c r="L647" s="65"/>
      <c r="M647" s="65"/>
      <c r="N647" s="65"/>
      <c r="O647" s="65"/>
      <c r="P647" s="65"/>
      <c r="Q647" s="65"/>
      <c r="R647" s="65"/>
      <c r="S647" s="65"/>
      <c r="T647" s="65"/>
      <c r="U647" s="65"/>
      <c r="V647" s="65"/>
      <c r="W647" s="65"/>
      <c r="X647" s="65"/>
      <c r="Y647" s="65"/>
      <c r="Z647" s="65"/>
    </row>
    <row r="648" customFormat="false" ht="15.75" hidden="false" customHeight="true" outlineLevel="0" collapsed="false">
      <c r="A648" s="65"/>
      <c r="B648" s="65"/>
      <c r="C648" s="65"/>
      <c r="D648" s="65"/>
      <c r="E648" s="65"/>
      <c r="F648" s="65"/>
      <c r="G648" s="65"/>
      <c r="H648" s="65"/>
      <c r="I648" s="65"/>
      <c r="J648" s="65"/>
      <c r="K648" s="65"/>
      <c r="L648" s="65"/>
      <c r="M648" s="65"/>
      <c r="N648" s="65"/>
      <c r="O648" s="65"/>
      <c r="P648" s="65"/>
      <c r="Q648" s="65"/>
      <c r="R648" s="65"/>
      <c r="S648" s="65"/>
      <c r="T648" s="65"/>
      <c r="U648" s="65"/>
      <c r="V648" s="65"/>
      <c r="W648" s="65"/>
      <c r="X648" s="65"/>
      <c r="Y648" s="65"/>
      <c r="Z648" s="65"/>
    </row>
    <row r="649" customFormat="false" ht="15.75" hidden="false" customHeight="true" outlineLevel="0" collapsed="false">
      <c r="A649" s="65"/>
      <c r="B649" s="65"/>
      <c r="C649" s="65"/>
      <c r="D649" s="65"/>
      <c r="E649" s="65"/>
      <c r="F649" s="65"/>
      <c r="G649" s="65"/>
      <c r="H649" s="65"/>
      <c r="I649" s="65"/>
      <c r="J649" s="65"/>
      <c r="K649" s="65"/>
      <c r="L649" s="65"/>
      <c r="M649" s="65"/>
      <c r="N649" s="65"/>
      <c r="O649" s="65"/>
      <c r="P649" s="65"/>
      <c r="Q649" s="65"/>
      <c r="R649" s="65"/>
      <c r="S649" s="65"/>
      <c r="T649" s="65"/>
      <c r="U649" s="65"/>
      <c r="V649" s="65"/>
      <c r="W649" s="65"/>
      <c r="X649" s="65"/>
      <c r="Y649" s="65"/>
      <c r="Z649" s="65"/>
    </row>
    <row r="650" customFormat="false" ht="15.75" hidden="false" customHeight="true" outlineLevel="0" collapsed="false">
      <c r="A650" s="65"/>
      <c r="B650" s="65"/>
      <c r="C650" s="65"/>
      <c r="D650" s="65"/>
      <c r="E650" s="65"/>
      <c r="F650" s="65"/>
      <c r="G650" s="65"/>
      <c r="H650" s="65"/>
      <c r="I650" s="65"/>
      <c r="J650" s="65"/>
      <c r="K650" s="65"/>
      <c r="L650" s="65"/>
      <c r="M650" s="65"/>
      <c r="N650" s="65"/>
      <c r="O650" s="65"/>
      <c r="P650" s="65"/>
      <c r="Q650" s="65"/>
      <c r="R650" s="65"/>
      <c r="S650" s="65"/>
      <c r="T650" s="65"/>
      <c r="U650" s="65"/>
      <c r="V650" s="65"/>
      <c r="W650" s="65"/>
      <c r="X650" s="65"/>
      <c r="Y650" s="65"/>
      <c r="Z650" s="65"/>
    </row>
    <row r="651" customFormat="false" ht="15.75" hidden="false" customHeight="true" outlineLevel="0" collapsed="false">
      <c r="A651" s="65"/>
      <c r="B651" s="65"/>
      <c r="C651" s="65"/>
      <c r="D651" s="65"/>
      <c r="E651" s="65"/>
      <c r="F651" s="65"/>
      <c r="G651" s="65"/>
      <c r="H651" s="65"/>
      <c r="I651" s="65"/>
      <c r="J651" s="65"/>
      <c r="K651" s="65"/>
      <c r="L651" s="65"/>
      <c r="M651" s="65"/>
      <c r="N651" s="65"/>
      <c r="O651" s="65"/>
      <c r="P651" s="65"/>
      <c r="Q651" s="65"/>
      <c r="R651" s="65"/>
      <c r="S651" s="65"/>
      <c r="T651" s="65"/>
      <c r="U651" s="65"/>
      <c r="V651" s="65"/>
      <c r="W651" s="65"/>
      <c r="X651" s="65"/>
      <c r="Y651" s="65"/>
      <c r="Z651" s="65"/>
    </row>
    <row r="652" customFormat="false" ht="15.75" hidden="false" customHeight="true" outlineLevel="0" collapsed="false">
      <c r="A652" s="65"/>
      <c r="B652" s="65"/>
      <c r="C652" s="65"/>
      <c r="D652" s="65"/>
      <c r="E652" s="65"/>
      <c r="F652" s="65"/>
      <c r="G652" s="65"/>
      <c r="H652" s="65"/>
      <c r="I652" s="65"/>
      <c r="J652" s="65"/>
      <c r="K652" s="65"/>
      <c r="L652" s="65"/>
      <c r="M652" s="65"/>
      <c r="N652" s="65"/>
      <c r="O652" s="65"/>
      <c r="P652" s="65"/>
      <c r="Q652" s="65"/>
      <c r="R652" s="65"/>
      <c r="S652" s="65"/>
      <c r="T652" s="65"/>
      <c r="U652" s="65"/>
      <c r="V652" s="65"/>
      <c r="W652" s="65"/>
      <c r="X652" s="65"/>
      <c r="Y652" s="65"/>
      <c r="Z652" s="65"/>
    </row>
    <row r="653" customFormat="false" ht="15.75" hidden="false" customHeight="true" outlineLevel="0" collapsed="false">
      <c r="A653" s="65"/>
      <c r="B653" s="65"/>
      <c r="C653" s="65"/>
      <c r="D653" s="65"/>
      <c r="E653" s="65"/>
      <c r="F653" s="65"/>
      <c r="G653" s="65"/>
      <c r="H653" s="65"/>
      <c r="I653" s="65"/>
      <c r="J653" s="65"/>
      <c r="K653" s="65"/>
      <c r="L653" s="65"/>
      <c r="M653" s="65"/>
      <c r="N653" s="65"/>
      <c r="O653" s="65"/>
      <c r="P653" s="65"/>
      <c r="Q653" s="65"/>
      <c r="R653" s="65"/>
      <c r="S653" s="65"/>
      <c r="T653" s="65"/>
      <c r="U653" s="65"/>
      <c r="V653" s="65"/>
      <c r="W653" s="65"/>
      <c r="X653" s="65"/>
      <c r="Y653" s="65"/>
      <c r="Z653" s="65"/>
    </row>
    <row r="654" customFormat="false" ht="15.75" hidden="false" customHeight="true" outlineLevel="0" collapsed="false">
      <c r="A654" s="65"/>
      <c r="B654" s="65"/>
      <c r="C654" s="65"/>
      <c r="D654" s="65"/>
      <c r="E654" s="65"/>
      <c r="F654" s="65"/>
      <c r="G654" s="65"/>
      <c r="H654" s="65"/>
      <c r="I654" s="65"/>
      <c r="J654" s="65"/>
      <c r="K654" s="65"/>
      <c r="L654" s="65"/>
      <c r="M654" s="65"/>
      <c r="N654" s="65"/>
      <c r="O654" s="65"/>
      <c r="P654" s="65"/>
      <c r="Q654" s="65"/>
      <c r="R654" s="65"/>
      <c r="S654" s="65"/>
      <c r="T654" s="65"/>
      <c r="U654" s="65"/>
      <c r="V654" s="65"/>
      <c r="W654" s="65"/>
      <c r="X654" s="65"/>
      <c r="Y654" s="65"/>
      <c r="Z654" s="65"/>
    </row>
    <row r="655" customFormat="false" ht="15.75" hidden="false" customHeight="true" outlineLevel="0" collapsed="false">
      <c r="A655" s="65"/>
      <c r="B655" s="65"/>
      <c r="C655" s="65"/>
      <c r="D655" s="65"/>
      <c r="E655" s="65"/>
      <c r="F655" s="65"/>
      <c r="G655" s="65"/>
      <c r="H655" s="65"/>
      <c r="I655" s="65"/>
      <c r="J655" s="65"/>
      <c r="K655" s="65"/>
      <c r="L655" s="65"/>
      <c r="M655" s="65"/>
      <c r="N655" s="65"/>
      <c r="O655" s="65"/>
      <c r="P655" s="65"/>
      <c r="Q655" s="65"/>
      <c r="R655" s="65"/>
      <c r="S655" s="65"/>
      <c r="T655" s="65"/>
      <c r="U655" s="65"/>
      <c r="V655" s="65"/>
      <c r="W655" s="65"/>
      <c r="X655" s="65"/>
      <c r="Y655" s="65"/>
      <c r="Z655" s="65"/>
    </row>
    <row r="656" customFormat="false" ht="15.75" hidden="false" customHeight="true" outlineLevel="0" collapsed="false">
      <c r="A656" s="65"/>
      <c r="B656" s="65"/>
      <c r="C656" s="65"/>
      <c r="D656" s="65"/>
      <c r="E656" s="65"/>
      <c r="F656" s="65"/>
      <c r="G656" s="65"/>
      <c r="H656" s="65"/>
      <c r="I656" s="65"/>
      <c r="J656" s="65"/>
      <c r="K656" s="65"/>
      <c r="L656" s="65"/>
      <c r="M656" s="65"/>
      <c r="N656" s="65"/>
      <c r="O656" s="65"/>
      <c r="P656" s="65"/>
      <c r="Q656" s="65"/>
      <c r="R656" s="65"/>
      <c r="S656" s="65"/>
      <c r="T656" s="65"/>
      <c r="U656" s="65"/>
      <c r="V656" s="65"/>
      <c r="W656" s="65"/>
      <c r="X656" s="65"/>
      <c r="Y656" s="65"/>
      <c r="Z656" s="65"/>
    </row>
    <row r="657" customFormat="false" ht="15.75" hidden="false" customHeight="true" outlineLevel="0" collapsed="false">
      <c r="A657" s="65"/>
      <c r="B657" s="65"/>
      <c r="C657" s="65"/>
      <c r="D657" s="65"/>
      <c r="E657" s="65"/>
      <c r="F657" s="65"/>
      <c r="G657" s="65"/>
      <c r="H657" s="65"/>
      <c r="I657" s="65"/>
      <c r="J657" s="65"/>
      <c r="K657" s="65"/>
      <c r="L657" s="65"/>
      <c r="M657" s="65"/>
      <c r="N657" s="65"/>
      <c r="O657" s="65"/>
      <c r="P657" s="65"/>
      <c r="Q657" s="65"/>
      <c r="R657" s="65"/>
      <c r="S657" s="65"/>
      <c r="T657" s="65"/>
      <c r="U657" s="65"/>
      <c r="V657" s="65"/>
      <c r="W657" s="65"/>
      <c r="X657" s="65"/>
      <c r="Y657" s="65"/>
      <c r="Z657" s="65"/>
    </row>
    <row r="658" customFormat="false" ht="15.75" hidden="false" customHeight="true" outlineLevel="0" collapsed="false">
      <c r="A658" s="65"/>
      <c r="B658" s="65"/>
      <c r="C658" s="65"/>
      <c r="D658" s="65"/>
      <c r="E658" s="65"/>
      <c r="F658" s="65"/>
      <c r="G658" s="65"/>
      <c r="H658" s="65"/>
      <c r="I658" s="65"/>
      <c r="J658" s="65"/>
      <c r="K658" s="65"/>
      <c r="L658" s="65"/>
      <c r="M658" s="65"/>
      <c r="N658" s="65"/>
      <c r="O658" s="65"/>
      <c r="P658" s="65"/>
      <c r="Q658" s="65"/>
      <c r="R658" s="65"/>
      <c r="S658" s="65"/>
      <c r="T658" s="65"/>
      <c r="U658" s="65"/>
      <c r="V658" s="65"/>
      <c r="W658" s="65"/>
      <c r="X658" s="65"/>
      <c r="Y658" s="65"/>
      <c r="Z658" s="65"/>
    </row>
    <row r="659" customFormat="false" ht="15.75" hidden="false" customHeight="true" outlineLevel="0" collapsed="false">
      <c r="A659" s="65"/>
      <c r="B659" s="65"/>
      <c r="C659" s="65"/>
      <c r="D659" s="65"/>
      <c r="E659" s="65"/>
      <c r="F659" s="65"/>
      <c r="G659" s="65"/>
      <c r="H659" s="65"/>
      <c r="I659" s="65"/>
      <c r="J659" s="65"/>
      <c r="K659" s="65"/>
      <c r="L659" s="65"/>
      <c r="M659" s="65"/>
      <c r="N659" s="65"/>
      <c r="O659" s="65"/>
      <c r="P659" s="65"/>
      <c r="Q659" s="65"/>
      <c r="R659" s="65"/>
      <c r="S659" s="65"/>
      <c r="T659" s="65"/>
      <c r="U659" s="65"/>
      <c r="V659" s="65"/>
      <c r="W659" s="65"/>
      <c r="X659" s="65"/>
      <c r="Y659" s="65"/>
      <c r="Z659" s="65"/>
    </row>
    <row r="660" customFormat="false" ht="15.75" hidden="false" customHeight="true" outlineLevel="0" collapsed="false">
      <c r="A660" s="65"/>
      <c r="B660" s="65"/>
      <c r="C660" s="65"/>
      <c r="D660" s="65"/>
      <c r="E660" s="65"/>
      <c r="F660" s="65"/>
      <c r="G660" s="65"/>
      <c r="H660" s="65"/>
      <c r="I660" s="65"/>
      <c r="J660" s="65"/>
      <c r="K660" s="65"/>
      <c r="L660" s="65"/>
      <c r="M660" s="65"/>
      <c r="N660" s="65"/>
      <c r="O660" s="65"/>
      <c r="P660" s="65"/>
      <c r="Q660" s="65"/>
      <c r="R660" s="65"/>
      <c r="S660" s="65"/>
      <c r="T660" s="65"/>
      <c r="U660" s="65"/>
      <c r="V660" s="65"/>
      <c r="W660" s="65"/>
      <c r="X660" s="65"/>
      <c r="Y660" s="65"/>
      <c r="Z660" s="65"/>
    </row>
    <row r="661" customFormat="false" ht="15.75" hidden="false" customHeight="true" outlineLevel="0" collapsed="false">
      <c r="A661" s="65"/>
      <c r="B661" s="65"/>
      <c r="C661" s="65"/>
      <c r="D661" s="65"/>
      <c r="E661" s="65"/>
      <c r="F661" s="65"/>
      <c r="G661" s="65"/>
      <c r="H661" s="65"/>
      <c r="I661" s="65"/>
      <c r="J661" s="65"/>
      <c r="K661" s="65"/>
      <c r="L661" s="65"/>
      <c r="M661" s="65"/>
      <c r="N661" s="65"/>
      <c r="O661" s="65"/>
      <c r="P661" s="65"/>
      <c r="Q661" s="65"/>
      <c r="R661" s="65"/>
      <c r="S661" s="65"/>
      <c r="T661" s="65"/>
      <c r="U661" s="65"/>
      <c r="V661" s="65"/>
      <c r="W661" s="65"/>
      <c r="X661" s="65"/>
      <c r="Y661" s="65"/>
      <c r="Z661" s="65"/>
    </row>
    <row r="662" customFormat="false" ht="15.75" hidden="false" customHeight="true" outlineLevel="0" collapsed="false">
      <c r="A662" s="65"/>
      <c r="B662" s="65"/>
      <c r="C662" s="65"/>
      <c r="D662" s="65"/>
      <c r="E662" s="65"/>
      <c r="F662" s="65"/>
      <c r="G662" s="65"/>
      <c r="H662" s="65"/>
      <c r="I662" s="65"/>
      <c r="J662" s="65"/>
      <c r="K662" s="65"/>
      <c r="L662" s="65"/>
      <c r="M662" s="65"/>
      <c r="N662" s="65"/>
      <c r="O662" s="65"/>
      <c r="P662" s="65"/>
      <c r="Q662" s="65"/>
      <c r="R662" s="65"/>
      <c r="S662" s="65"/>
      <c r="T662" s="65"/>
      <c r="U662" s="65"/>
      <c r="V662" s="65"/>
      <c r="W662" s="65"/>
      <c r="X662" s="65"/>
      <c r="Y662" s="65"/>
      <c r="Z662" s="65"/>
    </row>
    <row r="663" customFormat="false" ht="15.75" hidden="false" customHeight="true" outlineLevel="0" collapsed="false">
      <c r="A663" s="65"/>
      <c r="B663" s="65"/>
      <c r="C663" s="65"/>
      <c r="D663" s="65"/>
      <c r="E663" s="65"/>
      <c r="F663" s="65"/>
      <c r="G663" s="65"/>
      <c r="H663" s="65"/>
      <c r="I663" s="65"/>
      <c r="J663" s="65"/>
      <c r="K663" s="65"/>
      <c r="L663" s="65"/>
      <c r="M663" s="65"/>
      <c r="N663" s="65"/>
      <c r="O663" s="65"/>
      <c r="P663" s="65"/>
      <c r="Q663" s="65"/>
      <c r="R663" s="65"/>
      <c r="S663" s="65"/>
      <c r="T663" s="65"/>
      <c r="U663" s="65"/>
      <c r="V663" s="65"/>
      <c r="W663" s="65"/>
      <c r="X663" s="65"/>
      <c r="Y663" s="65"/>
      <c r="Z663" s="65"/>
    </row>
    <row r="664" customFormat="false" ht="15.75" hidden="false" customHeight="true" outlineLevel="0" collapsed="false">
      <c r="A664" s="65"/>
      <c r="B664" s="65"/>
      <c r="C664" s="65"/>
      <c r="D664" s="65"/>
      <c r="E664" s="65"/>
      <c r="F664" s="65"/>
      <c r="G664" s="65"/>
      <c r="H664" s="65"/>
      <c r="I664" s="65"/>
      <c r="J664" s="65"/>
      <c r="K664" s="65"/>
      <c r="L664" s="65"/>
      <c r="M664" s="65"/>
      <c r="N664" s="65"/>
      <c r="O664" s="65"/>
      <c r="P664" s="65"/>
      <c r="Q664" s="65"/>
      <c r="R664" s="65"/>
      <c r="S664" s="65"/>
      <c r="T664" s="65"/>
      <c r="U664" s="65"/>
      <c r="V664" s="65"/>
      <c r="W664" s="65"/>
      <c r="X664" s="65"/>
      <c r="Y664" s="65"/>
      <c r="Z664" s="65"/>
    </row>
    <row r="665" customFormat="false" ht="15.75" hidden="false" customHeight="true" outlineLevel="0" collapsed="false">
      <c r="A665" s="65"/>
      <c r="B665" s="65"/>
      <c r="C665" s="65"/>
      <c r="D665" s="65"/>
      <c r="E665" s="65"/>
      <c r="F665" s="65"/>
      <c r="G665" s="65"/>
      <c r="H665" s="65"/>
      <c r="I665" s="65"/>
      <c r="J665" s="65"/>
      <c r="K665" s="65"/>
      <c r="L665" s="65"/>
      <c r="M665" s="65"/>
      <c r="N665" s="65"/>
      <c r="O665" s="65"/>
      <c r="P665" s="65"/>
      <c r="Q665" s="65"/>
      <c r="R665" s="65"/>
      <c r="S665" s="65"/>
      <c r="T665" s="65"/>
      <c r="U665" s="65"/>
      <c r="V665" s="65"/>
      <c r="W665" s="65"/>
      <c r="X665" s="65"/>
      <c r="Y665" s="65"/>
      <c r="Z665" s="65"/>
    </row>
    <row r="666" customFormat="false" ht="15.75" hidden="false" customHeight="true" outlineLevel="0" collapsed="false">
      <c r="A666" s="65"/>
      <c r="B666" s="65"/>
      <c r="C666" s="65"/>
      <c r="D666" s="65"/>
      <c r="E666" s="65"/>
      <c r="F666" s="65"/>
      <c r="G666" s="65"/>
      <c r="H666" s="65"/>
      <c r="I666" s="65"/>
      <c r="J666" s="65"/>
      <c r="K666" s="65"/>
      <c r="L666" s="65"/>
      <c r="M666" s="65"/>
      <c r="N666" s="65"/>
      <c r="O666" s="65"/>
      <c r="P666" s="65"/>
      <c r="Q666" s="65"/>
      <c r="R666" s="65"/>
      <c r="S666" s="65"/>
      <c r="T666" s="65"/>
      <c r="U666" s="65"/>
      <c r="V666" s="65"/>
      <c r="W666" s="65"/>
      <c r="X666" s="65"/>
      <c r="Y666" s="65"/>
      <c r="Z666" s="65"/>
    </row>
    <row r="667" customFormat="false" ht="15.75" hidden="false" customHeight="true" outlineLevel="0" collapsed="false">
      <c r="A667" s="65"/>
      <c r="B667" s="65"/>
      <c r="C667" s="65"/>
      <c r="D667" s="65"/>
      <c r="E667" s="65"/>
      <c r="F667" s="65"/>
      <c r="G667" s="65"/>
      <c r="H667" s="65"/>
      <c r="I667" s="65"/>
      <c r="J667" s="65"/>
      <c r="K667" s="65"/>
      <c r="L667" s="65"/>
      <c r="M667" s="65"/>
      <c r="N667" s="65"/>
      <c r="O667" s="65"/>
      <c r="P667" s="65"/>
      <c r="Q667" s="65"/>
      <c r="R667" s="65"/>
      <c r="S667" s="65"/>
      <c r="T667" s="65"/>
      <c r="U667" s="65"/>
      <c r="V667" s="65"/>
      <c r="W667" s="65"/>
      <c r="X667" s="65"/>
      <c r="Y667" s="65"/>
      <c r="Z667" s="65"/>
    </row>
    <row r="668" customFormat="false" ht="15.75" hidden="false" customHeight="true" outlineLevel="0" collapsed="false">
      <c r="A668" s="65"/>
      <c r="B668" s="65"/>
      <c r="C668" s="65"/>
      <c r="D668" s="65"/>
      <c r="E668" s="65"/>
      <c r="F668" s="65"/>
      <c r="G668" s="65"/>
      <c r="H668" s="65"/>
      <c r="I668" s="65"/>
      <c r="J668" s="65"/>
      <c r="K668" s="65"/>
      <c r="L668" s="65"/>
      <c r="M668" s="65"/>
      <c r="N668" s="65"/>
      <c r="O668" s="65"/>
      <c r="P668" s="65"/>
      <c r="Q668" s="65"/>
      <c r="R668" s="65"/>
      <c r="S668" s="65"/>
      <c r="T668" s="65"/>
      <c r="U668" s="65"/>
      <c r="V668" s="65"/>
      <c r="W668" s="65"/>
      <c r="X668" s="65"/>
      <c r="Y668" s="65"/>
      <c r="Z668" s="65"/>
    </row>
    <row r="669" customFormat="false" ht="15.75" hidden="false" customHeight="true" outlineLevel="0" collapsed="false">
      <c r="A669" s="65"/>
      <c r="B669" s="65"/>
      <c r="C669" s="65"/>
      <c r="D669" s="65"/>
      <c r="E669" s="65"/>
      <c r="F669" s="65"/>
      <c r="G669" s="65"/>
      <c r="H669" s="65"/>
      <c r="I669" s="65"/>
      <c r="J669" s="65"/>
      <c r="K669" s="65"/>
      <c r="L669" s="65"/>
      <c r="M669" s="65"/>
      <c r="N669" s="65"/>
      <c r="O669" s="65"/>
      <c r="P669" s="65"/>
      <c r="Q669" s="65"/>
      <c r="R669" s="65"/>
      <c r="S669" s="65"/>
      <c r="T669" s="65"/>
      <c r="U669" s="65"/>
      <c r="V669" s="65"/>
      <c r="W669" s="65"/>
      <c r="X669" s="65"/>
      <c r="Y669" s="65"/>
      <c r="Z669" s="65"/>
    </row>
    <row r="670" customFormat="false" ht="15.75" hidden="false" customHeight="true" outlineLevel="0" collapsed="false">
      <c r="A670" s="65"/>
      <c r="B670" s="65"/>
      <c r="C670" s="65"/>
      <c r="D670" s="65"/>
      <c r="E670" s="65"/>
      <c r="F670" s="65"/>
      <c r="G670" s="65"/>
      <c r="H670" s="65"/>
      <c r="I670" s="65"/>
      <c r="J670" s="65"/>
      <c r="K670" s="65"/>
      <c r="L670" s="65"/>
      <c r="M670" s="65"/>
      <c r="N670" s="65"/>
      <c r="O670" s="65"/>
      <c r="P670" s="65"/>
      <c r="Q670" s="65"/>
      <c r="R670" s="65"/>
      <c r="S670" s="65"/>
      <c r="T670" s="65"/>
      <c r="U670" s="65"/>
      <c r="V670" s="65"/>
      <c r="W670" s="65"/>
      <c r="X670" s="65"/>
      <c r="Y670" s="65"/>
      <c r="Z670" s="65"/>
    </row>
    <row r="671" customFormat="false" ht="15.75" hidden="false" customHeight="true" outlineLevel="0" collapsed="false">
      <c r="A671" s="65"/>
      <c r="B671" s="65"/>
      <c r="C671" s="65"/>
      <c r="D671" s="65"/>
      <c r="E671" s="65"/>
      <c r="F671" s="65"/>
      <c r="G671" s="65"/>
      <c r="H671" s="65"/>
      <c r="I671" s="65"/>
      <c r="J671" s="65"/>
      <c r="K671" s="65"/>
      <c r="L671" s="65"/>
      <c r="M671" s="65"/>
      <c r="N671" s="65"/>
      <c r="O671" s="65"/>
      <c r="P671" s="65"/>
      <c r="Q671" s="65"/>
      <c r="R671" s="65"/>
      <c r="S671" s="65"/>
      <c r="T671" s="65"/>
      <c r="U671" s="65"/>
      <c r="V671" s="65"/>
      <c r="W671" s="65"/>
      <c r="X671" s="65"/>
      <c r="Y671" s="65"/>
      <c r="Z671" s="65"/>
    </row>
    <row r="672" customFormat="false" ht="15.75" hidden="false" customHeight="true" outlineLevel="0" collapsed="false">
      <c r="A672" s="65"/>
      <c r="B672" s="65"/>
      <c r="C672" s="65"/>
      <c r="D672" s="65"/>
      <c r="E672" s="65"/>
      <c r="F672" s="65"/>
      <c r="G672" s="65"/>
      <c r="H672" s="65"/>
      <c r="I672" s="65"/>
      <c r="J672" s="65"/>
      <c r="K672" s="65"/>
      <c r="L672" s="65"/>
      <c r="M672" s="65"/>
      <c r="N672" s="65"/>
      <c r="O672" s="65"/>
      <c r="P672" s="65"/>
      <c r="Q672" s="65"/>
      <c r="R672" s="65"/>
      <c r="S672" s="65"/>
      <c r="T672" s="65"/>
      <c r="U672" s="65"/>
      <c r="V672" s="65"/>
      <c r="W672" s="65"/>
      <c r="X672" s="65"/>
      <c r="Y672" s="65"/>
      <c r="Z672" s="65"/>
    </row>
    <row r="673" customFormat="false" ht="15.75" hidden="false" customHeight="true" outlineLevel="0" collapsed="false">
      <c r="A673" s="65"/>
      <c r="B673" s="65"/>
      <c r="C673" s="65"/>
      <c r="D673" s="65"/>
      <c r="E673" s="65"/>
      <c r="F673" s="65"/>
      <c r="G673" s="65"/>
      <c r="H673" s="65"/>
      <c r="I673" s="65"/>
      <c r="J673" s="65"/>
      <c r="K673" s="65"/>
      <c r="L673" s="65"/>
      <c r="M673" s="65"/>
      <c r="N673" s="65"/>
      <c r="O673" s="65"/>
      <c r="P673" s="65"/>
      <c r="Q673" s="65"/>
      <c r="R673" s="65"/>
      <c r="S673" s="65"/>
      <c r="T673" s="65"/>
      <c r="U673" s="65"/>
      <c r="V673" s="65"/>
      <c r="W673" s="65"/>
      <c r="X673" s="65"/>
      <c r="Y673" s="65"/>
      <c r="Z673" s="65"/>
    </row>
    <row r="674" customFormat="false" ht="15.75" hidden="false" customHeight="true" outlineLevel="0" collapsed="false">
      <c r="A674" s="65"/>
      <c r="B674" s="65"/>
      <c r="C674" s="65"/>
      <c r="D674" s="65"/>
      <c r="E674" s="65"/>
      <c r="F674" s="65"/>
      <c r="G674" s="65"/>
      <c r="H674" s="65"/>
      <c r="I674" s="65"/>
      <c r="J674" s="65"/>
      <c r="K674" s="65"/>
      <c r="L674" s="65"/>
      <c r="M674" s="65"/>
      <c r="N674" s="65"/>
      <c r="O674" s="65"/>
      <c r="P674" s="65"/>
      <c r="Q674" s="65"/>
      <c r="R674" s="65"/>
      <c r="S674" s="65"/>
      <c r="T674" s="65"/>
      <c r="U674" s="65"/>
      <c r="V674" s="65"/>
      <c r="W674" s="65"/>
      <c r="X674" s="65"/>
      <c r="Y674" s="65"/>
      <c r="Z674" s="65"/>
    </row>
    <row r="675" customFormat="false" ht="15.75" hidden="false" customHeight="true" outlineLevel="0" collapsed="false">
      <c r="A675" s="65"/>
      <c r="B675" s="65"/>
      <c r="C675" s="65"/>
      <c r="D675" s="65"/>
      <c r="E675" s="65"/>
      <c r="F675" s="65"/>
      <c r="G675" s="65"/>
      <c r="H675" s="65"/>
      <c r="I675" s="65"/>
      <c r="J675" s="65"/>
      <c r="K675" s="65"/>
      <c r="L675" s="65"/>
      <c r="M675" s="65"/>
      <c r="N675" s="65"/>
      <c r="O675" s="65"/>
      <c r="P675" s="65"/>
      <c r="Q675" s="65"/>
      <c r="R675" s="65"/>
      <c r="S675" s="65"/>
      <c r="T675" s="65"/>
      <c r="U675" s="65"/>
      <c r="V675" s="65"/>
      <c r="W675" s="65"/>
      <c r="X675" s="65"/>
      <c r="Y675" s="65"/>
      <c r="Z675" s="65"/>
    </row>
    <row r="676" customFormat="false" ht="15.75" hidden="false" customHeight="true" outlineLevel="0" collapsed="false">
      <c r="A676" s="65"/>
      <c r="B676" s="65"/>
      <c r="C676" s="65"/>
      <c r="D676" s="65"/>
      <c r="E676" s="65"/>
      <c r="F676" s="65"/>
      <c r="G676" s="65"/>
      <c r="H676" s="65"/>
      <c r="I676" s="65"/>
      <c r="J676" s="65"/>
      <c r="K676" s="65"/>
      <c r="L676" s="65"/>
      <c r="M676" s="65"/>
      <c r="N676" s="65"/>
      <c r="O676" s="65"/>
      <c r="P676" s="65"/>
      <c r="Q676" s="65"/>
      <c r="R676" s="65"/>
      <c r="S676" s="65"/>
      <c r="T676" s="65"/>
      <c r="U676" s="65"/>
      <c r="V676" s="65"/>
      <c r="W676" s="65"/>
      <c r="X676" s="65"/>
      <c r="Y676" s="65"/>
      <c r="Z676" s="65"/>
    </row>
    <row r="677" customFormat="false" ht="15.75" hidden="false" customHeight="true" outlineLevel="0" collapsed="false">
      <c r="A677" s="65"/>
      <c r="B677" s="65"/>
      <c r="C677" s="65"/>
      <c r="D677" s="65"/>
      <c r="E677" s="65"/>
      <c r="F677" s="65"/>
      <c r="G677" s="65"/>
      <c r="H677" s="65"/>
      <c r="I677" s="65"/>
      <c r="J677" s="65"/>
      <c r="K677" s="65"/>
      <c r="L677" s="65"/>
      <c r="M677" s="65"/>
      <c r="N677" s="65"/>
      <c r="O677" s="65"/>
      <c r="P677" s="65"/>
      <c r="Q677" s="65"/>
      <c r="R677" s="65"/>
      <c r="S677" s="65"/>
      <c r="T677" s="65"/>
      <c r="U677" s="65"/>
      <c r="V677" s="65"/>
      <c r="W677" s="65"/>
      <c r="X677" s="65"/>
      <c r="Y677" s="65"/>
      <c r="Z677" s="65"/>
    </row>
    <row r="678" customFormat="false" ht="15.75" hidden="false" customHeight="true" outlineLevel="0" collapsed="false">
      <c r="A678" s="65"/>
      <c r="B678" s="65"/>
      <c r="C678" s="65"/>
      <c r="D678" s="65"/>
      <c r="E678" s="65"/>
      <c r="F678" s="65"/>
      <c r="G678" s="65"/>
      <c r="H678" s="65"/>
      <c r="I678" s="65"/>
      <c r="J678" s="65"/>
      <c r="K678" s="65"/>
      <c r="L678" s="65"/>
      <c r="M678" s="65"/>
      <c r="N678" s="65"/>
      <c r="O678" s="65"/>
      <c r="P678" s="65"/>
      <c r="Q678" s="65"/>
      <c r="R678" s="65"/>
      <c r="S678" s="65"/>
      <c r="T678" s="65"/>
      <c r="U678" s="65"/>
      <c r="V678" s="65"/>
      <c r="W678" s="65"/>
      <c r="X678" s="65"/>
      <c r="Y678" s="65"/>
      <c r="Z678" s="65"/>
    </row>
    <row r="679" customFormat="false" ht="15.75" hidden="false" customHeight="true" outlineLevel="0" collapsed="false">
      <c r="A679" s="65"/>
      <c r="B679" s="65"/>
      <c r="C679" s="65"/>
      <c r="D679" s="65"/>
      <c r="E679" s="65"/>
      <c r="F679" s="65"/>
      <c r="G679" s="65"/>
      <c r="H679" s="65"/>
      <c r="I679" s="65"/>
      <c r="J679" s="65"/>
      <c r="K679" s="65"/>
      <c r="L679" s="65"/>
      <c r="M679" s="65"/>
      <c r="N679" s="65"/>
      <c r="O679" s="65"/>
      <c r="P679" s="65"/>
      <c r="Q679" s="65"/>
      <c r="R679" s="65"/>
      <c r="S679" s="65"/>
      <c r="T679" s="65"/>
      <c r="U679" s="65"/>
      <c r="V679" s="65"/>
      <c r="W679" s="65"/>
      <c r="X679" s="65"/>
      <c r="Y679" s="65"/>
      <c r="Z679" s="65"/>
    </row>
    <row r="680" customFormat="false" ht="15.75" hidden="false" customHeight="true" outlineLevel="0" collapsed="false">
      <c r="A680" s="65"/>
      <c r="B680" s="65"/>
      <c r="C680" s="65"/>
      <c r="D680" s="65"/>
      <c r="E680" s="65"/>
      <c r="F680" s="65"/>
      <c r="G680" s="65"/>
      <c r="H680" s="65"/>
      <c r="I680" s="65"/>
      <c r="J680" s="65"/>
      <c r="K680" s="65"/>
      <c r="L680" s="65"/>
      <c r="M680" s="65"/>
      <c r="N680" s="65"/>
      <c r="O680" s="65"/>
      <c r="P680" s="65"/>
      <c r="Q680" s="65"/>
      <c r="R680" s="65"/>
      <c r="S680" s="65"/>
      <c r="T680" s="65"/>
      <c r="U680" s="65"/>
      <c r="V680" s="65"/>
      <c r="W680" s="65"/>
      <c r="X680" s="65"/>
      <c r="Y680" s="65"/>
      <c r="Z680" s="65"/>
    </row>
    <row r="681" customFormat="false" ht="15.75" hidden="false" customHeight="true" outlineLevel="0" collapsed="false">
      <c r="A681" s="65"/>
      <c r="B681" s="65"/>
      <c r="C681" s="65"/>
      <c r="D681" s="65"/>
      <c r="E681" s="65"/>
      <c r="F681" s="65"/>
      <c r="G681" s="65"/>
      <c r="H681" s="65"/>
      <c r="I681" s="65"/>
      <c r="J681" s="65"/>
      <c r="K681" s="65"/>
      <c r="L681" s="65"/>
      <c r="M681" s="65"/>
      <c r="N681" s="65"/>
      <c r="O681" s="65"/>
      <c r="P681" s="65"/>
      <c r="Q681" s="65"/>
      <c r="R681" s="65"/>
      <c r="S681" s="65"/>
      <c r="T681" s="65"/>
      <c r="U681" s="65"/>
      <c r="V681" s="65"/>
      <c r="W681" s="65"/>
      <c r="X681" s="65"/>
      <c r="Y681" s="65"/>
      <c r="Z681" s="65"/>
    </row>
    <row r="682" customFormat="false" ht="15.75" hidden="false" customHeight="true" outlineLevel="0" collapsed="false">
      <c r="A682" s="65"/>
      <c r="B682" s="65"/>
      <c r="C682" s="65"/>
      <c r="D682" s="65"/>
      <c r="E682" s="65"/>
      <c r="F682" s="65"/>
      <c r="G682" s="65"/>
      <c r="H682" s="65"/>
      <c r="I682" s="65"/>
      <c r="J682" s="65"/>
      <c r="K682" s="65"/>
      <c r="L682" s="65"/>
      <c r="M682" s="65"/>
      <c r="N682" s="65"/>
      <c r="O682" s="65"/>
      <c r="P682" s="65"/>
      <c r="Q682" s="65"/>
      <c r="R682" s="65"/>
      <c r="S682" s="65"/>
      <c r="T682" s="65"/>
      <c r="U682" s="65"/>
      <c r="V682" s="65"/>
      <c r="W682" s="65"/>
      <c r="X682" s="65"/>
      <c r="Y682" s="65"/>
      <c r="Z682" s="65"/>
    </row>
    <row r="683" customFormat="false" ht="15.75" hidden="false" customHeight="true" outlineLevel="0" collapsed="false">
      <c r="A683" s="65"/>
      <c r="B683" s="65"/>
      <c r="C683" s="65"/>
      <c r="D683" s="65"/>
      <c r="E683" s="65"/>
      <c r="F683" s="65"/>
      <c r="G683" s="65"/>
      <c r="H683" s="65"/>
      <c r="I683" s="65"/>
      <c r="J683" s="65"/>
      <c r="K683" s="65"/>
      <c r="L683" s="65"/>
      <c r="M683" s="65"/>
      <c r="N683" s="65"/>
      <c r="O683" s="65"/>
      <c r="P683" s="65"/>
      <c r="Q683" s="65"/>
      <c r="R683" s="65"/>
      <c r="S683" s="65"/>
      <c r="T683" s="65"/>
      <c r="U683" s="65"/>
      <c r="V683" s="65"/>
      <c r="W683" s="65"/>
      <c r="X683" s="65"/>
      <c r="Y683" s="65"/>
      <c r="Z683" s="65"/>
    </row>
    <row r="684" customFormat="false" ht="15.75" hidden="false" customHeight="true" outlineLevel="0" collapsed="false">
      <c r="A684" s="65"/>
      <c r="B684" s="65"/>
      <c r="C684" s="65"/>
      <c r="D684" s="65"/>
      <c r="E684" s="65"/>
      <c r="F684" s="65"/>
      <c r="G684" s="65"/>
      <c r="H684" s="65"/>
      <c r="I684" s="65"/>
      <c r="J684" s="65"/>
      <c r="K684" s="65"/>
      <c r="L684" s="65"/>
      <c r="M684" s="65"/>
      <c r="N684" s="65"/>
      <c r="O684" s="65"/>
      <c r="P684" s="65"/>
      <c r="Q684" s="65"/>
      <c r="R684" s="65"/>
      <c r="S684" s="65"/>
      <c r="T684" s="65"/>
      <c r="U684" s="65"/>
      <c r="V684" s="65"/>
      <c r="W684" s="65"/>
      <c r="X684" s="65"/>
      <c r="Y684" s="65"/>
      <c r="Z684" s="65"/>
    </row>
    <row r="685" customFormat="false" ht="15.75" hidden="false" customHeight="true" outlineLevel="0" collapsed="false">
      <c r="A685" s="65"/>
      <c r="B685" s="65"/>
      <c r="C685" s="65"/>
      <c r="D685" s="65"/>
      <c r="E685" s="65"/>
      <c r="F685" s="65"/>
      <c r="G685" s="65"/>
      <c r="H685" s="65"/>
      <c r="I685" s="65"/>
      <c r="J685" s="65"/>
      <c r="K685" s="65"/>
      <c r="L685" s="65"/>
      <c r="M685" s="65"/>
      <c r="N685" s="65"/>
      <c r="O685" s="65"/>
      <c r="P685" s="65"/>
      <c r="Q685" s="65"/>
      <c r="R685" s="65"/>
      <c r="S685" s="65"/>
      <c r="T685" s="65"/>
      <c r="U685" s="65"/>
      <c r="V685" s="65"/>
      <c r="W685" s="65"/>
      <c r="X685" s="65"/>
      <c r="Y685" s="65"/>
      <c r="Z685" s="65"/>
    </row>
    <row r="686" customFormat="false" ht="15.75" hidden="false" customHeight="true" outlineLevel="0" collapsed="false">
      <c r="A686" s="65"/>
      <c r="B686" s="65"/>
      <c r="C686" s="65"/>
      <c r="D686" s="65"/>
      <c r="E686" s="65"/>
      <c r="F686" s="65"/>
      <c r="G686" s="65"/>
      <c r="H686" s="65"/>
      <c r="I686" s="65"/>
      <c r="J686" s="65"/>
      <c r="K686" s="65"/>
      <c r="L686" s="65"/>
      <c r="M686" s="65"/>
      <c r="N686" s="65"/>
      <c r="O686" s="65"/>
      <c r="P686" s="65"/>
      <c r="Q686" s="65"/>
      <c r="R686" s="65"/>
      <c r="S686" s="65"/>
      <c r="T686" s="65"/>
      <c r="U686" s="65"/>
      <c r="V686" s="65"/>
      <c r="W686" s="65"/>
      <c r="X686" s="65"/>
      <c r="Y686" s="65"/>
      <c r="Z686" s="65"/>
    </row>
    <row r="687" customFormat="false" ht="15.75" hidden="false" customHeight="true" outlineLevel="0" collapsed="false">
      <c r="A687" s="65"/>
      <c r="B687" s="65"/>
      <c r="C687" s="65"/>
      <c r="D687" s="65"/>
      <c r="E687" s="65"/>
      <c r="F687" s="65"/>
      <c r="G687" s="65"/>
      <c r="H687" s="65"/>
      <c r="I687" s="65"/>
      <c r="J687" s="65"/>
      <c r="K687" s="65"/>
      <c r="L687" s="65"/>
      <c r="M687" s="65"/>
      <c r="N687" s="65"/>
      <c r="O687" s="65"/>
      <c r="P687" s="65"/>
      <c r="Q687" s="65"/>
      <c r="R687" s="65"/>
      <c r="S687" s="65"/>
      <c r="T687" s="65"/>
      <c r="U687" s="65"/>
      <c r="V687" s="65"/>
      <c r="W687" s="65"/>
      <c r="X687" s="65"/>
      <c r="Y687" s="65"/>
      <c r="Z687" s="65"/>
    </row>
    <row r="688" customFormat="false" ht="15.75" hidden="false" customHeight="true" outlineLevel="0" collapsed="false">
      <c r="A688" s="65"/>
      <c r="B688" s="65"/>
      <c r="C688" s="65"/>
      <c r="D688" s="65"/>
      <c r="E688" s="65"/>
      <c r="F688" s="65"/>
      <c r="G688" s="65"/>
      <c r="H688" s="65"/>
      <c r="I688" s="65"/>
      <c r="J688" s="65"/>
      <c r="K688" s="65"/>
      <c r="L688" s="65"/>
      <c r="M688" s="65"/>
      <c r="N688" s="65"/>
      <c r="O688" s="65"/>
      <c r="P688" s="65"/>
      <c r="Q688" s="65"/>
      <c r="R688" s="65"/>
      <c r="S688" s="65"/>
      <c r="T688" s="65"/>
      <c r="U688" s="65"/>
      <c r="V688" s="65"/>
      <c r="W688" s="65"/>
      <c r="X688" s="65"/>
      <c r="Y688" s="65"/>
      <c r="Z688" s="65"/>
    </row>
    <row r="689" customFormat="false" ht="15.75" hidden="false" customHeight="true" outlineLevel="0" collapsed="false">
      <c r="A689" s="65"/>
      <c r="B689" s="65"/>
      <c r="C689" s="65"/>
      <c r="D689" s="65"/>
      <c r="E689" s="65"/>
      <c r="F689" s="65"/>
      <c r="G689" s="65"/>
      <c r="H689" s="65"/>
      <c r="I689" s="65"/>
      <c r="J689" s="65"/>
      <c r="K689" s="65"/>
      <c r="L689" s="65"/>
      <c r="M689" s="65"/>
      <c r="N689" s="65"/>
      <c r="O689" s="65"/>
      <c r="P689" s="65"/>
      <c r="Q689" s="65"/>
      <c r="R689" s="65"/>
      <c r="S689" s="65"/>
      <c r="T689" s="65"/>
      <c r="U689" s="65"/>
      <c r="V689" s="65"/>
      <c r="W689" s="65"/>
      <c r="X689" s="65"/>
      <c r="Y689" s="65"/>
      <c r="Z689" s="65"/>
    </row>
    <row r="690" customFormat="false" ht="15.75" hidden="false" customHeight="true" outlineLevel="0" collapsed="false">
      <c r="A690" s="65"/>
      <c r="B690" s="65"/>
      <c r="C690" s="65"/>
      <c r="D690" s="65"/>
      <c r="E690" s="65"/>
      <c r="F690" s="65"/>
      <c r="G690" s="65"/>
      <c r="H690" s="65"/>
      <c r="I690" s="65"/>
      <c r="J690" s="65"/>
      <c r="K690" s="65"/>
      <c r="L690" s="65"/>
      <c r="M690" s="65"/>
      <c r="N690" s="65"/>
      <c r="O690" s="65"/>
      <c r="P690" s="65"/>
      <c r="Q690" s="65"/>
      <c r="R690" s="65"/>
      <c r="S690" s="65"/>
      <c r="T690" s="65"/>
      <c r="U690" s="65"/>
      <c r="V690" s="65"/>
      <c r="W690" s="65"/>
      <c r="X690" s="65"/>
      <c r="Y690" s="65"/>
      <c r="Z690" s="65"/>
    </row>
    <row r="691" customFormat="false" ht="15.75" hidden="false" customHeight="true" outlineLevel="0" collapsed="false">
      <c r="A691" s="65"/>
      <c r="B691" s="65"/>
      <c r="C691" s="65"/>
      <c r="D691" s="65"/>
      <c r="E691" s="65"/>
      <c r="F691" s="65"/>
      <c r="G691" s="65"/>
      <c r="H691" s="65"/>
      <c r="I691" s="65"/>
      <c r="J691" s="65"/>
      <c r="K691" s="65"/>
      <c r="L691" s="65"/>
      <c r="M691" s="65"/>
      <c r="N691" s="65"/>
      <c r="O691" s="65"/>
      <c r="P691" s="65"/>
      <c r="Q691" s="65"/>
      <c r="R691" s="65"/>
      <c r="S691" s="65"/>
      <c r="T691" s="65"/>
      <c r="U691" s="65"/>
      <c r="V691" s="65"/>
      <c r="W691" s="65"/>
      <c r="X691" s="65"/>
      <c r="Y691" s="65"/>
      <c r="Z691" s="65"/>
    </row>
    <row r="692" customFormat="false" ht="15.75" hidden="false" customHeight="true" outlineLevel="0" collapsed="false">
      <c r="A692" s="65"/>
      <c r="B692" s="65"/>
      <c r="C692" s="65"/>
      <c r="D692" s="65"/>
      <c r="E692" s="65"/>
      <c r="F692" s="65"/>
      <c r="G692" s="65"/>
      <c r="H692" s="65"/>
      <c r="I692" s="65"/>
      <c r="J692" s="65"/>
      <c r="K692" s="65"/>
      <c r="L692" s="65"/>
      <c r="M692" s="65"/>
      <c r="N692" s="65"/>
      <c r="O692" s="65"/>
      <c r="P692" s="65"/>
      <c r="Q692" s="65"/>
      <c r="R692" s="65"/>
      <c r="S692" s="65"/>
      <c r="T692" s="65"/>
      <c r="U692" s="65"/>
      <c r="V692" s="65"/>
      <c r="W692" s="65"/>
      <c r="X692" s="65"/>
      <c r="Y692" s="65"/>
      <c r="Z692" s="65"/>
    </row>
    <row r="693" customFormat="false" ht="15.75" hidden="false" customHeight="true" outlineLevel="0" collapsed="false">
      <c r="A693" s="65"/>
      <c r="B693" s="65"/>
      <c r="C693" s="65"/>
      <c r="D693" s="65"/>
      <c r="E693" s="65"/>
      <c r="F693" s="65"/>
      <c r="G693" s="65"/>
      <c r="H693" s="65"/>
      <c r="I693" s="65"/>
      <c r="J693" s="65"/>
      <c r="K693" s="65"/>
      <c r="L693" s="65"/>
      <c r="M693" s="65"/>
      <c r="N693" s="65"/>
      <c r="O693" s="65"/>
      <c r="P693" s="65"/>
      <c r="Q693" s="65"/>
      <c r="R693" s="65"/>
      <c r="S693" s="65"/>
      <c r="T693" s="65"/>
      <c r="U693" s="65"/>
      <c r="V693" s="65"/>
      <c r="W693" s="65"/>
      <c r="X693" s="65"/>
      <c r="Y693" s="65"/>
      <c r="Z693" s="65"/>
    </row>
    <row r="694" customFormat="false" ht="15.75" hidden="false" customHeight="true" outlineLevel="0" collapsed="false">
      <c r="A694" s="65"/>
      <c r="B694" s="65"/>
      <c r="C694" s="65"/>
      <c r="D694" s="65"/>
      <c r="E694" s="65"/>
      <c r="F694" s="65"/>
      <c r="G694" s="65"/>
      <c r="H694" s="65"/>
      <c r="I694" s="65"/>
      <c r="J694" s="65"/>
      <c r="K694" s="65"/>
      <c r="L694" s="65"/>
      <c r="M694" s="65"/>
      <c r="N694" s="65"/>
      <c r="O694" s="65"/>
      <c r="P694" s="65"/>
      <c r="Q694" s="65"/>
      <c r="R694" s="65"/>
      <c r="S694" s="65"/>
      <c r="T694" s="65"/>
      <c r="U694" s="65"/>
      <c r="V694" s="65"/>
      <c r="W694" s="65"/>
      <c r="X694" s="65"/>
      <c r="Y694" s="65"/>
      <c r="Z694" s="65"/>
    </row>
    <row r="695" customFormat="false" ht="15.75" hidden="false" customHeight="true" outlineLevel="0" collapsed="false">
      <c r="A695" s="65"/>
      <c r="B695" s="65"/>
      <c r="C695" s="65"/>
      <c r="D695" s="65"/>
      <c r="E695" s="65"/>
      <c r="F695" s="65"/>
      <c r="G695" s="65"/>
      <c r="H695" s="65"/>
      <c r="I695" s="65"/>
      <c r="J695" s="65"/>
      <c r="K695" s="65"/>
      <c r="L695" s="65"/>
      <c r="M695" s="65"/>
      <c r="N695" s="65"/>
      <c r="O695" s="65"/>
      <c r="P695" s="65"/>
      <c r="Q695" s="65"/>
      <c r="R695" s="65"/>
      <c r="S695" s="65"/>
      <c r="T695" s="65"/>
      <c r="U695" s="65"/>
      <c r="V695" s="65"/>
      <c r="W695" s="65"/>
      <c r="X695" s="65"/>
      <c r="Y695" s="65"/>
      <c r="Z695" s="65"/>
    </row>
    <row r="696" customFormat="false" ht="15.75" hidden="false" customHeight="true" outlineLevel="0" collapsed="false">
      <c r="A696" s="65"/>
      <c r="B696" s="65"/>
      <c r="C696" s="65"/>
      <c r="D696" s="65"/>
      <c r="E696" s="65"/>
      <c r="F696" s="65"/>
      <c r="G696" s="65"/>
      <c r="H696" s="65"/>
      <c r="I696" s="65"/>
      <c r="J696" s="65"/>
      <c r="K696" s="65"/>
      <c r="L696" s="65"/>
      <c r="M696" s="65"/>
      <c r="N696" s="65"/>
      <c r="O696" s="65"/>
      <c r="P696" s="65"/>
      <c r="Q696" s="65"/>
      <c r="R696" s="65"/>
      <c r="S696" s="65"/>
      <c r="T696" s="65"/>
      <c r="U696" s="65"/>
      <c r="V696" s="65"/>
      <c r="W696" s="65"/>
      <c r="X696" s="65"/>
      <c r="Y696" s="65"/>
      <c r="Z696" s="65"/>
    </row>
    <row r="697" customFormat="false" ht="15.75" hidden="false" customHeight="true" outlineLevel="0" collapsed="false">
      <c r="A697" s="65"/>
      <c r="B697" s="65"/>
      <c r="C697" s="65"/>
      <c r="D697" s="65"/>
      <c r="E697" s="65"/>
      <c r="F697" s="65"/>
      <c r="G697" s="65"/>
      <c r="H697" s="65"/>
      <c r="I697" s="65"/>
      <c r="J697" s="65"/>
      <c r="K697" s="65"/>
      <c r="L697" s="65"/>
      <c r="M697" s="65"/>
      <c r="N697" s="65"/>
      <c r="O697" s="65"/>
      <c r="P697" s="65"/>
      <c r="Q697" s="65"/>
      <c r="R697" s="65"/>
      <c r="S697" s="65"/>
      <c r="T697" s="65"/>
      <c r="U697" s="65"/>
      <c r="V697" s="65"/>
      <c r="W697" s="65"/>
      <c r="X697" s="65"/>
      <c r="Y697" s="65"/>
      <c r="Z697" s="65"/>
    </row>
    <row r="698" customFormat="false" ht="15.75" hidden="false" customHeight="true" outlineLevel="0" collapsed="false">
      <c r="A698" s="65"/>
      <c r="B698" s="65"/>
      <c r="C698" s="65"/>
      <c r="D698" s="65"/>
      <c r="E698" s="65"/>
      <c r="F698" s="65"/>
      <c r="G698" s="65"/>
      <c r="H698" s="65"/>
      <c r="I698" s="65"/>
      <c r="J698" s="65"/>
      <c r="K698" s="65"/>
      <c r="L698" s="65"/>
      <c r="M698" s="65"/>
      <c r="N698" s="65"/>
      <c r="O698" s="65"/>
      <c r="P698" s="65"/>
      <c r="Q698" s="65"/>
      <c r="R698" s="65"/>
      <c r="S698" s="65"/>
      <c r="T698" s="65"/>
      <c r="U698" s="65"/>
      <c r="V698" s="65"/>
      <c r="W698" s="65"/>
      <c r="X698" s="65"/>
      <c r="Y698" s="65"/>
      <c r="Z698" s="65"/>
    </row>
    <row r="699" customFormat="false" ht="15.75" hidden="false" customHeight="true" outlineLevel="0" collapsed="false">
      <c r="A699" s="65"/>
      <c r="B699" s="65"/>
      <c r="C699" s="65"/>
      <c r="D699" s="65"/>
      <c r="E699" s="65"/>
      <c r="F699" s="65"/>
      <c r="G699" s="65"/>
      <c r="H699" s="65"/>
      <c r="I699" s="65"/>
      <c r="J699" s="65"/>
      <c r="K699" s="65"/>
      <c r="L699" s="65"/>
      <c r="M699" s="65"/>
      <c r="N699" s="65"/>
      <c r="O699" s="65"/>
      <c r="P699" s="65"/>
      <c r="Q699" s="65"/>
      <c r="R699" s="65"/>
      <c r="S699" s="65"/>
      <c r="T699" s="65"/>
      <c r="U699" s="65"/>
      <c r="V699" s="65"/>
      <c r="W699" s="65"/>
      <c r="X699" s="65"/>
      <c r="Y699" s="65"/>
      <c r="Z699" s="65"/>
    </row>
    <row r="700" customFormat="false" ht="15.75" hidden="false" customHeight="true" outlineLevel="0" collapsed="false">
      <c r="A700" s="65"/>
      <c r="B700" s="65"/>
      <c r="C700" s="65"/>
      <c r="D700" s="65"/>
      <c r="E700" s="65"/>
      <c r="F700" s="65"/>
      <c r="G700" s="65"/>
      <c r="H700" s="65"/>
      <c r="I700" s="65"/>
      <c r="J700" s="65"/>
      <c r="K700" s="65"/>
      <c r="L700" s="65"/>
      <c r="M700" s="65"/>
      <c r="N700" s="65"/>
      <c r="O700" s="65"/>
      <c r="P700" s="65"/>
      <c r="Q700" s="65"/>
      <c r="R700" s="65"/>
      <c r="S700" s="65"/>
      <c r="T700" s="65"/>
      <c r="U700" s="65"/>
      <c r="V700" s="65"/>
      <c r="W700" s="65"/>
      <c r="X700" s="65"/>
      <c r="Y700" s="65"/>
      <c r="Z700" s="65"/>
    </row>
    <row r="701" customFormat="false" ht="15.75" hidden="false" customHeight="true" outlineLevel="0" collapsed="false">
      <c r="A701" s="65"/>
      <c r="B701" s="65"/>
      <c r="C701" s="65"/>
      <c r="D701" s="65"/>
      <c r="E701" s="65"/>
      <c r="F701" s="65"/>
      <c r="G701" s="65"/>
      <c r="H701" s="65"/>
      <c r="I701" s="65"/>
      <c r="J701" s="65"/>
      <c r="K701" s="65"/>
      <c r="L701" s="65"/>
      <c r="M701" s="65"/>
      <c r="N701" s="65"/>
      <c r="O701" s="65"/>
      <c r="P701" s="65"/>
      <c r="Q701" s="65"/>
      <c r="R701" s="65"/>
      <c r="S701" s="65"/>
      <c r="T701" s="65"/>
      <c r="U701" s="65"/>
      <c r="V701" s="65"/>
      <c r="W701" s="65"/>
      <c r="X701" s="65"/>
      <c r="Y701" s="65"/>
      <c r="Z701" s="65"/>
    </row>
    <row r="702" customFormat="false" ht="15.75" hidden="false" customHeight="true" outlineLevel="0" collapsed="false">
      <c r="A702" s="65"/>
      <c r="B702" s="65"/>
      <c r="C702" s="65"/>
      <c r="D702" s="65"/>
      <c r="E702" s="65"/>
      <c r="F702" s="65"/>
      <c r="G702" s="65"/>
      <c r="H702" s="65"/>
      <c r="I702" s="65"/>
      <c r="J702" s="65"/>
      <c r="K702" s="65"/>
      <c r="L702" s="65"/>
      <c r="M702" s="65"/>
      <c r="N702" s="65"/>
      <c r="O702" s="65"/>
      <c r="P702" s="65"/>
      <c r="Q702" s="65"/>
      <c r="R702" s="65"/>
      <c r="S702" s="65"/>
      <c r="T702" s="65"/>
      <c r="U702" s="65"/>
      <c r="V702" s="65"/>
      <c r="W702" s="65"/>
      <c r="X702" s="65"/>
      <c r="Y702" s="65"/>
      <c r="Z702" s="65"/>
    </row>
    <row r="703" customFormat="false" ht="15.75" hidden="false" customHeight="true" outlineLevel="0" collapsed="false">
      <c r="A703" s="65"/>
      <c r="B703" s="65"/>
      <c r="C703" s="65"/>
      <c r="D703" s="65"/>
      <c r="E703" s="65"/>
      <c r="F703" s="65"/>
      <c r="G703" s="65"/>
      <c r="H703" s="65"/>
      <c r="I703" s="65"/>
      <c r="J703" s="65"/>
      <c r="K703" s="65"/>
      <c r="L703" s="65"/>
      <c r="M703" s="65"/>
      <c r="N703" s="65"/>
      <c r="O703" s="65"/>
      <c r="P703" s="65"/>
      <c r="Q703" s="65"/>
      <c r="R703" s="65"/>
      <c r="S703" s="65"/>
      <c r="T703" s="65"/>
      <c r="U703" s="65"/>
      <c r="V703" s="65"/>
      <c r="W703" s="65"/>
      <c r="X703" s="65"/>
      <c r="Y703" s="65"/>
      <c r="Z703" s="65"/>
    </row>
    <row r="704" customFormat="false" ht="15.75" hidden="false" customHeight="true" outlineLevel="0" collapsed="false">
      <c r="A704" s="65"/>
      <c r="B704" s="65"/>
      <c r="C704" s="65"/>
      <c r="D704" s="65"/>
      <c r="E704" s="65"/>
      <c r="F704" s="65"/>
      <c r="G704" s="65"/>
      <c r="H704" s="65"/>
      <c r="I704" s="65"/>
      <c r="J704" s="65"/>
      <c r="K704" s="65"/>
      <c r="L704" s="65"/>
      <c r="M704" s="65"/>
      <c r="N704" s="65"/>
      <c r="O704" s="65"/>
      <c r="P704" s="65"/>
      <c r="Q704" s="65"/>
      <c r="R704" s="65"/>
      <c r="S704" s="65"/>
      <c r="T704" s="65"/>
      <c r="U704" s="65"/>
      <c r="V704" s="65"/>
      <c r="W704" s="65"/>
      <c r="X704" s="65"/>
      <c r="Y704" s="65"/>
      <c r="Z704" s="65"/>
    </row>
    <row r="705" customFormat="false" ht="15.75" hidden="false" customHeight="true" outlineLevel="0" collapsed="false">
      <c r="A705" s="65"/>
      <c r="B705" s="65"/>
      <c r="C705" s="65"/>
      <c r="D705" s="65"/>
      <c r="E705" s="65"/>
      <c r="F705" s="65"/>
      <c r="G705" s="65"/>
      <c r="H705" s="65"/>
      <c r="I705" s="65"/>
      <c r="J705" s="65"/>
      <c r="K705" s="65"/>
      <c r="L705" s="65"/>
      <c r="M705" s="65"/>
      <c r="N705" s="65"/>
      <c r="O705" s="65"/>
      <c r="P705" s="65"/>
      <c r="Q705" s="65"/>
      <c r="R705" s="65"/>
      <c r="S705" s="65"/>
      <c r="T705" s="65"/>
      <c r="U705" s="65"/>
      <c r="V705" s="65"/>
      <c r="W705" s="65"/>
      <c r="X705" s="65"/>
      <c r="Y705" s="65"/>
      <c r="Z705" s="65"/>
    </row>
    <row r="706" customFormat="false" ht="15.75" hidden="false" customHeight="true" outlineLevel="0" collapsed="false">
      <c r="A706" s="65"/>
      <c r="B706" s="65"/>
      <c r="C706" s="65"/>
      <c r="D706" s="65"/>
      <c r="E706" s="65"/>
      <c r="F706" s="65"/>
      <c r="G706" s="65"/>
      <c r="H706" s="65"/>
      <c r="I706" s="65"/>
      <c r="J706" s="65"/>
      <c r="K706" s="65"/>
      <c r="L706" s="65"/>
      <c r="M706" s="65"/>
      <c r="N706" s="65"/>
      <c r="O706" s="65"/>
      <c r="P706" s="65"/>
      <c r="Q706" s="65"/>
      <c r="R706" s="65"/>
      <c r="S706" s="65"/>
      <c r="T706" s="65"/>
      <c r="U706" s="65"/>
      <c r="V706" s="65"/>
      <c r="W706" s="65"/>
      <c r="X706" s="65"/>
      <c r="Y706" s="65"/>
      <c r="Z706" s="65"/>
    </row>
    <row r="707" customFormat="false" ht="15.75" hidden="false" customHeight="true" outlineLevel="0" collapsed="false">
      <c r="A707" s="65"/>
      <c r="B707" s="65"/>
      <c r="C707" s="65"/>
      <c r="D707" s="65"/>
      <c r="E707" s="65"/>
      <c r="F707" s="65"/>
      <c r="G707" s="65"/>
      <c r="H707" s="65"/>
      <c r="I707" s="65"/>
      <c r="J707" s="65"/>
      <c r="K707" s="65"/>
      <c r="L707" s="65"/>
      <c r="M707" s="65"/>
      <c r="N707" s="65"/>
      <c r="O707" s="65"/>
      <c r="P707" s="65"/>
      <c r="Q707" s="65"/>
      <c r="R707" s="65"/>
      <c r="S707" s="65"/>
      <c r="T707" s="65"/>
      <c r="U707" s="65"/>
      <c r="V707" s="65"/>
      <c r="W707" s="65"/>
      <c r="X707" s="65"/>
      <c r="Y707" s="65"/>
      <c r="Z707" s="65"/>
    </row>
    <row r="708" customFormat="false" ht="15.75" hidden="false" customHeight="true" outlineLevel="0" collapsed="false">
      <c r="A708" s="65"/>
      <c r="B708" s="65"/>
      <c r="C708" s="65"/>
      <c r="D708" s="65"/>
      <c r="E708" s="65"/>
      <c r="F708" s="65"/>
      <c r="G708" s="65"/>
      <c r="H708" s="65"/>
      <c r="I708" s="65"/>
      <c r="J708" s="65"/>
      <c r="K708" s="65"/>
      <c r="L708" s="65"/>
      <c r="M708" s="65"/>
      <c r="N708" s="65"/>
      <c r="O708" s="65"/>
      <c r="P708" s="65"/>
      <c r="Q708" s="65"/>
      <c r="R708" s="65"/>
      <c r="S708" s="65"/>
      <c r="T708" s="65"/>
      <c r="U708" s="65"/>
      <c r="V708" s="65"/>
      <c r="W708" s="65"/>
      <c r="X708" s="65"/>
      <c r="Y708" s="65"/>
      <c r="Z708" s="65"/>
    </row>
    <row r="709" customFormat="false" ht="15.75" hidden="false" customHeight="true" outlineLevel="0" collapsed="false">
      <c r="A709" s="65"/>
      <c r="B709" s="65"/>
      <c r="C709" s="65"/>
      <c r="D709" s="65"/>
      <c r="E709" s="65"/>
      <c r="F709" s="65"/>
      <c r="G709" s="65"/>
      <c r="H709" s="65"/>
      <c r="I709" s="65"/>
      <c r="J709" s="65"/>
      <c r="K709" s="65"/>
      <c r="L709" s="65"/>
      <c r="M709" s="65"/>
      <c r="N709" s="65"/>
      <c r="O709" s="65"/>
      <c r="P709" s="65"/>
      <c r="Q709" s="65"/>
      <c r="R709" s="65"/>
      <c r="S709" s="65"/>
      <c r="T709" s="65"/>
      <c r="U709" s="65"/>
      <c r="V709" s="65"/>
      <c r="W709" s="65"/>
      <c r="X709" s="65"/>
      <c r="Y709" s="65"/>
      <c r="Z709" s="65"/>
    </row>
    <row r="710" customFormat="false" ht="15.75" hidden="false" customHeight="true" outlineLevel="0" collapsed="false">
      <c r="A710" s="65"/>
      <c r="B710" s="65"/>
      <c r="C710" s="65"/>
      <c r="D710" s="65"/>
      <c r="E710" s="65"/>
      <c r="F710" s="65"/>
      <c r="G710" s="65"/>
      <c r="H710" s="65"/>
      <c r="I710" s="65"/>
      <c r="J710" s="65"/>
      <c r="K710" s="65"/>
      <c r="L710" s="65"/>
      <c r="M710" s="65"/>
      <c r="N710" s="65"/>
      <c r="O710" s="65"/>
      <c r="P710" s="65"/>
      <c r="Q710" s="65"/>
      <c r="R710" s="65"/>
      <c r="S710" s="65"/>
      <c r="T710" s="65"/>
      <c r="U710" s="65"/>
      <c r="V710" s="65"/>
      <c r="W710" s="65"/>
      <c r="X710" s="65"/>
      <c r="Y710" s="65"/>
      <c r="Z710" s="65"/>
    </row>
    <row r="711" customFormat="false" ht="15.75" hidden="false" customHeight="true" outlineLevel="0" collapsed="false">
      <c r="A711" s="65"/>
      <c r="B711" s="65"/>
      <c r="C711" s="65"/>
      <c r="D711" s="65"/>
      <c r="E711" s="65"/>
      <c r="F711" s="65"/>
      <c r="G711" s="65"/>
      <c r="H711" s="65"/>
      <c r="I711" s="65"/>
      <c r="J711" s="65"/>
      <c r="K711" s="65"/>
      <c r="L711" s="65"/>
      <c r="M711" s="65"/>
      <c r="N711" s="65"/>
      <c r="O711" s="65"/>
      <c r="P711" s="65"/>
      <c r="Q711" s="65"/>
      <c r="R711" s="65"/>
      <c r="S711" s="65"/>
      <c r="T711" s="65"/>
      <c r="U711" s="65"/>
      <c r="V711" s="65"/>
      <c r="W711" s="65"/>
      <c r="X711" s="65"/>
      <c r="Y711" s="65"/>
      <c r="Z711" s="65"/>
    </row>
    <row r="712" customFormat="false" ht="15.75" hidden="false" customHeight="true" outlineLevel="0" collapsed="false">
      <c r="A712" s="65"/>
      <c r="B712" s="65"/>
      <c r="C712" s="65"/>
      <c r="D712" s="65"/>
      <c r="E712" s="65"/>
      <c r="F712" s="65"/>
      <c r="G712" s="65"/>
      <c r="H712" s="65"/>
      <c r="I712" s="65"/>
      <c r="J712" s="65"/>
      <c r="K712" s="65"/>
      <c r="L712" s="65"/>
      <c r="M712" s="65"/>
      <c r="N712" s="65"/>
      <c r="O712" s="65"/>
      <c r="P712" s="65"/>
      <c r="Q712" s="65"/>
      <c r="R712" s="65"/>
      <c r="S712" s="65"/>
      <c r="T712" s="65"/>
      <c r="U712" s="65"/>
      <c r="V712" s="65"/>
      <c r="W712" s="65"/>
      <c r="X712" s="65"/>
      <c r="Y712" s="65"/>
      <c r="Z712" s="65"/>
    </row>
    <row r="713" customFormat="false" ht="15.75" hidden="false" customHeight="true" outlineLevel="0" collapsed="false">
      <c r="A713" s="65"/>
      <c r="B713" s="65"/>
      <c r="C713" s="65"/>
      <c r="D713" s="65"/>
      <c r="E713" s="65"/>
      <c r="F713" s="65"/>
      <c r="G713" s="65"/>
      <c r="H713" s="65"/>
      <c r="I713" s="65"/>
      <c r="J713" s="65"/>
      <c r="K713" s="65"/>
      <c r="L713" s="65"/>
      <c r="M713" s="65"/>
      <c r="N713" s="65"/>
      <c r="O713" s="65"/>
      <c r="P713" s="65"/>
      <c r="Q713" s="65"/>
      <c r="R713" s="65"/>
      <c r="S713" s="65"/>
      <c r="T713" s="65"/>
      <c r="U713" s="65"/>
      <c r="V713" s="65"/>
      <c r="W713" s="65"/>
      <c r="X713" s="65"/>
      <c r="Y713" s="65"/>
      <c r="Z713" s="65"/>
    </row>
    <row r="714" customFormat="false" ht="15.75" hidden="false" customHeight="true" outlineLevel="0" collapsed="false">
      <c r="A714" s="65"/>
      <c r="B714" s="65"/>
      <c r="C714" s="65"/>
      <c r="D714" s="65"/>
      <c r="E714" s="65"/>
      <c r="F714" s="65"/>
      <c r="G714" s="65"/>
      <c r="H714" s="65"/>
      <c r="I714" s="65"/>
      <c r="J714" s="65"/>
      <c r="K714" s="65"/>
      <c r="L714" s="65"/>
      <c r="M714" s="65"/>
      <c r="N714" s="65"/>
      <c r="O714" s="65"/>
      <c r="P714" s="65"/>
      <c r="Q714" s="65"/>
      <c r="R714" s="65"/>
      <c r="S714" s="65"/>
      <c r="T714" s="65"/>
      <c r="U714" s="65"/>
      <c r="V714" s="65"/>
      <c r="W714" s="65"/>
      <c r="X714" s="65"/>
      <c r="Y714" s="65"/>
      <c r="Z714" s="65"/>
    </row>
    <row r="715" customFormat="false" ht="15.75" hidden="false" customHeight="true" outlineLevel="0" collapsed="false">
      <c r="A715" s="65"/>
      <c r="B715" s="65"/>
      <c r="C715" s="65"/>
      <c r="D715" s="65"/>
      <c r="E715" s="65"/>
      <c r="F715" s="65"/>
      <c r="G715" s="65"/>
      <c r="H715" s="65"/>
      <c r="I715" s="65"/>
      <c r="J715" s="65"/>
      <c r="K715" s="65"/>
      <c r="L715" s="65"/>
      <c r="M715" s="65"/>
      <c r="N715" s="65"/>
      <c r="O715" s="65"/>
      <c r="P715" s="65"/>
      <c r="Q715" s="65"/>
      <c r="R715" s="65"/>
      <c r="S715" s="65"/>
      <c r="T715" s="65"/>
      <c r="U715" s="65"/>
      <c r="V715" s="65"/>
      <c r="W715" s="65"/>
      <c r="X715" s="65"/>
      <c r="Y715" s="65"/>
      <c r="Z715" s="65"/>
    </row>
    <row r="716" customFormat="false" ht="15.75" hidden="false" customHeight="true" outlineLevel="0" collapsed="false">
      <c r="A716" s="65"/>
      <c r="B716" s="65"/>
      <c r="C716" s="65"/>
      <c r="D716" s="65"/>
      <c r="E716" s="65"/>
      <c r="F716" s="65"/>
      <c r="G716" s="65"/>
      <c r="H716" s="65"/>
      <c r="I716" s="65"/>
      <c r="J716" s="65"/>
      <c r="K716" s="65"/>
      <c r="L716" s="65"/>
      <c r="M716" s="65"/>
      <c r="N716" s="65"/>
      <c r="O716" s="65"/>
      <c r="P716" s="65"/>
      <c r="Q716" s="65"/>
      <c r="R716" s="65"/>
      <c r="S716" s="65"/>
      <c r="T716" s="65"/>
      <c r="U716" s="65"/>
      <c r="V716" s="65"/>
      <c r="W716" s="65"/>
      <c r="X716" s="65"/>
      <c r="Y716" s="65"/>
      <c r="Z716" s="65"/>
    </row>
    <row r="717" customFormat="false" ht="15.75" hidden="false" customHeight="true" outlineLevel="0" collapsed="false">
      <c r="A717" s="65"/>
      <c r="B717" s="65"/>
      <c r="C717" s="65"/>
      <c r="D717" s="65"/>
      <c r="E717" s="65"/>
      <c r="F717" s="65"/>
      <c r="G717" s="65"/>
      <c r="H717" s="65"/>
      <c r="I717" s="65"/>
      <c r="J717" s="65"/>
      <c r="K717" s="65"/>
      <c r="L717" s="65"/>
      <c r="M717" s="65"/>
      <c r="N717" s="65"/>
      <c r="O717" s="65"/>
      <c r="P717" s="65"/>
      <c r="Q717" s="65"/>
      <c r="R717" s="65"/>
      <c r="S717" s="65"/>
      <c r="T717" s="65"/>
      <c r="U717" s="65"/>
      <c r="V717" s="65"/>
      <c r="W717" s="65"/>
      <c r="X717" s="65"/>
      <c r="Y717" s="65"/>
      <c r="Z717" s="65"/>
    </row>
    <row r="718" customFormat="false" ht="15.75" hidden="false" customHeight="true" outlineLevel="0" collapsed="false">
      <c r="A718" s="65"/>
      <c r="B718" s="65"/>
      <c r="C718" s="65"/>
      <c r="D718" s="65"/>
      <c r="E718" s="65"/>
      <c r="F718" s="65"/>
      <c r="G718" s="65"/>
      <c r="H718" s="65"/>
      <c r="I718" s="65"/>
      <c r="J718" s="65"/>
      <c r="K718" s="65"/>
      <c r="L718" s="65"/>
      <c r="M718" s="65"/>
      <c r="N718" s="65"/>
      <c r="O718" s="65"/>
      <c r="P718" s="65"/>
      <c r="Q718" s="65"/>
      <c r="R718" s="65"/>
      <c r="S718" s="65"/>
      <c r="T718" s="65"/>
      <c r="U718" s="65"/>
      <c r="V718" s="65"/>
      <c r="W718" s="65"/>
      <c r="X718" s="65"/>
      <c r="Y718" s="65"/>
      <c r="Z718" s="65"/>
    </row>
    <row r="719" customFormat="false" ht="15.75" hidden="false" customHeight="true" outlineLevel="0" collapsed="false">
      <c r="A719" s="65"/>
      <c r="B719" s="65"/>
      <c r="C719" s="65"/>
      <c r="D719" s="65"/>
      <c r="E719" s="65"/>
      <c r="F719" s="65"/>
      <c r="G719" s="65"/>
      <c r="H719" s="65"/>
      <c r="I719" s="65"/>
      <c r="J719" s="65"/>
      <c r="K719" s="65"/>
      <c r="L719" s="65"/>
      <c r="M719" s="65"/>
      <c r="N719" s="65"/>
      <c r="O719" s="65"/>
      <c r="P719" s="65"/>
      <c r="Q719" s="65"/>
      <c r="R719" s="65"/>
      <c r="S719" s="65"/>
      <c r="T719" s="65"/>
      <c r="U719" s="65"/>
      <c r="V719" s="65"/>
      <c r="W719" s="65"/>
      <c r="X719" s="65"/>
      <c r="Y719" s="65"/>
      <c r="Z719" s="65"/>
    </row>
    <row r="720" customFormat="false" ht="15.75" hidden="false" customHeight="true" outlineLevel="0" collapsed="false">
      <c r="A720" s="65"/>
      <c r="B720" s="65"/>
      <c r="C720" s="65"/>
      <c r="D720" s="65"/>
      <c r="E720" s="65"/>
      <c r="F720" s="65"/>
      <c r="G720" s="65"/>
      <c r="H720" s="65"/>
      <c r="I720" s="65"/>
      <c r="J720" s="65"/>
      <c r="K720" s="65"/>
      <c r="L720" s="65"/>
      <c r="M720" s="65"/>
      <c r="N720" s="65"/>
      <c r="O720" s="65"/>
      <c r="P720" s="65"/>
      <c r="Q720" s="65"/>
      <c r="R720" s="65"/>
      <c r="S720" s="65"/>
      <c r="T720" s="65"/>
      <c r="U720" s="65"/>
      <c r="V720" s="65"/>
      <c r="W720" s="65"/>
      <c r="X720" s="65"/>
      <c r="Y720" s="65"/>
      <c r="Z720" s="65"/>
    </row>
    <row r="721" customFormat="false" ht="15.75" hidden="false" customHeight="true" outlineLevel="0" collapsed="false">
      <c r="A721" s="65"/>
      <c r="B721" s="65"/>
      <c r="C721" s="65"/>
      <c r="D721" s="65"/>
      <c r="E721" s="65"/>
      <c r="F721" s="65"/>
      <c r="G721" s="65"/>
      <c r="H721" s="65"/>
      <c r="I721" s="65"/>
      <c r="J721" s="65"/>
      <c r="K721" s="65"/>
      <c r="L721" s="65"/>
      <c r="M721" s="65"/>
      <c r="N721" s="65"/>
      <c r="O721" s="65"/>
      <c r="P721" s="65"/>
      <c r="Q721" s="65"/>
      <c r="R721" s="65"/>
      <c r="S721" s="65"/>
      <c r="T721" s="65"/>
      <c r="U721" s="65"/>
      <c r="V721" s="65"/>
      <c r="W721" s="65"/>
      <c r="X721" s="65"/>
      <c r="Y721" s="65"/>
      <c r="Z721" s="65"/>
    </row>
    <row r="722" customFormat="false" ht="15.75" hidden="false" customHeight="true" outlineLevel="0" collapsed="false">
      <c r="A722" s="65"/>
      <c r="B722" s="65"/>
      <c r="C722" s="65"/>
      <c r="D722" s="65"/>
      <c r="E722" s="65"/>
      <c r="F722" s="65"/>
      <c r="G722" s="65"/>
      <c r="H722" s="65"/>
      <c r="I722" s="65"/>
      <c r="J722" s="65"/>
      <c r="K722" s="65"/>
      <c r="L722" s="65"/>
      <c r="M722" s="65"/>
      <c r="N722" s="65"/>
      <c r="O722" s="65"/>
      <c r="P722" s="65"/>
      <c r="Q722" s="65"/>
      <c r="R722" s="65"/>
      <c r="S722" s="65"/>
      <c r="T722" s="65"/>
      <c r="U722" s="65"/>
      <c r="V722" s="65"/>
      <c r="W722" s="65"/>
      <c r="X722" s="65"/>
      <c r="Y722" s="65"/>
      <c r="Z722" s="65"/>
    </row>
    <row r="723" customFormat="false" ht="15.75" hidden="false" customHeight="true" outlineLevel="0" collapsed="false">
      <c r="A723" s="65"/>
      <c r="B723" s="65"/>
      <c r="C723" s="65"/>
      <c r="D723" s="65"/>
      <c r="E723" s="65"/>
      <c r="F723" s="65"/>
      <c r="G723" s="65"/>
      <c r="H723" s="65"/>
      <c r="I723" s="65"/>
      <c r="J723" s="65"/>
      <c r="K723" s="65"/>
      <c r="L723" s="65"/>
      <c r="M723" s="65"/>
      <c r="N723" s="65"/>
      <c r="O723" s="65"/>
      <c r="P723" s="65"/>
      <c r="Q723" s="65"/>
      <c r="R723" s="65"/>
      <c r="S723" s="65"/>
      <c r="T723" s="65"/>
      <c r="U723" s="65"/>
      <c r="V723" s="65"/>
      <c r="W723" s="65"/>
      <c r="X723" s="65"/>
      <c r="Y723" s="65"/>
      <c r="Z723" s="65"/>
    </row>
    <row r="724" customFormat="false" ht="15.75" hidden="false" customHeight="true" outlineLevel="0" collapsed="false">
      <c r="A724" s="65"/>
      <c r="B724" s="65"/>
      <c r="C724" s="65"/>
      <c r="D724" s="65"/>
      <c r="E724" s="65"/>
      <c r="F724" s="65"/>
      <c r="G724" s="65"/>
      <c r="H724" s="65"/>
      <c r="I724" s="65"/>
      <c r="J724" s="65"/>
      <c r="K724" s="65"/>
      <c r="L724" s="65"/>
      <c r="M724" s="65"/>
      <c r="N724" s="65"/>
      <c r="O724" s="65"/>
      <c r="P724" s="65"/>
      <c r="Q724" s="65"/>
      <c r="R724" s="65"/>
      <c r="S724" s="65"/>
      <c r="T724" s="65"/>
      <c r="U724" s="65"/>
      <c r="V724" s="65"/>
      <c r="W724" s="65"/>
      <c r="X724" s="65"/>
      <c r="Y724" s="65"/>
      <c r="Z724" s="65"/>
    </row>
    <row r="725" customFormat="false" ht="15.75" hidden="false" customHeight="true" outlineLevel="0" collapsed="false">
      <c r="A725" s="65"/>
      <c r="B725" s="65"/>
      <c r="C725" s="65"/>
      <c r="D725" s="65"/>
      <c r="E725" s="65"/>
      <c r="F725" s="65"/>
      <c r="G725" s="65"/>
      <c r="H725" s="65"/>
      <c r="I725" s="65"/>
      <c r="J725" s="65"/>
      <c r="K725" s="65"/>
      <c r="L725" s="65"/>
      <c r="M725" s="65"/>
      <c r="N725" s="65"/>
      <c r="O725" s="65"/>
      <c r="P725" s="65"/>
      <c r="Q725" s="65"/>
      <c r="R725" s="65"/>
      <c r="S725" s="65"/>
      <c r="T725" s="65"/>
      <c r="U725" s="65"/>
      <c r="V725" s="65"/>
      <c r="W725" s="65"/>
      <c r="X725" s="65"/>
      <c r="Y725" s="65"/>
      <c r="Z725" s="65"/>
    </row>
    <row r="726" customFormat="false" ht="15.75" hidden="false" customHeight="true" outlineLevel="0" collapsed="false">
      <c r="A726" s="65"/>
      <c r="B726" s="65"/>
      <c r="C726" s="65"/>
      <c r="D726" s="65"/>
      <c r="E726" s="65"/>
      <c r="F726" s="65"/>
      <c r="G726" s="65"/>
      <c r="H726" s="65"/>
      <c r="I726" s="65"/>
      <c r="J726" s="65"/>
      <c r="K726" s="65"/>
      <c r="L726" s="65"/>
      <c r="M726" s="65"/>
      <c r="N726" s="65"/>
      <c r="O726" s="65"/>
      <c r="P726" s="65"/>
      <c r="Q726" s="65"/>
      <c r="R726" s="65"/>
      <c r="S726" s="65"/>
      <c r="T726" s="65"/>
      <c r="U726" s="65"/>
      <c r="V726" s="65"/>
      <c r="W726" s="65"/>
      <c r="X726" s="65"/>
      <c r="Y726" s="65"/>
      <c r="Z726" s="65"/>
    </row>
    <row r="727" customFormat="false" ht="15.75" hidden="false" customHeight="true" outlineLevel="0" collapsed="false">
      <c r="A727" s="65"/>
      <c r="B727" s="65"/>
      <c r="C727" s="65"/>
      <c r="D727" s="65"/>
      <c r="E727" s="65"/>
      <c r="F727" s="65"/>
      <c r="G727" s="65"/>
      <c r="H727" s="65"/>
      <c r="I727" s="65"/>
      <c r="J727" s="65"/>
      <c r="K727" s="65"/>
      <c r="L727" s="65"/>
      <c r="M727" s="65"/>
      <c r="N727" s="65"/>
      <c r="O727" s="65"/>
      <c r="P727" s="65"/>
      <c r="Q727" s="65"/>
      <c r="R727" s="65"/>
      <c r="S727" s="65"/>
      <c r="T727" s="65"/>
      <c r="U727" s="65"/>
      <c r="V727" s="65"/>
      <c r="W727" s="65"/>
      <c r="X727" s="65"/>
      <c r="Y727" s="65"/>
      <c r="Z727" s="65"/>
    </row>
    <row r="728" customFormat="false" ht="15.75" hidden="false" customHeight="true" outlineLevel="0" collapsed="false">
      <c r="A728" s="65"/>
      <c r="B728" s="65"/>
      <c r="C728" s="65"/>
      <c r="D728" s="65"/>
      <c r="E728" s="65"/>
      <c r="F728" s="65"/>
      <c r="G728" s="65"/>
      <c r="H728" s="65"/>
      <c r="I728" s="65"/>
      <c r="J728" s="65"/>
      <c r="K728" s="65"/>
      <c r="L728" s="65"/>
      <c r="M728" s="65"/>
      <c r="N728" s="65"/>
      <c r="O728" s="65"/>
      <c r="P728" s="65"/>
      <c r="Q728" s="65"/>
      <c r="R728" s="65"/>
      <c r="S728" s="65"/>
      <c r="T728" s="65"/>
      <c r="U728" s="65"/>
      <c r="V728" s="65"/>
      <c r="W728" s="65"/>
      <c r="X728" s="65"/>
      <c r="Y728" s="65"/>
      <c r="Z728" s="65"/>
    </row>
    <row r="729" customFormat="false" ht="15.75" hidden="false" customHeight="true" outlineLevel="0" collapsed="false">
      <c r="A729" s="65"/>
      <c r="B729" s="65"/>
      <c r="C729" s="65"/>
      <c r="D729" s="65"/>
      <c r="E729" s="65"/>
      <c r="F729" s="65"/>
      <c r="G729" s="65"/>
      <c r="H729" s="65"/>
      <c r="I729" s="65"/>
      <c r="J729" s="65"/>
      <c r="K729" s="65"/>
      <c r="L729" s="65"/>
      <c r="M729" s="65"/>
      <c r="N729" s="65"/>
      <c r="O729" s="65"/>
      <c r="P729" s="65"/>
      <c r="Q729" s="65"/>
      <c r="R729" s="65"/>
      <c r="S729" s="65"/>
      <c r="T729" s="65"/>
      <c r="U729" s="65"/>
      <c r="V729" s="65"/>
      <c r="W729" s="65"/>
      <c r="X729" s="65"/>
      <c r="Y729" s="65"/>
      <c r="Z729" s="65"/>
    </row>
    <row r="730" customFormat="false" ht="15.75" hidden="false" customHeight="true" outlineLevel="0" collapsed="false">
      <c r="A730" s="65"/>
      <c r="B730" s="65"/>
      <c r="C730" s="65"/>
      <c r="D730" s="65"/>
      <c r="E730" s="65"/>
      <c r="F730" s="65"/>
      <c r="G730" s="65"/>
      <c r="H730" s="65"/>
      <c r="I730" s="65"/>
      <c r="J730" s="65"/>
      <c r="K730" s="65"/>
      <c r="L730" s="65"/>
      <c r="M730" s="65"/>
      <c r="N730" s="65"/>
      <c r="O730" s="65"/>
      <c r="P730" s="65"/>
      <c r="Q730" s="65"/>
      <c r="R730" s="65"/>
      <c r="S730" s="65"/>
      <c r="T730" s="65"/>
      <c r="U730" s="65"/>
      <c r="V730" s="65"/>
      <c r="W730" s="65"/>
      <c r="X730" s="65"/>
      <c r="Y730" s="65"/>
      <c r="Z730" s="65"/>
    </row>
    <row r="731" customFormat="false" ht="15.75" hidden="false" customHeight="true" outlineLevel="0" collapsed="false">
      <c r="A731" s="65"/>
      <c r="B731" s="65"/>
      <c r="C731" s="65"/>
      <c r="D731" s="65"/>
      <c r="E731" s="65"/>
      <c r="F731" s="65"/>
      <c r="G731" s="65"/>
      <c r="H731" s="65"/>
      <c r="I731" s="65"/>
      <c r="J731" s="65"/>
      <c r="K731" s="65"/>
      <c r="L731" s="65"/>
      <c r="M731" s="65"/>
      <c r="N731" s="65"/>
      <c r="O731" s="65"/>
      <c r="P731" s="65"/>
      <c r="Q731" s="65"/>
      <c r="R731" s="65"/>
      <c r="S731" s="65"/>
      <c r="T731" s="65"/>
      <c r="U731" s="65"/>
      <c r="V731" s="65"/>
      <c r="W731" s="65"/>
      <c r="X731" s="65"/>
      <c r="Y731" s="65"/>
      <c r="Z731" s="65"/>
    </row>
    <row r="732" customFormat="false" ht="15.75" hidden="false" customHeight="true" outlineLevel="0" collapsed="false">
      <c r="A732" s="65"/>
      <c r="B732" s="65"/>
      <c r="C732" s="65"/>
      <c r="D732" s="65"/>
      <c r="E732" s="65"/>
      <c r="F732" s="65"/>
      <c r="G732" s="65"/>
      <c r="H732" s="65"/>
      <c r="I732" s="65"/>
      <c r="J732" s="65"/>
      <c r="K732" s="65"/>
      <c r="L732" s="65"/>
      <c r="M732" s="65"/>
      <c r="N732" s="65"/>
      <c r="O732" s="65"/>
      <c r="P732" s="65"/>
      <c r="Q732" s="65"/>
      <c r="R732" s="65"/>
      <c r="S732" s="65"/>
      <c r="T732" s="65"/>
      <c r="U732" s="65"/>
      <c r="V732" s="65"/>
      <c r="W732" s="65"/>
      <c r="X732" s="65"/>
      <c r="Y732" s="65"/>
      <c r="Z732" s="65"/>
    </row>
    <row r="733" customFormat="false" ht="15.75" hidden="false" customHeight="true" outlineLevel="0" collapsed="false">
      <c r="A733" s="65"/>
      <c r="B733" s="65"/>
      <c r="C733" s="65"/>
      <c r="D733" s="65"/>
      <c r="E733" s="65"/>
      <c r="F733" s="65"/>
      <c r="G733" s="65"/>
      <c r="H733" s="65"/>
      <c r="I733" s="65"/>
      <c r="J733" s="65"/>
      <c r="K733" s="65"/>
      <c r="L733" s="65"/>
      <c r="M733" s="65"/>
      <c r="N733" s="65"/>
      <c r="O733" s="65"/>
      <c r="P733" s="65"/>
      <c r="Q733" s="65"/>
      <c r="R733" s="65"/>
      <c r="S733" s="65"/>
      <c r="T733" s="65"/>
      <c r="U733" s="65"/>
      <c r="V733" s="65"/>
      <c r="W733" s="65"/>
      <c r="X733" s="65"/>
      <c r="Y733" s="65"/>
      <c r="Z733" s="65"/>
    </row>
    <row r="734" customFormat="false" ht="15.75" hidden="false" customHeight="true" outlineLevel="0" collapsed="false">
      <c r="A734" s="65"/>
      <c r="B734" s="65"/>
      <c r="C734" s="65"/>
      <c r="D734" s="65"/>
      <c r="E734" s="65"/>
      <c r="F734" s="65"/>
      <c r="G734" s="65"/>
      <c r="H734" s="65"/>
      <c r="I734" s="65"/>
      <c r="J734" s="65"/>
      <c r="K734" s="65"/>
      <c r="L734" s="65"/>
      <c r="M734" s="65"/>
      <c r="N734" s="65"/>
      <c r="O734" s="65"/>
      <c r="P734" s="65"/>
      <c r="Q734" s="65"/>
      <c r="R734" s="65"/>
      <c r="S734" s="65"/>
      <c r="T734" s="65"/>
      <c r="U734" s="65"/>
      <c r="V734" s="65"/>
      <c r="W734" s="65"/>
      <c r="X734" s="65"/>
      <c r="Y734" s="65"/>
      <c r="Z734" s="65"/>
    </row>
    <row r="735" customFormat="false" ht="15.75" hidden="false" customHeight="true" outlineLevel="0" collapsed="false">
      <c r="A735" s="65"/>
      <c r="B735" s="65"/>
      <c r="C735" s="65"/>
      <c r="D735" s="65"/>
      <c r="E735" s="65"/>
      <c r="F735" s="65"/>
      <c r="G735" s="65"/>
      <c r="H735" s="65"/>
      <c r="I735" s="65"/>
      <c r="J735" s="65"/>
      <c r="K735" s="65"/>
      <c r="L735" s="65"/>
      <c r="M735" s="65"/>
      <c r="N735" s="65"/>
      <c r="O735" s="65"/>
      <c r="P735" s="65"/>
      <c r="Q735" s="65"/>
      <c r="R735" s="65"/>
      <c r="S735" s="65"/>
      <c r="T735" s="65"/>
      <c r="U735" s="65"/>
      <c r="V735" s="65"/>
      <c r="W735" s="65"/>
      <c r="X735" s="65"/>
      <c r="Y735" s="65"/>
      <c r="Z735" s="65"/>
    </row>
    <row r="736" customFormat="false" ht="15.75" hidden="false" customHeight="true" outlineLevel="0" collapsed="false">
      <c r="A736" s="65"/>
      <c r="B736" s="65"/>
      <c r="C736" s="65"/>
      <c r="D736" s="65"/>
      <c r="E736" s="65"/>
      <c r="F736" s="65"/>
      <c r="G736" s="65"/>
      <c r="H736" s="65"/>
      <c r="I736" s="65"/>
      <c r="J736" s="65"/>
      <c r="K736" s="65"/>
      <c r="L736" s="65"/>
      <c r="M736" s="65"/>
      <c r="N736" s="65"/>
      <c r="O736" s="65"/>
      <c r="P736" s="65"/>
      <c r="Q736" s="65"/>
      <c r="R736" s="65"/>
      <c r="S736" s="65"/>
      <c r="T736" s="65"/>
      <c r="U736" s="65"/>
      <c r="V736" s="65"/>
      <c r="W736" s="65"/>
      <c r="X736" s="65"/>
      <c r="Y736" s="65"/>
      <c r="Z736" s="65"/>
    </row>
    <row r="737" customFormat="false" ht="15.75" hidden="false" customHeight="true" outlineLevel="0" collapsed="false">
      <c r="A737" s="65"/>
      <c r="B737" s="65"/>
      <c r="C737" s="65"/>
      <c r="D737" s="65"/>
      <c r="E737" s="65"/>
      <c r="F737" s="65"/>
      <c r="G737" s="65"/>
      <c r="H737" s="65"/>
      <c r="I737" s="65"/>
      <c r="J737" s="65"/>
      <c r="K737" s="65"/>
      <c r="L737" s="65"/>
      <c r="M737" s="65"/>
      <c r="N737" s="65"/>
      <c r="O737" s="65"/>
      <c r="P737" s="65"/>
      <c r="Q737" s="65"/>
      <c r="R737" s="65"/>
      <c r="S737" s="65"/>
      <c r="T737" s="65"/>
      <c r="U737" s="65"/>
      <c r="V737" s="65"/>
      <c r="W737" s="65"/>
      <c r="X737" s="65"/>
      <c r="Y737" s="65"/>
      <c r="Z737" s="65"/>
    </row>
    <row r="738" customFormat="false" ht="15.75" hidden="false" customHeight="true" outlineLevel="0" collapsed="false">
      <c r="A738" s="65"/>
      <c r="B738" s="65"/>
      <c r="C738" s="65"/>
      <c r="D738" s="65"/>
      <c r="E738" s="65"/>
      <c r="F738" s="65"/>
      <c r="G738" s="65"/>
      <c r="H738" s="65"/>
      <c r="I738" s="65"/>
      <c r="J738" s="65"/>
      <c r="K738" s="65"/>
      <c r="L738" s="65"/>
      <c r="M738" s="65"/>
      <c r="N738" s="65"/>
      <c r="O738" s="65"/>
      <c r="P738" s="65"/>
      <c r="Q738" s="65"/>
      <c r="R738" s="65"/>
      <c r="S738" s="65"/>
      <c r="T738" s="65"/>
      <c r="U738" s="65"/>
      <c r="V738" s="65"/>
      <c r="W738" s="65"/>
      <c r="X738" s="65"/>
      <c r="Y738" s="65"/>
      <c r="Z738" s="65"/>
    </row>
    <row r="739" customFormat="false" ht="15.75" hidden="false" customHeight="true" outlineLevel="0" collapsed="false">
      <c r="A739" s="65"/>
      <c r="B739" s="65"/>
      <c r="C739" s="65"/>
      <c r="D739" s="65"/>
      <c r="E739" s="65"/>
      <c r="F739" s="65"/>
      <c r="G739" s="65"/>
      <c r="H739" s="65"/>
      <c r="I739" s="65"/>
      <c r="J739" s="65"/>
      <c r="K739" s="65"/>
      <c r="L739" s="65"/>
      <c r="M739" s="65"/>
      <c r="N739" s="65"/>
      <c r="O739" s="65"/>
      <c r="P739" s="65"/>
      <c r="Q739" s="65"/>
      <c r="R739" s="65"/>
      <c r="S739" s="65"/>
      <c r="T739" s="65"/>
      <c r="U739" s="65"/>
      <c r="V739" s="65"/>
      <c r="W739" s="65"/>
      <c r="X739" s="65"/>
      <c r="Y739" s="65"/>
      <c r="Z739" s="65"/>
    </row>
    <row r="740" customFormat="false" ht="15.75" hidden="false" customHeight="true" outlineLevel="0" collapsed="false">
      <c r="A740" s="65"/>
      <c r="B740" s="65"/>
      <c r="C740" s="65"/>
      <c r="D740" s="65"/>
      <c r="E740" s="65"/>
      <c r="F740" s="65"/>
      <c r="G740" s="65"/>
      <c r="H740" s="65"/>
      <c r="I740" s="65"/>
      <c r="J740" s="65"/>
      <c r="K740" s="65"/>
      <c r="L740" s="65"/>
      <c r="M740" s="65"/>
      <c r="N740" s="65"/>
      <c r="O740" s="65"/>
      <c r="P740" s="65"/>
      <c r="Q740" s="65"/>
      <c r="R740" s="65"/>
      <c r="S740" s="65"/>
      <c r="T740" s="65"/>
      <c r="U740" s="65"/>
      <c r="V740" s="65"/>
      <c r="W740" s="65"/>
      <c r="X740" s="65"/>
      <c r="Y740" s="65"/>
      <c r="Z740" s="65"/>
    </row>
    <row r="741" customFormat="false" ht="15.75" hidden="false" customHeight="true" outlineLevel="0" collapsed="false">
      <c r="A741" s="65"/>
      <c r="B741" s="65"/>
      <c r="C741" s="65"/>
      <c r="D741" s="65"/>
      <c r="E741" s="65"/>
      <c r="F741" s="65"/>
      <c r="G741" s="65"/>
      <c r="H741" s="65"/>
      <c r="I741" s="65"/>
      <c r="J741" s="65"/>
      <c r="K741" s="65"/>
      <c r="L741" s="65"/>
      <c r="M741" s="65"/>
      <c r="N741" s="65"/>
      <c r="O741" s="65"/>
      <c r="P741" s="65"/>
      <c r="Q741" s="65"/>
      <c r="R741" s="65"/>
      <c r="S741" s="65"/>
      <c r="T741" s="65"/>
      <c r="U741" s="65"/>
      <c r="V741" s="65"/>
      <c r="W741" s="65"/>
      <c r="X741" s="65"/>
      <c r="Y741" s="65"/>
      <c r="Z741" s="65"/>
    </row>
    <row r="742" customFormat="false" ht="15.75" hidden="false" customHeight="true" outlineLevel="0" collapsed="false">
      <c r="A742" s="65"/>
      <c r="B742" s="65"/>
      <c r="C742" s="65"/>
      <c r="D742" s="65"/>
      <c r="E742" s="65"/>
      <c r="F742" s="65"/>
      <c r="G742" s="65"/>
      <c r="H742" s="65"/>
      <c r="I742" s="65"/>
      <c r="J742" s="65"/>
      <c r="K742" s="65"/>
      <c r="L742" s="65"/>
      <c r="M742" s="65"/>
      <c r="N742" s="65"/>
      <c r="O742" s="65"/>
      <c r="P742" s="65"/>
      <c r="Q742" s="65"/>
      <c r="R742" s="65"/>
      <c r="S742" s="65"/>
      <c r="T742" s="65"/>
      <c r="U742" s="65"/>
      <c r="V742" s="65"/>
      <c r="W742" s="65"/>
      <c r="X742" s="65"/>
      <c r="Y742" s="65"/>
      <c r="Z742" s="65"/>
    </row>
    <row r="743" customFormat="false" ht="15.75" hidden="false" customHeight="true" outlineLevel="0" collapsed="false">
      <c r="A743" s="65"/>
      <c r="B743" s="65"/>
      <c r="C743" s="65"/>
      <c r="D743" s="65"/>
      <c r="E743" s="65"/>
      <c r="F743" s="65"/>
      <c r="G743" s="65"/>
      <c r="H743" s="65"/>
      <c r="I743" s="65"/>
      <c r="J743" s="65"/>
      <c r="K743" s="65"/>
      <c r="L743" s="65"/>
      <c r="M743" s="65"/>
      <c r="N743" s="65"/>
      <c r="O743" s="65"/>
      <c r="P743" s="65"/>
      <c r="Q743" s="65"/>
      <c r="R743" s="65"/>
      <c r="S743" s="65"/>
      <c r="T743" s="65"/>
      <c r="U743" s="65"/>
      <c r="V743" s="65"/>
      <c r="W743" s="65"/>
      <c r="X743" s="65"/>
      <c r="Y743" s="65"/>
      <c r="Z743" s="65"/>
    </row>
    <row r="744" customFormat="false" ht="15.75" hidden="false" customHeight="true" outlineLevel="0" collapsed="false">
      <c r="A744" s="65"/>
      <c r="B744" s="65"/>
      <c r="C744" s="65"/>
      <c r="D744" s="65"/>
      <c r="E744" s="65"/>
      <c r="F744" s="65"/>
      <c r="G744" s="65"/>
      <c r="H744" s="65"/>
      <c r="I744" s="65"/>
      <c r="J744" s="65"/>
      <c r="K744" s="65"/>
      <c r="L744" s="65"/>
      <c r="M744" s="65"/>
      <c r="N744" s="65"/>
      <c r="O744" s="65"/>
      <c r="P744" s="65"/>
      <c r="Q744" s="65"/>
      <c r="R744" s="65"/>
      <c r="S744" s="65"/>
      <c r="T744" s="65"/>
      <c r="U744" s="65"/>
      <c r="V744" s="65"/>
      <c r="W744" s="65"/>
      <c r="X744" s="65"/>
      <c r="Y744" s="65"/>
      <c r="Z744" s="65"/>
    </row>
    <row r="745" customFormat="false" ht="15.75" hidden="false" customHeight="true" outlineLevel="0" collapsed="false">
      <c r="A745" s="65"/>
      <c r="B745" s="65"/>
      <c r="C745" s="65"/>
      <c r="D745" s="65"/>
      <c r="E745" s="65"/>
      <c r="F745" s="65"/>
      <c r="G745" s="65"/>
      <c r="H745" s="65"/>
      <c r="I745" s="65"/>
      <c r="J745" s="65"/>
      <c r="K745" s="65"/>
      <c r="L745" s="65"/>
      <c r="M745" s="65"/>
      <c r="N745" s="65"/>
      <c r="O745" s="65"/>
      <c r="P745" s="65"/>
      <c r="Q745" s="65"/>
      <c r="R745" s="65"/>
      <c r="S745" s="65"/>
      <c r="T745" s="65"/>
      <c r="U745" s="65"/>
      <c r="V745" s="65"/>
      <c r="W745" s="65"/>
      <c r="X745" s="65"/>
      <c r="Y745" s="65"/>
      <c r="Z745" s="65"/>
    </row>
    <row r="746" customFormat="false" ht="15.75" hidden="false" customHeight="true" outlineLevel="0" collapsed="false">
      <c r="A746" s="65"/>
      <c r="B746" s="65"/>
      <c r="C746" s="65"/>
      <c r="D746" s="65"/>
      <c r="E746" s="65"/>
      <c r="F746" s="65"/>
      <c r="G746" s="65"/>
      <c r="H746" s="65"/>
      <c r="I746" s="65"/>
      <c r="J746" s="65"/>
      <c r="K746" s="65"/>
      <c r="L746" s="65"/>
      <c r="M746" s="65"/>
      <c r="N746" s="65"/>
      <c r="O746" s="65"/>
      <c r="P746" s="65"/>
      <c r="Q746" s="65"/>
      <c r="R746" s="65"/>
      <c r="S746" s="65"/>
      <c r="T746" s="65"/>
      <c r="U746" s="65"/>
      <c r="V746" s="65"/>
      <c r="W746" s="65"/>
      <c r="X746" s="65"/>
      <c r="Y746" s="65"/>
      <c r="Z746" s="65"/>
    </row>
    <row r="747" customFormat="false" ht="15.75" hidden="false" customHeight="true" outlineLevel="0" collapsed="false">
      <c r="A747" s="65"/>
      <c r="B747" s="65"/>
      <c r="C747" s="65"/>
      <c r="D747" s="65"/>
      <c r="E747" s="65"/>
      <c r="F747" s="65"/>
      <c r="G747" s="65"/>
      <c r="H747" s="65"/>
      <c r="I747" s="65"/>
      <c r="J747" s="65"/>
      <c r="K747" s="65"/>
      <c r="L747" s="65"/>
      <c r="M747" s="65"/>
      <c r="N747" s="65"/>
      <c r="O747" s="65"/>
      <c r="P747" s="65"/>
      <c r="Q747" s="65"/>
      <c r="R747" s="65"/>
      <c r="S747" s="65"/>
      <c r="T747" s="65"/>
      <c r="U747" s="65"/>
      <c r="V747" s="65"/>
      <c r="W747" s="65"/>
      <c r="X747" s="65"/>
      <c r="Y747" s="65"/>
      <c r="Z747" s="65"/>
    </row>
    <row r="748" customFormat="false" ht="15.75" hidden="false" customHeight="true" outlineLevel="0" collapsed="false">
      <c r="A748" s="65"/>
      <c r="B748" s="65"/>
      <c r="C748" s="65"/>
      <c r="D748" s="65"/>
      <c r="E748" s="65"/>
      <c r="F748" s="65"/>
      <c r="G748" s="65"/>
      <c r="H748" s="65"/>
      <c r="I748" s="65"/>
      <c r="J748" s="65"/>
      <c r="K748" s="65"/>
      <c r="L748" s="65"/>
      <c r="M748" s="65"/>
      <c r="N748" s="65"/>
      <c r="O748" s="65"/>
      <c r="P748" s="65"/>
      <c r="Q748" s="65"/>
      <c r="R748" s="65"/>
      <c r="S748" s="65"/>
      <c r="T748" s="65"/>
      <c r="U748" s="65"/>
      <c r="V748" s="65"/>
      <c r="W748" s="65"/>
      <c r="X748" s="65"/>
      <c r="Y748" s="65"/>
      <c r="Z748" s="65"/>
    </row>
    <row r="749" customFormat="false" ht="15.75" hidden="false" customHeight="true" outlineLevel="0" collapsed="false">
      <c r="A749" s="65"/>
      <c r="B749" s="65"/>
      <c r="C749" s="65"/>
      <c r="D749" s="65"/>
      <c r="E749" s="65"/>
      <c r="F749" s="65"/>
      <c r="G749" s="65"/>
      <c r="H749" s="65"/>
      <c r="I749" s="65"/>
      <c r="J749" s="65"/>
      <c r="K749" s="65"/>
      <c r="L749" s="65"/>
      <c r="M749" s="65"/>
      <c r="N749" s="65"/>
      <c r="O749" s="65"/>
      <c r="P749" s="65"/>
      <c r="Q749" s="65"/>
      <c r="R749" s="65"/>
      <c r="S749" s="65"/>
      <c r="T749" s="65"/>
      <c r="U749" s="65"/>
      <c r="V749" s="65"/>
      <c r="W749" s="65"/>
      <c r="X749" s="65"/>
      <c r="Y749" s="65"/>
      <c r="Z749" s="65"/>
    </row>
    <row r="750" customFormat="false" ht="15.75" hidden="false" customHeight="true" outlineLevel="0" collapsed="false">
      <c r="A750" s="65"/>
      <c r="B750" s="65"/>
      <c r="C750" s="65"/>
      <c r="D750" s="65"/>
      <c r="E750" s="65"/>
      <c r="F750" s="65"/>
      <c r="G750" s="65"/>
      <c r="H750" s="65"/>
      <c r="I750" s="65"/>
      <c r="J750" s="65"/>
      <c r="K750" s="65"/>
      <c r="L750" s="65"/>
      <c r="M750" s="65"/>
      <c r="N750" s="65"/>
      <c r="O750" s="65"/>
      <c r="P750" s="65"/>
      <c r="Q750" s="65"/>
      <c r="R750" s="65"/>
      <c r="S750" s="65"/>
      <c r="T750" s="65"/>
      <c r="U750" s="65"/>
      <c r="V750" s="65"/>
      <c r="W750" s="65"/>
      <c r="X750" s="65"/>
      <c r="Y750" s="65"/>
      <c r="Z750" s="65"/>
    </row>
    <row r="751" customFormat="false" ht="15.75" hidden="false" customHeight="true" outlineLevel="0" collapsed="false">
      <c r="A751" s="65"/>
      <c r="B751" s="65"/>
      <c r="C751" s="65"/>
      <c r="D751" s="65"/>
      <c r="E751" s="65"/>
      <c r="F751" s="65"/>
      <c r="G751" s="65"/>
      <c r="H751" s="65"/>
      <c r="I751" s="65"/>
      <c r="J751" s="65"/>
      <c r="K751" s="65"/>
      <c r="L751" s="65"/>
      <c r="M751" s="65"/>
      <c r="N751" s="65"/>
      <c r="O751" s="65"/>
      <c r="P751" s="65"/>
      <c r="Q751" s="65"/>
      <c r="R751" s="65"/>
      <c r="S751" s="65"/>
      <c r="T751" s="65"/>
      <c r="U751" s="65"/>
      <c r="V751" s="65"/>
      <c r="W751" s="65"/>
      <c r="X751" s="65"/>
      <c r="Y751" s="65"/>
      <c r="Z751" s="65"/>
    </row>
    <row r="752" customFormat="false" ht="15.75" hidden="false" customHeight="true" outlineLevel="0" collapsed="false">
      <c r="A752" s="65"/>
      <c r="B752" s="65"/>
      <c r="C752" s="65"/>
      <c r="D752" s="65"/>
      <c r="E752" s="65"/>
      <c r="F752" s="65"/>
      <c r="G752" s="65"/>
      <c r="H752" s="65"/>
      <c r="I752" s="65"/>
      <c r="J752" s="65"/>
      <c r="K752" s="65"/>
      <c r="L752" s="65"/>
      <c r="M752" s="65"/>
      <c r="N752" s="65"/>
      <c r="O752" s="65"/>
      <c r="P752" s="65"/>
      <c r="Q752" s="65"/>
      <c r="R752" s="65"/>
      <c r="S752" s="65"/>
      <c r="T752" s="65"/>
      <c r="U752" s="65"/>
      <c r="V752" s="65"/>
      <c r="W752" s="65"/>
      <c r="X752" s="65"/>
      <c r="Y752" s="65"/>
      <c r="Z752" s="65"/>
    </row>
    <row r="753" customFormat="false" ht="15.75" hidden="false" customHeight="true" outlineLevel="0" collapsed="false">
      <c r="A753" s="65"/>
      <c r="B753" s="65"/>
      <c r="C753" s="65"/>
      <c r="D753" s="65"/>
      <c r="E753" s="65"/>
      <c r="F753" s="65"/>
      <c r="G753" s="65"/>
      <c r="H753" s="65"/>
      <c r="I753" s="65"/>
      <c r="J753" s="65"/>
      <c r="K753" s="65"/>
      <c r="L753" s="65"/>
      <c r="M753" s="65"/>
      <c r="N753" s="65"/>
      <c r="O753" s="65"/>
      <c r="P753" s="65"/>
      <c r="Q753" s="65"/>
      <c r="R753" s="65"/>
      <c r="S753" s="65"/>
      <c r="T753" s="65"/>
      <c r="U753" s="65"/>
      <c r="V753" s="65"/>
      <c r="W753" s="65"/>
      <c r="X753" s="65"/>
      <c r="Y753" s="65"/>
      <c r="Z753" s="65"/>
    </row>
    <row r="754" customFormat="false" ht="15.75" hidden="false" customHeight="true" outlineLevel="0" collapsed="false">
      <c r="A754" s="65"/>
      <c r="B754" s="65"/>
      <c r="C754" s="65"/>
      <c r="D754" s="65"/>
      <c r="E754" s="65"/>
      <c r="F754" s="65"/>
      <c r="G754" s="65"/>
      <c r="H754" s="65"/>
      <c r="I754" s="65"/>
      <c r="J754" s="65"/>
      <c r="K754" s="65"/>
      <c r="L754" s="65"/>
      <c r="M754" s="65"/>
      <c r="N754" s="65"/>
      <c r="O754" s="65"/>
      <c r="P754" s="65"/>
      <c r="Q754" s="65"/>
      <c r="R754" s="65"/>
      <c r="S754" s="65"/>
      <c r="T754" s="65"/>
      <c r="U754" s="65"/>
      <c r="V754" s="65"/>
      <c r="W754" s="65"/>
      <c r="X754" s="65"/>
      <c r="Y754" s="65"/>
      <c r="Z754" s="65"/>
    </row>
    <row r="755" customFormat="false" ht="15.75" hidden="false" customHeight="true" outlineLevel="0" collapsed="false">
      <c r="A755" s="65"/>
      <c r="B755" s="65"/>
      <c r="C755" s="65"/>
      <c r="D755" s="65"/>
      <c r="E755" s="65"/>
      <c r="F755" s="65"/>
      <c r="G755" s="65"/>
      <c r="H755" s="65"/>
      <c r="I755" s="65"/>
      <c r="J755" s="65"/>
      <c r="K755" s="65"/>
      <c r="L755" s="65"/>
      <c r="M755" s="65"/>
      <c r="N755" s="65"/>
      <c r="O755" s="65"/>
      <c r="P755" s="65"/>
      <c r="Q755" s="65"/>
      <c r="R755" s="65"/>
      <c r="S755" s="65"/>
      <c r="T755" s="65"/>
      <c r="U755" s="65"/>
      <c r="V755" s="65"/>
      <c r="W755" s="65"/>
      <c r="X755" s="65"/>
      <c r="Y755" s="65"/>
      <c r="Z755" s="65"/>
    </row>
    <row r="756" customFormat="false" ht="15.75" hidden="false" customHeight="true" outlineLevel="0" collapsed="false">
      <c r="A756" s="65"/>
      <c r="B756" s="65"/>
      <c r="C756" s="65"/>
      <c r="D756" s="65"/>
      <c r="E756" s="65"/>
      <c r="F756" s="65"/>
      <c r="G756" s="65"/>
      <c r="H756" s="65"/>
      <c r="I756" s="65"/>
      <c r="J756" s="65"/>
      <c r="K756" s="65"/>
      <c r="L756" s="65"/>
      <c r="M756" s="65"/>
      <c r="N756" s="65"/>
      <c r="O756" s="65"/>
      <c r="P756" s="65"/>
      <c r="Q756" s="65"/>
      <c r="R756" s="65"/>
      <c r="S756" s="65"/>
      <c r="T756" s="65"/>
      <c r="U756" s="65"/>
      <c r="V756" s="65"/>
      <c r="W756" s="65"/>
      <c r="X756" s="65"/>
      <c r="Y756" s="65"/>
      <c r="Z756" s="65"/>
    </row>
    <row r="757" customFormat="false" ht="15.75" hidden="false" customHeight="true" outlineLevel="0" collapsed="false">
      <c r="A757" s="65"/>
      <c r="B757" s="65"/>
      <c r="C757" s="65"/>
      <c r="D757" s="65"/>
      <c r="E757" s="65"/>
      <c r="F757" s="65"/>
      <c r="G757" s="65"/>
      <c r="H757" s="65"/>
      <c r="I757" s="65"/>
      <c r="J757" s="65"/>
      <c r="K757" s="65"/>
      <c r="L757" s="65"/>
      <c r="M757" s="65"/>
      <c r="N757" s="65"/>
      <c r="O757" s="65"/>
      <c r="P757" s="65"/>
      <c r="Q757" s="65"/>
      <c r="R757" s="65"/>
      <c r="S757" s="65"/>
      <c r="T757" s="65"/>
      <c r="U757" s="65"/>
      <c r="V757" s="65"/>
      <c r="W757" s="65"/>
      <c r="X757" s="65"/>
      <c r="Y757" s="65"/>
      <c r="Z757" s="65"/>
    </row>
    <row r="758" customFormat="false" ht="15.75" hidden="false" customHeight="true" outlineLevel="0" collapsed="false">
      <c r="A758" s="65"/>
      <c r="B758" s="65"/>
      <c r="C758" s="65"/>
      <c r="D758" s="65"/>
      <c r="E758" s="65"/>
      <c r="F758" s="65"/>
      <c r="G758" s="65"/>
      <c r="H758" s="65"/>
      <c r="I758" s="65"/>
      <c r="J758" s="65"/>
      <c r="K758" s="65"/>
      <c r="L758" s="65"/>
      <c r="M758" s="65"/>
      <c r="N758" s="65"/>
      <c r="O758" s="65"/>
      <c r="P758" s="65"/>
      <c r="Q758" s="65"/>
      <c r="R758" s="65"/>
      <c r="S758" s="65"/>
      <c r="T758" s="65"/>
      <c r="U758" s="65"/>
      <c r="V758" s="65"/>
      <c r="W758" s="65"/>
      <c r="X758" s="65"/>
      <c r="Y758" s="65"/>
      <c r="Z758" s="65"/>
    </row>
    <row r="759" customFormat="false" ht="15.75" hidden="false" customHeight="true" outlineLevel="0" collapsed="false">
      <c r="A759" s="65"/>
      <c r="B759" s="65"/>
      <c r="C759" s="65"/>
      <c r="D759" s="65"/>
      <c r="E759" s="65"/>
      <c r="F759" s="65"/>
      <c r="G759" s="65"/>
      <c r="H759" s="65"/>
      <c r="I759" s="65"/>
      <c r="J759" s="65"/>
      <c r="K759" s="65"/>
      <c r="L759" s="65"/>
      <c r="M759" s="65"/>
      <c r="N759" s="65"/>
      <c r="O759" s="65"/>
      <c r="P759" s="65"/>
      <c r="Q759" s="65"/>
      <c r="R759" s="65"/>
      <c r="S759" s="65"/>
      <c r="T759" s="65"/>
      <c r="U759" s="65"/>
      <c r="V759" s="65"/>
      <c r="W759" s="65"/>
      <c r="X759" s="65"/>
      <c r="Y759" s="65"/>
      <c r="Z759" s="65"/>
    </row>
    <row r="760" customFormat="false" ht="15.75" hidden="false" customHeight="true" outlineLevel="0" collapsed="false">
      <c r="A760" s="65"/>
      <c r="B760" s="65"/>
      <c r="C760" s="65"/>
      <c r="D760" s="65"/>
      <c r="E760" s="65"/>
      <c r="F760" s="65"/>
      <c r="G760" s="65"/>
      <c r="H760" s="65"/>
      <c r="I760" s="65"/>
      <c r="J760" s="65"/>
      <c r="K760" s="65"/>
      <c r="L760" s="65"/>
      <c r="M760" s="65"/>
      <c r="N760" s="65"/>
      <c r="O760" s="65"/>
      <c r="P760" s="65"/>
      <c r="Q760" s="65"/>
      <c r="R760" s="65"/>
      <c r="S760" s="65"/>
      <c r="T760" s="65"/>
      <c r="U760" s="65"/>
      <c r="V760" s="65"/>
      <c r="W760" s="65"/>
      <c r="X760" s="65"/>
      <c r="Y760" s="65"/>
      <c r="Z760" s="65"/>
    </row>
    <row r="761" customFormat="false" ht="15.75" hidden="false" customHeight="true" outlineLevel="0" collapsed="false">
      <c r="A761" s="65"/>
      <c r="B761" s="65"/>
      <c r="C761" s="65"/>
      <c r="D761" s="65"/>
      <c r="E761" s="65"/>
      <c r="F761" s="65"/>
      <c r="G761" s="65"/>
      <c r="H761" s="65"/>
      <c r="I761" s="65"/>
      <c r="J761" s="65"/>
      <c r="K761" s="65"/>
      <c r="L761" s="65"/>
      <c r="M761" s="65"/>
      <c r="N761" s="65"/>
      <c r="O761" s="65"/>
      <c r="P761" s="65"/>
      <c r="Q761" s="65"/>
      <c r="R761" s="65"/>
      <c r="S761" s="65"/>
      <c r="T761" s="65"/>
      <c r="U761" s="65"/>
      <c r="V761" s="65"/>
      <c r="W761" s="65"/>
      <c r="X761" s="65"/>
      <c r="Y761" s="65"/>
      <c r="Z761" s="65"/>
    </row>
    <row r="762" customFormat="false" ht="15.75" hidden="false" customHeight="true" outlineLevel="0" collapsed="false">
      <c r="A762" s="65"/>
      <c r="B762" s="65"/>
      <c r="C762" s="65"/>
      <c r="D762" s="65"/>
      <c r="E762" s="65"/>
      <c r="F762" s="65"/>
      <c r="G762" s="65"/>
      <c r="H762" s="65"/>
      <c r="I762" s="65"/>
      <c r="J762" s="65"/>
      <c r="K762" s="65"/>
      <c r="L762" s="65"/>
      <c r="M762" s="65"/>
      <c r="N762" s="65"/>
      <c r="O762" s="65"/>
      <c r="P762" s="65"/>
      <c r="Q762" s="65"/>
      <c r="R762" s="65"/>
      <c r="S762" s="65"/>
      <c r="T762" s="65"/>
      <c r="U762" s="65"/>
      <c r="V762" s="65"/>
      <c r="W762" s="65"/>
      <c r="X762" s="65"/>
      <c r="Y762" s="65"/>
      <c r="Z762" s="65"/>
    </row>
    <row r="763" customFormat="false" ht="15.75" hidden="false" customHeight="true" outlineLevel="0" collapsed="false">
      <c r="A763" s="65"/>
      <c r="B763" s="65"/>
      <c r="C763" s="65"/>
      <c r="D763" s="65"/>
      <c r="E763" s="65"/>
      <c r="F763" s="65"/>
      <c r="G763" s="65"/>
      <c r="H763" s="65"/>
      <c r="I763" s="65"/>
      <c r="J763" s="65"/>
      <c r="K763" s="65"/>
      <c r="L763" s="65"/>
      <c r="M763" s="65"/>
      <c r="N763" s="65"/>
      <c r="O763" s="65"/>
      <c r="P763" s="65"/>
      <c r="Q763" s="65"/>
      <c r="R763" s="65"/>
      <c r="S763" s="65"/>
      <c r="T763" s="65"/>
      <c r="U763" s="65"/>
      <c r="V763" s="65"/>
      <c r="W763" s="65"/>
      <c r="X763" s="65"/>
      <c r="Y763" s="65"/>
      <c r="Z763" s="65"/>
    </row>
    <row r="764" customFormat="false" ht="15.75" hidden="false" customHeight="true" outlineLevel="0" collapsed="false">
      <c r="A764" s="65"/>
      <c r="B764" s="65"/>
      <c r="C764" s="65"/>
      <c r="D764" s="65"/>
      <c r="E764" s="65"/>
      <c r="F764" s="65"/>
      <c r="G764" s="65"/>
      <c r="H764" s="65"/>
      <c r="I764" s="65"/>
      <c r="J764" s="65"/>
      <c r="K764" s="65"/>
      <c r="L764" s="65"/>
      <c r="M764" s="65"/>
      <c r="N764" s="65"/>
      <c r="O764" s="65"/>
      <c r="P764" s="65"/>
      <c r="Q764" s="65"/>
      <c r="R764" s="65"/>
      <c r="S764" s="65"/>
      <c r="T764" s="65"/>
      <c r="U764" s="65"/>
      <c r="V764" s="65"/>
      <c r="W764" s="65"/>
      <c r="X764" s="65"/>
      <c r="Y764" s="65"/>
      <c r="Z764" s="65"/>
    </row>
    <row r="765" customFormat="false" ht="15.75" hidden="false" customHeight="true" outlineLevel="0" collapsed="false">
      <c r="A765" s="65"/>
      <c r="B765" s="65"/>
      <c r="C765" s="65"/>
      <c r="D765" s="65"/>
      <c r="E765" s="65"/>
      <c r="F765" s="65"/>
      <c r="G765" s="65"/>
      <c r="H765" s="65"/>
      <c r="I765" s="65"/>
      <c r="J765" s="65"/>
      <c r="K765" s="65"/>
      <c r="L765" s="65"/>
      <c r="M765" s="65"/>
      <c r="N765" s="65"/>
      <c r="O765" s="65"/>
      <c r="P765" s="65"/>
      <c r="Q765" s="65"/>
      <c r="R765" s="65"/>
      <c r="S765" s="65"/>
      <c r="T765" s="65"/>
      <c r="U765" s="65"/>
      <c r="V765" s="65"/>
      <c r="W765" s="65"/>
      <c r="X765" s="65"/>
      <c r="Y765" s="65"/>
      <c r="Z765" s="65"/>
    </row>
    <row r="766" customFormat="false" ht="15.75" hidden="false" customHeight="true" outlineLevel="0" collapsed="false">
      <c r="A766" s="65"/>
      <c r="B766" s="65"/>
      <c r="C766" s="65"/>
      <c r="D766" s="65"/>
      <c r="E766" s="65"/>
      <c r="F766" s="65"/>
      <c r="G766" s="65"/>
      <c r="H766" s="65"/>
      <c r="I766" s="65"/>
      <c r="J766" s="65"/>
      <c r="K766" s="65"/>
      <c r="L766" s="65"/>
      <c r="M766" s="65"/>
      <c r="N766" s="65"/>
      <c r="O766" s="65"/>
      <c r="P766" s="65"/>
      <c r="Q766" s="65"/>
      <c r="R766" s="65"/>
      <c r="S766" s="65"/>
      <c r="T766" s="65"/>
      <c r="U766" s="65"/>
      <c r="V766" s="65"/>
      <c r="W766" s="65"/>
      <c r="X766" s="65"/>
      <c r="Y766" s="65"/>
      <c r="Z766" s="65"/>
    </row>
    <row r="767" customFormat="false" ht="15.75" hidden="false" customHeight="true" outlineLevel="0" collapsed="false">
      <c r="A767" s="65"/>
      <c r="B767" s="65"/>
      <c r="C767" s="65"/>
      <c r="D767" s="65"/>
      <c r="E767" s="65"/>
      <c r="F767" s="65"/>
      <c r="G767" s="65"/>
      <c r="H767" s="65"/>
      <c r="I767" s="65"/>
      <c r="J767" s="65"/>
      <c r="K767" s="65"/>
      <c r="L767" s="65"/>
      <c r="M767" s="65"/>
      <c r="N767" s="65"/>
      <c r="O767" s="65"/>
      <c r="P767" s="65"/>
      <c r="Q767" s="65"/>
      <c r="R767" s="65"/>
      <c r="S767" s="65"/>
      <c r="T767" s="65"/>
      <c r="U767" s="65"/>
      <c r="V767" s="65"/>
      <c r="W767" s="65"/>
      <c r="X767" s="65"/>
      <c r="Y767" s="65"/>
      <c r="Z767" s="65"/>
    </row>
    <row r="768" customFormat="false" ht="15.75" hidden="false" customHeight="true" outlineLevel="0" collapsed="false">
      <c r="A768" s="65"/>
      <c r="B768" s="65"/>
      <c r="C768" s="65"/>
      <c r="D768" s="65"/>
      <c r="E768" s="65"/>
      <c r="F768" s="65"/>
      <c r="G768" s="65"/>
      <c r="H768" s="65"/>
      <c r="I768" s="65"/>
      <c r="J768" s="65"/>
      <c r="K768" s="65"/>
      <c r="L768" s="65"/>
      <c r="M768" s="65"/>
      <c r="N768" s="65"/>
      <c r="O768" s="65"/>
      <c r="P768" s="65"/>
      <c r="Q768" s="65"/>
      <c r="R768" s="65"/>
      <c r="S768" s="65"/>
      <c r="T768" s="65"/>
      <c r="U768" s="65"/>
      <c r="V768" s="65"/>
      <c r="W768" s="65"/>
      <c r="X768" s="65"/>
      <c r="Y768" s="65"/>
      <c r="Z768" s="65"/>
    </row>
    <row r="769" customFormat="false" ht="15.75" hidden="false" customHeight="true" outlineLevel="0" collapsed="false">
      <c r="A769" s="65"/>
      <c r="B769" s="65"/>
      <c r="C769" s="65"/>
      <c r="D769" s="65"/>
      <c r="E769" s="65"/>
      <c r="F769" s="65"/>
      <c r="G769" s="65"/>
      <c r="H769" s="65"/>
      <c r="I769" s="65"/>
      <c r="J769" s="65"/>
      <c r="K769" s="65"/>
      <c r="L769" s="65"/>
      <c r="M769" s="65"/>
      <c r="N769" s="65"/>
      <c r="O769" s="65"/>
      <c r="P769" s="65"/>
      <c r="Q769" s="65"/>
      <c r="R769" s="65"/>
      <c r="S769" s="65"/>
      <c r="T769" s="65"/>
      <c r="U769" s="65"/>
      <c r="V769" s="65"/>
      <c r="W769" s="65"/>
      <c r="X769" s="65"/>
      <c r="Y769" s="65"/>
      <c r="Z769" s="65"/>
    </row>
    <row r="770" customFormat="false" ht="15.75" hidden="false" customHeight="true" outlineLevel="0" collapsed="false">
      <c r="A770" s="65"/>
      <c r="B770" s="65"/>
      <c r="C770" s="65"/>
      <c r="D770" s="65"/>
      <c r="E770" s="65"/>
      <c r="F770" s="65"/>
      <c r="G770" s="65"/>
      <c r="H770" s="65"/>
      <c r="I770" s="65"/>
      <c r="J770" s="65"/>
      <c r="K770" s="65"/>
      <c r="L770" s="65"/>
      <c r="M770" s="65"/>
      <c r="N770" s="65"/>
      <c r="O770" s="65"/>
      <c r="P770" s="65"/>
      <c r="Q770" s="65"/>
      <c r="R770" s="65"/>
      <c r="S770" s="65"/>
      <c r="T770" s="65"/>
      <c r="U770" s="65"/>
      <c r="V770" s="65"/>
      <c r="W770" s="65"/>
      <c r="X770" s="65"/>
      <c r="Y770" s="65"/>
      <c r="Z770" s="65"/>
    </row>
    <row r="771" customFormat="false" ht="15.75" hidden="false" customHeight="true" outlineLevel="0" collapsed="false">
      <c r="A771" s="65"/>
      <c r="B771" s="65"/>
      <c r="C771" s="65"/>
      <c r="D771" s="65"/>
      <c r="E771" s="65"/>
      <c r="F771" s="65"/>
      <c r="G771" s="65"/>
      <c r="H771" s="65"/>
      <c r="I771" s="65"/>
      <c r="J771" s="65"/>
      <c r="K771" s="65"/>
      <c r="L771" s="65"/>
      <c r="M771" s="65"/>
      <c r="N771" s="65"/>
      <c r="O771" s="65"/>
      <c r="P771" s="65"/>
      <c r="Q771" s="65"/>
      <c r="R771" s="65"/>
      <c r="S771" s="65"/>
      <c r="T771" s="65"/>
      <c r="U771" s="65"/>
      <c r="V771" s="65"/>
      <c r="W771" s="65"/>
      <c r="X771" s="65"/>
      <c r="Y771" s="65"/>
      <c r="Z771" s="65"/>
    </row>
    <row r="772" customFormat="false" ht="15.75" hidden="false" customHeight="true" outlineLevel="0" collapsed="false">
      <c r="A772" s="65"/>
      <c r="B772" s="65"/>
      <c r="C772" s="65"/>
      <c r="D772" s="65"/>
      <c r="E772" s="65"/>
      <c r="F772" s="65"/>
      <c r="G772" s="65"/>
      <c r="H772" s="65"/>
      <c r="I772" s="65"/>
      <c r="J772" s="65"/>
      <c r="K772" s="65"/>
      <c r="L772" s="65"/>
      <c r="M772" s="65"/>
      <c r="N772" s="65"/>
      <c r="O772" s="65"/>
      <c r="P772" s="65"/>
      <c r="Q772" s="65"/>
      <c r="R772" s="65"/>
      <c r="S772" s="65"/>
      <c r="T772" s="65"/>
      <c r="U772" s="65"/>
      <c r="V772" s="65"/>
      <c r="W772" s="65"/>
      <c r="X772" s="65"/>
      <c r="Y772" s="65"/>
      <c r="Z772" s="65"/>
    </row>
    <row r="773" customFormat="false" ht="15.75" hidden="false" customHeight="true" outlineLevel="0" collapsed="false">
      <c r="A773" s="65"/>
      <c r="B773" s="65"/>
      <c r="C773" s="65"/>
      <c r="D773" s="65"/>
      <c r="E773" s="65"/>
      <c r="F773" s="65"/>
      <c r="G773" s="65"/>
      <c r="H773" s="65"/>
      <c r="I773" s="65"/>
      <c r="J773" s="65"/>
      <c r="K773" s="65"/>
      <c r="L773" s="65"/>
      <c r="M773" s="65"/>
      <c r="N773" s="65"/>
      <c r="O773" s="65"/>
      <c r="P773" s="65"/>
      <c r="Q773" s="65"/>
      <c r="R773" s="65"/>
      <c r="S773" s="65"/>
      <c r="T773" s="65"/>
      <c r="U773" s="65"/>
      <c r="V773" s="65"/>
      <c r="W773" s="65"/>
      <c r="X773" s="65"/>
      <c r="Y773" s="65"/>
      <c r="Z773" s="65"/>
    </row>
    <row r="774" customFormat="false" ht="15.75" hidden="false" customHeight="true" outlineLevel="0" collapsed="false">
      <c r="A774" s="65"/>
      <c r="B774" s="65"/>
      <c r="C774" s="65"/>
      <c r="D774" s="65"/>
      <c r="E774" s="65"/>
      <c r="F774" s="65"/>
      <c r="G774" s="65"/>
      <c r="H774" s="65"/>
      <c r="I774" s="65"/>
      <c r="J774" s="65"/>
      <c r="K774" s="65"/>
      <c r="L774" s="65"/>
      <c r="M774" s="65"/>
      <c r="N774" s="65"/>
      <c r="O774" s="65"/>
      <c r="P774" s="65"/>
      <c r="Q774" s="65"/>
      <c r="R774" s="65"/>
      <c r="S774" s="65"/>
      <c r="T774" s="65"/>
      <c r="U774" s="65"/>
      <c r="V774" s="65"/>
      <c r="W774" s="65"/>
      <c r="X774" s="65"/>
      <c r="Y774" s="65"/>
      <c r="Z774" s="65"/>
    </row>
    <row r="775" customFormat="false" ht="15.75" hidden="false" customHeight="true" outlineLevel="0" collapsed="false">
      <c r="A775" s="65"/>
      <c r="B775" s="65"/>
      <c r="C775" s="65"/>
      <c r="D775" s="65"/>
      <c r="E775" s="65"/>
      <c r="F775" s="65"/>
      <c r="G775" s="65"/>
      <c r="H775" s="65"/>
      <c r="I775" s="65"/>
      <c r="J775" s="65"/>
      <c r="K775" s="65"/>
      <c r="L775" s="65"/>
      <c r="M775" s="65"/>
      <c r="N775" s="65"/>
      <c r="O775" s="65"/>
      <c r="P775" s="65"/>
      <c r="Q775" s="65"/>
      <c r="R775" s="65"/>
      <c r="S775" s="65"/>
      <c r="T775" s="65"/>
      <c r="U775" s="65"/>
      <c r="V775" s="65"/>
      <c r="W775" s="65"/>
      <c r="X775" s="65"/>
      <c r="Y775" s="65"/>
      <c r="Z775" s="65"/>
    </row>
    <row r="776" customFormat="false" ht="15.75" hidden="false" customHeight="true" outlineLevel="0" collapsed="false">
      <c r="A776" s="65"/>
      <c r="B776" s="65"/>
      <c r="C776" s="65"/>
      <c r="D776" s="65"/>
      <c r="E776" s="65"/>
      <c r="F776" s="65"/>
      <c r="G776" s="65"/>
      <c r="H776" s="65"/>
      <c r="I776" s="65"/>
      <c r="J776" s="65"/>
      <c r="K776" s="65"/>
      <c r="L776" s="65"/>
      <c r="M776" s="65"/>
      <c r="N776" s="65"/>
      <c r="O776" s="65"/>
      <c r="P776" s="65"/>
      <c r="Q776" s="65"/>
      <c r="R776" s="65"/>
      <c r="S776" s="65"/>
      <c r="T776" s="65"/>
      <c r="U776" s="65"/>
      <c r="V776" s="65"/>
      <c r="W776" s="65"/>
      <c r="X776" s="65"/>
      <c r="Y776" s="65"/>
      <c r="Z776" s="65"/>
    </row>
    <row r="777" customFormat="false" ht="15.75" hidden="false" customHeight="true" outlineLevel="0" collapsed="false">
      <c r="A777" s="65"/>
      <c r="B777" s="65"/>
      <c r="C777" s="65"/>
      <c r="D777" s="65"/>
      <c r="E777" s="65"/>
      <c r="F777" s="65"/>
      <c r="G777" s="65"/>
      <c r="H777" s="65"/>
      <c r="I777" s="65"/>
      <c r="J777" s="65"/>
      <c r="K777" s="65"/>
      <c r="L777" s="65"/>
      <c r="M777" s="65"/>
      <c r="N777" s="65"/>
      <c r="O777" s="65"/>
      <c r="P777" s="65"/>
      <c r="Q777" s="65"/>
      <c r="R777" s="65"/>
      <c r="S777" s="65"/>
      <c r="T777" s="65"/>
      <c r="U777" s="65"/>
      <c r="V777" s="65"/>
      <c r="W777" s="65"/>
      <c r="X777" s="65"/>
      <c r="Y777" s="65"/>
      <c r="Z777" s="65"/>
    </row>
    <row r="778" customFormat="false" ht="15.75" hidden="false" customHeight="true" outlineLevel="0" collapsed="false">
      <c r="A778" s="65"/>
      <c r="B778" s="65"/>
      <c r="C778" s="65"/>
      <c r="D778" s="65"/>
      <c r="E778" s="65"/>
      <c r="F778" s="65"/>
      <c r="G778" s="65"/>
      <c r="H778" s="65"/>
      <c r="I778" s="65"/>
      <c r="J778" s="65"/>
      <c r="K778" s="65"/>
      <c r="L778" s="65"/>
      <c r="M778" s="65"/>
      <c r="N778" s="65"/>
      <c r="O778" s="65"/>
      <c r="P778" s="65"/>
      <c r="Q778" s="65"/>
      <c r="R778" s="65"/>
      <c r="S778" s="65"/>
      <c r="T778" s="65"/>
      <c r="U778" s="65"/>
      <c r="V778" s="65"/>
      <c r="W778" s="65"/>
      <c r="X778" s="65"/>
      <c r="Y778" s="65"/>
      <c r="Z778" s="65"/>
    </row>
    <row r="779" customFormat="false" ht="15.75" hidden="false" customHeight="true" outlineLevel="0" collapsed="false">
      <c r="A779" s="65"/>
      <c r="B779" s="65"/>
      <c r="C779" s="65"/>
      <c r="D779" s="65"/>
      <c r="E779" s="65"/>
      <c r="F779" s="65"/>
      <c r="G779" s="65"/>
      <c r="H779" s="65"/>
      <c r="I779" s="65"/>
      <c r="J779" s="65"/>
      <c r="K779" s="65"/>
      <c r="L779" s="65"/>
      <c r="M779" s="65"/>
      <c r="N779" s="65"/>
      <c r="O779" s="65"/>
      <c r="P779" s="65"/>
      <c r="Q779" s="65"/>
      <c r="R779" s="65"/>
      <c r="S779" s="65"/>
      <c r="T779" s="65"/>
      <c r="U779" s="65"/>
      <c r="V779" s="65"/>
      <c r="W779" s="65"/>
      <c r="X779" s="65"/>
      <c r="Y779" s="65"/>
      <c r="Z779" s="65"/>
    </row>
    <row r="780" customFormat="false" ht="15.75" hidden="false" customHeight="true" outlineLevel="0" collapsed="false">
      <c r="A780" s="65"/>
      <c r="B780" s="65"/>
      <c r="C780" s="65"/>
      <c r="D780" s="65"/>
      <c r="E780" s="65"/>
      <c r="F780" s="65"/>
      <c r="G780" s="65"/>
      <c r="H780" s="65"/>
      <c r="I780" s="65"/>
      <c r="J780" s="65"/>
      <c r="K780" s="65"/>
      <c r="L780" s="65"/>
      <c r="M780" s="65"/>
      <c r="N780" s="65"/>
      <c r="O780" s="65"/>
      <c r="P780" s="65"/>
      <c r="Q780" s="65"/>
      <c r="R780" s="65"/>
      <c r="S780" s="65"/>
      <c r="T780" s="65"/>
      <c r="U780" s="65"/>
      <c r="V780" s="65"/>
      <c r="W780" s="65"/>
      <c r="X780" s="65"/>
      <c r="Y780" s="65"/>
      <c r="Z780" s="65"/>
    </row>
    <row r="781" customFormat="false" ht="15.75" hidden="false" customHeight="true" outlineLevel="0" collapsed="false">
      <c r="A781" s="65"/>
      <c r="B781" s="65"/>
      <c r="C781" s="65"/>
      <c r="D781" s="65"/>
      <c r="E781" s="65"/>
      <c r="F781" s="65"/>
      <c r="G781" s="65"/>
      <c r="H781" s="65"/>
      <c r="I781" s="65"/>
      <c r="J781" s="65"/>
      <c r="K781" s="65"/>
      <c r="L781" s="65"/>
      <c r="M781" s="65"/>
      <c r="N781" s="65"/>
      <c r="O781" s="65"/>
      <c r="P781" s="65"/>
      <c r="Q781" s="65"/>
      <c r="R781" s="65"/>
      <c r="S781" s="65"/>
      <c r="T781" s="65"/>
      <c r="U781" s="65"/>
      <c r="V781" s="65"/>
      <c r="W781" s="65"/>
      <c r="X781" s="65"/>
      <c r="Y781" s="65"/>
      <c r="Z781" s="65"/>
    </row>
    <row r="782" customFormat="false" ht="15.75" hidden="false" customHeight="true" outlineLevel="0" collapsed="false">
      <c r="A782" s="65"/>
      <c r="B782" s="65"/>
      <c r="C782" s="65"/>
      <c r="D782" s="65"/>
      <c r="E782" s="65"/>
      <c r="F782" s="65"/>
      <c r="G782" s="65"/>
      <c r="H782" s="65"/>
      <c r="I782" s="65"/>
      <c r="J782" s="65"/>
      <c r="K782" s="65"/>
      <c r="L782" s="65"/>
      <c r="M782" s="65"/>
      <c r="N782" s="65"/>
      <c r="O782" s="65"/>
      <c r="P782" s="65"/>
      <c r="Q782" s="65"/>
      <c r="R782" s="65"/>
      <c r="S782" s="65"/>
      <c r="T782" s="65"/>
      <c r="U782" s="65"/>
      <c r="V782" s="65"/>
      <c r="W782" s="65"/>
      <c r="X782" s="65"/>
      <c r="Y782" s="65"/>
      <c r="Z782" s="65"/>
    </row>
    <row r="783" customFormat="false" ht="15.75" hidden="false" customHeight="true" outlineLevel="0" collapsed="false">
      <c r="A783" s="65"/>
      <c r="B783" s="65"/>
      <c r="C783" s="65"/>
      <c r="D783" s="65"/>
      <c r="E783" s="65"/>
      <c r="F783" s="65"/>
      <c r="G783" s="65"/>
      <c r="H783" s="65"/>
      <c r="I783" s="65"/>
      <c r="J783" s="65"/>
      <c r="K783" s="65"/>
      <c r="L783" s="65"/>
      <c r="M783" s="65"/>
      <c r="N783" s="65"/>
      <c r="O783" s="65"/>
      <c r="P783" s="65"/>
      <c r="Q783" s="65"/>
      <c r="R783" s="65"/>
      <c r="S783" s="65"/>
      <c r="T783" s="65"/>
      <c r="U783" s="65"/>
      <c r="V783" s="65"/>
      <c r="W783" s="65"/>
      <c r="X783" s="65"/>
      <c r="Y783" s="65"/>
      <c r="Z783" s="65"/>
    </row>
    <row r="784" customFormat="false" ht="15.75" hidden="false" customHeight="true" outlineLevel="0" collapsed="false">
      <c r="A784" s="65"/>
      <c r="B784" s="65"/>
      <c r="C784" s="65"/>
      <c r="D784" s="65"/>
      <c r="E784" s="65"/>
      <c r="F784" s="65"/>
      <c r="G784" s="65"/>
      <c r="H784" s="65"/>
      <c r="I784" s="65"/>
      <c r="J784" s="65"/>
      <c r="K784" s="65"/>
      <c r="L784" s="65"/>
      <c r="M784" s="65"/>
      <c r="N784" s="65"/>
      <c r="O784" s="65"/>
      <c r="P784" s="65"/>
      <c r="Q784" s="65"/>
      <c r="R784" s="65"/>
      <c r="S784" s="65"/>
      <c r="T784" s="65"/>
      <c r="U784" s="65"/>
      <c r="V784" s="65"/>
      <c r="W784" s="65"/>
      <c r="X784" s="65"/>
      <c r="Y784" s="65"/>
      <c r="Z784" s="65"/>
    </row>
    <row r="785" customFormat="false" ht="15.75" hidden="false" customHeight="true" outlineLevel="0" collapsed="false">
      <c r="A785" s="65"/>
      <c r="B785" s="65"/>
      <c r="C785" s="65"/>
      <c r="D785" s="65"/>
      <c r="E785" s="65"/>
      <c r="F785" s="65"/>
      <c r="G785" s="65"/>
      <c r="H785" s="65"/>
      <c r="I785" s="65"/>
      <c r="J785" s="65"/>
      <c r="K785" s="65"/>
      <c r="L785" s="65"/>
      <c r="M785" s="65"/>
      <c r="N785" s="65"/>
      <c r="O785" s="65"/>
      <c r="P785" s="65"/>
      <c r="Q785" s="65"/>
      <c r="R785" s="65"/>
      <c r="S785" s="65"/>
      <c r="T785" s="65"/>
      <c r="U785" s="65"/>
      <c r="V785" s="65"/>
      <c r="W785" s="65"/>
      <c r="X785" s="65"/>
      <c r="Y785" s="65"/>
      <c r="Z785" s="65"/>
    </row>
    <row r="786" customFormat="false" ht="15.75" hidden="false" customHeight="true" outlineLevel="0" collapsed="false">
      <c r="A786" s="65"/>
      <c r="B786" s="65"/>
      <c r="C786" s="65"/>
      <c r="D786" s="65"/>
      <c r="E786" s="65"/>
      <c r="F786" s="65"/>
      <c r="G786" s="65"/>
      <c r="H786" s="65"/>
      <c r="I786" s="65"/>
      <c r="J786" s="65"/>
      <c r="K786" s="65"/>
      <c r="L786" s="65"/>
      <c r="M786" s="65"/>
      <c r="N786" s="65"/>
      <c r="O786" s="65"/>
      <c r="P786" s="65"/>
      <c r="Q786" s="65"/>
      <c r="R786" s="65"/>
      <c r="S786" s="65"/>
      <c r="T786" s="65"/>
      <c r="U786" s="65"/>
      <c r="V786" s="65"/>
      <c r="W786" s="65"/>
      <c r="X786" s="65"/>
      <c r="Y786" s="65"/>
      <c r="Z786" s="65"/>
    </row>
    <row r="787" customFormat="false" ht="15.75" hidden="false" customHeight="true" outlineLevel="0" collapsed="false">
      <c r="A787" s="65"/>
      <c r="B787" s="65"/>
      <c r="C787" s="65"/>
      <c r="D787" s="65"/>
      <c r="E787" s="65"/>
      <c r="F787" s="65"/>
      <c r="G787" s="65"/>
      <c r="H787" s="65"/>
      <c r="I787" s="65"/>
      <c r="J787" s="65"/>
      <c r="K787" s="65"/>
      <c r="L787" s="65"/>
      <c r="M787" s="65"/>
      <c r="N787" s="65"/>
      <c r="O787" s="65"/>
      <c r="P787" s="65"/>
      <c r="Q787" s="65"/>
      <c r="R787" s="65"/>
      <c r="S787" s="65"/>
      <c r="T787" s="65"/>
      <c r="U787" s="65"/>
      <c r="V787" s="65"/>
      <c r="W787" s="65"/>
      <c r="X787" s="65"/>
      <c r="Y787" s="65"/>
      <c r="Z787" s="65"/>
    </row>
    <row r="788" customFormat="false" ht="15.75" hidden="false" customHeight="true" outlineLevel="0" collapsed="false">
      <c r="A788" s="65"/>
      <c r="B788" s="65"/>
      <c r="C788" s="65"/>
      <c r="D788" s="65"/>
      <c r="E788" s="65"/>
      <c r="F788" s="65"/>
      <c r="G788" s="65"/>
      <c r="H788" s="65"/>
      <c r="I788" s="65"/>
      <c r="J788" s="65"/>
      <c r="K788" s="65"/>
      <c r="L788" s="65"/>
      <c r="M788" s="65"/>
      <c r="N788" s="65"/>
      <c r="O788" s="65"/>
      <c r="P788" s="65"/>
      <c r="Q788" s="65"/>
      <c r="R788" s="65"/>
      <c r="S788" s="65"/>
      <c r="T788" s="65"/>
      <c r="U788" s="65"/>
      <c r="V788" s="65"/>
      <c r="W788" s="65"/>
      <c r="X788" s="65"/>
      <c r="Y788" s="65"/>
      <c r="Z788" s="65"/>
    </row>
    <row r="789" customFormat="false" ht="15.75" hidden="false" customHeight="true" outlineLevel="0" collapsed="false">
      <c r="A789" s="65"/>
      <c r="B789" s="65"/>
      <c r="C789" s="65"/>
      <c r="D789" s="65"/>
      <c r="E789" s="65"/>
      <c r="F789" s="65"/>
      <c r="G789" s="65"/>
      <c r="H789" s="65"/>
      <c r="I789" s="65"/>
      <c r="J789" s="65"/>
      <c r="K789" s="65"/>
      <c r="L789" s="65"/>
      <c r="M789" s="65"/>
      <c r="N789" s="65"/>
      <c r="O789" s="65"/>
      <c r="P789" s="65"/>
      <c r="Q789" s="65"/>
      <c r="R789" s="65"/>
      <c r="S789" s="65"/>
      <c r="T789" s="65"/>
      <c r="U789" s="65"/>
      <c r="V789" s="65"/>
      <c r="W789" s="65"/>
      <c r="X789" s="65"/>
      <c r="Y789" s="65"/>
      <c r="Z789" s="65"/>
    </row>
    <row r="790" customFormat="false" ht="15.75" hidden="false" customHeight="true" outlineLevel="0" collapsed="false">
      <c r="A790" s="65"/>
      <c r="B790" s="65"/>
      <c r="C790" s="65"/>
      <c r="D790" s="65"/>
      <c r="E790" s="65"/>
      <c r="F790" s="65"/>
      <c r="G790" s="65"/>
      <c r="H790" s="65"/>
      <c r="I790" s="65"/>
      <c r="J790" s="65"/>
      <c r="K790" s="65"/>
      <c r="L790" s="65"/>
      <c r="M790" s="65"/>
      <c r="N790" s="65"/>
      <c r="O790" s="65"/>
      <c r="P790" s="65"/>
      <c r="Q790" s="65"/>
      <c r="R790" s="65"/>
      <c r="S790" s="65"/>
      <c r="T790" s="65"/>
      <c r="U790" s="65"/>
      <c r="V790" s="65"/>
      <c r="W790" s="65"/>
      <c r="X790" s="65"/>
      <c r="Y790" s="65"/>
      <c r="Z790" s="65"/>
    </row>
    <row r="791" customFormat="false" ht="15.75" hidden="false" customHeight="true" outlineLevel="0" collapsed="false">
      <c r="A791" s="65"/>
      <c r="B791" s="65"/>
      <c r="C791" s="65"/>
      <c r="D791" s="65"/>
      <c r="E791" s="65"/>
      <c r="F791" s="65"/>
      <c r="G791" s="65"/>
      <c r="H791" s="65"/>
      <c r="I791" s="65"/>
      <c r="J791" s="65"/>
      <c r="K791" s="65"/>
      <c r="L791" s="65"/>
      <c r="M791" s="65"/>
      <c r="N791" s="65"/>
      <c r="O791" s="65"/>
      <c r="P791" s="65"/>
      <c r="Q791" s="65"/>
      <c r="R791" s="65"/>
      <c r="S791" s="65"/>
      <c r="T791" s="65"/>
      <c r="U791" s="65"/>
      <c r="V791" s="65"/>
      <c r="W791" s="65"/>
      <c r="X791" s="65"/>
      <c r="Y791" s="65"/>
      <c r="Z791" s="65"/>
    </row>
    <row r="792" customFormat="false" ht="15.75" hidden="false" customHeight="true" outlineLevel="0" collapsed="false">
      <c r="A792" s="65"/>
      <c r="B792" s="65"/>
      <c r="C792" s="65"/>
      <c r="D792" s="65"/>
      <c r="E792" s="65"/>
      <c r="F792" s="65"/>
      <c r="G792" s="65"/>
      <c r="H792" s="65"/>
      <c r="I792" s="65"/>
      <c r="J792" s="65"/>
      <c r="K792" s="65"/>
      <c r="L792" s="65"/>
      <c r="M792" s="65"/>
      <c r="N792" s="65"/>
      <c r="O792" s="65"/>
      <c r="P792" s="65"/>
      <c r="Q792" s="65"/>
      <c r="R792" s="65"/>
      <c r="S792" s="65"/>
      <c r="T792" s="65"/>
      <c r="U792" s="65"/>
      <c r="V792" s="65"/>
      <c r="W792" s="65"/>
      <c r="X792" s="65"/>
      <c r="Y792" s="65"/>
      <c r="Z792" s="65"/>
    </row>
    <row r="793" customFormat="false" ht="15.75" hidden="false" customHeight="true" outlineLevel="0" collapsed="false">
      <c r="A793" s="65"/>
      <c r="B793" s="65"/>
      <c r="C793" s="65"/>
      <c r="D793" s="65"/>
      <c r="E793" s="65"/>
      <c r="F793" s="65"/>
      <c r="G793" s="65"/>
      <c r="H793" s="65"/>
      <c r="I793" s="65"/>
      <c r="J793" s="65"/>
      <c r="K793" s="65"/>
      <c r="L793" s="65"/>
      <c r="M793" s="65"/>
      <c r="N793" s="65"/>
      <c r="O793" s="65"/>
      <c r="P793" s="65"/>
      <c r="Q793" s="65"/>
      <c r="R793" s="65"/>
      <c r="S793" s="65"/>
      <c r="T793" s="65"/>
      <c r="U793" s="65"/>
      <c r="V793" s="65"/>
      <c r="W793" s="65"/>
      <c r="X793" s="65"/>
      <c r="Y793" s="65"/>
      <c r="Z793" s="65"/>
    </row>
    <row r="794" customFormat="false" ht="15.75" hidden="false" customHeight="true" outlineLevel="0" collapsed="false">
      <c r="A794" s="65"/>
      <c r="B794" s="65"/>
      <c r="C794" s="65"/>
      <c r="D794" s="65"/>
      <c r="E794" s="65"/>
      <c r="F794" s="65"/>
      <c r="G794" s="65"/>
      <c r="H794" s="65"/>
      <c r="I794" s="65"/>
      <c r="J794" s="65"/>
      <c r="K794" s="65"/>
      <c r="L794" s="65"/>
      <c r="M794" s="65"/>
      <c r="N794" s="65"/>
      <c r="O794" s="65"/>
      <c r="P794" s="65"/>
      <c r="Q794" s="65"/>
      <c r="R794" s="65"/>
      <c r="S794" s="65"/>
      <c r="T794" s="65"/>
      <c r="U794" s="65"/>
      <c r="V794" s="65"/>
      <c r="W794" s="65"/>
      <c r="X794" s="65"/>
      <c r="Y794" s="65"/>
      <c r="Z794" s="65"/>
    </row>
    <row r="795" customFormat="false" ht="15.75" hidden="false" customHeight="true" outlineLevel="0" collapsed="false">
      <c r="A795" s="65"/>
      <c r="B795" s="65"/>
      <c r="C795" s="65"/>
      <c r="D795" s="65"/>
      <c r="E795" s="65"/>
      <c r="F795" s="65"/>
      <c r="G795" s="65"/>
      <c r="H795" s="65"/>
      <c r="I795" s="65"/>
      <c r="J795" s="65"/>
      <c r="K795" s="65"/>
      <c r="L795" s="65"/>
      <c r="M795" s="65"/>
      <c r="N795" s="65"/>
      <c r="O795" s="65"/>
      <c r="P795" s="65"/>
      <c r="Q795" s="65"/>
      <c r="R795" s="65"/>
      <c r="S795" s="65"/>
      <c r="T795" s="65"/>
      <c r="U795" s="65"/>
      <c r="V795" s="65"/>
      <c r="W795" s="65"/>
      <c r="X795" s="65"/>
      <c r="Y795" s="65"/>
      <c r="Z795" s="65"/>
    </row>
    <row r="796" customFormat="false" ht="15.75" hidden="false" customHeight="true" outlineLevel="0" collapsed="false">
      <c r="A796" s="65"/>
      <c r="B796" s="65"/>
      <c r="C796" s="65"/>
      <c r="D796" s="65"/>
      <c r="E796" s="65"/>
      <c r="F796" s="65"/>
      <c r="G796" s="65"/>
      <c r="H796" s="65"/>
      <c r="I796" s="65"/>
      <c r="J796" s="65"/>
      <c r="K796" s="65"/>
      <c r="L796" s="65"/>
      <c r="M796" s="65"/>
      <c r="N796" s="65"/>
      <c r="O796" s="65"/>
      <c r="P796" s="65"/>
      <c r="Q796" s="65"/>
      <c r="R796" s="65"/>
      <c r="S796" s="65"/>
      <c r="T796" s="65"/>
      <c r="U796" s="65"/>
      <c r="V796" s="65"/>
      <c r="W796" s="65"/>
      <c r="X796" s="65"/>
      <c r="Y796" s="65"/>
      <c r="Z796" s="65"/>
    </row>
    <row r="797" customFormat="false" ht="15.75" hidden="false" customHeight="true" outlineLevel="0" collapsed="false">
      <c r="A797" s="65"/>
      <c r="B797" s="65"/>
      <c r="C797" s="65"/>
      <c r="D797" s="65"/>
      <c r="E797" s="65"/>
      <c r="F797" s="65"/>
      <c r="G797" s="65"/>
      <c r="H797" s="65"/>
      <c r="I797" s="65"/>
      <c r="J797" s="65"/>
      <c r="K797" s="65"/>
      <c r="L797" s="65"/>
      <c r="M797" s="65"/>
      <c r="N797" s="65"/>
      <c r="O797" s="65"/>
      <c r="P797" s="65"/>
      <c r="Q797" s="65"/>
      <c r="R797" s="65"/>
      <c r="S797" s="65"/>
      <c r="T797" s="65"/>
      <c r="U797" s="65"/>
      <c r="V797" s="65"/>
      <c r="W797" s="65"/>
      <c r="X797" s="65"/>
      <c r="Y797" s="65"/>
      <c r="Z797" s="65"/>
    </row>
    <row r="798" customFormat="false" ht="15.75" hidden="false" customHeight="true" outlineLevel="0" collapsed="false">
      <c r="A798" s="65"/>
      <c r="B798" s="65"/>
      <c r="C798" s="65"/>
      <c r="D798" s="65"/>
      <c r="E798" s="65"/>
      <c r="F798" s="65"/>
      <c r="G798" s="65"/>
      <c r="H798" s="65"/>
      <c r="I798" s="65"/>
      <c r="J798" s="65"/>
      <c r="K798" s="65"/>
      <c r="L798" s="65"/>
      <c r="M798" s="65"/>
      <c r="N798" s="65"/>
      <c r="O798" s="65"/>
      <c r="P798" s="65"/>
      <c r="Q798" s="65"/>
      <c r="R798" s="65"/>
      <c r="S798" s="65"/>
      <c r="T798" s="65"/>
      <c r="U798" s="65"/>
      <c r="V798" s="65"/>
      <c r="W798" s="65"/>
      <c r="X798" s="65"/>
      <c r="Y798" s="65"/>
      <c r="Z798" s="65"/>
    </row>
    <row r="799" customFormat="false" ht="15.75" hidden="false" customHeight="true" outlineLevel="0" collapsed="false">
      <c r="A799" s="65"/>
      <c r="B799" s="65"/>
      <c r="C799" s="65"/>
      <c r="D799" s="65"/>
      <c r="E799" s="65"/>
      <c r="F799" s="65"/>
      <c r="G799" s="65"/>
      <c r="H799" s="65"/>
      <c r="I799" s="65"/>
      <c r="J799" s="65"/>
      <c r="K799" s="65"/>
      <c r="L799" s="65"/>
      <c r="M799" s="65"/>
      <c r="N799" s="65"/>
      <c r="O799" s="65"/>
      <c r="P799" s="65"/>
      <c r="Q799" s="65"/>
      <c r="R799" s="65"/>
      <c r="S799" s="65"/>
      <c r="T799" s="65"/>
      <c r="U799" s="65"/>
      <c r="V799" s="65"/>
      <c r="W799" s="65"/>
      <c r="X799" s="65"/>
      <c r="Y799" s="65"/>
      <c r="Z799" s="65"/>
    </row>
    <row r="800" customFormat="false" ht="15.75" hidden="false" customHeight="true" outlineLevel="0" collapsed="false">
      <c r="A800" s="65"/>
      <c r="B800" s="65"/>
      <c r="C800" s="65"/>
      <c r="D800" s="65"/>
      <c r="E800" s="65"/>
      <c r="F800" s="65"/>
      <c r="G800" s="65"/>
      <c r="H800" s="65"/>
      <c r="I800" s="65"/>
      <c r="J800" s="65"/>
      <c r="K800" s="65"/>
      <c r="L800" s="65"/>
      <c r="M800" s="65"/>
      <c r="N800" s="65"/>
      <c r="O800" s="65"/>
      <c r="P800" s="65"/>
      <c r="Q800" s="65"/>
      <c r="R800" s="65"/>
      <c r="S800" s="65"/>
      <c r="T800" s="65"/>
      <c r="U800" s="65"/>
      <c r="V800" s="65"/>
      <c r="W800" s="65"/>
      <c r="X800" s="65"/>
      <c r="Y800" s="65"/>
      <c r="Z800" s="65"/>
    </row>
    <row r="801" customFormat="false" ht="15.75" hidden="false" customHeight="true" outlineLevel="0" collapsed="false">
      <c r="A801" s="65"/>
      <c r="B801" s="65"/>
      <c r="C801" s="65"/>
      <c r="D801" s="65"/>
      <c r="E801" s="65"/>
      <c r="F801" s="65"/>
      <c r="G801" s="65"/>
      <c r="H801" s="65"/>
      <c r="I801" s="65"/>
      <c r="J801" s="65"/>
      <c r="K801" s="65"/>
      <c r="L801" s="65"/>
      <c r="M801" s="65"/>
      <c r="N801" s="65"/>
      <c r="O801" s="65"/>
      <c r="P801" s="65"/>
      <c r="Q801" s="65"/>
      <c r="R801" s="65"/>
      <c r="S801" s="65"/>
      <c r="T801" s="65"/>
      <c r="U801" s="65"/>
      <c r="V801" s="65"/>
      <c r="W801" s="65"/>
      <c r="X801" s="65"/>
      <c r="Y801" s="65"/>
      <c r="Z801" s="65"/>
    </row>
    <row r="802" customFormat="false" ht="15.75" hidden="false" customHeight="true" outlineLevel="0" collapsed="false">
      <c r="A802" s="65"/>
      <c r="B802" s="65"/>
      <c r="C802" s="65"/>
      <c r="D802" s="65"/>
      <c r="E802" s="65"/>
      <c r="F802" s="65"/>
      <c r="G802" s="65"/>
      <c r="H802" s="65"/>
      <c r="I802" s="65"/>
      <c r="J802" s="65"/>
      <c r="K802" s="65"/>
      <c r="L802" s="65"/>
      <c r="M802" s="65"/>
      <c r="N802" s="65"/>
      <c r="O802" s="65"/>
      <c r="P802" s="65"/>
      <c r="Q802" s="65"/>
      <c r="R802" s="65"/>
      <c r="S802" s="65"/>
      <c r="T802" s="65"/>
      <c r="U802" s="65"/>
      <c r="V802" s="65"/>
      <c r="W802" s="65"/>
      <c r="X802" s="65"/>
      <c r="Y802" s="65"/>
      <c r="Z802" s="65"/>
    </row>
    <row r="803" customFormat="false" ht="15.75" hidden="false" customHeight="true" outlineLevel="0" collapsed="false">
      <c r="A803" s="65"/>
      <c r="B803" s="65"/>
      <c r="C803" s="65"/>
      <c r="D803" s="65"/>
      <c r="E803" s="65"/>
      <c r="F803" s="65"/>
      <c r="G803" s="65"/>
      <c r="H803" s="65"/>
      <c r="I803" s="65"/>
      <c r="J803" s="65"/>
      <c r="K803" s="65"/>
      <c r="L803" s="65"/>
      <c r="M803" s="65"/>
      <c r="N803" s="65"/>
      <c r="O803" s="65"/>
      <c r="P803" s="65"/>
      <c r="Q803" s="65"/>
      <c r="R803" s="65"/>
      <c r="S803" s="65"/>
      <c r="T803" s="65"/>
      <c r="U803" s="65"/>
      <c r="V803" s="65"/>
      <c r="W803" s="65"/>
      <c r="X803" s="65"/>
      <c r="Y803" s="65"/>
      <c r="Z803" s="65"/>
    </row>
    <row r="804" customFormat="false" ht="15.75" hidden="false" customHeight="true" outlineLevel="0" collapsed="false">
      <c r="A804" s="65"/>
      <c r="B804" s="65"/>
      <c r="C804" s="65"/>
      <c r="D804" s="65"/>
      <c r="E804" s="65"/>
      <c r="F804" s="65"/>
      <c r="G804" s="65"/>
      <c r="H804" s="65"/>
      <c r="I804" s="65"/>
      <c r="J804" s="65"/>
      <c r="K804" s="65"/>
      <c r="L804" s="65"/>
      <c r="M804" s="65"/>
      <c r="N804" s="65"/>
      <c r="O804" s="65"/>
      <c r="P804" s="65"/>
      <c r="Q804" s="65"/>
      <c r="R804" s="65"/>
      <c r="S804" s="65"/>
      <c r="T804" s="65"/>
      <c r="U804" s="65"/>
      <c r="V804" s="65"/>
      <c r="W804" s="65"/>
      <c r="X804" s="65"/>
      <c r="Y804" s="65"/>
      <c r="Z804" s="65"/>
    </row>
    <row r="805" customFormat="false" ht="15.75" hidden="false" customHeight="true" outlineLevel="0" collapsed="false">
      <c r="A805" s="65"/>
      <c r="B805" s="65"/>
      <c r="C805" s="65"/>
      <c r="D805" s="65"/>
      <c r="E805" s="65"/>
      <c r="F805" s="65"/>
      <c r="G805" s="65"/>
      <c r="H805" s="65"/>
      <c r="I805" s="65"/>
      <c r="J805" s="65"/>
      <c r="K805" s="65"/>
      <c r="L805" s="65"/>
      <c r="M805" s="65"/>
      <c r="N805" s="65"/>
      <c r="O805" s="65"/>
      <c r="P805" s="65"/>
      <c r="Q805" s="65"/>
      <c r="R805" s="65"/>
      <c r="S805" s="65"/>
      <c r="T805" s="65"/>
      <c r="U805" s="65"/>
      <c r="V805" s="65"/>
      <c r="W805" s="65"/>
      <c r="X805" s="65"/>
      <c r="Y805" s="65"/>
      <c r="Z805" s="65"/>
    </row>
    <row r="806" customFormat="false" ht="15.75" hidden="false" customHeight="true" outlineLevel="0" collapsed="false">
      <c r="A806" s="65"/>
      <c r="B806" s="65"/>
      <c r="C806" s="65"/>
      <c r="D806" s="65"/>
      <c r="E806" s="65"/>
      <c r="F806" s="65"/>
      <c r="G806" s="65"/>
      <c r="H806" s="65"/>
      <c r="I806" s="65"/>
      <c r="J806" s="65"/>
      <c r="K806" s="65"/>
      <c r="L806" s="65"/>
      <c r="M806" s="65"/>
      <c r="N806" s="65"/>
      <c r="O806" s="65"/>
      <c r="P806" s="65"/>
      <c r="Q806" s="65"/>
      <c r="R806" s="65"/>
      <c r="S806" s="65"/>
      <c r="T806" s="65"/>
      <c r="U806" s="65"/>
      <c r="V806" s="65"/>
      <c r="W806" s="65"/>
      <c r="X806" s="65"/>
      <c r="Y806" s="65"/>
      <c r="Z806" s="65"/>
    </row>
    <row r="807" customFormat="false" ht="15.75" hidden="false" customHeight="true" outlineLevel="0" collapsed="false">
      <c r="A807" s="65"/>
      <c r="B807" s="65"/>
      <c r="C807" s="65"/>
      <c r="D807" s="65"/>
      <c r="E807" s="65"/>
      <c r="F807" s="65"/>
      <c r="G807" s="65"/>
      <c r="H807" s="65"/>
      <c r="I807" s="65"/>
      <c r="J807" s="65"/>
      <c r="K807" s="65"/>
      <c r="L807" s="65"/>
      <c r="M807" s="65"/>
      <c r="N807" s="65"/>
      <c r="O807" s="65"/>
      <c r="P807" s="65"/>
      <c r="Q807" s="65"/>
      <c r="R807" s="65"/>
      <c r="S807" s="65"/>
      <c r="T807" s="65"/>
      <c r="U807" s="65"/>
      <c r="V807" s="65"/>
      <c r="W807" s="65"/>
      <c r="X807" s="65"/>
      <c r="Y807" s="65"/>
      <c r="Z807" s="65"/>
    </row>
    <row r="808" customFormat="false" ht="15.75" hidden="false" customHeight="true" outlineLevel="0" collapsed="false">
      <c r="A808" s="65"/>
      <c r="B808" s="65"/>
      <c r="C808" s="65"/>
      <c r="D808" s="65"/>
      <c r="E808" s="65"/>
      <c r="F808" s="65"/>
      <c r="G808" s="65"/>
      <c r="H808" s="65"/>
      <c r="I808" s="65"/>
      <c r="J808" s="65"/>
      <c r="K808" s="65"/>
      <c r="L808" s="65"/>
      <c r="M808" s="65"/>
      <c r="N808" s="65"/>
      <c r="O808" s="65"/>
      <c r="P808" s="65"/>
      <c r="Q808" s="65"/>
      <c r="R808" s="65"/>
      <c r="S808" s="65"/>
      <c r="T808" s="65"/>
      <c r="U808" s="65"/>
      <c r="V808" s="65"/>
      <c r="W808" s="65"/>
      <c r="X808" s="65"/>
      <c r="Y808" s="65"/>
      <c r="Z808" s="65"/>
    </row>
    <row r="809" customFormat="false" ht="15.75" hidden="false" customHeight="true" outlineLevel="0" collapsed="false">
      <c r="A809" s="65"/>
      <c r="B809" s="65"/>
      <c r="C809" s="65"/>
      <c r="D809" s="65"/>
      <c r="E809" s="65"/>
      <c r="F809" s="65"/>
      <c r="G809" s="65"/>
      <c r="H809" s="65"/>
      <c r="I809" s="65"/>
      <c r="J809" s="65"/>
      <c r="K809" s="65"/>
      <c r="L809" s="65"/>
      <c r="M809" s="65"/>
      <c r="N809" s="65"/>
      <c r="O809" s="65"/>
      <c r="P809" s="65"/>
      <c r="Q809" s="65"/>
      <c r="R809" s="65"/>
      <c r="S809" s="65"/>
      <c r="T809" s="65"/>
      <c r="U809" s="65"/>
      <c r="V809" s="65"/>
      <c r="W809" s="65"/>
      <c r="X809" s="65"/>
      <c r="Y809" s="65"/>
      <c r="Z809" s="65"/>
    </row>
    <row r="810" customFormat="false" ht="15.75" hidden="false" customHeight="true" outlineLevel="0" collapsed="false">
      <c r="A810" s="65"/>
      <c r="B810" s="65"/>
      <c r="C810" s="65"/>
      <c r="D810" s="65"/>
      <c r="E810" s="65"/>
      <c r="F810" s="65"/>
      <c r="G810" s="65"/>
      <c r="H810" s="65"/>
      <c r="I810" s="65"/>
      <c r="J810" s="65"/>
      <c r="K810" s="65"/>
      <c r="L810" s="65"/>
      <c r="M810" s="65"/>
      <c r="N810" s="65"/>
      <c r="O810" s="65"/>
      <c r="P810" s="65"/>
      <c r="Q810" s="65"/>
      <c r="R810" s="65"/>
      <c r="S810" s="65"/>
      <c r="T810" s="65"/>
      <c r="U810" s="65"/>
      <c r="V810" s="65"/>
      <c r="W810" s="65"/>
      <c r="X810" s="65"/>
      <c r="Y810" s="65"/>
      <c r="Z810" s="65"/>
    </row>
    <row r="811" customFormat="false" ht="15.75" hidden="false" customHeight="true" outlineLevel="0" collapsed="false">
      <c r="A811" s="65"/>
      <c r="B811" s="65"/>
      <c r="C811" s="65"/>
      <c r="D811" s="65"/>
      <c r="E811" s="65"/>
      <c r="F811" s="65"/>
      <c r="G811" s="65"/>
      <c r="H811" s="65"/>
      <c r="I811" s="65"/>
      <c r="J811" s="65"/>
      <c r="K811" s="65"/>
      <c r="L811" s="65"/>
      <c r="M811" s="65"/>
      <c r="N811" s="65"/>
      <c r="O811" s="65"/>
      <c r="P811" s="65"/>
      <c r="Q811" s="65"/>
      <c r="R811" s="65"/>
      <c r="S811" s="65"/>
      <c r="T811" s="65"/>
      <c r="U811" s="65"/>
      <c r="V811" s="65"/>
      <c r="W811" s="65"/>
      <c r="X811" s="65"/>
      <c r="Y811" s="65"/>
      <c r="Z811" s="65"/>
    </row>
    <row r="812" customFormat="false" ht="15.75" hidden="false" customHeight="true" outlineLevel="0" collapsed="false">
      <c r="A812" s="65"/>
      <c r="B812" s="65"/>
      <c r="C812" s="65"/>
      <c r="D812" s="65"/>
      <c r="E812" s="65"/>
      <c r="F812" s="65"/>
      <c r="G812" s="65"/>
      <c r="H812" s="65"/>
      <c r="I812" s="65"/>
      <c r="J812" s="65"/>
      <c r="K812" s="65"/>
      <c r="L812" s="65"/>
      <c r="M812" s="65"/>
      <c r="N812" s="65"/>
      <c r="O812" s="65"/>
      <c r="P812" s="65"/>
      <c r="Q812" s="65"/>
      <c r="R812" s="65"/>
      <c r="S812" s="65"/>
      <c r="T812" s="65"/>
      <c r="U812" s="65"/>
      <c r="V812" s="65"/>
      <c r="W812" s="65"/>
      <c r="X812" s="65"/>
      <c r="Y812" s="65"/>
      <c r="Z812" s="65"/>
    </row>
    <row r="813" customFormat="false" ht="15.75" hidden="false" customHeight="true" outlineLevel="0" collapsed="false">
      <c r="A813" s="65"/>
      <c r="B813" s="65"/>
      <c r="C813" s="65"/>
      <c r="D813" s="65"/>
      <c r="E813" s="65"/>
      <c r="F813" s="65"/>
      <c r="G813" s="65"/>
      <c r="H813" s="65"/>
      <c r="I813" s="65"/>
      <c r="J813" s="65"/>
      <c r="K813" s="65"/>
      <c r="L813" s="65"/>
      <c r="M813" s="65"/>
      <c r="N813" s="65"/>
      <c r="O813" s="65"/>
      <c r="P813" s="65"/>
      <c r="Q813" s="65"/>
      <c r="R813" s="65"/>
      <c r="S813" s="65"/>
      <c r="T813" s="65"/>
      <c r="U813" s="65"/>
      <c r="V813" s="65"/>
      <c r="W813" s="65"/>
      <c r="X813" s="65"/>
      <c r="Y813" s="65"/>
      <c r="Z813" s="65"/>
    </row>
    <row r="814" customFormat="false" ht="15.75" hidden="false" customHeight="true" outlineLevel="0" collapsed="false">
      <c r="A814" s="65"/>
      <c r="B814" s="65"/>
      <c r="C814" s="65"/>
      <c r="D814" s="65"/>
      <c r="E814" s="65"/>
      <c r="F814" s="65"/>
      <c r="G814" s="65"/>
      <c r="H814" s="65"/>
      <c r="I814" s="65"/>
      <c r="J814" s="65"/>
      <c r="K814" s="65"/>
      <c r="L814" s="65"/>
      <c r="M814" s="65"/>
      <c r="N814" s="65"/>
      <c r="O814" s="65"/>
      <c r="P814" s="65"/>
      <c r="Q814" s="65"/>
      <c r="R814" s="65"/>
      <c r="S814" s="65"/>
      <c r="T814" s="65"/>
      <c r="U814" s="65"/>
      <c r="V814" s="65"/>
      <c r="W814" s="65"/>
      <c r="X814" s="65"/>
      <c r="Y814" s="65"/>
      <c r="Z814" s="65"/>
    </row>
    <row r="815" customFormat="false" ht="15.75" hidden="false" customHeight="true" outlineLevel="0" collapsed="false">
      <c r="A815" s="65"/>
      <c r="B815" s="65"/>
      <c r="C815" s="65"/>
      <c r="D815" s="65"/>
      <c r="E815" s="65"/>
      <c r="F815" s="65"/>
      <c r="G815" s="65"/>
      <c r="H815" s="65"/>
      <c r="I815" s="65"/>
      <c r="J815" s="65"/>
      <c r="K815" s="65"/>
      <c r="L815" s="65"/>
      <c r="M815" s="65"/>
      <c r="N815" s="65"/>
      <c r="O815" s="65"/>
      <c r="P815" s="65"/>
      <c r="Q815" s="65"/>
      <c r="R815" s="65"/>
      <c r="S815" s="65"/>
      <c r="T815" s="65"/>
      <c r="U815" s="65"/>
      <c r="V815" s="65"/>
      <c r="W815" s="65"/>
      <c r="X815" s="65"/>
      <c r="Y815" s="65"/>
      <c r="Z815" s="65"/>
    </row>
    <row r="816" customFormat="false" ht="15.75" hidden="false" customHeight="true" outlineLevel="0" collapsed="false">
      <c r="A816" s="65"/>
      <c r="B816" s="65"/>
      <c r="C816" s="65"/>
      <c r="D816" s="65"/>
      <c r="E816" s="65"/>
      <c r="F816" s="65"/>
      <c r="G816" s="65"/>
      <c r="H816" s="65"/>
      <c r="I816" s="65"/>
      <c r="J816" s="65"/>
      <c r="K816" s="65"/>
      <c r="L816" s="65"/>
      <c r="M816" s="65"/>
      <c r="N816" s="65"/>
      <c r="O816" s="65"/>
      <c r="P816" s="65"/>
      <c r="Q816" s="65"/>
      <c r="R816" s="65"/>
      <c r="S816" s="65"/>
      <c r="T816" s="65"/>
      <c r="U816" s="65"/>
      <c r="V816" s="65"/>
      <c r="W816" s="65"/>
      <c r="X816" s="65"/>
      <c r="Y816" s="65"/>
      <c r="Z816" s="65"/>
    </row>
    <row r="817" customFormat="false" ht="15.75" hidden="false" customHeight="true" outlineLevel="0" collapsed="false">
      <c r="A817" s="65"/>
      <c r="B817" s="65"/>
      <c r="C817" s="65"/>
      <c r="D817" s="65"/>
      <c r="E817" s="65"/>
      <c r="F817" s="65"/>
      <c r="G817" s="65"/>
      <c r="H817" s="65"/>
      <c r="I817" s="65"/>
      <c r="J817" s="65"/>
      <c r="K817" s="65"/>
      <c r="L817" s="65"/>
      <c r="M817" s="65"/>
      <c r="N817" s="65"/>
      <c r="O817" s="65"/>
      <c r="P817" s="65"/>
      <c r="Q817" s="65"/>
      <c r="R817" s="65"/>
      <c r="S817" s="65"/>
      <c r="T817" s="65"/>
      <c r="U817" s="65"/>
      <c r="V817" s="65"/>
      <c r="W817" s="65"/>
      <c r="X817" s="65"/>
      <c r="Y817" s="65"/>
      <c r="Z817" s="65"/>
    </row>
    <row r="818" customFormat="false" ht="15.75" hidden="false" customHeight="true" outlineLevel="0" collapsed="false">
      <c r="A818" s="65"/>
      <c r="B818" s="65"/>
      <c r="C818" s="65"/>
      <c r="D818" s="65"/>
      <c r="E818" s="65"/>
      <c r="F818" s="65"/>
      <c r="G818" s="65"/>
      <c r="H818" s="65"/>
      <c r="I818" s="65"/>
      <c r="J818" s="65"/>
      <c r="K818" s="65"/>
      <c r="L818" s="65"/>
      <c r="M818" s="65"/>
      <c r="N818" s="65"/>
      <c r="O818" s="65"/>
      <c r="P818" s="65"/>
      <c r="Q818" s="65"/>
      <c r="R818" s="65"/>
      <c r="S818" s="65"/>
      <c r="T818" s="65"/>
      <c r="U818" s="65"/>
      <c r="V818" s="65"/>
      <c r="W818" s="65"/>
      <c r="X818" s="65"/>
      <c r="Y818" s="65"/>
      <c r="Z818" s="65"/>
    </row>
    <row r="819" customFormat="false" ht="15.75" hidden="false" customHeight="true" outlineLevel="0" collapsed="false">
      <c r="A819" s="65"/>
      <c r="B819" s="65"/>
      <c r="C819" s="65"/>
      <c r="D819" s="65"/>
      <c r="E819" s="65"/>
      <c r="F819" s="65"/>
      <c r="G819" s="65"/>
      <c r="H819" s="65"/>
      <c r="I819" s="65"/>
      <c r="J819" s="65"/>
      <c r="K819" s="65"/>
      <c r="L819" s="65"/>
      <c r="M819" s="65"/>
      <c r="N819" s="65"/>
      <c r="O819" s="65"/>
      <c r="P819" s="65"/>
      <c r="Q819" s="65"/>
      <c r="R819" s="65"/>
      <c r="S819" s="65"/>
      <c r="T819" s="65"/>
      <c r="U819" s="65"/>
      <c r="V819" s="65"/>
      <c r="W819" s="65"/>
      <c r="X819" s="65"/>
      <c r="Y819" s="65"/>
      <c r="Z819" s="65"/>
    </row>
    <row r="820" customFormat="false" ht="15.75" hidden="false" customHeight="true" outlineLevel="0" collapsed="false">
      <c r="A820" s="65"/>
      <c r="B820" s="65"/>
      <c r="C820" s="65"/>
      <c r="D820" s="65"/>
      <c r="E820" s="65"/>
      <c r="F820" s="65"/>
      <c r="G820" s="65"/>
      <c r="H820" s="65"/>
      <c r="I820" s="65"/>
      <c r="J820" s="65"/>
      <c r="K820" s="65"/>
      <c r="L820" s="65"/>
      <c r="M820" s="65"/>
      <c r="N820" s="65"/>
      <c r="O820" s="65"/>
      <c r="P820" s="65"/>
      <c r="Q820" s="65"/>
      <c r="R820" s="65"/>
      <c r="S820" s="65"/>
      <c r="T820" s="65"/>
      <c r="U820" s="65"/>
      <c r="V820" s="65"/>
      <c r="W820" s="65"/>
      <c r="X820" s="65"/>
      <c r="Y820" s="65"/>
      <c r="Z820" s="65"/>
    </row>
    <row r="821" customFormat="false" ht="15.75" hidden="false" customHeight="true" outlineLevel="0" collapsed="false">
      <c r="A821" s="65"/>
      <c r="B821" s="65"/>
      <c r="C821" s="65"/>
      <c r="D821" s="65"/>
      <c r="E821" s="65"/>
      <c r="F821" s="65"/>
      <c r="G821" s="65"/>
      <c r="H821" s="65"/>
      <c r="I821" s="65"/>
      <c r="J821" s="65"/>
      <c r="K821" s="65"/>
      <c r="L821" s="65"/>
      <c r="M821" s="65"/>
      <c r="N821" s="65"/>
      <c r="O821" s="65"/>
      <c r="P821" s="65"/>
      <c r="Q821" s="65"/>
      <c r="R821" s="65"/>
      <c r="S821" s="65"/>
      <c r="T821" s="65"/>
      <c r="U821" s="65"/>
      <c r="V821" s="65"/>
      <c r="W821" s="65"/>
      <c r="X821" s="65"/>
      <c r="Y821" s="65"/>
      <c r="Z821" s="65"/>
    </row>
    <row r="822" customFormat="false" ht="15.75" hidden="false" customHeight="true" outlineLevel="0" collapsed="false">
      <c r="A822" s="65"/>
      <c r="B822" s="65"/>
      <c r="C822" s="65"/>
      <c r="D822" s="65"/>
      <c r="E822" s="65"/>
      <c r="F822" s="65"/>
      <c r="G822" s="65"/>
      <c r="H822" s="65"/>
      <c r="I822" s="65"/>
      <c r="J822" s="65"/>
      <c r="K822" s="65"/>
      <c r="L822" s="65"/>
      <c r="M822" s="65"/>
      <c r="N822" s="65"/>
      <c r="O822" s="65"/>
      <c r="P822" s="65"/>
      <c r="Q822" s="65"/>
      <c r="R822" s="65"/>
      <c r="S822" s="65"/>
      <c r="T822" s="65"/>
      <c r="U822" s="65"/>
      <c r="V822" s="65"/>
      <c r="W822" s="65"/>
      <c r="X822" s="65"/>
      <c r="Y822" s="65"/>
      <c r="Z822" s="65"/>
    </row>
    <row r="823" customFormat="false" ht="15.75" hidden="false" customHeight="true" outlineLevel="0" collapsed="false">
      <c r="A823" s="65"/>
      <c r="B823" s="65"/>
      <c r="C823" s="65"/>
      <c r="D823" s="65"/>
      <c r="E823" s="65"/>
      <c r="F823" s="65"/>
      <c r="G823" s="65"/>
      <c r="H823" s="65"/>
      <c r="I823" s="65"/>
      <c r="J823" s="65"/>
      <c r="K823" s="65"/>
      <c r="L823" s="65"/>
      <c r="M823" s="65"/>
      <c r="N823" s="65"/>
      <c r="O823" s="65"/>
      <c r="P823" s="65"/>
      <c r="Q823" s="65"/>
      <c r="R823" s="65"/>
      <c r="S823" s="65"/>
      <c r="T823" s="65"/>
      <c r="U823" s="65"/>
      <c r="V823" s="65"/>
      <c r="W823" s="65"/>
      <c r="X823" s="65"/>
      <c r="Y823" s="65"/>
      <c r="Z823" s="65"/>
    </row>
    <row r="824" customFormat="false" ht="15.75" hidden="false" customHeight="true" outlineLevel="0" collapsed="false">
      <c r="A824" s="65"/>
      <c r="B824" s="65"/>
      <c r="C824" s="65"/>
      <c r="D824" s="65"/>
      <c r="E824" s="65"/>
      <c r="F824" s="65"/>
      <c r="G824" s="65"/>
      <c r="H824" s="65"/>
      <c r="I824" s="65"/>
      <c r="J824" s="65"/>
      <c r="K824" s="65"/>
      <c r="L824" s="65"/>
      <c r="M824" s="65"/>
      <c r="N824" s="65"/>
      <c r="O824" s="65"/>
      <c r="P824" s="65"/>
      <c r="Q824" s="65"/>
      <c r="R824" s="65"/>
      <c r="S824" s="65"/>
      <c r="T824" s="65"/>
      <c r="U824" s="65"/>
      <c r="V824" s="65"/>
      <c r="W824" s="65"/>
      <c r="X824" s="65"/>
      <c r="Y824" s="65"/>
      <c r="Z824" s="65"/>
    </row>
    <row r="825" customFormat="false" ht="15.75" hidden="false" customHeight="true" outlineLevel="0" collapsed="false">
      <c r="A825" s="65"/>
      <c r="B825" s="65"/>
      <c r="C825" s="65"/>
      <c r="D825" s="65"/>
      <c r="E825" s="65"/>
      <c r="F825" s="65"/>
      <c r="G825" s="65"/>
      <c r="H825" s="65"/>
      <c r="I825" s="65"/>
      <c r="J825" s="65"/>
      <c r="K825" s="65"/>
      <c r="L825" s="65"/>
      <c r="M825" s="65"/>
      <c r="N825" s="65"/>
      <c r="O825" s="65"/>
      <c r="P825" s="65"/>
      <c r="Q825" s="65"/>
      <c r="R825" s="65"/>
      <c r="S825" s="65"/>
      <c r="T825" s="65"/>
      <c r="U825" s="65"/>
      <c r="V825" s="65"/>
      <c r="W825" s="65"/>
      <c r="X825" s="65"/>
      <c r="Y825" s="65"/>
      <c r="Z825" s="65"/>
    </row>
    <row r="826" customFormat="false" ht="15.75" hidden="false" customHeight="true" outlineLevel="0" collapsed="false">
      <c r="A826" s="65"/>
      <c r="B826" s="65"/>
      <c r="C826" s="65"/>
      <c r="D826" s="65"/>
      <c r="E826" s="65"/>
      <c r="F826" s="65"/>
      <c r="G826" s="65"/>
      <c r="H826" s="65"/>
      <c r="I826" s="65"/>
      <c r="J826" s="65"/>
      <c r="K826" s="65"/>
      <c r="L826" s="65"/>
      <c r="M826" s="65"/>
      <c r="N826" s="65"/>
      <c r="O826" s="65"/>
      <c r="P826" s="65"/>
      <c r="Q826" s="65"/>
      <c r="R826" s="65"/>
      <c r="S826" s="65"/>
      <c r="T826" s="65"/>
      <c r="U826" s="65"/>
      <c r="V826" s="65"/>
      <c r="W826" s="65"/>
      <c r="X826" s="65"/>
      <c r="Y826" s="65"/>
      <c r="Z826" s="65"/>
    </row>
    <row r="827" customFormat="false" ht="15.75" hidden="false" customHeight="true" outlineLevel="0" collapsed="false">
      <c r="A827" s="65"/>
      <c r="B827" s="65"/>
      <c r="C827" s="65"/>
      <c r="D827" s="65"/>
      <c r="E827" s="65"/>
      <c r="F827" s="65"/>
      <c r="G827" s="65"/>
      <c r="H827" s="65"/>
      <c r="I827" s="65"/>
      <c r="J827" s="65"/>
      <c r="K827" s="65"/>
      <c r="L827" s="65"/>
      <c r="M827" s="65"/>
      <c r="N827" s="65"/>
      <c r="O827" s="65"/>
      <c r="P827" s="65"/>
      <c r="Q827" s="65"/>
      <c r="R827" s="65"/>
      <c r="S827" s="65"/>
      <c r="T827" s="65"/>
      <c r="U827" s="65"/>
      <c r="V827" s="65"/>
      <c r="W827" s="65"/>
      <c r="X827" s="65"/>
      <c r="Y827" s="65"/>
      <c r="Z827" s="65"/>
    </row>
    <row r="828" customFormat="false" ht="15.75" hidden="false" customHeight="true" outlineLevel="0" collapsed="false">
      <c r="A828" s="65"/>
      <c r="B828" s="65"/>
      <c r="C828" s="65"/>
      <c r="D828" s="65"/>
      <c r="E828" s="65"/>
      <c r="F828" s="65"/>
      <c r="G828" s="65"/>
      <c r="H828" s="65"/>
      <c r="I828" s="65"/>
      <c r="J828" s="65"/>
      <c r="K828" s="65"/>
      <c r="L828" s="65"/>
      <c r="M828" s="65"/>
      <c r="N828" s="65"/>
      <c r="O828" s="65"/>
      <c r="P828" s="65"/>
      <c r="Q828" s="65"/>
      <c r="R828" s="65"/>
      <c r="S828" s="65"/>
      <c r="T828" s="65"/>
      <c r="U828" s="65"/>
      <c r="V828" s="65"/>
      <c r="W828" s="65"/>
      <c r="X828" s="65"/>
      <c r="Y828" s="65"/>
      <c r="Z828" s="65"/>
    </row>
    <row r="829" customFormat="false" ht="15.75" hidden="false" customHeight="true" outlineLevel="0" collapsed="false">
      <c r="A829" s="65"/>
      <c r="B829" s="65"/>
      <c r="C829" s="65"/>
      <c r="D829" s="65"/>
      <c r="E829" s="65"/>
      <c r="F829" s="65"/>
      <c r="G829" s="65"/>
      <c r="H829" s="65"/>
      <c r="I829" s="65"/>
      <c r="J829" s="65"/>
      <c r="K829" s="65"/>
      <c r="L829" s="65"/>
      <c r="M829" s="65"/>
      <c r="N829" s="65"/>
      <c r="O829" s="65"/>
      <c r="P829" s="65"/>
      <c r="Q829" s="65"/>
      <c r="R829" s="65"/>
      <c r="S829" s="65"/>
      <c r="T829" s="65"/>
      <c r="U829" s="65"/>
      <c r="V829" s="65"/>
      <c r="W829" s="65"/>
      <c r="X829" s="65"/>
      <c r="Y829" s="65"/>
      <c r="Z829" s="65"/>
    </row>
    <row r="830" customFormat="false" ht="15.75" hidden="false" customHeight="true" outlineLevel="0" collapsed="false">
      <c r="A830" s="65"/>
      <c r="B830" s="65"/>
      <c r="C830" s="65"/>
      <c r="D830" s="65"/>
      <c r="E830" s="65"/>
      <c r="F830" s="65"/>
      <c r="G830" s="65"/>
      <c r="H830" s="65"/>
      <c r="I830" s="65"/>
      <c r="J830" s="65"/>
      <c r="K830" s="65"/>
      <c r="L830" s="65"/>
      <c r="M830" s="65"/>
      <c r="N830" s="65"/>
      <c r="O830" s="65"/>
      <c r="P830" s="65"/>
      <c r="Q830" s="65"/>
      <c r="R830" s="65"/>
      <c r="S830" s="65"/>
      <c r="T830" s="65"/>
      <c r="U830" s="65"/>
      <c r="V830" s="65"/>
      <c r="W830" s="65"/>
      <c r="X830" s="65"/>
      <c r="Y830" s="65"/>
      <c r="Z830" s="65"/>
    </row>
    <row r="831" customFormat="false" ht="15.75" hidden="false" customHeight="true" outlineLevel="0" collapsed="false">
      <c r="A831" s="65"/>
      <c r="B831" s="65"/>
      <c r="C831" s="65"/>
      <c r="D831" s="65"/>
      <c r="E831" s="65"/>
      <c r="F831" s="65"/>
      <c r="G831" s="65"/>
      <c r="H831" s="65"/>
      <c r="I831" s="65"/>
      <c r="J831" s="65"/>
      <c r="K831" s="65"/>
      <c r="L831" s="65"/>
      <c r="M831" s="65"/>
      <c r="N831" s="65"/>
      <c r="O831" s="65"/>
      <c r="P831" s="65"/>
      <c r="Q831" s="65"/>
      <c r="R831" s="65"/>
      <c r="S831" s="65"/>
      <c r="T831" s="65"/>
      <c r="U831" s="65"/>
      <c r="V831" s="65"/>
      <c r="W831" s="65"/>
      <c r="X831" s="65"/>
      <c r="Y831" s="65"/>
      <c r="Z831" s="65"/>
    </row>
    <row r="832" customFormat="false" ht="15.75" hidden="false" customHeight="true" outlineLevel="0" collapsed="false">
      <c r="A832" s="65"/>
      <c r="B832" s="65"/>
      <c r="C832" s="65"/>
      <c r="D832" s="65"/>
      <c r="E832" s="65"/>
      <c r="F832" s="65"/>
      <c r="G832" s="65"/>
      <c r="H832" s="65"/>
      <c r="I832" s="65"/>
      <c r="J832" s="65"/>
      <c r="K832" s="65"/>
      <c r="L832" s="65"/>
      <c r="M832" s="65"/>
      <c r="N832" s="65"/>
      <c r="O832" s="65"/>
      <c r="P832" s="65"/>
      <c r="Q832" s="65"/>
      <c r="R832" s="65"/>
      <c r="S832" s="65"/>
      <c r="T832" s="65"/>
      <c r="U832" s="65"/>
      <c r="V832" s="65"/>
      <c r="W832" s="65"/>
      <c r="X832" s="65"/>
      <c r="Y832" s="65"/>
      <c r="Z832" s="65"/>
    </row>
    <row r="833" customFormat="false" ht="15.75" hidden="false" customHeight="true" outlineLevel="0" collapsed="false">
      <c r="A833" s="65"/>
      <c r="B833" s="65"/>
      <c r="C833" s="65"/>
      <c r="D833" s="65"/>
      <c r="E833" s="65"/>
      <c r="F833" s="65"/>
      <c r="G833" s="65"/>
      <c r="H833" s="65"/>
      <c r="I833" s="65"/>
      <c r="J833" s="65"/>
      <c r="K833" s="65"/>
      <c r="L833" s="65"/>
      <c r="M833" s="65"/>
      <c r="N833" s="65"/>
      <c r="O833" s="65"/>
      <c r="P833" s="65"/>
      <c r="Q833" s="65"/>
      <c r="R833" s="65"/>
      <c r="S833" s="65"/>
      <c r="T833" s="65"/>
      <c r="U833" s="65"/>
      <c r="V833" s="65"/>
      <c r="W833" s="65"/>
      <c r="X833" s="65"/>
      <c r="Y833" s="65"/>
      <c r="Z833" s="65"/>
    </row>
    <row r="834" customFormat="false" ht="15.75" hidden="false" customHeight="true" outlineLevel="0" collapsed="false">
      <c r="A834" s="65"/>
      <c r="B834" s="65"/>
      <c r="C834" s="65"/>
      <c r="D834" s="65"/>
      <c r="E834" s="65"/>
      <c r="F834" s="65"/>
      <c r="G834" s="65"/>
      <c r="H834" s="65"/>
      <c r="I834" s="65"/>
      <c r="J834" s="65"/>
      <c r="K834" s="65"/>
      <c r="L834" s="65"/>
      <c r="M834" s="65"/>
      <c r="N834" s="65"/>
      <c r="O834" s="65"/>
      <c r="P834" s="65"/>
      <c r="Q834" s="65"/>
      <c r="R834" s="65"/>
      <c r="S834" s="65"/>
      <c r="T834" s="65"/>
      <c r="U834" s="65"/>
      <c r="V834" s="65"/>
      <c r="W834" s="65"/>
      <c r="X834" s="65"/>
      <c r="Y834" s="65"/>
      <c r="Z834" s="65"/>
    </row>
    <row r="835" customFormat="false" ht="15.75" hidden="false" customHeight="true" outlineLevel="0" collapsed="false">
      <c r="A835" s="65"/>
      <c r="B835" s="65"/>
      <c r="C835" s="65"/>
      <c r="D835" s="65"/>
      <c r="E835" s="65"/>
      <c r="F835" s="65"/>
      <c r="G835" s="65"/>
      <c r="H835" s="65"/>
      <c r="I835" s="65"/>
      <c r="J835" s="65"/>
      <c r="K835" s="65"/>
      <c r="L835" s="65"/>
      <c r="M835" s="65"/>
      <c r="N835" s="65"/>
      <c r="O835" s="65"/>
      <c r="P835" s="65"/>
      <c r="Q835" s="65"/>
      <c r="R835" s="65"/>
      <c r="S835" s="65"/>
      <c r="T835" s="65"/>
      <c r="U835" s="65"/>
      <c r="V835" s="65"/>
      <c r="W835" s="65"/>
      <c r="X835" s="65"/>
      <c r="Y835" s="65"/>
      <c r="Z835" s="65"/>
    </row>
    <row r="836" customFormat="false" ht="15.75" hidden="false" customHeight="true" outlineLevel="0" collapsed="false">
      <c r="A836" s="65"/>
      <c r="B836" s="65"/>
      <c r="C836" s="65"/>
      <c r="D836" s="65"/>
      <c r="E836" s="65"/>
      <c r="F836" s="65"/>
      <c r="G836" s="65"/>
      <c r="H836" s="65"/>
      <c r="I836" s="65"/>
      <c r="J836" s="65"/>
      <c r="K836" s="65"/>
      <c r="L836" s="65"/>
      <c r="M836" s="65"/>
      <c r="N836" s="65"/>
      <c r="O836" s="65"/>
      <c r="P836" s="65"/>
      <c r="Q836" s="65"/>
      <c r="R836" s="65"/>
      <c r="S836" s="65"/>
      <c r="T836" s="65"/>
      <c r="U836" s="65"/>
      <c r="V836" s="65"/>
      <c r="W836" s="65"/>
      <c r="X836" s="65"/>
      <c r="Y836" s="65"/>
      <c r="Z836" s="65"/>
    </row>
    <row r="837" customFormat="false" ht="15.75" hidden="false" customHeight="true" outlineLevel="0" collapsed="false">
      <c r="A837" s="65"/>
      <c r="B837" s="65"/>
      <c r="C837" s="65"/>
      <c r="D837" s="65"/>
      <c r="E837" s="65"/>
      <c r="F837" s="65"/>
      <c r="G837" s="65"/>
      <c r="H837" s="65"/>
      <c r="I837" s="65"/>
      <c r="J837" s="65"/>
      <c r="K837" s="65"/>
      <c r="L837" s="65"/>
      <c r="M837" s="65"/>
      <c r="N837" s="65"/>
      <c r="O837" s="65"/>
      <c r="P837" s="65"/>
      <c r="Q837" s="65"/>
      <c r="R837" s="65"/>
      <c r="S837" s="65"/>
      <c r="T837" s="65"/>
      <c r="U837" s="65"/>
      <c r="V837" s="65"/>
      <c r="W837" s="65"/>
      <c r="X837" s="65"/>
      <c r="Y837" s="65"/>
      <c r="Z837" s="65"/>
    </row>
    <row r="838" customFormat="false" ht="15.75" hidden="false" customHeight="true" outlineLevel="0" collapsed="false">
      <c r="A838" s="65"/>
      <c r="B838" s="65"/>
      <c r="C838" s="65"/>
      <c r="D838" s="65"/>
      <c r="E838" s="65"/>
      <c r="F838" s="65"/>
      <c r="G838" s="65"/>
      <c r="H838" s="65"/>
      <c r="I838" s="65"/>
      <c r="J838" s="65"/>
      <c r="K838" s="65"/>
      <c r="L838" s="65"/>
      <c r="M838" s="65"/>
      <c r="N838" s="65"/>
      <c r="O838" s="65"/>
      <c r="P838" s="65"/>
      <c r="Q838" s="65"/>
      <c r="R838" s="65"/>
      <c r="S838" s="65"/>
      <c r="T838" s="65"/>
      <c r="U838" s="65"/>
      <c r="V838" s="65"/>
      <c r="W838" s="65"/>
      <c r="X838" s="65"/>
      <c r="Y838" s="65"/>
      <c r="Z838" s="65"/>
    </row>
    <row r="839" customFormat="false" ht="15.75" hidden="false" customHeight="true" outlineLevel="0" collapsed="false">
      <c r="A839" s="65"/>
      <c r="B839" s="65"/>
      <c r="C839" s="65"/>
      <c r="D839" s="65"/>
      <c r="E839" s="65"/>
      <c r="F839" s="65"/>
      <c r="G839" s="65"/>
      <c r="H839" s="65"/>
      <c r="I839" s="65"/>
      <c r="J839" s="65"/>
      <c r="K839" s="65"/>
      <c r="L839" s="65"/>
      <c r="M839" s="65"/>
      <c r="N839" s="65"/>
      <c r="O839" s="65"/>
      <c r="P839" s="65"/>
      <c r="Q839" s="65"/>
      <c r="R839" s="65"/>
      <c r="S839" s="65"/>
      <c r="T839" s="65"/>
      <c r="U839" s="65"/>
      <c r="V839" s="65"/>
      <c r="W839" s="65"/>
      <c r="X839" s="65"/>
      <c r="Y839" s="65"/>
      <c r="Z839" s="65"/>
    </row>
    <row r="840" customFormat="false" ht="15.75" hidden="false" customHeight="true" outlineLevel="0" collapsed="false">
      <c r="A840" s="65"/>
      <c r="B840" s="65"/>
      <c r="C840" s="65"/>
      <c r="D840" s="65"/>
      <c r="E840" s="65"/>
      <c r="F840" s="65"/>
      <c r="G840" s="65"/>
      <c r="H840" s="65"/>
      <c r="I840" s="65"/>
      <c r="J840" s="65"/>
      <c r="K840" s="65"/>
      <c r="L840" s="65"/>
      <c r="M840" s="65"/>
      <c r="N840" s="65"/>
      <c r="O840" s="65"/>
      <c r="P840" s="65"/>
      <c r="Q840" s="65"/>
      <c r="R840" s="65"/>
      <c r="S840" s="65"/>
      <c r="T840" s="65"/>
      <c r="U840" s="65"/>
      <c r="V840" s="65"/>
      <c r="W840" s="65"/>
      <c r="X840" s="65"/>
      <c r="Y840" s="65"/>
      <c r="Z840" s="65"/>
    </row>
    <row r="841" customFormat="false" ht="15.75" hidden="false" customHeight="true" outlineLevel="0" collapsed="false">
      <c r="A841" s="65"/>
      <c r="B841" s="65"/>
      <c r="C841" s="65"/>
      <c r="D841" s="65"/>
      <c r="E841" s="65"/>
      <c r="F841" s="65"/>
      <c r="G841" s="65"/>
      <c r="H841" s="65"/>
      <c r="I841" s="65"/>
      <c r="J841" s="65"/>
      <c r="K841" s="65"/>
      <c r="L841" s="65"/>
      <c r="M841" s="65"/>
      <c r="N841" s="65"/>
      <c r="O841" s="65"/>
      <c r="P841" s="65"/>
      <c r="Q841" s="65"/>
      <c r="R841" s="65"/>
      <c r="S841" s="65"/>
      <c r="T841" s="65"/>
      <c r="U841" s="65"/>
      <c r="V841" s="65"/>
      <c r="W841" s="65"/>
      <c r="X841" s="65"/>
      <c r="Y841" s="65"/>
      <c r="Z841" s="65"/>
    </row>
    <row r="842" customFormat="false" ht="15.75" hidden="false" customHeight="true" outlineLevel="0" collapsed="false">
      <c r="A842" s="65"/>
      <c r="B842" s="65"/>
      <c r="C842" s="65"/>
      <c r="D842" s="65"/>
      <c r="E842" s="65"/>
      <c r="F842" s="65"/>
      <c r="G842" s="65"/>
      <c r="H842" s="65"/>
      <c r="I842" s="65"/>
      <c r="J842" s="65"/>
      <c r="K842" s="65"/>
      <c r="L842" s="65"/>
      <c r="M842" s="65"/>
      <c r="N842" s="65"/>
      <c r="O842" s="65"/>
      <c r="P842" s="65"/>
      <c r="Q842" s="65"/>
      <c r="R842" s="65"/>
      <c r="S842" s="65"/>
      <c r="T842" s="65"/>
      <c r="U842" s="65"/>
      <c r="V842" s="65"/>
      <c r="W842" s="65"/>
      <c r="X842" s="65"/>
      <c r="Y842" s="65"/>
      <c r="Z842" s="65"/>
    </row>
    <row r="843" customFormat="false" ht="15.75" hidden="false" customHeight="true" outlineLevel="0" collapsed="false">
      <c r="A843" s="65"/>
      <c r="B843" s="65"/>
      <c r="C843" s="65"/>
      <c r="D843" s="65"/>
      <c r="E843" s="65"/>
      <c r="F843" s="65"/>
      <c r="G843" s="65"/>
      <c r="H843" s="65"/>
      <c r="I843" s="65"/>
      <c r="J843" s="65"/>
      <c r="K843" s="65"/>
      <c r="L843" s="65"/>
      <c r="M843" s="65"/>
      <c r="N843" s="65"/>
      <c r="O843" s="65"/>
      <c r="P843" s="65"/>
      <c r="Q843" s="65"/>
      <c r="R843" s="65"/>
      <c r="S843" s="65"/>
      <c r="T843" s="65"/>
      <c r="U843" s="65"/>
      <c r="V843" s="65"/>
      <c r="W843" s="65"/>
      <c r="X843" s="65"/>
      <c r="Y843" s="65"/>
      <c r="Z843" s="65"/>
    </row>
    <row r="844" customFormat="false" ht="15.75" hidden="false" customHeight="true" outlineLevel="0" collapsed="false">
      <c r="A844" s="65"/>
      <c r="B844" s="65"/>
      <c r="C844" s="65"/>
      <c r="D844" s="65"/>
      <c r="E844" s="65"/>
      <c r="F844" s="65"/>
      <c r="G844" s="65"/>
      <c r="H844" s="65"/>
      <c r="I844" s="65"/>
      <c r="J844" s="65"/>
      <c r="K844" s="65"/>
      <c r="L844" s="65"/>
      <c r="M844" s="65"/>
      <c r="N844" s="65"/>
      <c r="O844" s="65"/>
      <c r="P844" s="65"/>
      <c r="Q844" s="65"/>
      <c r="R844" s="65"/>
      <c r="S844" s="65"/>
      <c r="T844" s="65"/>
      <c r="U844" s="65"/>
      <c r="V844" s="65"/>
      <c r="W844" s="65"/>
      <c r="X844" s="65"/>
      <c r="Y844" s="65"/>
      <c r="Z844" s="65"/>
    </row>
    <row r="845" customFormat="false" ht="15.75" hidden="false" customHeight="true" outlineLevel="0" collapsed="false">
      <c r="A845" s="65"/>
      <c r="B845" s="65"/>
      <c r="C845" s="65"/>
      <c r="D845" s="65"/>
      <c r="E845" s="65"/>
      <c r="F845" s="65"/>
      <c r="G845" s="65"/>
      <c r="H845" s="65"/>
      <c r="I845" s="65"/>
      <c r="J845" s="65"/>
      <c r="K845" s="65"/>
      <c r="L845" s="65"/>
      <c r="M845" s="65"/>
      <c r="N845" s="65"/>
      <c r="O845" s="65"/>
      <c r="P845" s="65"/>
      <c r="Q845" s="65"/>
      <c r="R845" s="65"/>
      <c r="S845" s="65"/>
      <c r="T845" s="65"/>
      <c r="U845" s="65"/>
      <c r="V845" s="65"/>
      <c r="W845" s="65"/>
      <c r="X845" s="65"/>
      <c r="Y845" s="65"/>
      <c r="Z845" s="65"/>
    </row>
    <row r="846" customFormat="false" ht="15.75" hidden="false" customHeight="true" outlineLevel="0" collapsed="false">
      <c r="A846" s="65"/>
      <c r="B846" s="65"/>
      <c r="C846" s="65"/>
      <c r="D846" s="65"/>
      <c r="E846" s="65"/>
      <c r="F846" s="65"/>
      <c r="G846" s="65"/>
      <c r="H846" s="65"/>
      <c r="I846" s="65"/>
      <c r="J846" s="65"/>
      <c r="K846" s="65"/>
      <c r="L846" s="65"/>
      <c r="M846" s="65"/>
      <c r="N846" s="65"/>
      <c r="O846" s="65"/>
      <c r="P846" s="65"/>
      <c r="Q846" s="65"/>
      <c r="R846" s="65"/>
      <c r="S846" s="65"/>
      <c r="T846" s="65"/>
      <c r="U846" s="65"/>
      <c r="V846" s="65"/>
      <c r="W846" s="65"/>
      <c r="X846" s="65"/>
      <c r="Y846" s="65"/>
      <c r="Z846" s="65"/>
    </row>
    <row r="847" customFormat="false" ht="15.75" hidden="false" customHeight="true" outlineLevel="0" collapsed="false">
      <c r="A847" s="65"/>
      <c r="B847" s="65"/>
      <c r="C847" s="65"/>
      <c r="D847" s="65"/>
      <c r="E847" s="65"/>
      <c r="F847" s="65"/>
      <c r="G847" s="65"/>
      <c r="H847" s="65"/>
      <c r="I847" s="65"/>
      <c r="J847" s="65"/>
      <c r="K847" s="65"/>
      <c r="L847" s="65"/>
      <c r="M847" s="65"/>
      <c r="N847" s="65"/>
      <c r="O847" s="65"/>
      <c r="P847" s="65"/>
      <c r="Q847" s="65"/>
      <c r="R847" s="65"/>
      <c r="S847" s="65"/>
      <c r="T847" s="65"/>
      <c r="U847" s="65"/>
      <c r="V847" s="65"/>
      <c r="W847" s="65"/>
      <c r="X847" s="65"/>
      <c r="Y847" s="65"/>
      <c r="Z847" s="65"/>
    </row>
    <row r="848" customFormat="false" ht="15.75" hidden="false" customHeight="true" outlineLevel="0" collapsed="false">
      <c r="A848" s="65"/>
      <c r="B848" s="65"/>
      <c r="C848" s="65"/>
      <c r="D848" s="65"/>
      <c r="E848" s="65"/>
      <c r="F848" s="65"/>
      <c r="G848" s="65"/>
      <c r="H848" s="65"/>
      <c r="I848" s="65"/>
      <c r="J848" s="65"/>
      <c r="K848" s="65"/>
      <c r="L848" s="65"/>
      <c r="M848" s="65"/>
      <c r="N848" s="65"/>
      <c r="O848" s="65"/>
      <c r="P848" s="65"/>
      <c r="Q848" s="65"/>
      <c r="R848" s="65"/>
      <c r="S848" s="65"/>
      <c r="T848" s="65"/>
      <c r="U848" s="65"/>
      <c r="V848" s="65"/>
      <c r="W848" s="65"/>
      <c r="X848" s="65"/>
      <c r="Y848" s="65"/>
      <c r="Z848" s="65"/>
    </row>
    <row r="849" customFormat="false" ht="15.75" hidden="false" customHeight="true" outlineLevel="0" collapsed="false">
      <c r="A849" s="65"/>
      <c r="B849" s="65"/>
      <c r="C849" s="65"/>
      <c r="D849" s="65"/>
      <c r="E849" s="65"/>
      <c r="F849" s="65"/>
      <c r="G849" s="65"/>
      <c r="H849" s="65"/>
      <c r="I849" s="65"/>
      <c r="J849" s="65"/>
      <c r="K849" s="65"/>
      <c r="L849" s="65"/>
      <c r="M849" s="65"/>
      <c r="N849" s="65"/>
      <c r="O849" s="65"/>
      <c r="P849" s="65"/>
      <c r="Q849" s="65"/>
      <c r="R849" s="65"/>
      <c r="S849" s="65"/>
      <c r="T849" s="65"/>
      <c r="U849" s="65"/>
      <c r="V849" s="65"/>
      <c r="W849" s="65"/>
      <c r="X849" s="65"/>
      <c r="Y849" s="65"/>
      <c r="Z849" s="65"/>
    </row>
    <row r="850" customFormat="false" ht="15.75" hidden="false" customHeight="true" outlineLevel="0" collapsed="false">
      <c r="A850" s="65"/>
      <c r="B850" s="65"/>
      <c r="C850" s="65"/>
      <c r="D850" s="65"/>
      <c r="E850" s="65"/>
      <c r="F850" s="65"/>
      <c r="G850" s="65"/>
      <c r="H850" s="65"/>
      <c r="I850" s="65"/>
      <c r="J850" s="65"/>
      <c r="K850" s="65"/>
      <c r="L850" s="65"/>
      <c r="M850" s="65"/>
      <c r="N850" s="65"/>
      <c r="O850" s="65"/>
      <c r="P850" s="65"/>
      <c r="Q850" s="65"/>
      <c r="R850" s="65"/>
      <c r="S850" s="65"/>
      <c r="T850" s="65"/>
      <c r="U850" s="65"/>
      <c r="V850" s="65"/>
      <c r="W850" s="65"/>
      <c r="X850" s="65"/>
      <c r="Y850" s="65"/>
      <c r="Z850" s="65"/>
    </row>
    <row r="851" customFormat="false" ht="15.75" hidden="false" customHeight="true" outlineLevel="0" collapsed="false">
      <c r="A851" s="65"/>
      <c r="B851" s="65"/>
      <c r="C851" s="65"/>
      <c r="D851" s="65"/>
      <c r="E851" s="65"/>
      <c r="F851" s="65"/>
      <c r="G851" s="65"/>
      <c r="H851" s="65"/>
      <c r="I851" s="65"/>
      <c r="J851" s="65"/>
      <c r="K851" s="65"/>
      <c r="L851" s="65"/>
      <c r="M851" s="65"/>
      <c r="N851" s="65"/>
      <c r="O851" s="65"/>
      <c r="P851" s="65"/>
      <c r="Q851" s="65"/>
      <c r="R851" s="65"/>
      <c r="S851" s="65"/>
      <c r="T851" s="65"/>
      <c r="U851" s="65"/>
      <c r="V851" s="65"/>
      <c r="W851" s="65"/>
      <c r="X851" s="65"/>
      <c r="Y851" s="65"/>
      <c r="Z851" s="65"/>
    </row>
    <row r="852" customFormat="false" ht="15.75" hidden="false" customHeight="true" outlineLevel="0" collapsed="false">
      <c r="A852" s="65"/>
      <c r="B852" s="65"/>
      <c r="C852" s="65"/>
      <c r="D852" s="65"/>
      <c r="E852" s="65"/>
      <c r="F852" s="65"/>
      <c r="G852" s="65"/>
      <c r="H852" s="65"/>
      <c r="I852" s="65"/>
      <c r="J852" s="65"/>
      <c r="K852" s="65"/>
      <c r="L852" s="65"/>
      <c r="M852" s="65"/>
      <c r="N852" s="65"/>
      <c r="O852" s="65"/>
      <c r="P852" s="65"/>
      <c r="Q852" s="65"/>
      <c r="R852" s="65"/>
      <c r="S852" s="65"/>
      <c r="T852" s="65"/>
      <c r="U852" s="65"/>
      <c r="V852" s="65"/>
      <c r="W852" s="65"/>
      <c r="X852" s="65"/>
      <c r="Y852" s="65"/>
      <c r="Z852" s="65"/>
    </row>
    <row r="853" customFormat="false" ht="15.75" hidden="false" customHeight="true" outlineLevel="0" collapsed="false">
      <c r="A853" s="65"/>
      <c r="B853" s="65"/>
      <c r="C853" s="65"/>
      <c r="D853" s="65"/>
      <c r="E853" s="65"/>
      <c r="F853" s="65"/>
      <c r="G853" s="65"/>
      <c r="H853" s="65"/>
      <c r="I853" s="65"/>
      <c r="J853" s="65"/>
      <c r="K853" s="65"/>
      <c r="L853" s="65"/>
      <c r="M853" s="65"/>
      <c r="N853" s="65"/>
      <c r="O853" s="65"/>
      <c r="P853" s="65"/>
      <c r="Q853" s="65"/>
      <c r="R853" s="65"/>
      <c r="S853" s="65"/>
      <c r="T853" s="65"/>
      <c r="U853" s="65"/>
      <c r="V853" s="65"/>
      <c r="W853" s="65"/>
      <c r="X853" s="65"/>
      <c r="Y853" s="65"/>
      <c r="Z853" s="65"/>
    </row>
    <row r="854" customFormat="false" ht="15.75" hidden="false" customHeight="true" outlineLevel="0" collapsed="false">
      <c r="A854" s="65"/>
      <c r="B854" s="65"/>
      <c r="C854" s="65"/>
      <c r="D854" s="65"/>
      <c r="E854" s="65"/>
      <c r="F854" s="65"/>
      <c r="G854" s="65"/>
      <c r="H854" s="65"/>
      <c r="I854" s="65"/>
      <c r="J854" s="65"/>
      <c r="K854" s="65"/>
      <c r="L854" s="65"/>
      <c r="M854" s="65"/>
      <c r="N854" s="65"/>
      <c r="O854" s="65"/>
      <c r="P854" s="65"/>
      <c r="Q854" s="65"/>
      <c r="R854" s="65"/>
      <c r="S854" s="65"/>
      <c r="T854" s="65"/>
      <c r="U854" s="65"/>
      <c r="V854" s="65"/>
      <c r="W854" s="65"/>
      <c r="X854" s="65"/>
      <c r="Y854" s="65"/>
      <c r="Z854" s="65"/>
    </row>
    <row r="855" customFormat="false" ht="15.75" hidden="false" customHeight="true" outlineLevel="0" collapsed="false">
      <c r="A855" s="65"/>
      <c r="B855" s="65"/>
      <c r="C855" s="65"/>
      <c r="D855" s="65"/>
      <c r="E855" s="65"/>
      <c r="F855" s="65"/>
      <c r="G855" s="65"/>
      <c r="H855" s="65"/>
      <c r="I855" s="65"/>
      <c r="J855" s="65"/>
      <c r="K855" s="65"/>
      <c r="L855" s="65"/>
      <c r="M855" s="65"/>
      <c r="N855" s="65"/>
      <c r="O855" s="65"/>
      <c r="P855" s="65"/>
      <c r="Q855" s="65"/>
      <c r="R855" s="65"/>
      <c r="S855" s="65"/>
      <c r="T855" s="65"/>
      <c r="U855" s="65"/>
      <c r="V855" s="65"/>
      <c r="W855" s="65"/>
      <c r="X855" s="65"/>
      <c r="Y855" s="65"/>
      <c r="Z855" s="65"/>
    </row>
    <row r="856" customFormat="false" ht="15.75" hidden="false" customHeight="true" outlineLevel="0" collapsed="false">
      <c r="A856" s="65"/>
      <c r="B856" s="65"/>
      <c r="C856" s="65"/>
      <c r="D856" s="65"/>
      <c r="E856" s="65"/>
      <c r="F856" s="65"/>
      <c r="G856" s="65"/>
      <c r="H856" s="65"/>
      <c r="I856" s="65"/>
      <c r="J856" s="65"/>
      <c r="K856" s="65"/>
      <c r="L856" s="65"/>
      <c r="M856" s="65"/>
      <c r="N856" s="65"/>
      <c r="O856" s="65"/>
      <c r="P856" s="65"/>
      <c r="Q856" s="65"/>
      <c r="R856" s="65"/>
      <c r="S856" s="65"/>
      <c r="T856" s="65"/>
      <c r="U856" s="65"/>
      <c r="V856" s="65"/>
      <c r="W856" s="65"/>
      <c r="X856" s="65"/>
      <c r="Y856" s="65"/>
      <c r="Z856" s="65"/>
    </row>
    <row r="857" customFormat="false" ht="15.75" hidden="false" customHeight="true" outlineLevel="0" collapsed="false">
      <c r="A857" s="65"/>
      <c r="B857" s="65"/>
      <c r="C857" s="65"/>
      <c r="D857" s="65"/>
      <c r="E857" s="65"/>
      <c r="F857" s="65"/>
      <c r="G857" s="65"/>
      <c r="H857" s="65"/>
      <c r="I857" s="65"/>
      <c r="J857" s="65"/>
      <c r="K857" s="65"/>
      <c r="L857" s="65"/>
      <c r="M857" s="65"/>
      <c r="N857" s="65"/>
      <c r="O857" s="65"/>
      <c r="P857" s="65"/>
      <c r="Q857" s="65"/>
      <c r="R857" s="65"/>
      <c r="S857" s="65"/>
      <c r="T857" s="65"/>
      <c r="U857" s="65"/>
      <c r="V857" s="65"/>
      <c r="W857" s="65"/>
      <c r="X857" s="65"/>
      <c r="Y857" s="65"/>
      <c r="Z857" s="65"/>
    </row>
    <row r="858" customFormat="false" ht="15.75" hidden="false" customHeight="true" outlineLevel="0" collapsed="false">
      <c r="A858" s="65"/>
      <c r="B858" s="65"/>
      <c r="C858" s="65"/>
      <c r="D858" s="65"/>
      <c r="E858" s="65"/>
      <c r="F858" s="65"/>
      <c r="G858" s="65"/>
      <c r="H858" s="65"/>
      <c r="I858" s="65"/>
      <c r="J858" s="65"/>
      <c r="K858" s="65"/>
      <c r="L858" s="65"/>
      <c r="M858" s="65"/>
      <c r="N858" s="65"/>
      <c r="O858" s="65"/>
      <c r="P858" s="65"/>
      <c r="Q858" s="65"/>
      <c r="R858" s="65"/>
      <c r="S858" s="65"/>
      <c r="T858" s="65"/>
      <c r="U858" s="65"/>
      <c r="V858" s="65"/>
      <c r="W858" s="65"/>
      <c r="X858" s="65"/>
      <c r="Y858" s="65"/>
      <c r="Z858" s="65"/>
    </row>
    <row r="859" customFormat="false" ht="15.75" hidden="false" customHeight="true" outlineLevel="0" collapsed="false">
      <c r="A859" s="65"/>
      <c r="B859" s="65"/>
      <c r="C859" s="65"/>
      <c r="D859" s="65"/>
      <c r="E859" s="65"/>
      <c r="F859" s="65"/>
      <c r="G859" s="65"/>
      <c r="H859" s="65"/>
      <c r="I859" s="65"/>
      <c r="J859" s="65"/>
      <c r="K859" s="65"/>
      <c r="L859" s="65"/>
      <c r="M859" s="65"/>
      <c r="N859" s="65"/>
      <c r="O859" s="65"/>
      <c r="P859" s="65"/>
      <c r="Q859" s="65"/>
      <c r="R859" s="65"/>
      <c r="S859" s="65"/>
      <c r="T859" s="65"/>
      <c r="U859" s="65"/>
      <c r="V859" s="65"/>
      <c r="W859" s="65"/>
      <c r="X859" s="65"/>
      <c r="Y859" s="65"/>
      <c r="Z859" s="65"/>
    </row>
    <row r="860" customFormat="false" ht="15.75" hidden="false" customHeight="true" outlineLevel="0" collapsed="false">
      <c r="A860" s="65"/>
      <c r="B860" s="65"/>
      <c r="C860" s="65"/>
      <c r="D860" s="65"/>
      <c r="E860" s="65"/>
      <c r="F860" s="65"/>
      <c r="G860" s="65"/>
      <c r="H860" s="65"/>
      <c r="I860" s="65"/>
      <c r="J860" s="65"/>
      <c r="K860" s="65"/>
      <c r="L860" s="65"/>
      <c r="M860" s="65"/>
      <c r="N860" s="65"/>
      <c r="O860" s="65"/>
      <c r="P860" s="65"/>
      <c r="Q860" s="65"/>
      <c r="R860" s="65"/>
      <c r="S860" s="65"/>
      <c r="T860" s="65"/>
      <c r="U860" s="65"/>
      <c r="V860" s="65"/>
      <c r="W860" s="65"/>
      <c r="X860" s="65"/>
      <c r="Y860" s="65"/>
      <c r="Z860" s="65"/>
    </row>
    <row r="861" customFormat="false" ht="15.75" hidden="false" customHeight="true" outlineLevel="0" collapsed="false">
      <c r="A861" s="65"/>
      <c r="B861" s="65"/>
      <c r="C861" s="65"/>
      <c r="D861" s="65"/>
      <c r="E861" s="65"/>
      <c r="F861" s="65"/>
      <c r="G861" s="65"/>
      <c r="H861" s="65"/>
      <c r="I861" s="65"/>
      <c r="J861" s="65"/>
      <c r="K861" s="65"/>
      <c r="L861" s="65"/>
      <c r="M861" s="65"/>
      <c r="N861" s="65"/>
      <c r="O861" s="65"/>
      <c r="P861" s="65"/>
      <c r="Q861" s="65"/>
      <c r="R861" s="65"/>
      <c r="S861" s="65"/>
      <c r="T861" s="65"/>
      <c r="U861" s="65"/>
      <c r="V861" s="65"/>
      <c r="W861" s="65"/>
      <c r="X861" s="65"/>
      <c r="Y861" s="65"/>
      <c r="Z861" s="65"/>
    </row>
    <row r="862" customFormat="false" ht="15.75" hidden="false" customHeight="true" outlineLevel="0" collapsed="false">
      <c r="A862" s="65"/>
      <c r="B862" s="65"/>
      <c r="C862" s="65"/>
      <c r="D862" s="65"/>
      <c r="E862" s="65"/>
      <c r="F862" s="65"/>
      <c r="G862" s="65"/>
      <c r="H862" s="65"/>
      <c r="I862" s="65"/>
      <c r="J862" s="65"/>
      <c r="K862" s="65"/>
      <c r="L862" s="65"/>
      <c r="M862" s="65"/>
      <c r="N862" s="65"/>
      <c r="O862" s="65"/>
      <c r="P862" s="65"/>
      <c r="Q862" s="65"/>
      <c r="R862" s="65"/>
      <c r="S862" s="65"/>
      <c r="T862" s="65"/>
      <c r="U862" s="65"/>
      <c r="V862" s="65"/>
      <c r="W862" s="65"/>
      <c r="X862" s="65"/>
      <c r="Y862" s="65"/>
      <c r="Z862" s="65"/>
    </row>
    <row r="863" customFormat="false" ht="15.75" hidden="false" customHeight="true" outlineLevel="0" collapsed="false">
      <c r="A863" s="65"/>
      <c r="B863" s="65"/>
      <c r="C863" s="65"/>
      <c r="D863" s="65"/>
      <c r="E863" s="65"/>
      <c r="F863" s="65"/>
      <c r="G863" s="65"/>
      <c r="H863" s="65"/>
      <c r="I863" s="65"/>
      <c r="J863" s="65"/>
      <c r="K863" s="65"/>
      <c r="L863" s="65"/>
      <c r="M863" s="65"/>
      <c r="N863" s="65"/>
      <c r="O863" s="65"/>
      <c r="P863" s="65"/>
      <c r="Q863" s="65"/>
      <c r="R863" s="65"/>
      <c r="S863" s="65"/>
      <c r="T863" s="65"/>
      <c r="U863" s="65"/>
      <c r="V863" s="65"/>
      <c r="W863" s="65"/>
      <c r="X863" s="65"/>
      <c r="Y863" s="65"/>
      <c r="Z863" s="65"/>
    </row>
    <row r="864" customFormat="false" ht="15.75" hidden="false" customHeight="true" outlineLevel="0" collapsed="false">
      <c r="A864" s="65"/>
      <c r="B864" s="65"/>
      <c r="C864" s="65"/>
      <c r="D864" s="65"/>
      <c r="E864" s="65"/>
      <c r="F864" s="65"/>
      <c r="G864" s="65"/>
      <c r="H864" s="65"/>
      <c r="I864" s="65"/>
      <c r="J864" s="65"/>
      <c r="K864" s="65"/>
      <c r="L864" s="65"/>
      <c r="M864" s="65"/>
      <c r="N864" s="65"/>
      <c r="O864" s="65"/>
      <c r="P864" s="65"/>
      <c r="Q864" s="65"/>
      <c r="R864" s="65"/>
      <c r="S864" s="65"/>
      <c r="T864" s="65"/>
      <c r="U864" s="65"/>
      <c r="V864" s="65"/>
      <c r="W864" s="65"/>
      <c r="X864" s="65"/>
      <c r="Y864" s="65"/>
      <c r="Z864" s="65"/>
    </row>
    <row r="865" customFormat="false" ht="15.75" hidden="false" customHeight="true" outlineLevel="0" collapsed="false">
      <c r="A865" s="65"/>
      <c r="B865" s="65"/>
      <c r="C865" s="65"/>
      <c r="D865" s="65"/>
      <c r="E865" s="65"/>
      <c r="F865" s="65"/>
      <c r="G865" s="65"/>
      <c r="H865" s="65"/>
      <c r="I865" s="65"/>
      <c r="J865" s="65"/>
      <c r="K865" s="65"/>
      <c r="L865" s="65"/>
      <c r="M865" s="65"/>
      <c r="N865" s="65"/>
      <c r="O865" s="65"/>
      <c r="P865" s="65"/>
      <c r="Q865" s="65"/>
      <c r="R865" s="65"/>
      <c r="S865" s="65"/>
      <c r="T865" s="65"/>
      <c r="U865" s="65"/>
      <c r="V865" s="65"/>
      <c r="W865" s="65"/>
      <c r="X865" s="65"/>
      <c r="Y865" s="65"/>
      <c r="Z865" s="65"/>
    </row>
    <row r="866" customFormat="false" ht="15.75" hidden="false" customHeight="true" outlineLevel="0" collapsed="false">
      <c r="A866" s="65"/>
      <c r="B866" s="65"/>
      <c r="C866" s="65"/>
      <c r="D866" s="65"/>
      <c r="E866" s="65"/>
      <c r="F866" s="65"/>
      <c r="G866" s="65"/>
      <c r="H866" s="65"/>
      <c r="I866" s="65"/>
      <c r="J866" s="65"/>
      <c r="K866" s="65"/>
      <c r="L866" s="65"/>
      <c r="M866" s="65"/>
      <c r="N866" s="65"/>
      <c r="O866" s="65"/>
      <c r="P866" s="65"/>
      <c r="Q866" s="65"/>
      <c r="R866" s="65"/>
      <c r="S866" s="65"/>
      <c r="T866" s="65"/>
      <c r="U866" s="65"/>
      <c r="V866" s="65"/>
      <c r="W866" s="65"/>
      <c r="X866" s="65"/>
      <c r="Y866" s="65"/>
      <c r="Z866" s="65"/>
    </row>
    <row r="867" customFormat="false" ht="15.75" hidden="false" customHeight="true" outlineLevel="0" collapsed="false">
      <c r="A867" s="65"/>
      <c r="B867" s="65"/>
      <c r="C867" s="65"/>
      <c r="D867" s="65"/>
      <c r="E867" s="65"/>
      <c r="F867" s="65"/>
      <c r="G867" s="65"/>
      <c r="H867" s="65"/>
      <c r="I867" s="65"/>
      <c r="J867" s="65"/>
      <c r="K867" s="65"/>
      <c r="L867" s="65"/>
      <c r="M867" s="65"/>
      <c r="N867" s="65"/>
      <c r="O867" s="65"/>
      <c r="P867" s="65"/>
      <c r="Q867" s="65"/>
      <c r="R867" s="65"/>
      <c r="S867" s="65"/>
      <c r="T867" s="65"/>
      <c r="U867" s="65"/>
      <c r="V867" s="65"/>
      <c r="W867" s="65"/>
      <c r="X867" s="65"/>
      <c r="Y867" s="65"/>
      <c r="Z867" s="65"/>
    </row>
    <row r="868" customFormat="false" ht="15.75" hidden="false" customHeight="true" outlineLevel="0" collapsed="false">
      <c r="A868" s="65"/>
      <c r="B868" s="65"/>
      <c r="C868" s="65"/>
      <c r="D868" s="65"/>
      <c r="E868" s="65"/>
      <c r="F868" s="65"/>
      <c r="G868" s="65"/>
      <c r="H868" s="65"/>
      <c r="I868" s="65"/>
      <c r="J868" s="65"/>
      <c r="K868" s="65"/>
      <c r="L868" s="65"/>
      <c r="M868" s="65"/>
      <c r="N868" s="65"/>
      <c r="O868" s="65"/>
      <c r="P868" s="65"/>
      <c r="Q868" s="65"/>
      <c r="R868" s="65"/>
      <c r="S868" s="65"/>
      <c r="T868" s="65"/>
      <c r="U868" s="65"/>
      <c r="V868" s="65"/>
      <c r="W868" s="65"/>
      <c r="X868" s="65"/>
      <c r="Y868" s="65"/>
      <c r="Z868" s="65"/>
    </row>
    <row r="869" customFormat="false" ht="15.75" hidden="false" customHeight="true" outlineLevel="0" collapsed="false">
      <c r="A869" s="65"/>
      <c r="B869" s="65"/>
      <c r="C869" s="65"/>
      <c r="D869" s="65"/>
      <c r="E869" s="65"/>
      <c r="F869" s="65"/>
      <c r="G869" s="65"/>
      <c r="H869" s="65"/>
      <c r="I869" s="65"/>
      <c r="J869" s="65"/>
      <c r="K869" s="65"/>
      <c r="L869" s="65"/>
      <c r="M869" s="65"/>
      <c r="N869" s="65"/>
      <c r="O869" s="65"/>
      <c r="P869" s="65"/>
      <c r="Q869" s="65"/>
      <c r="R869" s="65"/>
      <c r="S869" s="65"/>
      <c r="T869" s="65"/>
      <c r="U869" s="65"/>
      <c r="V869" s="65"/>
      <c r="W869" s="65"/>
      <c r="X869" s="65"/>
      <c r="Y869" s="65"/>
      <c r="Z869" s="65"/>
    </row>
    <row r="870" customFormat="false" ht="15.75" hidden="false" customHeight="true" outlineLevel="0" collapsed="false">
      <c r="A870" s="65"/>
      <c r="B870" s="65"/>
      <c r="C870" s="65"/>
      <c r="D870" s="65"/>
      <c r="E870" s="65"/>
      <c r="F870" s="65"/>
      <c r="G870" s="65"/>
      <c r="H870" s="65"/>
      <c r="I870" s="65"/>
      <c r="J870" s="65"/>
      <c r="K870" s="65"/>
      <c r="L870" s="65"/>
      <c r="M870" s="65"/>
      <c r="N870" s="65"/>
      <c r="O870" s="65"/>
      <c r="P870" s="65"/>
      <c r="Q870" s="65"/>
      <c r="R870" s="65"/>
      <c r="S870" s="65"/>
      <c r="T870" s="65"/>
      <c r="U870" s="65"/>
      <c r="V870" s="65"/>
      <c r="W870" s="65"/>
      <c r="X870" s="65"/>
      <c r="Y870" s="65"/>
      <c r="Z870" s="65"/>
    </row>
    <row r="871" customFormat="false" ht="15.75" hidden="false" customHeight="true" outlineLevel="0" collapsed="false">
      <c r="A871" s="65"/>
      <c r="B871" s="65"/>
      <c r="C871" s="65"/>
      <c r="D871" s="65"/>
      <c r="E871" s="65"/>
      <c r="F871" s="65"/>
      <c r="G871" s="65"/>
      <c r="H871" s="65"/>
      <c r="I871" s="65"/>
      <c r="J871" s="65"/>
      <c r="K871" s="65"/>
      <c r="L871" s="65"/>
      <c r="M871" s="65"/>
      <c r="N871" s="65"/>
      <c r="O871" s="65"/>
      <c r="P871" s="65"/>
      <c r="Q871" s="65"/>
      <c r="R871" s="65"/>
      <c r="S871" s="65"/>
      <c r="T871" s="65"/>
      <c r="U871" s="65"/>
      <c r="V871" s="65"/>
      <c r="W871" s="65"/>
      <c r="X871" s="65"/>
      <c r="Y871" s="65"/>
      <c r="Z871" s="65"/>
    </row>
    <row r="872" customFormat="false" ht="15.75" hidden="false" customHeight="true" outlineLevel="0" collapsed="false">
      <c r="A872" s="65"/>
      <c r="B872" s="65"/>
      <c r="C872" s="65"/>
      <c r="D872" s="65"/>
      <c r="E872" s="65"/>
      <c r="F872" s="65"/>
      <c r="G872" s="65"/>
      <c r="H872" s="65"/>
      <c r="I872" s="65"/>
      <c r="J872" s="65"/>
      <c r="K872" s="65"/>
      <c r="L872" s="65"/>
      <c r="M872" s="65"/>
      <c r="N872" s="65"/>
      <c r="O872" s="65"/>
      <c r="P872" s="65"/>
      <c r="Q872" s="65"/>
      <c r="R872" s="65"/>
      <c r="S872" s="65"/>
      <c r="T872" s="65"/>
      <c r="U872" s="65"/>
      <c r="V872" s="65"/>
      <c r="W872" s="65"/>
      <c r="X872" s="65"/>
      <c r="Y872" s="65"/>
      <c r="Z872" s="65"/>
    </row>
    <row r="873" customFormat="false" ht="15.75" hidden="false" customHeight="true" outlineLevel="0" collapsed="false">
      <c r="A873" s="65"/>
      <c r="B873" s="65"/>
      <c r="C873" s="65"/>
      <c r="D873" s="65"/>
      <c r="E873" s="65"/>
      <c r="F873" s="65"/>
      <c r="G873" s="65"/>
      <c r="H873" s="65"/>
      <c r="I873" s="65"/>
      <c r="J873" s="65"/>
      <c r="K873" s="65"/>
      <c r="L873" s="65"/>
      <c r="M873" s="65"/>
      <c r="N873" s="65"/>
      <c r="O873" s="65"/>
      <c r="P873" s="65"/>
      <c r="Q873" s="65"/>
      <c r="R873" s="65"/>
      <c r="S873" s="65"/>
      <c r="T873" s="65"/>
      <c r="U873" s="65"/>
      <c r="V873" s="65"/>
      <c r="W873" s="65"/>
      <c r="X873" s="65"/>
      <c r="Y873" s="65"/>
      <c r="Z873" s="65"/>
    </row>
    <row r="874" customFormat="false" ht="15.75" hidden="false" customHeight="true" outlineLevel="0" collapsed="false">
      <c r="A874" s="65"/>
      <c r="B874" s="65"/>
      <c r="C874" s="65"/>
      <c r="D874" s="65"/>
      <c r="E874" s="65"/>
      <c r="F874" s="65"/>
      <c r="G874" s="65"/>
      <c r="H874" s="65"/>
      <c r="I874" s="65"/>
      <c r="J874" s="65"/>
      <c r="K874" s="65"/>
      <c r="L874" s="65"/>
      <c r="M874" s="65"/>
      <c r="N874" s="65"/>
      <c r="O874" s="65"/>
      <c r="P874" s="65"/>
      <c r="Q874" s="65"/>
      <c r="R874" s="65"/>
      <c r="S874" s="65"/>
      <c r="T874" s="65"/>
      <c r="U874" s="65"/>
      <c r="V874" s="65"/>
      <c r="W874" s="65"/>
      <c r="X874" s="65"/>
      <c r="Y874" s="65"/>
      <c r="Z874" s="65"/>
    </row>
    <row r="875" customFormat="false" ht="15.75" hidden="false" customHeight="true" outlineLevel="0" collapsed="false">
      <c r="A875" s="65"/>
      <c r="B875" s="65"/>
      <c r="C875" s="65"/>
      <c r="D875" s="65"/>
      <c r="E875" s="65"/>
      <c r="F875" s="65"/>
      <c r="G875" s="65"/>
      <c r="H875" s="65"/>
      <c r="I875" s="65"/>
      <c r="J875" s="65"/>
      <c r="K875" s="65"/>
      <c r="L875" s="65"/>
      <c r="M875" s="65"/>
      <c r="N875" s="65"/>
      <c r="O875" s="65"/>
      <c r="P875" s="65"/>
      <c r="Q875" s="65"/>
      <c r="R875" s="65"/>
      <c r="S875" s="65"/>
      <c r="T875" s="65"/>
      <c r="U875" s="65"/>
      <c r="V875" s="65"/>
      <c r="W875" s="65"/>
      <c r="X875" s="65"/>
      <c r="Y875" s="65"/>
      <c r="Z875" s="65"/>
    </row>
    <row r="876" customFormat="false" ht="15.75" hidden="false" customHeight="true" outlineLevel="0" collapsed="false">
      <c r="A876" s="65"/>
      <c r="B876" s="65"/>
      <c r="C876" s="65"/>
      <c r="D876" s="65"/>
      <c r="E876" s="65"/>
      <c r="F876" s="65"/>
      <c r="G876" s="65"/>
      <c r="H876" s="65"/>
      <c r="I876" s="65"/>
      <c r="J876" s="65"/>
      <c r="K876" s="65"/>
      <c r="L876" s="65"/>
      <c r="M876" s="65"/>
      <c r="N876" s="65"/>
      <c r="O876" s="65"/>
      <c r="P876" s="65"/>
      <c r="Q876" s="65"/>
      <c r="R876" s="65"/>
      <c r="S876" s="65"/>
      <c r="T876" s="65"/>
      <c r="U876" s="65"/>
      <c r="V876" s="65"/>
      <c r="W876" s="65"/>
      <c r="X876" s="65"/>
      <c r="Y876" s="65"/>
      <c r="Z876" s="65"/>
    </row>
    <row r="877" customFormat="false" ht="15.75" hidden="false" customHeight="true" outlineLevel="0" collapsed="false">
      <c r="A877" s="65"/>
      <c r="B877" s="65"/>
      <c r="C877" s="65"/>
      <c r="D877" s="65"/>
      <c r="E877" s="65"/>
      <c r="F877" s="65"/>
      <c r="G877" s="65"/>
      <c r="H877" s="65"/>
      <c r="I877" s="65"/>
      <c r="J877" s="65"/>
      <c r="K877" s="65"/>
      <c r="L877" s="65"/>
      <c r="M877" s="65"/>
      <c r="N877" s="65"/>
      <c r="O877" s="65"/>
      <c r="P877" s="65"/>
      <c r="Q877" s="65"/>
      <c r="R877" s="65"/>
      <c r="S877" s="65"/>
      <c r="T877" s="65"/>
      <c r="U877" s="65"/>
      <c r="V877" s="65"/>
      <c r="W877" s="65"/>
      <c r="X877" s="65"/>
      <c r="Y877" s="65"/>
      <c r="Z877" s="65"/>
    </row>
    <row r="878" customFormat="false" ht="15.75" hidden="false" customHeight="true" outlineLevel="0" collapsed="false">
      <c r="A878" s="65"/>
      <c r="B878" s="65"/>
      <c r="C878" s="65"/>
      <c r="D878" s="65"/>
      <c r="E878" s="65"/>
      <c r="F878" s="65"/>
      <c r="G878" s="65"/>
      <c r="H878" s="65"/>
      <c r="I878" s="65"/>
      <c r="J878" s="65"/>
      <c r="K878" s="65"/>
      <c r="L878" s="65"/>
      <c r="M878" s="65"/>
      <c r="N878" s="65"/>
      <c r="O878" s="65"/>
      <c r="P878" s="65"/>
      <c r="Q878" s="65"/>
      <c r="R878" s="65"/>
      <c r="S878" s="65"/>
      <c r="T878" s="65"/>
      <c r="U878" s="65"/>
      <c r="V878" s="65"/>
      <c r="W878" s="65"/>
      <c r="X878" s="65"/>
      <c r="Y878" s="65"/>
      <c r="Z878" s="65"/>
    </row>
    <row r="879" customFormat="false" ht="15.75" hidden="false" customHeight="true" outlineLevel="0" collapsed="false">
      <c r="A879" s="65"/>
      <c r="B879" s="65"/>
      <c r="C879" s="65"/>
      <c r="D879" s="65"/>
      <c r="E879" s="65"/>
      <c r="F879" s="65"/>
      <c r="G879" s="65"/>
      <c r="H879" s="65"/>
      <c r="I879" s="65"/>
      <c r="J879" s="65"/>
      <c r="K879" s="65"/>
      <c r="L879" s="65"/>
      <c r="M879" s="65"/>
      <c r="N879" s="65"/>
      <c r="O879" s="65"/>
      <c r="P879" s="65"/>
      <c r="Q879" s="65"/>
      <c r="R879" s="65"/>
      <c r="S879" s="65"/>
      <c r="T879" s="65"/>
      <c r="U879" s="65"/>
      <c r="V879" s="65"/>
      <c r="W879" s="65"/>
      <c r="X879" s="65"/>
      <c r="Y879" s="65"/>
      <c r="Z879" s="65"/>
    </row>
    <row r="880" customFormat="false" ht="15.75" hidden="false" customHeight="true" outlineLevel="0" collapsed="false">
      <c r="A880" s="65"/>
      <c r="B880" s="65"/>
      <c r="C880" s="65"/>
      <c r="D880" s="65"/>
      <c r="E880" s="65"/>
      <c r="F880" s="65"/>
      <c r="G880" s="65"/>
      <c r="H880" s="65"/>
      <c r="I880" s="65"/>
      <c r="J880" s="65"/>
      <c r="K880" s="65"/>
      <c r="L880" s="65"/>
      <c r="M880" s="65"/>
      <c r="N880" s="65"/>
      <c r="O880" s="65"/>
      <c r="P880" s="65"/>
      <c r="Q880" s="65"/>
      <c r="R880" s="65"/>
      <c r="S880" s="65"/>
      <c r="T880" s="65"/>
      <c r="U880" s="65"/>
      <c r="V880" s="65"/>
      <c r="W880" s="65"/>
      <c r="X880" s="65"/>
      <c r="Y880" s="65"/>
      <c r="Z880" s="65"/>
    </row>
    <row r="881" customFormat="false" ht="15.75" hidden="false" customHeight="true" outlineLevel="0" collapsed="false">
      <c r="A881" s="65"/>
      <c r="B881" s="65"/>
      <c r="C881" s="65"/>
      <c r="D881" s="65"/>
      <c r="E881" s="65"/>
      <c r="F881" s="65"/>
      <c r="G881" s="65"/>
      <c r="H881" s="65"/>
      <c r="I881" s="65"/>
      <c r="J881" s="65"/>
      <c r="K881" s="65"/>
      <c r="L881" s="65"/>
      <c r="M881" s="65"/>
      <c r="N881" s="65"/>
      <c r="O881" s="65"/>
      <c r="P881" s="65"/>
      <c r="Q881" s="65"/>
      <c r="R881" s="65"/>
      <c r="S881" s="65"/>
      <c r="T881" s="65"/>
      <c r="U881" s="65"/>
      <c r="V881" s="65"/>
      <c r="W881" s="65"/>
      <c r="X881" s="65"/>
      <c r="Y881" s="65"/>
      <c r="Z881" s="65"/>
    </row>
    <row r="882" customFormat="false" ht="15.75" hidden="false" customHeight="true" outlineLevel="0" collapsed="false">
      <c r="A882" s="65"/>
      <c r="B882" s="65"/>
      <c r="C882" s="65"/>
      <c r="D882" s="65"/>
      <c r="E882" s="65"/>
      <c r="F882" s="65"/>
      <c r="G882" s="65"/>
      <c r="H882" s="65"/>
      <c r="I882" s="65"/>
      <c r="J882" s="65"/>
      <c r="K882" s="65"/>
      <c r="L882" s="65"/>
      <c r="M882" s="65"/>
      <c r="N882" s="65"/>
      <c r="O882" s="65"/>
      <c r="P882" s="65"/>
      <c r="Q882" s="65"/>
      <c r="R882" s="65"/>
      <c r="S882" s="65"/>
      <c r="T882" s="65"/>
      <c r="U882" s="65"/>
      <c r="V882" s="65"/>
      <c r="W882" s="65"/>
      <c r="X882" s="65"/>
      <c r="Y882" s="65"/>
      <c r="Z882" s="65"/>
    </row>
    <row r="883" customFormat="false" ht="15.75" hidden="false" customHeight="true" outlineLevel="0" collapsed="false">
      <c r="A883" s="65"/>
      <c r="B883" s="65"/>
      <c r="C883" s="65"/>
      <c r="D883" s="65"/>
      <c r="E883" s="65"/>
      <c r="F883" s="65"/>
      <c r="G883" s="65"/>
      <c r="H883" s="65"/>
      <c r="I883" s="65"/>
      <c r="J883" s="65"/>
      <c r="K883" s="65"/>
      <c r="L883" s="65"/>
      <c r="M883" s="65"/>
      <c r="N883" s="65"/>
      <c r="O883" s="65"/>
      <c r="P883" s="65"/>
      <c r="Q883" s="65"/>
      <c r="R883" s="65"/>
      <c r="S883" s="65"/>
      <c r="T883" s="65"/>
      <c r="U883" s="65"/>
      <c r="V883" s="65"/>
      <c r="W883" s="65"/>
      <c r="X883" s="65"/>
      <c r="Y883" s="65"/>
      <c r="Z883" s="65"/>
    </row>
    <row r="884" customFormat="false" ht="15.75" hidden="false" customHeight="true" outlineLevel="0" collapsed="false">
      <c r="A884" s="65"/>
      <c r="B884" s="65"/>
      <c r="C884" s="65"/>
      <c r="D884" s="65"/>
      <c r="E884" s="65"/>
      <c r="F884" s="65"/>
      <c r="G884" s="65"/>
      <c r="H884" s="65"/>
      <c r="I884" s="65"/>
      <c r="J884" s="65"/>
      <c r="K884" s="65"/>
      <c r="L884" s="65"/>
      <c r="M884" s="65"/>
      <c r="N884" s="65"/>
      <c r="O884" s="65"/>
      <c r="P884" s="65"/>
      <c r="Q884" s="65"/>
      <c r="R884" s="65"/>
      <c r="S884" s="65"/>
      <c r="T884" s="65"/>
      <c r="U884" s="65"/>
      <c r="V884" s="65"/>
      <c r="W884" s="65"/>
      <c r="X884" s="65"/>
      <c r="Y884" s="65"/>
      <c r="Z884" s="65"/>
    </row>
    <row r="885" customFormat="false" ht="15.75" hidden="false" customHeight="true" outlineLevel="0" collapsed="false">
      <c r="A885" s="65"/>
      <c r="B885" s="65"/>
      <c r="C885" s="65"/>
      <c r="D885" s="65"/>
      <c r="E885" s="65"/>
      <c r="F885" s="65"/>
      <c r="G885" s="65"/>
      <c r="H885" s="65"/>
      <c r="I885" s="65"/>
      <c r="J885" s="65"/>
      <c r="K885" s="65"/>
      <c r="L885" s="65"/>
      <c r="M885" s="65"/>
      <c r="N885" s="65"/>
      <c r="O885" s="65"/>
      <c r="P885" s="65"/>
      <c r="Q885" s="65"/>
      <c r="R885" s="65"/>
      <c r="S885" s="65"/>
      <c r="T885" s="65"/>
      <c r="U885" s="65"/>
      <c r="V885" s="65"/>
      <c r="W885" s="65"/>
      <c r="X885" s="65"/>
      <c r="Y885" s="65"/>
      <c r="Z885" s="65"/>
    </row>
    <row r="886" customFormat="false" ht="15.75" hidden="false" customHeight="true" outlineLevel="0" collapsed="false">
      <c r="A886" s="65"/>
      <c r="B886" s="65"/>
      <c r="C886" s="65"/>
      <c r="D886" s="65"/>
      <c r="E886" s="65"/>
      <c r="F886" s="65"/>
      <c r="G886" s="65"/>
      <c r="H886" s="65"/>
      <c r="I886" s="65"/>
      <c r="J886" s="65"/>
      <c r="K886" s="65"/>
      <c r="L886" s="65"/>
      <c r="M886" s="65"/>
      <c r="N886" s="65"/>
      <c r="O886" s="65"/>
      <c r="P886" s="65"/>
      <c r="Q886" s="65"/>
      <c r="R886" s="65"/>
      <c r="S886" s="65"/>
      <c r="T886" s="65"/>
      <c r="U886" s="65"/>
      <c r="V886" s="65"/>
      <c r="W886" s="65"/>
      <c r="X886" s="65"/>
      <c r="Y886" s="65"/>
      <c r="Z886" s="65"/>
    </row>
    <row r="887" customFormat="false" ht="15.75" hidden="false" customHeight="true" outlineLevel="0" collapsed="false">
      <c r="A887" s="65"/>
      <c r="B887" s="65"/>
      <c r="C887" s="65"/>
      <c r="D887" s="65"/>
      <c r="E887" s="65"/>
      <c r="F887" s="65"/>
      <c r="G887" s="65"/>
      <c r="H887" s="65"/>
      <c r="I887" s="65"/>
      <c r="J887" s="65"/>
      <c r="K887" s="65"/>
      <c r="L887" s="65"/>
      <c r="M887" s="65"/>
      <c r="N887" s="65"/>
      <c r="O887" s="65"/>
      <c r="P887" s="65"/>
      <c r="Q887" s="65"/>
      <c r="R887" s="65"/>
      <c r="S887" s="65"/>
      <c r="T887" s="65"/>
      <c r="U887" s="65"/>
      <c r="V887" s="65"/>
      <c r="W887" s="65"/>
      <c r="X887" s="65"/>
      <c r="Y887" s="65"/>
      <c r="Z887" s="65"/>
    </row>
    <row r="888" customFormat="false" ht="15.75" hidden="false" customHeight="true" outlineLevel="0" collapsed="false">
      <c r="A888" s="65"/>
      <c r="B888" s="65"/>
      <c r="C888" s="65"/>
      <c r="D888" s="65"/>
      <c r="E888" s="65"/>
      <c r="F888" s="65"/>
      <c r="G888" s="65"/>
      <c r="H888" s="65"/>
      <c r="I888" s="65"/>
      <c r="J888" s="65"/>
      <c r="K888" s="65"/>
      <c r="L888" s="65"/>
      <c r="M888" s="65"/>
      <c r="N888" s="65"/>
      <c r="O888" s="65"/>
      <c r="P888" s="65"/>
      <c r="Q888" s="65"/>
      <c r="R888" s="65"/>
      <c r="S888" s="65"/>
      <c r="T888" s="65"/>
      <c r="U888" s="65"/>
      <c r="V888" s="65"/>
      <c r="W888" s="65"/>
      <c r="X888" s="65"/>
      <c r="Y888" s="65"/>
      <c r="Z888" s="65"/>
    </row>
    <row r="889" customFormat="false" ht="15.75" hidden="false" customHeight="true" outlineLevel="0" collapsed="false">
      <c r="A889" s="65"/>
      <c r="B889" s="65"/>
      <c r="C889" s="65"/>
      <c r="D889" s="65"/>
      <c r="E889" s="65"/>
      <c r="F889" s="65"/>
      <c r="G889" s="65"/>
      <c r="H889" s="65"/>
      <c r="I889" s="65"/>
      <c r="J889" s="65"/>
      <c r="K889" s="65"/>
      <c r="L889" s="65"/>
      <c r="M889" s="65"/>
      <c r="N889" s="65"/>
      <c r="O889" s="65"/>
      <c r="P889" s="65"/>
      <c r="Q889" s="65"/>
      <c r="R889" s="65"/>
      <c r="S889" s="65"/>
      <c r="T889" s="65"/>
      <c r="U889" s="65"/>
      <c r="V889" s="65"/>
      <c r="W889" s="65"/>
      <c r="X889" s="65"/>
      <c r="Y889" s="65"/>
      <c r="Z889" s="65"/>
    </row>
    <row r="890" customFormat="false" ht="15.75" hidden="false" customHeight="true" outlineLevel="0" collapsed="false">
      <c r="A890" s="65"/>
      <c r="B890" s="65"/>
      <c r="C890" s="65"/>
      <c r="D890" s="65"/>
      <c r="E890" s="65"/>
      <c r="F890" s="65"/>
      <c r="G890" s="65"/>
      <c r="H890" s="65"/>
      <c r="I890" s="65"/>
      <c r="J890" s="65"/>
      <c r="K890" s="65"/>
      <c r="L890" s="65"/>
      <c r="M890" s="65"/>
      <c r="N890" s="65"/>
      <c r="O890" s="65"/>
      <c r="P890" s="65"/>
      <c r="Q890" s="65"/>
      <c r="R890" s="65"/>
      <c r="S890" s="65"/>
      <c r="T890" s="65"/>
      <c r="U890" s="65"/>
      <c r="V890" s="65"/>
      <c r="W890" s="65"/>
      <c r="X890" s="65"/>
      <c r="Y890" s="65"/>
      <c r="Z890" s="65"/>
    </row>
    <row r="891" customFormat="false" ht="15.75" hidden="false" customHeight="true" outlineLevel="0" collapsed="false">
      <c r="A891" s="65"/>
      <c r="B891" s="65"/>
      <c r="C891" s="65"/>
      <c r="D891" s="65"/>
      <c r="E891" s="65"/>
      <c r="F891" s="65"/>
      <c r="G891" s="65"/>
      <c r="H891" s="65"/>
      <c r="I891" s="65"/>
      <c r="J891" s="65"/>
      <c r="K891" s="65"/>
      <c r="L891" s="65"/>
      <c r="M891" s="65"/>
      <c r="N891" s="65"/>
      <c r="O891" s="65"/>
      <c r="P891" s="65"/>
      <c r="Q891" s="65"/>
      <c r="R891" s="65"/>
      <c r="S891" s="65"/>
      <c r="T891" s="65"/>
      <c r="U891" s="65"/>
      <c r="V891" s="65"/>
      <c r="W891" s="65"/>
      <c r="X891" s="65"/>
      <c r="Y891" s="65"/>
      <c r="Z891" s="65"/>
    </row>
    <row r="892" customFormat="false" ht="15.75" hidden="false" customHeight="true" outlineLevel="0" collapsed="false">
      <c r="A892" s="65"/>
      <c r="B892" s="65"/>
      <c r="C892" s="65"/>
      <c r="D892" s="65"/>
      <c r="E892" s="65"/>
      <c r="F892" s="65"/>
      <c r="G892" s="65"/>
      <c r="H892" s="65"/>
      <c r="I892" s="65"/>
      <c r="J892" s="65"/>
      <c r="K892" s="65"/>
      <c r="L892" s="65"/>
      <c r="M892" s="65"/>
      <c r="N892" s="65"/>
      <c r="O892" s="65"/>
      <c r="P892" s="65"/>
      <c r="Q892" s="65"/>
      <c r="R892" s="65"/>
      <c r="S892" s="65"/>
      <c r="T892" s="65"/>
      <c r="U892" s="65"/>
      <c r="V892" s="65"/>
      <c r="W892" s="65"/>
      <c r="X892" s="65"/>
      <c r="Y892" s="65"/>
      <c r="Z892" s="65"/>
    </row>
    <row r="893" customFormat="false" ht="15.75" hidden="false" customHeight="true" outlineLevel="0" collapsed="false">
      <c r="A893" s="65"/>
      <c r="B893" s="65"/>
      <c r="C893" s="65"/>
      <c r="D893" s="65"/>
      <c r="E893" s="65"/>
      <c r="F893" s="65"/>
      <c r="G893" s="65"/>
      <c r="H893" s="65"/>
      <c r="I893" s="65"/>
      <c r="J893" s="65"/>
      <c r="K893" s="65"/>
      <c r="L893" s="65"/>
      <c r="M893" s="65"/>
      <c r="N893" s="65"/>
      <c r="O893" s="65"/>
      <c r="P893" s="65"/>
      <c r="Q893" s="65"/>
      <c r="R893" s="65"/>
      <c r="S893" s="65"/>
      <c r="T893" s="65"/>
      <c r="U893" s="65"/>
      <c r="V893" s="65"/>
      <c r="W893" s="65"/>
      <c r="X893" s="65"/>
      <c r="Y893" s="65"/>
      <c r="Z893" s="65"/>
    </row>
    <row r="894" customFormat="false" ht="15.75" hidden="false" customHeight="true" outlineLevel="0" collapsed="false">
      <c r="A894" s="65"/>
      <c r="B894" s="65"/>
      <c r="C894" s="65"/>
      <c r="D894" s="65"/>
      <c r="E894" s="65"/>
      <c r="F894" s="65"/>
      <c r="G894" s="65"/>
      <c r="H894" s="65"/>
      <c r="I894" s="65"/>
      <c r="J894" s="65"/>
      <c r="K894" s="65"/>
      <c r="L894" s="65"/>
      <c r="M894" s="65"/>
      <c r="N894" s="65"/>
      <c r="O894" s="65"/>
      <c r="P894" s="65"/>
      <c r="Q894" s="65"/>
      <c r="R894" s="65"/>
      <c r="S894" s="65"/>
      <c r="T894" s="65"/>
      <c r="U894" s="65"/>
      <c r="V894" s="65"/>
      <c r="W894" s="65"/>
      <c r="X894" s="65"/>
      <c r="Y894" s="65"/>
      <c r="Z894" s="65"/>
    </row>
    <row r="895" customFormat="false" ht="15.75" hidden="false" customHeight="true" outlineLevel="0" collapsed="false">
      <c r="A895" s="65"/>
      <c r="B895" s="65"/>
      <c r="C895" s="65"/>
      <c r="D895" s="65"/>
      <c r="E895" s="65"/>
      <c r="F895" s="65"/>
      <c r="G895" s="65"/>
      <c r="H895" s="65"/>
      <c r="I895" s="65"/>
      <c r="J895" s="65"/>
      <c r="K895" s="65"/>
      <c r="L895" s="65"/>
      <c r="M895" s="65"/>
      <c r="N895" s="65"/>
      <c r="O895" s="65"/>
      <c r="P895" s="65"/>
      <c r="Q895" s="65"/>
      <c r="R895" s="65"/>
      <c r="S895" s="65"/>
      <c r="T895" s="65"/>
      <c r="U895" s="65"/>
      <c r="V895" s="65"/>
      <c r="W895" s="65"/>
      <c r="X895" s="65"/>
      <c r="Y895" s="65"/>
      <c r="Z895" s="65"/>
    </row>
    <row r="896" customFormat="false" ht="15.75" hidden="false" customHeight="true" outlineLevel="0" collapsed="false">
      <c r="A896" s="65"/>
      <c r="B896" s="65"/>
      <c r="C896" s="65"/>
      <c r="D896" s="65"/>
      <c r="E896" s="65"/>
      <c r="F896" s="65"/>
      <c r="G896" s="65"/>
      <c r="H896" s="65"/>
      <c r="I896" s="65"/>
      <c r="J896" s="65"/>
      <c r="K896" s="65"/>
      <c r="L896" s="65"/>
      <c r="M896" s="65"/>
      <c r="N896" s="65"/>
      <c r="O896" s="65"/>
      <c r="P896" s="65"/>
      <c r="Q896" s="65"/>
      <c r="R896" s="65"/>
      <c r="S896" s="65"/>
      <c r="T896" s="65"/>
      <c r="U896" s="65"/>
      <c r="V896" s="65"/>
      <c r="W896" s="65"/>
      <c r="X896" s="65"/>
      <c r="Y896" s="65"/>
      <c r="Z896" s="65"/>
    </row>
    <row r="897" customFormat="false" ht="15.75" hidden="false" customHeight="true" outlineLevel="0" collapsed="false">
      <c r="A897" s="65"/>
      <c r="B897" s="65"/>
      <c r="C897" s="65"/>
      <c r="D897" s="65"/>
      <c r="E897" s="65"/>
      <c r="F897" s="65"/>
      <c r="G897" s="65"/>
      <c r="H897" s="65"/>
      <c r="I897" s="65"/>
      <c r="J897" s="65"/>
      <c r="K897" s="65"/>
      <c r="L897" s="65"/>
      <c r="M897" s="65"/>
      <c r="N897" s="65"/>
      <c r="O897" s="65"/>
      <c r="P897" s="65"/>
      <c r="Q897" s="65"/>
      <c r="R897" s="65"/>
      <c r="S897" s="65"/>
      <c r="T897" s="65"/>
      <c r="U897" s="65"/>
      <c r="V897" s="65"/>
      <c r="W897" s="65"/>
      <c r="X897" s="65"/>
      <c r="Y897" s="65"/>
      <c r="Z897" s="65"/>
    </row>
    <row r="898" customFormat="false" ht="15.75" hidden="false" customHeight="true" outlineLevel="0" collapsed="false">
      <c r="A898" s="65"/>
      <c r="B898" s="65"/>
      <c r="C898" s="65"/>
      <c r="D898" s="65"/>
      <c r="E898" s="65"/>
      <c r="F898" s="65"/>
      <c r="G898" s="65"/>
      <c r="H898" s="65"/>
      <c r="I898" s="65"/>
      <c r="J898" s="65"/>
      <c r="K898" s="65"/>
      <c r="L898" s="65"/>
      <c r="M898" s="65"/>
      <c r="N898" s="65"/>
      <c r="O898" s="65"/>
      <c r="P898" s="65"/>
      <c r="Q898" s="65"/>
      <c r="R898" s="65"/>
      <c r="S898" s="65"/>
      <c r="T898" s="65"/>
      <c r="U898" s="65"/>
      <c r="V898" s="65"/>
      <c r="W898" s="65"/>
      <c r="X898" s="65"/>
      <c r="Y898" s="65"/>
      <c r="Z898" s="65"/>
    </row>
    <row r="899" customFormat="false" ht="15.75" hidden="false" customHeight="true" outlineLevel="0" collapsed="false">
      <c r="A899" s="65"/>
      <c r="B899" s="65"/>
      <c r="C899" s="65"/>
      <c r="D899" s="65"/>
      <c r="E899" s="65"/>
      <c r="F899" s="65"/>
      <c r="G899" s="65"/>
      <c r="H899" s="65"/>
      <c r="I899" s="65"/>
      <c r="J899" s="65"/>
      <c r="K899" s="65"/>
      <c r="L899" s="65"/>
      <c r="M899" s="65"/>
      <c r="N899" s="65"/>
      <c r="O899" s="65"/>
      <c r="P899" s="65"/>
      <c r="Q899" s="65"/>
      <c r="R899" s="65"/>
      <c r="S899" s="65"/>
      <c r="T899" s="65"/>
      <c r="U899" s="65"/>
      <c r="V899" s="65"/>
      <c r="W899" s="65"/>
      <c r="X899" s="65"/>
      <c r="Y899" s="65"/>
      <c r="Z899" s="65"/>
    </row>
    <row r="900" customFormat="false" ht="15.75" hidden="false" customHeight="true" outlineLevel="0" collapsed="false">
      <c r="A900" s="65"/>
      <c r="B900" s="65"/>
      <c r="C900" s="65"/>
      <c r="D900" s="65"/>
      <c r="E900" s="65"/>
      <c r="F900" s="65"/>
      <c r="G900" s="65"/>
      <c r="H900" s="65"/>
      <c r="I900" s="65"/>
      <c r="J900" s="65"/>
      <c r="K900" s="65"/>
      <c r="L900" s="65"/>
      <c r="M900" s="65"/>
      <c r="N900" s="65"/>
      <c r="O900" s="65"/>
      <c r="P900" s="65"/>
      <c r="Q900" s="65"/>
      <c r="R900" s="65"/>
      <c r="S900" s="65"/>
      <c r="T900" s="65"/>
      <c r="U900" s="65"/>
      <c r="V900" s="65"/>
      <c r="W900" s="65"/>
      <c r="X900" s="65"/>
      <c r="Y900" s="65"/>
      <c r="Z900" s="65"/>
    </row>
    <row r="901" customFormat="false" ht="15.75" hidden="false" customHeight="true" outlineLevel="0" collapsed="false">
      <c r="A901" s="65"/>
      <c r="B901" s="65"/>
      <c r="C901" s="65"/>
      <c r="D901" s="65"/>
      <c r="E901" s="65"/>
      <c r="F901" s="65"/>
      <c r="G901" s="65"/>
      <c r="H901" s="65"/>
      <c r="I901" s="65"/>
      <c r="J901" s="65"/>
      <c r="K901" s="65"/>
      <c r="L901" s="65"/>
      <c r="M901" s="65"/>
      <c r="N901" s="65"/>
      <c r="O901" s="65"/>
      <c r="P901" s="65"/>
      <c r="Q901" s="65"/>
      <c r="R901" s="65"/>
      <c r="S901" s="65"/>
      <c r="T901" s="65"/>
      <c r="U901" s="65"/>
      <c r="V901" s="65"/>
      <c r="W901" s="65"/>
      <c r="X901" s="65"/>
      <c r="Y901" s="65"/>
      <c r="Z901" s="65"/>
    </row>
    <row r="902" customFormat="false" ht="15.75" hidden="false" customHeight="true" outlineLevel="0" collapsed="false">
      <c r="A902" s="65"/>
      <c r="B902" s="65"/>
      <c r="C902" s="65"/>
      <c r="D902" s="65"/>
      <c r="E902" s="65"/>
      <c r="F902" s="65"/>
      <c r="G902" s="65"/>
      <c r="H902" s="65"/>
      <c r="I902" s="65"/>
      <c r="J902" s="65"/>
      <c r="K902" s="65"/>
      <c r="L902" s="65"/>
      <c r="M902" s="65"/>
      <c r="N902" s="65"/>
      <c r="O902" s="65"/>
      <c r="P902" s="65"/>
      <c r="Q902" s="65"/>
      <c r="R902" s="65"/>
      <c r="S902" s="65"/>
      <c r="T902" s="65"/>
      <c r="U902" s="65"/>
      <c r="V902" s="65"/>
      <c r="W902" s="65"/>
      <c r="X902" s="65"/>
      <c r="Y902" s="65"/>
      <c r="Z902" s="65"/>
    </row>
    <row r="903" customFormat="false" ht="15.75" hidden="false" customHeight="true" outlineLevel="0" collapsed="false">
      <c r="A903" s="65"/>
      <c r="B903" s="65"/>
      <c r="C903" s="65"/>
      <c r="D903" s="65"/>
      <c r="E903" s="65"/>
      <c r="F903" s="65"/>
      <c r="G903" s="65"/>
      <c r="H903" s="65"/>
      <c r="I903" s="65"/>
      <c r="J903" s="65"/>
      <c r="K903" s="65"/>
      <c r="L903" s="65"/>
      <c r="M903" s="65"/>
      <c r="N903" s="65"/>
      <c r="O903" s="65"/>
      <c r="P903" s="65"/>
      <c r="Q903" s="65"/>
      <c r="R903" s="65"/>
      <c r="S903" s="65"/>
      <c r="T903" s="65"/>
      <c r="U903" s="65"/>
      <c r="V903" s="65"/>
      <c r="W903" s="65"/>
      <c r="X903" s="65"/>
      <c r="Y903" s="65"/>
      <c r="Z903" s="65"/>
    </row>
    <row r="904" customFormat="false" ht="15.75" hidden="false" customHeight="true" outlineLevel="0" collapsed="false">
      <c r="A904" s="65"/>
      <c r="B904" s="65"/>
      <c r="C904" s="65"/>
      <c r="D904" s="65"/>
      <c r="E904" s="65"/>
      <c r="F904" s="65"/>
      <c r="G904" s="65"/>
      <c r="H904" s="65"/>
      <c r="I904" s="65"/>
      <c r="J904" s="65"/>
      <c r="K904" s="65"/>
      <c r="L904" s="65"/>
      <c r="M904" s="65"/>
      <c r="N904" s="65"/>
      <c r="O904" s="65"/>
      <c r="P904" s="65"/>
      <c r="Q904" s="65"/>
      <c r="R904" s="65"/>
      <c r="S904" s="65"/>
      <c r="T904" s="65"/>
      <c r="U904" s="65"/>
      <c r="V904" s="65"/>
      <c r="W904" s="65"/>
      <c r="X904" s="65"/>
      <c r="Y904" s="65"/>
      <c r="Z904" s="65"/>
    </row>
    <row r="905" customFormat="false" ht="15.75" hidden="false" customHeight="true" outlineLevel="0" collapsed="false">
      <c r="A905" s="65"/>
      <c r="B905" s="65"/>
      <c r="C905" s="65"/>
      <c r="D905" s="65"/>
      <c r="E905" s="65"/>
      <c r="F905" s="65"/>
      <c r="G905" s="65"/>
      <c r="H905" s="65"/>
      <c r="I905" s="65"/>
      <c r="J905" s="65"/>
      <c r="K905" s="65"/>
      <c r="L905" s="65"/>
      <c r="M905" s="65"/>
      <c r="N905" s="65"/>
      <c r="O905" s="65"/>
      <c r="P905" s="65"/>
      <c r="Q905" s="65"/>
      <c r="R905" s="65"/>
      <c r="S905" s="65"/>
      <c r="T905" s="65"/>
      <c r="U905" s="65"/>
      <c r="V905" s="65"/>
      <c r="W905" s="65"/>
      <c r="X905" s="65"/>
      <c r="Y905" s="65"/>
      <c r="Z905" s="65"/>
    </row>
    <row r="906" customFormat="false" ht="15.75" hidden="false" customHeight="true" outlineLevel="0" collapsed="false">
      <c r="A906" s="65"/>
      <c r="B906" s="65"/>
      <c r="C906" s="65"/>
      <c r="D906" s="65"/>
      <c r="E906" s="65"/>
      <c r="F906" s="65"/>
      <c r="G906" s="65"/>
      <c r="H906" s="65"/>
      <c r="I906" s="65"/>
      <c r="J906" s="65"/>
      <c r="K906" s="65"/>
      <c r="L906" s="65"/>
      <c r="M906" s="65"/>
      <c r="N906" s="65"/>
      <c r="O906" s="65"/>
      <c r="P906" s="65"/>
      <c r="Q906" s="65"/>
      <c r="R906" s="65"/>
      <c r="S906" s="65"/>
      <c r="T906" s="65"/>
      <c r="U906" s="65"/>
      <c r="V906" s="65"/>
      <c r="W906" s="65"/>
      <c r="X906" s="65"/>
      <c r="Y906" s="65"/>
      <c r="Z906" s="65"/>
    </row>
    <row r="907" customFormat="false" ht="15.75" hidden="false" customHeight="true" outlineLevel="0" collapsed="false">
      <c r="A907" s="65"/>
      <c r="B907" s="65"/>
      <c r="C907" s="65"/>
      <c r="D907" s="65"/>
      <c r="E907" s="65"/>
      <c r="F907" s="65"/>
      <c r="G907" s="65"/>
      <c r="H907" s="65"/>
      <c r="I907" s="65"/>
      <c r="J907" s="65"/>
      <c r="K907" s="65"/>
      <c r="L907" s="65"/>
      <c r="M907" s="65"/>
      <c r="N907" s="65"/>
      <c r="O907" s="65"/>
      <c r="P907" s="65"/>
      <c r="Q907" s="65"/>
      <c r="R907" s="65"/>
      <c r="S907" s="65"/>
      <c r="T907" s="65"/>
      <c r="U907" s="65"/>
      <c r="V907" s="65"/>
      <c r="W907" s="65"/>
      <c r="X907" s="65"/>
      <c r="Y907" s="65"/>
      <c r="Z907" s="65"/>
    </row>
    <row r="908" customFormat="false" ht="15.75" hidden="false" customHeight="true" outlineLevel="0" collapsed="false">
      <c r="A908" s="65"/>
      <c r="B908" s="65"/>
      <c r="C908" s="65"/>
      <c r="D908" s="65"/>
      <c r="E908" s="65"/>
      <c r="F908" s="65"/>
      <c r="G908" s="65"/>
      <c r="H908" s="65"/>
      <c r="I908" s="65"/>
      <c r="J908" s="65"/>
      <c r="K908" s="65"/>
      <c r="L908" s="65"/>
      <c r="M908" s="65"/>
      <c r="N908" s="65"/>
      <c r="O908" s="65"/>
      <c r="P908" s="65"/>
      <c r="Q908" s="65"/>
      <c r="R908" s="65"/>
      <c r="S908" s="65"/>
      <c r="T908" s="65"/>
      <c r="U908" s="65"/>
      <c r="V908" s="65"/>
      <c r="W908" s="65"/>
      <c r="X908" s="65"/>
      <c r="Y908" s="65"/>
      <c r="Z908" s="65"/>
    </row>
    <row r="909" customFormat="false" ht="15.75" hidden="false" customHeight="true" outlineLevel="0" collapsed="false">
      <c r="A909" s="65"/>
      <c r="B909" s="65"/>
      <c r="C909" s="65"/>
      <c r="D909" s="65"/>
      <c r="E909" s="65"/>
      <c r="F909" s="65"/>
      <c r="G909" s="65"/>
      <c r="H909" s="65"/>
      <c r="I909" s="65"/>
      <c r="J909" s="65"/>
      <c r="K909" s="65"/>
      <c r="L909" s="65"/>
      <c r="M909" s="65"/>
      <c r="N909" s="65"/>
      <c r="O909" s="65"/>
      <c r="P909" s="65"/>
      <c r="Q909" s="65"/>
      <c r="R909" s="65"/>
      <c r="S909" s="65"/>
      <c r="T909" s="65"/>
      <c r="U909" s="65"/>
      <c r="V909" s="65"/>
      <c r="W909" s="65"/>
      <c r="X909" s="65"/>
      <c r="Y909" s="65"/>
      <c r="Z909" s="65"/>
    </row>
    <row r="910" customFormat="false" ht="15.75" hidden="false" customHeight="true" outlineLevel="0" collapsed="false">
      <c r="A910" s="65"/>
      <c r="B910" s="65"/>
      <c r="C910" s="65"/>
      <c r="D910" s="65"/>
      <c r="E910" s="65"/>
      <c r="F910" s="65"/>
      <c r="G910" s="65"/>
      <c r="H910" s="65"/>
      <c r="I910" s="65"/>
      <c r="J910" s="65"/>
      <c r="K910" s="65"/>
      <c r="L910" s="65"/>
      <c r="M910" s="65"/>
      <c r="N910" s="65"/>
      <c r="O910" s="65"/>
      <c r="P910" s="65"/>
      <c r="Q910" s="65"/>
      <c r="R910" s="65"/>
      <c r="S910" s="65"/>
      <c r="T910" s="65"/>
      <c r="U910" s="65"/>
      <c r="V910" s="65"/>
      <c r="W910" s="65"/>
      <c r="X910" s="65"/>
      <c r="Y910" s="65"/>
      <c r="Z910" s="65"/>
    </row>
    <row r="911" customFormat="false" ht="15.75" hidden="false" customHeight="true" outlineLevel="0" collapsed="false">
      <c r="A911" s="65"/>
      <c r="B911" s="65"/>
      <c r="C911" s="65"/>
      <c r="D911" s="65"/>
      <c r="E911" s="65"/>
      <c r="F911" s="65"/>
      <c r="G911" s="65"/>
      <c r="H911" s="65"/>
      <c r="I911" s="65"/>
      <c r="J911" s="65"/>
      <c r="K911" s="65"/>
      <c r="L911" s="65"/>
      <c r="M911" s="65"/>
      <c r="N911" s="65"/>
      <c r="O911" s="65"/>
      <c r="P911" s="65"/>
      <c r="Q911" s="65"/>
      <c r="R911" s="65"/>
      <c r="S911" s="65"/>
      <c r="T911" s="65"/>
      <c r="U911" s="65"/>
      <c r="V911" s="65"/>
      <c r="W911" s="65"/>
      <c r="X911" s="65"/>
      <c r="Y911" s="65"/>
      <c r="Z911" s="65"/>
    </row>
    <row r="912" customFormat="false" ht="15.75" hidden="false" customHeight="true" outlineLevel="0" collapsed="false">
      <c r="A912" s="65"/>
      <c r="B912" s="65"/>
      <c r="C912" s="65"/>
      <c r="D912" s="65"/>
      <c r="E912" s="65"/>
      <c r="F912" s="65"/>
      <c r="G912" s="65"/>
      <c r="H912" s="65"/>
      <c r="I912" s="65"/>
      <c r="J912" s="65"/>
      <c r="K912" s="65"/>
      <c r="L912" s="65"/>
      <c r="M912" s="65"/>
      <c r="N912" s="65"/>
      <c r="O912" s="65"/>
      <c r="P912" s="65"/>
      <c r="Q912" s="65"/>
      <c r="R912" s="65"/>
      <c r="S912" s="65"/>
      <c r="T912" s="65"/>
      <c r="U912" s="65"/>
      <c r="V912" s="65"/>
      <c r="W912" s="65"/>
      <c r="X912" s="65"/>
      <c r="Y912" s="65"/>
      <c r="Z912" s="65"/>
    </row>
    <row r="913" customFormat="false" ht="15.75" hidden="false" customHeight="true" outlineLevel="0" collapsed="false">
      <c r="A913" s="65"/>
      <c r="B913" s="65"/>
      <c r="C913" s="65"/>
      <c r="D913" s="65"/>
      <c r="E913" s="65"/>
      <c r="F913" s="65"/>
      <c r="G913" s="65"/>
      <c r="H913" s="65"/>
      <c r="I913" s="65"/>
      <c r="J913" s="65"/>
      <c r="K913" s="65"/>
      <c r="L913" s="65"/>
      <c r="M913" s="65"/>
      <c r="N913" s="65"/>
      <c r="O913" s="65"/>
      <c r="P913" s="65"/>
      <c r="Q913" s="65"/>
      <c r="R913" s="65"/>
      <c r="S913" s="65"/>
      <c r="T913" s="65"/>
      <c r="U913" s="65"/>
      <c r="V913" s="65"/>
      <c r="W913" s="65"/>
      <c r="X913" s="65"/>
      <c r="Y913" s="65"/>
      <c r="Z913" s="65"/>
    </row>
    <row r="914" customFormat="false" ht="15.75" hidden="false" customHeight="true" outlineLevel="0" collapsed="false">
      <c r="A914" s="65"/>
      <c r="B914" s="65"/>
      <c r="C914" s="65"/>
      <c r="D914" s="65"/>
      <c r="E914" s="65"/>
      <c r="F914" s="65"/>
      <c r="G914" s="65"/>
      <c r="H914" s="65"/>
      <c r="I914" s="65"/>
      <c r="J914" s="65"/>
      <c r="K914" s="65"/>
      <c r="L914" s="65"/>
      <c r="M914" s="65"/>
      <c r="N914" s="65"/>
      <c r="O914" s="65"/>
      <c r="P914" s="65"/>
      <c r="Q914" s="65"/>
      <c r="R914" s="65"/>
      <c r="S914" s="65"/>
      <c r="T914" s="65"/>
      <c r="U914" s="65"/>
      <c r="V914" s="65"/>
      <c r="W914" s="65"/>
      <c r="X914" s="65"/>
      <c r="Y914" s="65"/>
      <c r="Z914" s="65"/>
    </row>
    <row r="915" customFormat="false" ht="15.75" hidden="false" customHeight="true" outlineLevel="0" collapsed="false">
      <c r="A915" s="65"/>
      <c r="B915" s="65"/>
      <c r="C915" s="65"/>
      <c r="D915" s="65"/>
      <c r="E915" s="65"/>
      <c r="F915" s="65"/>
      <c r="G915" s="65"/>
      <c r="H915" s="65"/>
      <c r="I915" s="65"/>
      <c r="J915" s="65"/>
      <c r="K915" s="65"/>
      <c r="L915" s="65"/>
      <c r="M915" s="65"/>
      <c r="N915" s="65"/>
      <c r="O915" s="65"/>
      <c r="P915" s="65"/>
      <c r="Q915" s="65"/>
      <c r="R915" s="65"/>
      <c r="S915" s="65"/>
      <c r="T915" s="65"/>
      <c r="U915" s="65"/>
      <c r="V915" s="65"/>
      <c r="W915" s="65"/>
      <c r="X915" s="65"/>
      <c r="Y915" s="65"/>
      <c r="Z915" s="65"/>
    </row>
    <row r="916" customFormat="false" ht="15.75" hidden="false" customHeight="true" outlineLevel="0" collapsed="false">
      <c r="A916" s="65"/>
      <c r="B916" s="65"/>
      <c r="C916" s="65"/>
      <c r="D916" s="65"/>
      <c r="E916" s="65"/>
      <c r="F916" s="65"/>
      <c r="G916" s="65"/>
      <c r="H916" s="65"/>
      <c r="I916" s="65"/>
      <c r="J916" s="65"/>
      <c r="K916" s="65"/>
      <c r="L916" s="65"/>
      <c r="M916" s="65"/>
      <c r="N916" s="65"/>
      <c r="O916" s="65"/>
      <c r="P916" s="65"/>
      <c r="Q916" s="65"/>
      <c r="R916" s="65"/>
      <c r="S916" s="65"/>
      <c r="T916" s="65"/>
      <c r="U916" s="65"/>
      <c r="V916" s="65"/>
      <c r="W916" s="65"/>
      <c r="X916" s="65"/>
      <c r="Y916" s="65"/>
      <c r="Z916" s="65"/>
    </row>
    <row r="917" customFormat="false" ht="15.75" hidden="false" customHeight="true" outlineLevel="0" collapsed="false">
      <c r="A917" s="65"/>
      <c r="B917" s="65"/>
      <c r="C917" s="65"/>
      <c r="D917" s="65"/>
      <c r="E917" s="65"/>
      <c r="F917" s="65"/>
      <c r="G917" s="65"/>
      <c r="H917" s="65"/>
      <c r="I917" s="65"/>
      <c r="J917" s="65"/>
      <c r="K917" s="65"/>
      <c r="L917" s="65"/>
      <c r="M917" s="65"/>
      <c r="N917" s="65"/>
      <c r="O917" s="65"/>
      <c r="P917" s="65"/>
      <c r="Q917" s="65"/>
      <c r="R917" s="65"/>
      <c r="S917" s="65"/>
      <c r="T917" s="65"/>
      <c r="U917" s="65"/>
      <c r="V917" s="65"/>
      <c r="W917" s="65"/>
      <c r="X917" s="65"/>
      <c r="Y917" s="65"/>
      <c r="Z917" s="65"/>
    </row>
    <row r="918" customFormat="false" ht="15.75" hidden="false" customHeight="true" outlineLevel="0" collapsed="false">
      <c r="A918" s="65"/>
      <c r="B918" s="65"/>
      <c r="C918" s="65"/>
      <c r="D918" s="65"/>
      <c r="E918" s="65"/>
      <c r="F918" s="65"/>
      <c r="G918" s="65"/>
      <c r="H918" s="65"/>
      <c r="I918" s="65"/>
      <c r="J918" s="65"/>
      <c r="K918" s="65"/>
      <c r="L918" s="65"/>
      <c r="M918" s="65"/>
      <c r="N918" s="65"/>
      <c r="O918" s="65"/>
      <c r="P918" s="65"/>
      <c r="Q918" s="65"/>
      <c r="R918" s="65"/>
      <c r="S918" s="65"/>
      <c r="T918" s="65"/>
      <c r="U918" s="65"/>
      <c r="V918" s="65"/>
      <c r="W918" s="65"/>
      <c r="X918" s="65"/>
      <c r="Y918" s="65"/>
      <c r="Z918" s="65"/>
    </row>
    <row r="919" customFormat="false" ht="15.75" hidden="false" customHeight="true" outlineLevel="0" collapsed="false">
      <c r="A919" s="65"/>
      <c r="B919" s="65"/>
      <c r="C919" s="65"/>
      <c r="D919" s="65"/>
      <c r="E919" s="65"/>
      <c r="F919" s="65"/>
      <c r="G919" s="65"/>
      <c r="H919" s="65"/>
      <c r="I919" s="65"/>
      <c r="J919" s="65"/>
      <c r="K919" s="65"/>
      <c r="L919" s="65"/>
      <c r="M919" s="65"/>
      <c r="N919" s="65"/>
      <c r="O919" s="65"/>
      <c r="P919" s="65"/>
      <c r="Q919" s="65"/>
      <c r="R919" s="65"/>
      <c r="S919" s="65"/>
      <c r="T919" s="65"/>
      <c r="U919" s="65"/>
      <c r="V919" s="65"/>
      <c r="W919" s="65"/>
      <c r="X919" s="65"/>
      <c r="Y919" s="65"/>
      <c r="Z919" s="65"/>
    </row>
    <row r="920" customFormat="false" ht="15.75" hidden="false" customHeight="true" outlineLevel="0" collapsed="false">
      <c r="A920" s="65"/>
      <c r="B920" s="65"/>
      <c r="C920" s="65"/>
      <c r="D920" s="65"/>
      <c r="E920" s="65"/>
      <c r="F920" s="65"/>
      <c r="G920" s="65"/>
      <c r="H920" s="65"/>
      <c r="I920" s="65"/>
      <c r="J920" s="65"/>
      <c r="K920" s="65"/>
      <c r="L920" s="65"/>
      <c r="M920" s="65"/>
      <c r="N920" s="65"/>
      <c r="O920" s="65"/>
      <c r="P920" s="65"/>
      <c r="Q920" s="65"/>
      <c r="R920" s="65"/>
      <c r="S920" s="65"/>
      <c r="T920" s="65"/>
      <c r="U920" s="65"/>
      <c r="V920" s="65"/>
      <c r="W920" s="65"/>
      <c r="X920" s="65"/>
      <c r="Y920" s="65"/>
      <c r="Z920" s="65"/>
    </row>
    <row r="921" customFormat="false" ht="15.75" hidden="false" customHeight="true" outlineLevel="0" collapsed="false">
      <c r="A921" s="65"/>
      <c r="B921" s="65"/>
      <c r="C921" s="65"/>
      <c r="D921" s="65"/>
      <c r="E921" s="65"/>
      <c r="F921" s="65"/>
      <c r="G921" s="65"/>
      <c r="H921" s="65"/>
      <c r="I921" s="65"/>
      <c r="J921" s="65"/>
      <c r="K921" s="65"/>
      <c r="L921" s="65"/>
      <c r="M921" s="65"/>
      <c r="N921" s="65"/>
      <c r="O921" s="65"/>
      <c r="P921" s="65"/>
      <c r="Q921" s="65"/>
      <c r="R921" s="65"/>
      <c r="S921" s="65"/>
      <c r="T921" s="65"/>
      <c r="U921" s="65"/>
      <c r="V921" s="65"/>
      <c r="W921" s="65"/>
      <c r="X921" s="65"/>
      <c r="Y921" s="65"/>
      <c r="Z921" s="65"/>
    </row>
    <row r="922" customFormat="false" ht="15.75" hidden="false" customHeight="true" outlineLevel="0" collapsed="false">
      <c r="A922" s="65"/>
      <c r="B922" s="65"/>
      <c r="C922" s="65"/>
      <c r="D922" s="65"/>
      <c r="E922" s="65"/>
      <c r="F922" s="65"/>
      <c r="G922" s="65"/>
      <c r="H922" s="65"/>
      <c r="I922" s="65"/>
      <c r="J922" s="65"/>
      <c r="K922" s="65"/>
      <c r="L922" s="65"/>
      <c r="M922" s="65"/>
      <c r="N922" s="65"/>
      <c r="O922" s="65"/>
      <c r="P922" s="65"/>
      <c r="Q922" s="65"/>
      <c r="R922" s="65"/>
      <c r="S922" s="65"/>
      <c r="T922" s="65"/>
      <c r="U922" s="65"/>
      <c r="V922" s="65"/>
      <c r="W922" s="65"/>
      <c r="X922" s="65"/>
      <c r="Y922" s="65"/>
      <c r="Z922" s="65"/>
    </row>
    <row r="923" customFormat="false" ht="15.75" hidden="false" customHeight="true" outlineLevel="0" collapsed="false">
      <c r="A923" s="65"/>
      <c r="B923" s="65"/>
      <c r="C923" s="65"/>
      <c r="D923" s="65"/>
      <c r="E923" s="65"/>
      <c r="F923" s="65"/>
      <c r="G923" s="65"/>
      <c r="H923" s="65"/>
      <c r="I923" s="65"/>
      <c r="J923" s="65"/>
      <c r="K923" s="65"/>
      <c r="L923" s="65"/>
      <c r="M923" s="65"/>
      <c r="N923" s="65"/>
      <c r="O923" s="65"/>
      <c r="P923" s="65"/>
      <c r="Q923" s="65"/>
      <c r="R923" s="65"/>
      <c r="S923" s="65"/>
      <c r="T923" s="65"/>
      <c r="U923" s="65"/>
      <c r="V923" s="65"/>
      <c r="W923" s="65"/>
      <c r="X923" s="65"/>
      <c r="Y923" s="65"/>
      <c r="Z923" s="65"/>
    </row>
    <row r="924" customFormat="false" ht="15.75" hidden="false" customHeight="true" outlineLevel="0" collapsed="false">
      <c r="A924" s="65"/>
      <c r="B924" s="65"/>
      <c r="C924" s="65"/>
      <c r="D924" s="65"/>
      <c r="E924" s="65"/>
      <c r="F924" s="65"/>
      <c r="G924" s="65"/>
      <c r="H924" s="65"/>
      <c r="I924" s="65"/>
      <c r="J924" s="65"/>
      <c r="K924" s="65"/>
      <c r="L924" s="65"/>
      <c r="M924" s="65"/>
      <c r="N924" s="65"/>
      <c r="O924" s="65"/>
      <c r="P924" s="65"/>
      <c r="Q924" s="65"/>
      <c r="R924" s="65"/>
      <c r="S924" s="65"/>
      <c r="T924" s="65"/>
      <c r="U924" s="65"/>
      <c r="V924" s="65"/>
      <c r="W924" s="65"/>
      <c r="X924" s="65"/>
      <c r="Y924" s="65"/>
      <c r="Z924" s="65"/>
    </row>
    <row r="925" customFormat="false" ht="15.75" hidden="false" customHeight="true" outlineLevel="0" collapsed="false">
      <c r="A925" s="65"/>
      <c r="B925" s="65"/>
      <c r="C925" s="65"/>
      <c r="D925" s="65"/>
      <c r="E925" s="65"/>
      <c r="F925" s="65"/>
      <c r="G925" s="65"/>
      <c r="H925" s="65"/>
      <c r="I925" s="65"/>
      <c r="J925" s="65"/>
      <c r="K925" s="65"/>
      <c r="L925" s="65"/>
      <c r="M925" s="65"/>
      <c r="N925" s="65"/>
      <c r="O925" s="65"/>
      <c r="P925" s="65"/>
      <c r="Q925" s="65"/>
      <c r="R925" s="65"/>
      <c r="S925" s="65"/>
      <c r="T925" s="65"/>
      <c r="U925" s="65"/>
      <c r="V925" s="65"/>
      <c r="W925" s="65"/>
      <c r="X925" s="65"/>
      <c r="Y925" s="65"/>
      <c r="Z925" s="65"/>
    </row>
    <row r="926" customFormat="false" ht="15.75" hidden="false" customHeight="true" outlineLevel="0" collapsed="false">
      <c r="A926" s="65"/>
      <c r="B926" s="65"/>
      <c r="C926" s="65"/>
      <c r="D926" s="65"/>
      <c r="E926" s="65"/>
      <c r="F926" s="65"/>
      <c r="G926" s="65"/>
      <c r="H926" s="65"/>
      <c r="I926" s="65"/>
      <c r="J926" s="65"/>
      <c r="K926" s="65"/>
      <c r="L926" s="65"/>
      <c r="M926" s="65"/>
      <c r="N926" s="65"/>
      <c r="O926" s="65"/>
      <c r="P926" s="65"/>
      <c r="Q926" s="65"/>
      <c r="R926" s="65"/>
      <c r="S926" s="65"/>
      <c r="T926" s="65"/>
      <c r="U926" s="65"/>
      <c r="V926" s="65"/>
      <c r="W926" s="65"/>
      <c r="X926" s="65"/>
      <c r="Y926" s="65"/>
      <c r="Z926" s="65"/>
    </row>
    <row r="927" customFormat="false" ht="15.75" hidden="false" customHeight="true" outlineLevel="0" collapsed="false">
      <c r="A927" s="65"/>
      <c r="B927" s="65"/>
      <c r="C927" s="65"/>
      <c r="D927" s="65"/>
      <c r="E927" s="65"/>
      <c r="F927" s="65"/>
      <c r="G927" s="65"/>
      <c r="H927" s="65"/>
      <c r="I927" s="65"/>
      <c r="J927" s="65"/>
      <c r="K927" s="65"/>
      <c r="L927" s="65"/>
      <c r="M927" s="65"/>
      <c r="N927" s="65"/>
      <c r="O927" s="65"/>
      <c r="P927" s="65"/>
      <c r="Q927" s="65"/>
      <c r="R927" s="65"/>
      <c r="S927" s="65"/>
      <c r="T927" s="65"/>
      <c r="U927" s="65"/>
      <c r="V927" s="65"/>
      <c r="W927" s="65"/>
      <c r="X927" s="65"/>
      <c r="Y927" s="65"/>
      <c r="Z927" s="65"/>
    </row>
    <row r="928" customFormat="false" ht="15.75" hidden="false" customHeight="true" outlineLevel="0" collapsed="false">
      <c r="A928" s="65"/>
      <c r="B928" s="65"/>
      <c r="C928" s="65"/>
      <c r="D928" s="65"/>
      <c r="E928" s="65"/>
      <c r="F928" s="65"/>
      <c r="G928" s="65"/>
      <c r="H928" s="65"/>
      <c r="I928" s="65"/>
      <c r="J928" s="65"/>
      <c r="K928" s="65"/>
      <c r="L928" s="65"/>
      <c r="M928" s="65"/>
      <c r="N928" s="65"/>
      <c r="O928" s="65"/>
      <c r="P928" s="65"/>
      <c r="Q928" s="65"/>
      <c r="R928" s="65"/>
      <c r="S928" s="65"/>
      <c r="T928" s="65"/>
      <c r="U928" s="65"/>
      <c r="V928" s="65"/>
      <c r="W928" s="65"/>
      <c r="X928" s="65"/>
      <c r="Y928" s="65"/>
      <c r="Z928" s="65"/>
    </row>
    <row r="929" customFormat="false" ht="15.75" hidden="false" customHeight="true" outlineLevel="0" collapsed="false">
      <c r="A929" s="65"/>
      <c r="B929" s="65"/>
      <c r="C929" s="65"/>
      <c r="D929" s="65"/>
      <c r="E929" s="65"/>
      <c r="F929" s="65"/>
      <c r="G929" s="65"/>
      <c r="H929" s="65"/>
      <c r="I929" s="65"/>
      <c r="J929" s="65"/>
      <c r="K929" s="65"/>
      <c r="L929" s="65"/>
      <c r="M929" s="65"/>
      <c r="N929" s="65"/>
      <c r="O929" s="65"/>
      <c r="P929" s="65"/>
      <c r="Q929" s="65"/>
      <c r="R929" s="65"/>
      <c r="S929" s="65"/>
      <c r="T929" s="65"/>
      <c r="U929" s="65"/>
      <c r="V929" s="65"/>
      <c r="W929" s="65"/>
      <c r="X929" s="65"/>
      <c r="Y929" s="65"/>
      <c r="Z929" s="65"/>
    </row>
    <row r="930" customFormat="false" ht="15.75" hidden="false" customHeight="true" outlineLevel="0" collapsed="false">
      <c r="A930" s="65"/>
      <c r="B930" s="65"/>
      <c r="C930" s="65"/>
      <c r="D930" s="65"/>
      <c r="E930" s="65"/>
      <c r="F930" s="65"/>
      <c r="G930" s="65"/>
      <c r="H930" s="65"/>
      <c r="I930" s="65"/>
      <c r="J930" s="65"/>
      <c r="K930" s="65"/>
      <c r="L930" s="65"/>
      <c r="M930" s="65"/>
      <c r="N930" s="65"/>
      <c r="O930" s="65"/>
      <c r="P930" s="65"/>
      <c r="Q930" s="65"/>
      <c r="R930" s="65"/>
      <c r="S930" s="65"/>
      <c r="T930" s="65"/>
      <c r="U930" s="65"/>
      <c r="V930" s="65"/>
      <c r="W930" s="65"/>
      <c r="X930" s="65"/>
      <c r="Y930" s="65"/>
      <c r="Z930" s="65"/>
    </row>
    <row r="931" customFormat="false" ht="15.75" hidden="false" customHeight="true" outlineLevel="0" collapsed="false">
      <c r="A931" s="65"/>
      <c r="B931" s="65"/>
      <c r="C931" s="65"/>
      <c r="D931" s="65"/>
      <c r="E931" s="65"/>
      <c r="F931" s="65"/>
      <c r="G931" s="65"/>
      <c r="H931" s="65"/>
      <c r="I931" s="65"/>
      <c r="J931" s="65"/>
      <c r="K931" s="65"/>
      <c r="L931" s="65"/>
      <c r="M931" s="65"/>
      <c r="N931" s="65"/>
      <c r="O931" s="65"/>
      <c r="P931" s="65"/>
      <c r="Q931" s="65"/>
      <c r="R931" s="65"/>
      <c r="S931" s="65"/>
      <c r="T931" s="65"/>
      <c r="U931" s="65"/>
      <c r="V931" s="65"/>
      <c r="W931" s="65"/>
      <c r="X931" s="65"/>
      <c r="Y931" s="65"/>
      <c r="Z931" s="65"/>
    </row>
    <row r="932" customFormat="false" ht="15.75" hidden="false" customHeight="true" outlineLevel="0" collapsed="false">
      <c r="A932" s="65"/>
      <c r="B932" s="65"/>
      <c r="C932" s="65"/>
      <c r="D932" s="65"/>
      <c r="E932" s="65"/>
      <c r="F932" s="65"/>
      <c r="G932" s="65"/>
      <c r="H932" s="65"/>
      <c r="I932" s="65"/>
      <c r="J932" s="65"/>
      <c r="K932" s="65"/>
      <c r="L932" s="65"/>
      <c r="M932" s="65"/>
      <c r="N932" s="65"/>
      <c r="O932" s="65"/>
      <c r="P932" s="65"/>
      <c r="Q932" s="65"/>
      <c r="R932" s="65"/>
      <c r="S932" s="65"/>
      <c r="T932" s="65"/>
      <c r="U932" s="65"/>
      <c r="V932" s="65"/>
      <c r="W932" s="65"/>
      <c r="X932" s="65"/>
      <c r="Y932" s="65"/>
      <c r="Z932" s="65"/>
    </row>
    <row r="933" customFormat="false" ht="15.75" hidden="false" customHeight="true" outlineLevel="0" collapsed="false">
      <c r="A933" s="65"/>
      <c r="B933" s="65"/>
      <c r="C933" s="65"/>
      <c r="D933" s="65"/>
      <c r="E933" s="65"/>
      <c r="F933" s="65"/>
      <c r="G933" s="65"/>
      <c r="H933" s="65"/>
      <c r="I933" s="65"/>
      <c r="J933" s="65"/>
      <c r="K933" s="65"/>
      <c r="L933" s="65"/>
      <c r="M933" s="65"/>
      <c r="N933" s="65"/>
      <c r="O933" s="65"/>
      <c r="P933" s="65"/>
      <c r="Q933" s="65"/>
      <c r="R933" s="65"/>
      <c r="S933" s="65"/>
      <c r="T933" s="65"/>
      <c r="U933" s="65"/>
      <c r="V933" s="65"/>
      <c r="W933" s="65"/>
      <c r="X933" s="65"/>
      <c r="Y933" s="65"/>
      <c r="Z933" s="65"/>
    </row>
    <row r="934" customFormat="false" ht="15.75" hidden="false" customHeight="true" outlineLevel="0" collapsed="false">
      <c r="A934" s="65"/>
      <c r="B934" s="65"/>
      <c r="C934" s="65"/>
      <c r="D934" s="65"/>
      <c r="E934" s="65"/>
      <c r="F934" s="65"/>
      <c r="G934" s="65"/>
      <c r="H934" s="65"/>
      <c r="I934" s="65"/>
      <c r="J934" s="65"/>
      <c r="K934" s="65"/>
      <c r="L934" s="65"/>
      <c r="M934" s="65"/>
      <c r="N934" s="65"/>
      <c r="O934" s="65"/>
      <c r="P934" s="65"/>
      <c r="Q934" s="65"/>
      <c r="R934" s="65"/>
      <c r="S934" s="65"/>
      <c r="T934" s="65"/>
      <c r="U934" s="65"/>
      <c r="V934" s="65"/>
      <c r="W934" s="65"/>
      <c r="X934" s="65"/>
      <c r="Y934" s="65"/>
      <c r="Z934" s="65"/>
    </row>
    <row r="935" customFormat="false" ht="15.75" hidden="false" customHeight="true" outlineLevel="0" collapsed="false">
      <c r="A935" s="65"/>
      <c r="B935" s="65"/>
      <c r="C935" s="65"/>
      <c r="D935" s="65"/>
      <c r="E935" s="65"/>
      <c r="F935" s="65"/>
      <c r="G935" s="65"/>
      <c r="H935" s="65"/>
      <c r="I935" s="65"/>
      <c r="J935" s="65"/>
      <c r="K935" s="65"/>
      <c r="L935" s="65"/>
      <c r="M935" s="65"/>
      <c r="N935" s="65"/>
      <c r="O935" s="65"/>
      <c r="P935" s="65"/>
      <c r="Q935" s="65"/>
      <c r="R935" s="65"/>
      <c r="S935" s="65"/>
      <c r="T935" s="65"/>
      <c r="U935" s="65"/>
      <c r="V935" s="65"/>
      <c r="W935" s="65"/>
      <c r="X935" s="65"/>
      <c r="Y935" s="65"/>
      <c r="Z935" s="65"/>
    </row>
    <row r="936" customFormat="false" ht="15.75" hidden="false" customHeight="true" outlineLevel="0" collapsed="false">
      <c r="A936" s="65"/>
      <c r="B936" s="65"/>
      <c r="C936" s="65"/>
      <c r="D936" s="65"/>
      <c r="E936" s="65"/>
      <c r="F936" s="65"/>
      <c r="G936" s="65"/>
      <c r="H936" s="65"/>
      <c r="I936" s="65"/>
      <c r="J936" s="65"/>
      <c r="K936" s="65"/>
      <c r="L936" s="65"/>
      <c r="M936" s="65"/>
      <c r="N936" s="65"/>
      <c r="O936" s="65"/>
      <c r="P936" s="65"/>
      <c r="Q936" s="65"/>
      <c r="R936" s="65"/>
      <c r="S936" s="65"/>
      <c r="T936" s="65"/>
      <c r="U936" s="65"/>
      <c r="V936" s="65"/>
      <c r="W936" s="65"/>
      <c r="X936" s="65"/>
      <c r="Y936" s="65"/>
      <c r="Z936" s="65"/>
    </row>
    <row r="937" customFormat="false" ht="15.75" hidden="false" customHeight="true" outlineLevel="0" collapsed="false">
      <c r="A937" s="65"/>
      <c r="B937" s="65"/>
      <c r="C937" s="65"/>
      <c r="D937" s="65"/>
      <c r="E937" s="65"/>
      <c r="F937" s="65"/>
      <c r="G937" s="65"/>
      <c r="H937" s="65"/>
      <c r="I937" s="65"/>
      <c r="J937" s="65"/>
      <c r="K937" s="65"/>
      <c r="L937" s="65"/>
      <c r="M937" s="65"/>
      <c r="N937" s="65"/>
      <c r="O937" s="65"/>
      <c r="P937" s="65"/>
      <c r="Q937" s="65"/>
      <c r="R937" s="65"/>
      <c r="S937" s="65"/>
      <c r="T937" s="65"/>
      <c r="U937" s="65"/>
      <c r="V937" s="65"/>
      <c r="W937" s="65"/>
      <c r="X937" s="65"/>
      <c r="Y937" s="65"/>
      <c r="Z937" s="65"/>
    </row>
    <row r="938" customFormat="false" ht="15.75" hidden="false" customHeight="true" outlineLevel="0" collapsed="false">
      <c r="A938" s="65"/>
      <c r="B938" s="65"/>
      <c r="C938" s="65"/>
      <c r="D938" s="65"/>
      <c r="E938" s="65"/>
      <c r="F938" s="65"/>
      <c r="G938" s="65"/>
      <c r="H938" s="65"/>
      <c r="I938" s="65"/>
      <c r="J938" s="65"/>
      <c r="K938" s="65"/>
      <c r="L938" s="65"/>
      <c r="M938" s="65"/>
      <c r="N938" s="65"/>
      <c r="O938" s="65"/>
      <c r="P938" s="65"/>
      <c r="Q938" s="65"/>
      <c r="R938" s="65"/>
      <c r="S938" s="65"/>
      <c r="T938" s="65"/>
      <c r="U938" s="65"/>
      <c r="V938" s="65"/>
      <c r="W938" s="65"/>
      <c r="X938" s="65"/>
      <c r="Y938" s="65"/>
      <c r="Z938" s="65"/>
    </row>
    <row r="939" customFormat="false" ht="15.75" hidden="false" customHeight="true" outlineLevel="0" collapsed="false">
      <c r="A939" s="65"/>
      <c r="B939" s="65"/>
      <c r="C939" s="65"/>
      <c r="D939" s="65"/>
      <c r="E939" s="65"/>
      <c r="F939" s="65"/>
      <c r="G939" s="65"/>
      <c r="H939" s="65"/>
      <c r="I939" s="65"/>
      <c r="J939" s="65"/>
      <c r="K939" s="65"/>
      <c r="L939" s="65"/>
      <c r="M939" s="65"/>
      <c r="N939" s="65"/>
      <c r="O939" s="65"/>
      <c r="P939" s="65"/>
      <c r="Q939" s="65"/>
      <c r="R939" s="65"/>
      <c r="S939" s="65"/>
      <c r="T939" s="65"/>
      <c r="U939" s="65"/>
      <c r="V939" s="65"/>
      <c r="W939" s="65"/>
      <c r="X939" s="65"/>
      <c r="Y939" s="65"/>
      <c r="Z939" s="65"/>
    </row>
    <row r="940" customFormat="false" ht="15.75" hidden="false" customHeight="true" outlineLevel="0" collapsed="false">
      <c r="A940" s="65"/>
      <c r="B940" s="65"/>
      <c r="C940" s="65"/>
      <c r="D940" s="65"/>
      <c r="E940" s="65"/>
      <c r="F940" s="65"/>
      <c r="G940" s="65"/>
      <c r="H940" s="65"/>
      <c r="I940" s="65"/>
      <c r="J940" s="65"/>
      <c r="K940" s="65"/>
      <c r="L940" s="65"/>
      <c r="M940" s="65"/>
      <c r="N940" s="65"/>
      <c r="O940" s="65"/>
      <c r="P940" s="65"/>
      <c r="Q940" s="65"/>
      <c r="R940" s="65"/>
      <c r="S940" s="65"/>
      <c r="T940" s="65"/>
      <c r="U940" s="65"/>
      <c r="V940" s="65"/>
      <c r="W940" s="65"/>
      <c r="X940" s="65"/>
      <c r="Y940" s="65"/>
      <c r="Z940" s="65"/>
    </row>
    <row r="941" customFormat="false" ht="15.75" hidden="false" customHeight="true" outlineLevel="0" collapsed="false">
      <c r="A941" s="65"/>
      <c r="B941" s="65"/>
      <c r="C941" s="65"/>
      <c r="D941" s="65"/>
      <c r="E941" s="65"/>
      <c r="F941" s="65"/>
      <c r="G941" s="65"/>
      <c r="H941" s="65"/>
      <c r="I941" s="65"/>
      <c r="J941" s="65"/>
      <c r="K941" s="65"/>
      <c r="L941" s="65"/>
      <c r="M941" s="65"/>
      <c r="N941" s="65"/>
      <c r="O941" s="65"/>
      <c r="P941" s="65"/>
      <c r="Q941" s="65"/>
      <c r="R941" s="65"/>
      <c r="S941" s="65"/>
      <c r="T941" s="65"/>
      <c r="U941" s="65"/>
      <c r="V941" s="65"/>
      <c r="W941" s="65"/>
      <c r="X941" s="65"/>
      <c r="Y941" s="65"/>
      <c r="Z941" s="65"/>
    </row>
    <row r="942" customFormat="false" ht="15.75" hidden="false" customHeight="true" outlineLevel="0" collapsed="false">
      <c r="A942" s="65"/>
      <c r="B942" s="65"/>
      <c r="C942" s="65"/>
      <c r="D942" s="65"/>
      <c r="E942" s="65"/>
      <c r="F942" s="65"/>
      <c r="G942" s="65"/>
      <c r="H942" s="65"/>
      <c r="I942" s="65"/>
      <c r="J942" s="65"/>
      <c r="K942" s="65"/>
      <c r="L942" s="65"/>
      <c r="M942" s="65"/>
      <c r="N942" s="65"/>
      <c r="O942" s="65"/>
      <c r="P942" s="65"/>
      <c r="Q942" s="65"/>
      <c r="R942" s="65"/>
      <c r="S942" s="65"/>
      <c r="T942" s="65"/>
      <c r="U942" s="65"/>
      <c r="V942" s="65"/>
      <c r="W942" s="65"/>
      <c r="X942" s="65"/>
      <c r="Y942" s="65"/>
      <c r="Z942" s="65"/>
    </row>
    <row r="943" customFormat="false" ht="15.75" hidden="false" customHeight="true" outlineLevel="0" collapsed="false">
      <c r="A943" s="65"/>
      <c r="B943" s="65"/>
      <c r="C943" s="65"/>
      <c r="D943" s="65"/>
      <c r="E943" s="65"/>
      <c r="F943" s="65"/>
      <c r="G943" s="65"/>
      <c r="H943" s="65"/>
      <c r="I943" s="65"/>
      <c r="J943" s="65"/>
      <c r="K943" s="65"/>
      <c r="L943" s="65"/>
      <c r="M943" s="65"/>
      <c r="N943" s="65"/>
      <c r="O943" s="65"/>
      <c r="P943" s="65"/>
      <c r="Q943" s="65"/>
      <c r="R943" s="65"/>
      <c r="S943" s="65"/>
      <c r="T943" s="65"/>
      <c r="U943" s="65"/>
      <c r="V943" s="65"/>
      <c r="W943" s="65"/>
      <c r="X943" s="65"/>
      <c r="Y943" s="65"/>
      <c r="Z943" s="65"/>
    </row>
    <row r="944" customFormat="false" ht="15.75" hidden="false" customHeight="true" outlineLevel="0" collapsed="false">
      <c r="A944" s="65"/>
      <c r="B944" s="65"/>
      <c r="C944" s="65"/>
      <c r="D944" s="65"/>
      <c r="E944" s="65"/>
      <c r="F944" s="65"/>
      <c r="G944" s="65"/>
      <c r="H944" s="65"/>
      <c r="I944" s="65"/>
      <c r="J944" s="65"/>
      <c r="K944" s="65"/>
      <c r="L944" s="65"/>
      <c r="M944" s="65"/>
      <c r="N944" s="65"/>
      <c r="O944" s="65"/>
      <c r="P944" s="65"/>
      <c r="Q944" s="65"/>
      <c r="R944" s="65"/>
      <c r="S944" s="65"/>
      <c r="T944" s="65"/>
      <c r="U944" s="65"/>
      <c r="V944" s="65"/>
      <c r="W944" s="65"/>
      <c r="X944" s="65"/>
      <c r="Y944" s="65"/>
      <c r="Z944" s="65"/>
    </row>
    <row r="945" customFormat="false" ht="15.75" hidden="false" customHeight="true" outlineLevel="0" collapsed="false">
      <c r="A945" s="65"/>
      <c r="B945" s="65"/>
      <c r="C945" s="65"/>
      <c r="D945" s="65"/>
      <c r="E945" s="65"/>
      <c r="F945" s="65"/>
      <c r="G945" s="65"/>
      <c r="H945" s="65"/>
      <c r="I945" s="65"/>
      <c r="J945" s="65"/>
      <c r="K945" s="65"/>
      <c r="L945" s="65"/>
      <c r="M945" s="65"/>
      <c r="N945" s="65"/>
      <c r="O945" s="65"/>
      <c r="P945" s="65"/>
      <c r="Q945" s="65"/>
      <c r="R945" s="65"/>
      <c r="S945" s="65"/>
      <c r="T945" s="65"/>
      <c r="U945" s="65"/>
      <c r="V945" s="65"/>
      <c r="W945" s="65"/>
      <c r="X945" s="65"/>
      <c r="Y945" s="65"/>
      <c r="Z945" s="65"/>
    </row>
    <row r="946" customFormat="false" ht="15.75" hidden="false" customHeight="true" outlineLevel="0" collapsed="false">
      <c r="A946" s="65"/>
      <c r="B946" s="65"/>
      <c r="C946" s="65"/>
      <c r="D946" s="65"/>
      <c r="E946" s="65"/>
      <c r="F946" s="65"/>
      <c r="G946" s="65"/>
      <c r="H946" s="65"/>
      <c r="I946" s="65"/>
      <c r="J946" s="65"/>
      <c r="K946" s="65"/>
      <c r="L946" s="65"/>
      <c r="M946" s="65"/>
      <c r="N946" s="65"/>
      <c r="O946" s="65"/>
      <c r="P946" s="65"/>
      <c r="Q946" s="65"/>
      <c r="R946" s="65"/>
      <c r="S946" s="65"/>
      <c r="T946" s="65"/>
      <c r="U946" s="65"/>
      <c r="V946" s="65"/>
      <c r="W946" s="65"/>
      <c r="X946" s="65"/>
      <c r="Y946" s="65"/>
      <c r="Z946" s="65"/>
    </row>
    <row r="947" customFormat="false" ht="15.75" hidden="false" customHeight="true" outlineLevel="0" collapsed="false">
      <c r="A947" s="65"/>
      <c r="B947" s="65"/>
      <c r="C947" s="65"/>
      <c r="D947" s="65"/>
      <c r="E947" s="65"/>
      <c r="F947" s="65"/>
      <c r="G947" s="65"/>
      <c r="H947" s="65"/>
      <c r="I947" s="65"/>
      <c r="J947" s="65"/>
      <c r="K947" s="65"/>
      <c r="L947" s="65"/>
      <c r="M947" s="65"/>
      <c r="N947" s="65"/>
      <c r="O947" s="65"/>
      <c r="P947" s="65"/>
      <c r="Q947" s="65"/>
      <c r="R947" s="65"/>
      <c r="S947" s="65"/>
      <c r="T947" s="65"/>
      <c r="U947" s="65"/>
      <c r="V947" s="65"/>
      <c r="W947" s="65"/>
      <c r="X947" s="65"/>
      <c r="Y947" s="65"/>
      <c r="Z947" s="65"/>
    </row>
    <row r="948" customFormat="false" ht="15.75" hidden="false" customHeight="true" outlineLevel="0" collapsed="false">
      <c r="A948" s="65"/>
      <c r="B948" s="65"/>
      <c r="C948" s="65"/>
      <c r="D948" s="65"/>
      <c r="E948" s="65"/>
      <c r="F948" s="65"/>
      <c r="G948" s="65"/>
      <c r="H948" s="65"/>
      <c r="I948" s="65"/>
      <c r="J948" s="65"/>
      <c r="K948" s="65"/>
      <c r="L948" s="65"/>
      <c r="M948" s="65"/>
      <c r="N948" s="65"/>
      <c r="O948" s="65"/>
      <c r="P948" s="65"/>
      <c r="Q948" s="65"/>
      <c r="R948" s="65"/>
      <c r="S948" s="65"/>
      <c r="T948" s="65"/>
      <c r="U948" s="65"/>
      <c r="V948" s="65"/>
      <c r="W948" s="65"/>
      <c r="X948" s="65"/>
      <c r="Y948" s="65"/>
      <c r="Z948" s="65"/>
    </row>
    <row r="949" customFormat="false" ht="15.75" hidden="false" customHeight="true" outlineLevel="0" collapsed="false">
      <c r="A949" s="65"/>
      <c r="B949" s="65"/>
      <c r="C949" s="65"/>
      <c r="D949" s="65"/>
      <c r="E949" s="65"/>
      <c r="F949" s="65"/>
      <c r="G949" s="65"/>
      <c r="H949" s="65"/>
      <c r="I949" s="65"/>
      <c r="J949" s="65"/>
      <c r="K949" s="65"/>
      <c r="L949" s="65"/>
      <c r="M949" s="65"/>
      <c r="N949" s="65"/>
      <c r="O949" s="65"/>
      <c r="P949" s="65"/>
      <c r="Q949" s="65"/>
      <c r="R949" s="65"/>
      <c r="S949" s="65"/>
      <c r="T949" s="65"/>
      <c r="U949" s="65"/>
      <c r="V949" s="65"/>
      <c r="W949" s="65"/>
      <c r="X949" s="65"/>
      <c r="Y949" s="65"/>
      <c r="Z949" s="65"/>
    </row>
    <row r="950" customFormat="false" ht="15.75" hidden="false" customHeight="true" outlineLevel="0" collapsed="false">
      <c r="A950" s="65"/>
      <c r="B950" s="65"/>
      <c r="C950" s="65"/>
      <c r="D950" s="65"/>
      <c r="E950" s="65"/>
      <c r="F950" s="65"/>
      <c r="G950" s="65"/>
      <c r="H950" s="65"/>
      <c r="I950" s="65"/>
      <c r="J950" s="65"/>
      <c r="K950" s="65"/>
      <c r="L950" s="65"/>
      <c r="M950" s="65"/>
      <c r="N950" s="65"/>
      <c r="O950" s="65"/>
      <c r="P950" s="65"/>
      <c r="Q950" s="65"/>
      <c r="R950" s="65"/>
      <c r="S950" s="65"/>
      <c r="T950" s="65"/>
      <c r="U950" s="65"/>
      <c r="V950" s="65"/>
      <c r="W950" s="65"/>
      <c r="X950" s="65"/>
      <c r="Y950" s="65"/>
      <c r="Z950" s="65"/>
    </row>
    <row r="951" customFormat="false" ht="15.75" hidden="false" customHeight="true" outlineLevel="0" collapsed="false">
      <c r="A951" s="65"/>
      <c r="B951" s="65"/>
      <c r="C951" s="65"/>
      <c r="D951" s="65"/>
      <c r="E951" s="65"/>
      <c r="F951" s="65"/>
      <c r="G951" s="65"/>
      <c r="H951" s="65"/>
      <c r="I951" s="65"/>
      <c r="J951" s="65"/>
      <c r="K951" s="65"/>
      <c r="L951" s="65"/>
      <c r="M951" s="65"/>
      <c r="N951" s="65"/>
      <c r="O951" s="65"/>
      <c r="P951" s="65"/>
      <c r="Q951" s="65"/>
      <c r="R951" s="65"/>
      <c r="S951" s="65"/>
      <c r="T951" s="65"/>
      <c r="U951" s="65"/>
      <c r="V951" s="65"/>
      <c r="W951" s="65"/>
      <c r="X951" s="65"/>
      <c r="Y951" s="65"/>
      <c r="Z951" s="65"/>
    </row>
    <row r="952" customFormat="false" ht="15.75" hidden="false" customHeight="true" outlineLevel="0" collapsed="false">
      <c r="A952" s="65"/>
      <c r="B952" s="65"/>
      <c r="C952" s="65"/>
      <c r="D952" s="65"/>
      <c r="E952" s="65"/>
      <c r="F952" s="65"/>
      <c r="G952" s="65"/>
      <c r="H952" s="65"/>
      <c r="I952" s="65"/>
      <c r="J952" s="65"/>
      <c r="K952" s="65"/>
      <c r="L952" s="65"/>
      <c r="M952" s="65"/>
      <c r="N952" s="65"/>
      <c r="O952" s="65"/>
      <c r="P952" s="65"/>
      <c r="Q952" s="65"/>
      <c r="R952" s="65"/>
      <c r="S952" s="65"/>
      <c r="T952" s="65"/>
      <c r="U952" s="65"/>
      <c r="V952" s="65"/>
      <c r="W952" s="65"/>
      <c r="X952" s="65"/>
      <c r="Y952" s="65"/>
      <c r="Z952" s="65"/>
    </row>
    <row r="953" customFormat="false" ht="15.75" hidden="false" customHeight="true" outlineLevel="0" collapsed="false">
      <c r="A953" s="65"/>
      <c r="B953" s="65"/>
      <c r="C953" s="65"/>
      <c r="D953" s="65"/>
      <c r="E953" s="65"/>
      <c r="F953" s="65"/>
      <c r="G953" s="65"/>
      <c r="H953" s="65"/>
      <c r="I953" s="65"/>
      <c r="J953" s="65"/>
      <c r="K953" s="65"/>
      <c r="L953" s="65"/>
      <c r="M953" s="65"/>
      <c r="N953" s="65"/>
      <c r="O953" s="65"/>
      <c r="P953" s="65"/>
      <c r="Q953" s="65"/>
      <c r="R953" s="65"/>
      <c r="S953" s="65"/>
      <c r="T953" s="65"/>
      <c r="U953" s="65"/>
      <c r="V953" s="65"/>
      <c r="W953" s="65"/>
      <c r="X953" s="65"/>
      <c r="Y953" s="65"/>
      <c r="Z953" s="65"/>
    </row>
    <row r="954" customFormat="false" ht="15.75" hidden="false" customHeight="true" outlineLevel="0" collapsed="false">
      <c r="A954" s="65"/>
      <c r="B954" s="65"/>
      <c r="C954" s="65"/>
      <c r="D954" s="65"/>
      <c r="E954" s="65"/>
      <c r="F954" s="65"/>
      <c r="G954" s="65"/>
      <c r="H954" s="65"/>
      <c r="I954" s="65"/>
      <c r="J954" s="65"/>
      <c r="K954" s="65"/>
      <c r="L954" s="65"/>
      <c r="M954" s="65"/>
      <c r="N954" s="65"/>
      <c r="O954" s="65"/>
      <c r="P954" s="65"/>
      <c r="Q954" s="65"/>
      <c r="R954" s="65"/>
      <c r="S954" s="65"/>
      <c r="T954" s="65"/>
      <c r="U954" s="65"/>
      <c r="V954" s="65"/>
      <c r="W954" s="65"/>
      <c r="X954" s="65"/>
      <c r="Y954" s="65"/>
      <c r="Z954" s="65"/>
    </row>
    <row r="955" customFormat="false" ht="15.75" hidden="false" customHeight="true" outlineLevel="0" collapsed="false">
      <c r="A955" s="65"/>
      <c r="B955" s="65"/>
      <c r="C955" s="65"/>
      <c r="D955" s="65"/>
      <c r="E955" s="65"/>
      <c r="F955" s="65"/>
      <c r="G955" s="65"/>
      <c r="H955" s="65"/>
      <c r="I955" s="65"/>
      <c r="J955" s="65"/>
      <c r="K955" s="65"/>
      <c r="L955" s="65"/>
      <c r="M955" s="65"/>
      <c r="N955" s="65"/>
      <c r="O955" s="65"/>
      <c r="P955" s="65"/>
      <c r="Q955" s="65"/>
      <c r="R955" s="65"/>
      <c r="S955" s="65"/>
      <c r="T955" s="65"/>
      <c r="U955" s="65"/>
      <c r="V955" s="65"/>
      <c r="W955" s="65"/>
      <c r="X955" s="65"/>
      <c r="Y955" s="65"/>
      <c r="Z955" s="65"/>
    </row>
    <row r="956" customFormat="false" ht="15.75" hidden="false" customHeight="true" outlineLevel="0" collapsed="false">
      <c r="A956" s="65"/>
      <c r="B956" s="65"/>
      <c r="C956" s="65"/>
      <c r="D956" s="65"/>
      <c r="E956" s="65"/>
      <c r="F956" s="65"/>
      <c r="G956" s="65"/>
      <c r="H956" s="65"/>
      <c r="I956" s="65"/>
      <c r="J956" s="65"/>
      <c r="K956" s="65"/>
      <c r="L956" s="65"/>
      <c r="M956" s="65"/>
      <c r="N956" s="65"/>
      <c r="O956" s="65"/>
      <c r="P956" s="65"/>
      <c r="Q956" s="65"/>
      <c r="R956" s="65"/>
      <c r="S956" s="65"/>
      <c r="T956" s="65"/>
      <c r="U956" s="65"/>
      <c r="V956" s="65"/>
      <c r="W956" s="65"/>
      <c r="X956" s="65"/>
      <c r="Y956" s="65"/>
      <c r="Z956" s="65"/>
    </row>
    <row r="957" customFormat="false" ht="15.75" hidden="false" customHeight="true" outlineLevel="0" collapsed="false">
      <c r="A957" s="65"/>
      <c r="B957" s="65"/>
      <c r="C957" s="65"/>
      <c r="D957" s="65"/>
      <c r="E957" s="65"/>
      <c r="F957" s="65"/>
      <c r="G957" s="65"/>
      <c r="H957" s="65"/>
      <c r="I957" s="65"/>
      <c r="J957" s="65"/>
      <c r="K957" s="65"/>
      <c r="L957" s="65"/>
      <c r="M957" s="65"/>
      <c r="N957" s="65"/>
      <c r="O957" s="65"/>
      <c r="P957" s="65"/>
      <c r="Q957" s="65"/>
      <c r="R957" s="65"/>
      <c r="S957" s="65"/>
      <c r="T957" s="65"/>
      <c r="U957" s="65"/>
      <c r="V957" s="65"/>
      <c r="W957" s="65"/>
      <c r="X957" s="65"/>
      <c r="Y957" s="65"/>
      <c r="Z957" s="65"/>
    </row>
    <row r="958" customFormat="false" ht="15.75" hidden="false" customHeight="true" outlineLevel="0" collapsed="false">
      <c r="A958" s="65"/>
      <c r="B958" s="65"/>
      <c r="C958" s="65"/>
      <c r="D958" s="65"/>
      <c r="E958" s="65"/>
      <c r="F958" s="65"/>
      <c r="G958" s="65"/>
      <c r="H958" s="65"/>
      <c r="I958" s="65"/>
      <c r="J958" s="65"/>
      <c r="K958" s="65"/>
      <c r="L958" s="65"/>
      <c r="M958" s="65"/>
      <c r="N958" s="65"/>
      <c r="O958" s="65"/>
      <c r="P958" s="65"/>
      <c r="Q958" s="65"/>
      <c r="R958" s="65"/>
      <c r="S958" s="65"/>
      <c r="T958" s="65"/>
      <c r="U958" s="65"/>
      <c r="V958" s="65"/>
      <c r="W958" s="65"/>
      <c r="X958" s="65"/>
      <c r="Y958" s="65"/>
      <c r="Z958" s="65"/>
    </row>
    <row r="959" customFormat="false" ht="15.75" hidden="false" customHeight="true" outlineLevel="0" collapsed="false">
      <c r="A959" s="65"/>
      <c r="B959" s="65"/>
      <c r="C959" s="65"/>
      <c r="D959" s="65"/>
      <c r="E959" s="65"/>
      <c r="F959" s="65"/>
      <c r="G959" s="65"/>
      <c r="H959" s="65"/>
      <c r="I959" s="65"/>
      <c r="J959" s="65"/>
      <c r="K959" s="65"/>
      <c r="L959" s="65"/>
      <c r="M959" s="65"/>
      <c r="N959" s="65"/>
      <c r="O959" s="65"/>
      <c r="P959" s="65"/>
      <c r="Q959" s="65"/>
      <c r="R959" s="65"/>
      <c r="S959" s="65"/>
      <c r="T959" s="65"/>
      <c r="U959" s="65"/>
      <c r="V959" s="65"/>
      <c r="W959" s="65"/>
      <c r="X959" s="65"/>
      <c r="Y959" s="65"/>
      <c r="Z959" s="65"/>
    </row>
    <row r="960" customFormat="false" ht="15.75" hidden="false" customHeight="true" outlineLevel="0" collapsed="false">
      <c r="A960" s="65"/>
      <c r="B960" s="65"/>
      <c r="C960" s="65"/>
      <c r="D960" s="65"/>
      <c r="E960" s="65"/>
      <c r="F960" s="65"/>
      <c r="G960" s="65"/>
      <c r="H960" s="65"/>
      <c r="I960" s="65"/>
      <c r="J960" s="65"/>
      <c r="K960" s="65"/>
      <c r="L960" s="65"/>
      <c r="M960" s="65"/>
      <c r="N960" s="65"/>
      <c r="O960" s="65"/>
      <c r="P960" s="65"/>
      <c r="Q960" s="65"/>
      <c r="R960" s="65"/>
      <c r="S960" s="65"/>
      <c r="T960" s="65"/>
      <c r="U960" s="65"/>
      <c r="V960" s="65"/>
      <c r="W960" s="65"/>
      <c r="X960" s="65"/>
      <c r="Y960" s="65"/>
      <c r="Z960" s="65"/>
    </row>
    <row r="961" customFormat="false" ht="15.75" hidden="false" customHeight="true" outlineLevel="0" collapsed="false">
      <c r="A961" s="65"/>
      <c r="B961" s="65"/>
      <c r="C961" s="65"/>
      <c r="D961" s="65"/>
      <c r="E961" s="65"/>
      <c r="F961" s="65"/>
      <c r="G961" s="65"/>
      <c r="H961" s="65"/>
      <c r="I961" s="65"/>
      <c r="J961" s="65"/>
      <c r="K961" s="65"/>
      <c r="L961" s="65"/>
      <c r="M961" s="65"/>
      <c r="N961" s="65"/>
      <c r="O961" s="65"/>
      <c r="P961" s="65"/>
      <c r="Q961" s="65"/>
      <c r="R961" s="65"/>
      <c r="S961" s="65"/>
      <c r="T961" s="65"/>
      <c r="U961" s="65"/>
      <c r="V961" s="65"/>
      <c r="W961" s="65"/>
      <c r="X961" s="65"/>
      <c r="Y961" s="65"/>
      <c r="Z961" s="65"/>
    </row>
    <row r="962" customFormat="false" ht="15.75" hidden="false" customHeight="true" outlineLevel="0" collapsed="false">
      <c r="A962" s="65"/>
      <c r="B962" s="65"/>
      <c r="C962" s="65"/>
      <c r="D962" s="65"/>
      <c r="E962" s="65"/>
      <c r="F962" s="65"/>
      <c r="G962" s="65"/>
      <c r="H962" s="65"/>
      <c r="I962" s="65"/>
      <c r="J962" s="65"/>
      <c r="K962" s="65"/>
      <c r="L962" s="65"/>
      <c r="M962" s="65"/>
      <c r="N962" s="65"/>
      <c r="O962" s="65"/>
      <c r="P962" s="65"/>
      <c r="Q962" s="65"/>
      <c r="R962" s="65"/>
      <c r="S962" s="65"/>
      <c r="T962" s="65"/>
      <c r="U962" s="65"/>
      <c r="V962" s="65"/>
      <c r="W962" s="65"/>
      <c r="X962" s="65"/>
      <c r="Y962" s="65"/>
      <c r="Z962" s="65"/>
    </row>
    <row r="963" customFormat="false" ht="15.75" hidden="false" customHeight="true" outlineLevel="0" collapsed="false">
      <c r="A963" s="65"/>
      <c r="B963" s="65"/>
      <c r="C963" s="65"/>
      <c r="D963" s="65"/>
      <c r="E963" s="65"/>
      <c r="F963" s="65"/>
      <c r="G963" s="65"/>
      <c r="H963" s="65"/>
      <c r="I963" s="65"/>
      <c r="J963" s="65"/>
      <c r="K963" s="65"/>
      <c r="L963" s="65"/>
      <c r="M963" s="65"/>
      <c r="N963" s="65"/>
      <c r="O963" s="65"/>
      <c r="P963" s="65"/>
      <c r="Q963" s="65"/>
      <c r="R963" s="65"/>
      <c r="S963" s="65"/>
      <c r="T963" s="65"/>
      <c r="U963" s="65"/>
      <c r="V963" s="65"/>
      <c r="W963" s="65"/>
      <c r="X963" s="65"/>
      <c r="Y963" s="65"/>
      <c r="Z963" s="65"/>
    </row>
    <row r="964" customFormat="false" ht="15.75" hidden="false" customHeight="true" outlineLevel="0" collapsed="false">
      <c r="A964" s="65"/>
      <c r="B964" s="65"/>
      <c r="C964" s="65"/>
      <c r="D964" s="65"/>
      <c r="E964" s="65"/>
      <c r="F964" s="65"/>
      <c r="G964" s="65"/>
      <c r="H964" s="65"/>
      <c r="I964" s="65"/>
      <c r="J964" s="65"/>
      <c r="K964" s="65"/>
      <c r="L964" s="65"/>
      <c r="M964" s="65"/>
      <c r="N964" s="65"/>
      <c r="O964" s="65"/>
      <c r="P964" s="65"/>
      <c r="Q964" s="65"/>
      <c r="R964" s="65"/>
      <c r="S964" s="65"/>
      <c r="T964" s="65"/>
      <c r="U964" s="65"/>
      <c r="V964" s="65"/>
      <c r="W964" s="65"/>
      <c r="X964" s="65"/>
      <c r="Y964" s="65"/>
      <c r="Z964" s="65"/>
    </row>
    <row r="965" customFormat="false" ht="15.75" hidden="false" customHeight="true" outlineLevel="0" collapsed="false">
      <c r="A965" s="65"/>
      <c r="B965" s="65"/>
      <c r="C965" s="65"/>
      <c r="D965" s="65"/>
      <c r="E965" s="65"/>
      <c r="F965" s="65"/>
      <c r="G965" s="65"/>
      <c r="H965" s="65"/>
      <c r="I965" s="65"/>
      <c r="J965" s="65"/>
      <c r="K965" s="65"/>
      <c r="L965" s="65"/>
      <c r="M965" s="65"/>
      <c r="N965" s="65"/>
      <c r="O965" s="65"/>
      <c r="P965" s="65"/>
      <c r="Q965" s="65"/>
      <c r="R965" s="65"/>
      <c r="S965" s="65"/>
      <c r="T965" s="65"/>
      <c r="U965" s="65"/>
      <c r="V965" s="65"/>
      <c r="W965" s="65"/>
      <c r="X965" s="65"/>
      <c r="Y965" s="65"/>
      <c r="Z965" s="65"/>
    </row>
    <row r="966" customFormat="false" ht="15.75" hidden="false" customHeight="true" outlineLevel="0" collapsed="false">
      <c r="A966" s="65"/>
      <c r="B966" s="65"/>
      <c r="C966" s="65"/>
      <c r="D966" s="65"/>
      <c r="E966" s="65"/>
      <c r="F966" s="65"/>
      <c r="G966" s="65"/>
      <c r="H966" s="65"/>
      <c r="I966" s="65"/>
      <c r="J966" s="65"/>
      <c r="K966" s="65"/>
      <c r="L966" s="65"/>
      <c r="M966" s="65"/>
      <c r="N966" s="65"/>
      <c r="O966" s="65"/>
      <c r="P966" s="65"/>
      <c r="Q966" s="65"/>
      <c r="R966" s="65"/>
      <c r="S966" s="65"/>
      <c r="T966" s="65"/>
      <c r="U966" s="65"/>
      <c r="V966" s="65"/>
      <c r="W966" s="65"/>
      <c r="X966" s="65"/>
      <c r="Y966" s="65"/>
      <c r="Z966" s="65"/>
    </row>
    <row r="967" customFormat="false" ht="15.75" hidden="false" customHeight="true" outlineLevel="0" collapsed="false">
      <c r="A967" s="65"/>
      <c r="B967" s="65"/>
      <c r="C967" s="65"/>
      <c r="D967" s="65"/>
      <c r="E967" s="65"/>
      <c r="F967" s="65"/>
      <c r="G967" s="65"/>
      <c r="H967" s="65"/>
      <c r="I967" s="65"/>
      <c r="J967" s="65"/>
      <c r="K967" s="65"/>
      <c r="L967" s="65"/>
      <c r="M967" s="65"/>
      <c r="N967" s="65"/>
      <c r="O967" s="65"/>
      <c r="P967" s="65"/>
      <c r="Q967" s="65"/>
      <c r="R967" s="65"/>
      <c r="S967" s="65"/>
      <c r="T967" s="65"/>
      <c r="U967" s="65"/>
      <c r="V967" s="65"/>
      <c r="W967" s="65"/>
      <c r="X967" s="65"/>
      <c r="Y967" s="65"/>
      <c r="Z967" s="65"/>
    </row>
    <row r="968" customFormat="false" ht="15.75" hidden="false" customHeight="true" outlineLevel="0" collapsed="false">
      <c r="A968" s="65"/>
      <c r="B968" s="65"/>
      <c r="C968" s="65"/>
      <c r="D968" s="65"/>
      <c r="E968" s="65"/>
      <c r="F968" s="65"/>
      <c r="G968" s="65"/>
      <c r="H968" s="65"/>
      <c r="I968" s="65"/>
      <c r="J968" s="65"/>
      <c r="K968" s="65"/>
      <c r="L968" s="65"/>
      <c r="M968" s="65"/>
      <c r="N968" s="65"/>
      <c r="O968" s="65"/>
      <c r="P968" s="65"/>
      <c r="Q968" s="65"/>
      <c r="R968" s="65"/>
      <c r="S968" s="65"/>
      <c r="T968" s="65"/>
      <c r="U968" s="65"/>
      <c r="V968" s="65"/>
      <c r="W968" s="65"/>
      <c r="X968" s="65"/>
      <c r="Y968" s="65"/>
      <c r="Z968" s="65"/>
    </row>
    <row r="969" customFormat="false" ht="15.75" hidden="false" customHeight="true" outlineLevel="0" collapsed="false">
      <c r="A969" s="65"/>
      <c r="B969" s="65"/>
      <c r="C969" s="65"/>
      <c r="D969" s="65"/>
      <c r="E969" s="65"/>
      <c r="F969" s="65"/>
      <c r="G969" s="65"/>
      <c r="H969" s="65"/>
      <c r="I969" s="65"/>
      <c r="J969" s="65"/>
      <c r="K969" s="65"/>
      <c r="L969" s="65"/>
      <c r="M969" s="65"/>
      <c r="N969" s="65"/>
      <c r="O969" s="65"/>
      <c r="P969" s="65"/>
      <c r="Q969" s="65"/>
      <c r="R969" s="65"/>
      <c r="S969" s="65"/>
      <c r="T969" s="65"/>
      <c r="U969" s="65"/>
      <c r="V969" s="65"/>
      <c r="W969" s="65"/>
      <c r="X969" s="65"/>
      <c r="Y969" s="65"/>
      <c r="Z969" s="65"/>
    </row>
    <row r="970" customFormat="false" ht="15.75" hidden="false" customHeight="true" outlineLevel="0" collapsed="false">
      <c r="A970" s="65"/>
      <c r="B970" s="65"/>
      <c r="C970" s="65"/>
      <c r="D970" s="65"/>
      <c r="E970" s="65"/>
      <c r="F970" s="65"/>
      <c r="G970" s="65"/>
      <c r="H970" s="65"/>
      <c r="I970" s="65"/>
      <c r="J970" s="65"/>
      <c r="K970" s="65"/>
      <c r="L970" s="65"/>
      <c r="M970" s="65"/>
      <c r="N970" s="65"/>
      <c r="O970" s="65"/>
      <c r="P970" s="65"/>
      <c r="Q970" s="65"/>
      <c r="R970" s="65"/>
      <c r="S970" s="65"/>
      <c r="T970" s="65"/>
      <c r="U970" s="65"/>
      <c r="V970" s="65"/>
      <c r="W970" s="65"/>
      <c r="X970" s="65"/>
      <c r="Y970" s="65"/>
      <c r="Z970" s="65"/>
    </row>
    <row r="971" customFormat="false" ht="15.75" hidden="false" customHeight="true" outlineLevel="0" collapsed="false">
      <c r="A971" s="65"/>
      <c r="B971" s="65"/>
      <c r="C971" s="65"/>
      <c r="D971" s="65"/>
      <c r="E971" s="65"/>
      <c r="F971" s="65"/>
      <c r="G971" s="65"/>
      <c r="H971" s="65"/>
      <c r="I971" s="65"/>
      <c r="J971" s="65"/>
      <c r="K971" s="65"/>
      <c r="L971" s="65"/>
      <c r="M971" s="65"/>
      <c r="N971" s="65"/>
      <c r="O971" s="65"/>
      <c r="P971" s="65"/>
      <c r="Q971" s="65"/>
      <c r="R971" s="65"/>
      <c r="S971" s="65"/>
      <c r="T971" s="65"/>
      <c r="U971" s="65"/>
      <c r="V971" s="65"/>
      <c r="W971" s="65"/>
      <c r="X971" s="65"/>
      <c r="Y971" s="65"/>
      <c r="Z971" s="65"/>
    </row>
    <row r="972" customFormat="false" ht="15.75" hidden="false" customHeight="true" outlineLevel="0" collapsed="false">
      <c r="A972" s="65"/>
      <c r="B972" s="65"/>
      <c r="C972" s="65"/>
      <c r="D972" s="65"/>
      <c r="E972" s="65"/>
      <c r="F972" s="65"/>
      <c r="G972" s="65"/>
      <c r="H972" s="65"/>
      <c r="I972" s="65"/>
      <c r="J972" s="65"/>
      <c r="K972" s="65"/>
      <c r="L972" s="65"/>
      <c r="M972" s="65"/>
      <c r="N972" s="65"/>
      <c r="O972" s="65"/>
      <c r="P972" s="65"/>
      <c r="Q972" s="65"/>
      <c r="R972" s="65"/>
      <c r="S972" s="65"/>
      <c r="T972" s="65"/>
      <c r="U972" s="65"/>
      <c r="V972" s="65"/>
      <c r="W972" s="65"/>
      <c r="X972" s="65"/>
      <c r="Y972" s="65"/>
      <c r="Z972" s="65"/>
    </row>
    <row r="973" customFormat="false" ht="15.75" hidden="false" customHeight="true" outlineLevel="0" collapsed="false">
      <c r="A973" s="65"/>
      <c r="B973" s="65"/>
      <c r="C973" s="65"/>
      <c r="D973" s="65"/>
      <c r="E973" s="65"/>
      <c r="F973" s="65"/>
      <c r="G973" s="65"/>
      <c r="H973" s="65"/>
      <c r="I973" s="65"/>
      <c r="J973" s="65"/>
      <c r="K973" s="65"/>
      <c r="L973" s="65"/>
      <c r="M973" s="65"/>
      <c r="N973" s="65"/>
      <c r="O973" s="65"/>
      <c r="P973" s="65"/>
      <c r="Q973" s="65"/>
      <c r="R973" s="65"/>
      <c r="S973" s="65"/>
      <c r="T973" s="65"/>
      <c r="U973" s="65"/>
      <c r="V973" s="65"/>
      <c r="W973" s="65"/>
      <c r="X973" s="65"/>
      <c r="Y973" s="65"/>
      <c r="Z973" s="65"/>
    </row>
    <row r="974" customFormat="false" ht="15.75" hidden="false" customHeight="true" outlineLevel="0" collapsed="false">
      <c r="A974" s="65"/>
      <c r="B974" s="65"/>
      <c r="C974" s="65"/>
      <c r="D974" s="65"/>
      <c r="E974" s="65"/>
      <c r="F974" s="65"/>
      <c r="G974" s="65"/>
      <c r="H974" s="65"/>
      <c r="I974" s="65"/>
      <c r="J974" s="65"/>
      <c r="K974" s="65"/>
      <c r="L974" s="65"/>
      <c r="M974" s="65"/>
      <c r="N974" s="65"/>
      <c r="O974" s="65"/>
      <c r="P974" s="65"/>
      <c r="Q974" s="65"/>
      <c r="R974" s="65"/>
      <c r="S974" s="65"/>
      <c r="T974" s="65"/>
      <c r="U974" s="65"/>
      <c r="V974" s="65"/>
      <c r="W974" s="65"/>
      <c r="X974" s="65"/>
      <c r="Y974" s="65"/>
      <c r="Z974" s="65"/>
    </row>
    <row r="975" customFormat="false" ht="15.75" hidden="false" customHeight="true" outlineLevel="0" collapsed="false">
      <c r="A975" s="65"/>
      <c r="B975" s="65"/>
      <c r="C975" s="65"/>
      <c r="D975" s="65"/>
      <c r="E975" s="65"/>
      <c r="F975" s="65"/>
      <c r="G975" s="65"/>
      <c r="H975" s="65"/>
      <c r="I975" s="65"/>
      <c r="J975" s="65"/>
      <c r="K975" s="65"/>
      <c r="L975" s="65"/>
      <c r="M975" s="65"/>
      <c r="N975" s="65"/>
      <c r="O975" s="65"/>
      <c r="P975" s="65"/>
      <c r="Q975" s="65"/>
      <c r="R975" s="65"/>
      <c r="S975" s="65"/>
      <c r="T975" s="65"/>
      <c r="U975" s="65"/>
      <c r="V975" s="65"/>
      <c r="W975" s="65"/>
      <c r="X975" s="65"/>
      <c r="Y975" s="65"/>
      <c r="Z975" s="65"/>
    </row>
    <row r="976" customFormat="false" ht="15.75" hidden="false" customHeight="true" outlineLevel="0" collapsed="false">
      <c r="A976" s="65"/>
      <c r="B976" s="65"/>
      <c r="C976" s="65"/>
      <c r="D976" s="65"/>
      <c r="E976" s="65"/>
      <c r="F976" s="65"/>
      <c r="G976" s="65"/>
      <c r="H976" s="65"/>
      <c r="I976" s="65"/>
      <c r="J976" s="65"/>
      <c r="K976" s="65"/>
      <c r="L976" s="65"/>
      <c r="M976" s="65"/>
      <c r="N976" s="65"/>
      <c r="O976" s="65"/>
      <c r="P976" s="65"/>
      <c r="Q976" s="65"/>
      <c r="R976" s="65"/>
      <c r="S976" s="65"/>
      <c r="T976" s="65"/>
      <c r="U976" s="65"/>
      <c r="V976" s="65"/>
      <c r="W976" s="65"/>
      <c r="X976" s="65"/>
      <c r="Y976" s="65"/>
      <c r="Z976" s="65"/>
    </row>
    <row r="977" customFormat="false" ht="15.75" hidden="false" customHeight="true" outlineLevel="0" collapsed="false">
      <c r="A977" s="65"/>
      <c r="B977" s="65"/>
      <c r="C977" s="65"/>
      <c r="D977" s="65"/>
      <c r="E977" s="65"/>
      <c r="F977" s="65"/>
      <c r="G977" s="65"/>
      <c r="H977" s="65"/>
      <c r="I977" s="65"/>
      <c r="J977" s="65"/>
      <c r="K977" s="65"/>
      <c r="L977" s="65"/>
      <c r="M977" s="65"/>
      <c r="N977" s="65"/>
      <c r="O977" s="65"/>
      <c r="P977" s="65"/>
      <c r="Q977" s="65"/>
      <c r="R977" s="65"/>
      <c r="S977" s="65"/>
      <c r="T977" s="65"/>
      <c r="U977" s="65"/>
      <c r="V977" s="65"/>
      <c r="W977" s="65"/>
      <c r="X977" s="65"/>
      <c r="Y977" s="65"/>
      <c r="Z977" s="65"/>
    </row>
    <row r="978" customFormat="false" ht="15.75" hidden="false" customHeight="true" outlineLevel="0" collapsed="false">
      <c r="A978" s="65"/>
      <c r="B978" s="65"/>
      <c r="C978" s="65"/>
      <c r="D978" s="65"/>
      <c r="E978" s="65"/>
      <c r="F978" s="65"/>
      <c r="G978" s="65"/>
      <c r="H978" s="65"/>
      <c r="I978" s="65"/>
      <c r="J978" s="65"/>
      <c r="K978" s="65"/>
      <c r="L978" s="65"/>
      <c r="M978" s="65"/>
      <c r="N978" s="65"/>
      <c r="O978" s="65"/>
      <c r="P978" s="65"/>
      <c r="Q978" s="65"/>
      <c r="R978" s="65"/>
      <c r="S978" s="65"/>
      <c r="T978" s="65"/>
      <c r="U978" s="65"/>
      <c r="V978" s="65"/>
      <c r="W978" s="65"/>
      <c r="X978" s="65"/>
      <c r="Y978" s="65"/>
      <c r="Z978" s="65"/>
    </row>
    <row r="979" customFormat="false" ht="15.75" hidden="false" customHeight="true" outlineLevel="0" collapsed="false">
      <c r="A979" s="65"/>
      <c r="B979" s="65"/>
      <c r="C979" s="65"/>
      <c r="D979" s="65"/>
      <c r="E979" s="65"/>
      <c r="F979" s="65"/>
      <c r="G979" s="65"/>
      <c r="H979" s="65"/>
      <c r="I979" s="65"/>
      <c r="J979" s="65"/>
      <c r="K979" s="65"/>
      <c r="L979" s="65"/>
      <c r="M979" s="65"/>
      <c r="N979" s="65"/>
      <c r="O979" s="65"/>
      <c r="P979" s="65"/>
      <c r="Q979" s="65"/>
      <c r="R979" s="65"/>
      <c r="S979" s="65"/>
      <c r="T979" s="65"/>
      <c r="U979" s="65"/>
      <c r="V979" s="65"/>
      <c r="W979" s="65"/>
      <c r="X979" s="65"/>
      <c r="Y979" s="65"/>
      <c r="Z979" s="65"/>
    </row>
    <row r="980" customFormat="false" ht="15.75" hidden="false" customHeight="true" outlineLevel="0" collapsed="false">
      <c r="A980" s="65"/>
      <c r="B980" s="65"/>
      <c r="C980" s="65"/>
      <c r="D980" s="65"/>
      <c r="E980" s="65"/>
      <c r="F980" s="65"/>
      <c r="G980" s="65"/>
      <c r="H980" s="65"/>
      <c r="I980" s="65"/>
      <c r="J980" s="65"/>
      <c r="K980" s="65"/>
      <c r="L980" s="65"/>
      <c r="M980" s="65"/>
      <c r="N980" s="65"/>
      <c r="O980" s="65"/>
      <c r="P980" s="65"/>
      <c r="Q980" s="65"/>
      <c r="R980" s="65"/>
      <c r="S980" s="65"/>
      <c r="T980" s="65"/>
      <c r="U980" s="65"/>
      <c r="V980" s="65"/>
      <c r="W980" s="65"/>
      <c r="X980" s="65"/>
      <c r="Y980" s="65"/>
      <c r="Z980" s="65"/>
    </row>
    <row r="981" customFormat="false" ht="15.75" hidden="false" customHeight="true" outlineLevel="0" collapsed="false">
      <c r="A981" s="65"/>
      <c r="B981" s="65"/>
      <c r="C981" s="65"/>
      <c r="D981" s="65"/>
      <c r="E981" s="65"/>
      <c r="F981" s="65"/>
      <c r="G981" s="65"/>
      <c r="H981" s="65"/>
      <c r="I981" s="65"/>
      <c r="J981" s="65"/>
      <c r="K981" s="65"/>
      <c r="L981" s="65"/>
      <c r="M981" s="65"/>
      <c r="N981" s="65"/>
      <c r="O981" s="65"/>
      <c r="P981" s="65"/>
      <c r="Q981" s="65"/>
      <c r="R981" s="65"/>
      <c r="S981" s="65"/>
      <c r="T981" s="65"/>
      <c r="U981" s="65"/>
      <c r="V981" s="65"/>
      <c r="W981" s="65"/>
      <c r="X981" s="65"/>
      <c r="Y981" s="65"/>
      <c r="Z981" s="65"/>
    </row>
    <row r="982" customFormat="false" ht="15.75" hidden="false" customHeight="true" outlineLevel="0" collapsed="false">
      <c r="A982" s="65"/>
      <c r="B982" s="65"/>
      <c r="C982" s="65"/>
      <c r="D982" s="65"/>
      <c r="E982" s="65"/>
      <c r="F982" s="65"/>
      <c r="G982" s="65"/>
      <c r="H982" s="65"/>
      <c r="I982" s="65"/>
      <c r="J982" s="65"/>
      <c r="K982" s="65"/>
      <c r="L982" s="65"/>
      <c r="M982" s="65"/>
      <c r="N982" s="65"/>
      <c r="O982" s="65"/>
      <c r="P982" s="65"/>
      <c r="Q982" s="65"/>
      <c r="R982" s="65"/>
      <c r="S982" s="65"/>
      <c r="T982" s="65"/>
      <c r="U982" s="65"/>
      <c r="V982" s="65"/>
      <c r="W982" s="65"/>
      <c r="X982" s="65"/>
      <c r="Y982" s="65"/>
      <c r="Z982" s="65"/>
    </row>
    <row r="983" customFormat="false" ht="15.75" hidden="false" customHeight="true" outlineLevel="0" collapsed="false">
      <c r="A983" s="65"/>
      <c r="B983" s="65"/>
      <c r="C983" s="65"/>
      <c r="D983" s="65"/>
      <c r="E983" s="65"/>
      <c r="F983" s="65"/>
      <c r="G983" s="65"/>
      <c r="H983" s="65"/>
      <c r="I983" s="65"/>
      <c r="J983" s="65"/>
      <c r="K983" s="65"/>
      <c r="L983" s="65"/>
      <c r="M983" s="65"/>
      <c r="N983" s="65"/>
      <c r="O983" s="65"/>
      <c r="P983" s="65"/>
      <c r="Q983" s="65"/>
      <c r="R983" s="65"/>
      <c r="S983" s="65"/>
      <c r="T983" s="65"/>
      <c r="U983" s="65"/>
      <c r="V983" s="65"/>
      <c r="W983" s="65"/>
      <c r="X983" s="65"/>
      <c r="Y983" s="65"/>
      <c r="Z983" s="65"/>
    </row>
    <row r="984" customFormat="false" ht="15.75" hidden="false" customHeight="true" outlineLevel="0" collapsed="false">
      <c r="A984" s="65"/>
      <c r="B984" s="65"/>
      <c r="C984" s="65"/>
      <c r="D984" s="65"/>
      <c r="E984" s="65"/>
      <c r="F984" s="65"/>
      <c r="G984" s="65"/>
      <c r="H984" s="65"/>
      <c r="I984" s="65"/>
      <c r="J984" s="65"/>
      <c r="K984" s="65"/>
      <c r="L984" s="65"/>
      <c r="M984" s="65"/>
      <c r="N984" s="65"/>
      <c r="O984" s="65"/>
      <c r="P984" s="65"/>
      <c r="Q984" s="65"/>
      <c r="R984" s="65"/>
      <c r="S984" s="65"/>
      <c r="T984" s="65"/>
      <c r="U984" s="65"/>
      <c r="V984" s="65"/>
      <c r="W984" s="65"/>
      <c r="X984" s="65"/>
      <c r="Y984" s="65"/>
      <c r="Z984" s="65"/>
    </row>
    <row r="985" customFormat="false" ht="15.75" hidden="false" customHeight="true" outlineLevel="0" collapsed="false">
      <c r="A985" s="65"/>
      <c r="B985" s="65"/>
      <c r="C985" s="65"/>
      <c r="D985" s="65"/>
      <c r="E985" s="65"/>
      <c r="F985" s="65"/>
      <c r="G985" s="65"/>
      <c r="H985" s="65"/>
      <c r="I985" s="65"/>
      <c r="J985" s="65"/>
      <c r="K985" s="65"/>
      <c r="L985" s="65"/>
      <c r="M985" s="65"/>
      <c r="N985" s="65"/>
      <c r="O985" s="65"/>
      <c r="P985" s="65"/>
      <c r="Q985" s="65"/>
      <c r="R985" s="65"/>
      <c r="S985" s="65"/>
      <c r="T985" s="65"/>
      <c r="U985" s="65"/>
      <c r="V985" s="65"/>
      <c r="W985" s="65"/>
      <c r="X985" s="65"/>
      <c r="Y985" s="65"/>
      <c r="Z985" s="65"/>
    </row>
    <row r="986" customFormat="false" ht="15.75" hidden="false" customHeight="true" outlineLevel="0" collapsed="false">
      <c r="A986" s="65"/>
      <c r="B986" s="65"/>
      <c r="C986" s="65"/>
      <c r="D986" s="65"/>
      <c r="E986" s="65"/>
      <c r="F986" s="65"/>
      <c r="G986" s="65"/>
      <c r="H986" s="65"/>
      <c r="I986" s="65"/>
      <c r="J986" s="65"/>
      <c r="K986" s="65"/>
      <c r="L986" s="65"/>
      <c r="M986" s="65"/>
      <c r="N986" s="65"/>
      <c r="O986" s="65"/>
      <c r="P986" s="65"/>
      <c r="Q986" s="65"/>
      <c r="R986" s="65"/>
      <c r="S986" s="65"/>
      <c r="T986" s="65"/>
      <c r="U986" s="65"/>
      <c r="V986" s="65"/>
      <c r="W986" s="65"/>
      <c r="X986" s="65"/>
      <c r="Y986" s="65"/>
      <c r="Z986" s="65"/>
    </row>
    <row r="987" customFormat="false" ht="15.75" hidden="false" customHeight="true" outlineLevel="0" collapsed="false">
      <c r="A987" s="65"/>
      <c r="B987" s="65"/>
      <c r="C987" s="65"/>
      <c r="D987" s="65"/>
      <c r="E987" s="65"/>
      <c r="F987" s="65"/>
      <c r="G987" s="65"/>
      <c r="H987" s="65"/>
      <c r="I987" s="65"/>
      <c r="J987" s="65"/>
      <c r="K987" s="65"/>
      <c r="L987" s="65"/>
      <c r="M987" s="65"/>
      <c r="N987" s="65"/>
      <c r="O987" s="65"/>
      <c r="P987" s="65"/>
      <c r="Q987" s="65"/>
      <c r="R987" s="65"/>
      <c r="S987" s="65"/>
      <c r="T987" s="65"/>
      <c r="U987" s="65"/>
      <c r="V987" s="65"/>
      <c r="W987" s="65"/>
      <c r="X987" s="65"/>
      <c r="Y987" s="65"/>
      <c r="Z987" s="65"/>
    </row>
    <row r="988" customFormat="false" ht="15.75" hidden="false" customHeight="true" outlineLevel="0" collapsed="false">
      <c r="A988" s="65"/>
      <c r="B988" s="65"/>
      <c r="C988" s="65"/>
      <c r="D988" s="65"/>
      <c r="E988" s="65"/>
      <c r="F988" s="65"/>
      <c r="G988" s="65"/>
      <c r="H988" s="65"/>
      <c r="I988" s="65"/>
      <c r="J988" s="65"/>
      <c r="K988" s="65"/>
      <c r="L988" s="65"/>
      <c r="M988" s="65"/>
      <c r="N988" s="65"/>
      <c r="O988" s="65"/>
      <c r="P988" s="65"/>
      <c r="Q988" s="65"/>
      <c r="R988" s="65"/>
      <c r="S988" s="65"/>
      <c r="T988" s="65"/>
      <c r="U988" s="65"/>
      <c r="V988" s="65"/>
      <c r="W988" s="65"/>
      <c r="X988" s="65"/>
      <c r="Y988" s="65"/>
      <c r="Z988" s="65"/>
    </row>
    <row r="989" customFormat="false" ht="15.75" hidden="false" customHeight="true" outlineLevel="0" collapsed="false">
      <c r="A989" s="65"/>
      <c r="B989" s="65"/>
      <c r="C989" s="65"/>
      <c r="D989" s="65"/>
      <c r="E989" s="65"/>
      <c r="F989" s="65"/>
      <c r="G989" s="65"/>
      <c r="H989" s="65"/>
      <c r="I989" s="65"/>
      <c r="J989" s="65"/>
      <c r="K989" s="65"/>
      <c r="L989" s="65"/>
      <c r="M989" s="65"/>
      <c r="N989" s="65"/>
      <c r="O989" s="65"/>
      <c r="P989" s="65"/>
      <c r="Q989" s="65"/>
      <c r="R989" s="65"/>
      <c r="S989" s="65"/>
      <c r="T989" s="65"/>
      <c r="U989" s="65"/>
      <c r="V989" s="65"/>
      <c r="W989" s="65"/>
      <c r="X989" s="65"/>
      <c r="Y989" s="65"/>
      <c r="Z989" s="65"/>
    </row>
    <row r="990" customFormat="false" ht="15.75" hidden="false" customHeight="true" outlineLevel="0" collapsed="false">
      <c r="A990" s="65"/>
      <c r="B990" s="65"/>
      <c r="C990" s="65"/>
      <c r="D990" s="65"/>
      <c r="E990" s="65"/>
      <c r="F990" s="65"/>
      <c r="G990" s="65"/>
      <c r="H990" s="65"/>
      <c r="I990" s="65"/>
      <c r="J990" s="65"/>
      <c r="K990" s="65"/>
      <c r="L990" s="65"/>
      <c r="M990" s="65"/>
      <c r="N990" s="65"/>
      <c r="O990" s="65"/>
      <c r="P990" s="65"/>
      <c r="Q990" s="65"/>
      <c r="R990" s="65"/>
      <c r="S990" s="65"/>
      <c r="T990" s="65"/>
      <c r="U990" s="65"/>
      <c r="V990" s="65"/>
      <c r="W990" s="65"/>
      <c r="X990" s="65"/>
      <c r="Y990" s="65"/>
      <c r="Z990" s="65"/>
    </row>
    <row r="991" customFormat="false" ht="15.75" hidden="false" customHeight="true" outlineLevel="0" collapsed="false">
      <c r="A991" s="65"/>
      <c r="B991" s="65"/>
      <c r="C991" s="65"/>
      <c r="D991" s="65"/>
      <c r="E991" s="65"/>
      <c r="F991" s="65"/>
      <c r="G991" s="65"/>
      <c r="H991" s="65"/>
      <c r="I991" s="65"/>
      <c r="J991" s="65"/>
      <c r="K991" s="65"/>
      <c r="L991" s="65"/>
      <c r="M991" s="65"/>
      <c r="N991" s="65"/>
      <c r="O991" s="65"/>
      <c r="P991" s="65"/>
      <c r="Q991" s="65"/>
      <c r="R991" s="65"/>
      <c r="S991" s="65"/>
      <c r="T991" s="65"/>
      <c r="U991" s="65"/>
      <c r="V991" s="65"/>
      <c r="W991" s="65"/>
      <c r="X991" s="65"/>
      <c r="Y991" s="65"/>
      <c r="Z991" s="65"/>
    </row>
    <row r="992" customFormat="false" ht="15.75" hidden="false" customHeight="true" outlineLevel="0" collapsed="false">
      <c r="A992" s="65"/>
      <c r="B992" s="65"/>
      <c r="C992" s="65"/>
      <c r="D992" s="65"/>
      <c r="E992" s="65"/>
      <c r="F992" s="65"/>
      <c r="G992" s="65"/>
      <c r="H992" s="65"/>
      <c r="I992" s="65"/>
      <c r="J992" s="65"/>
      <c r="K992" s="65"/>
      <c r="L992" s="65"/>
      <c r="M992" s="65"/>
      <c r="N992" s="65"/>
      <c r="O992" s="65"/>
      <c r="P992" s="65"/>
      <c r="Q992" s="65"/>
      <c r="R992" s="65"/>
      <c r="S992" s="65"/>
      <c r="T992" s="65"/>
      <c r="U992" s="65"/>
      <c r="V992" s="65"/>
      <c r="W992" s="65"/>
      <c r="X992" s="65"/>
      <c r="Y992" s="65"/>
      <c r="Z992" s="65"/>
    </row>
    <row r="993" customFormat="false" ht="15.75" hidden="false" customHeight="true" outlineLevel="0" collapsed="false">
      <c r="A993" s="65"/>
      <c r="B993" s="65"/>
      <c r="C993" s="65"/>
      <c r="D993" s="65"/>
      <c r="E993" s="65"/>
      <c r="F993" s="65"/>
      <c r="G993" s="65"/>
      <c r="H993" s="65"/>
      <c r="I993" s="65"/>
      <c r="J993" s="65"/>
      <c r="K993" s="65"/>
      <c r="L993" s="65"/>
      <c r="M993" s="65"/>
      <c r="N993" s="65"/>
      <c r="O993" s="65"/>
      <c r="P993" s="65"/>
      <c r="Q993" s="65"/>
      <c r="R993" s="65"/>
      <c r="S993" s="65"/>
      <c r="T993" s="65"/>
      <c r="U993" s="65"/>
      <c r="V993" s="65"/>
      <c r="W993" s="65"/>
      <c r="X993" s="65"/>
      <c r="Y993" s="65"/>
      <c r="Z993" s="65"/>
    </row>
    <row r="994" customFormat="false" ht="15.75" hidden="false" customHeight="true" outlineLevel="0" collapsed="false">
      <c r="A994" s="65"/>
      <c r="B994" s="65"/>
      <c r="C994" s="65"/>
      <c r="D994" s="65"/>
      <c r="E994" s="65"/>
      <c r="F994" s="65"/>
      <c r="G994" s="65"/>
      <c r="H994" s="65"/>
      <c r="I994" s="65"/>
      <c r="J994" s="65"/>
      <c r="K994" s="65"/>
      <c r="L994" s="65"/>
      <c r="M994" s="65"/>
      <c r="N994" s="65"/>
      <c r="O994" s="65"/>
      <c r="P994" s="65"/>
      <c r="Q994" s="65"/>
      <c r="R994" s="65"/>
      <c r="S994" s="65"/>
      <c r="T994" s="65"/>
      <c r="U994" s="65"/>
      <c r="V994" s="65"/>
      <c r="W994" s="65"/>
      <c r="X994" s="65"/>
      <c r="Y994" s="65"/>
      <c r="Z994" s="65"/>
    </row>
    <row r="995" customFormat="false" ht="15.75" hidden="false" customHeight="true" outlineLevel="0" collapsed="false">
      <c r="A995" s="65"/>
      <c r="B995" s="65"/>
      <c r="C995" s="65"/>
      <c r="D995" s="65"/>
      <c r="E995" s="65"/>
      <c r="F995" s="65"/>
      <c r="G995" s="65"/>
      <c r="H995" s="65"/>
      <c r="I995" s="65"/>
      <c r="J995" s="65"/>
      <c r="K995" s="65"/>
      <c r="L995" s="65"/>
      <c r="M995" s="65"/>
      <c r="N995" s="65"/>
      <c r="O995" s="65"/>
      <c r="P995" s="65"/>
      <c r="Q995" s="65"/>
      <c r="R995" s="65"/>
      <c r="S995" s="65"/>
      <c r="T995" s="65"/>
      <c r="U995" s="65"/>
      <c r="V995" s="65"/>
      <c r="W995" s="65"/>
      <c r="X995" s="65"/>
      <c r="Y995" s="65"/>
      <c r="Z995" s="65"/>
    </row>
    <row r="996" customFormat="false" ht="15.75" hidden="false" customHeight="true" outlineLevel="0" collapsed="false">
      <c r="A996" s="65"/>
      <c r="B996" s="65"/>
      <c r="C996" s="65"/>
      <c r="D996" s="65"/>
      <c r="E996" s="65"/>
      <c r="F996" s="65"/>
      <c r="G996" s="65"/>
      <c r="H996" s="65"/>
      <c r="I996" s="65"/>
      <c r="J996" s="65"/>
      <c r="K996" s="65"/>
      <c r="L996" s="65"/>
      <c r="M996" s="65"/>
      <c r="N996" s="65"/>
      <c r="O996" s="65"/>
      <c r="P996" s="65"/>
      <c r="Q996" s="65"/>
      <c r="R996" s="65"/>
      <c r="S996" s="65"/>
      <c r="T996" s="65"/>
      <c r="U996" s="65"/>
      <c r="V996" s="65"/>
      <c r="W996" s="65"/>
      <c r="X996" s="65"/>
      <c r="Y996" s="65"/>
      <c r="Z996" s="65"/>
    </row>
    <row r="997" customFormat="false" ht="15.75" hidden="false" customHeight="true" outlineLevel="0" collapsed="false">
      <c r="A997" s="65"/>
      <c r="B997" s="65"/>
      <c r="C997" s="65"/>
      <c r="D997" s="65"/>
      <c r="E997" s="65"/>
      <c r="F997" s="65"/>
      <c r="G997" s="65"/>
      <c r="H997" s="65"/>
      <c r="I997" s="65"/>
      <c r="J997" s="65"/>
      <c r="K997" s="65"/>
      <c r="L997" s="65"/>
      <c r="M997" s="65"/>
      <c r="N997" s="65"/>
      <c r="O997" s="65"/>
      <c r="P997" s="65"/>
      <c r="Q997" s="65"/>
      <c r="R997" s="65"/>
      <c r="S997" s="65"/>
      <c r="T997" s="65"/>
      <c r="U997" s="65"/>
      <c r="V997" s="65"/>
      <c r="W997" s="65"/>
      <c r="X997" s="65"/>
      <c r="Y997" s="65"/>
      <c r="Z997" s="65"/>
    </row>
    <row r="998" customFormat="false" ht="15.75" hidden="false" customHeight="true" outlineLevel="0" collapsed="false">
      <c r="A998" s="65"/>
      <c r="B998" s="65"/>
      <c r="C998" s="65"/>
      <c r="D998" s="65"/>
      <c r="E998" s="65"/>
      <c r="F998" s="65"/>
      <c r="G998" s="65"/>
      <c r="H998" s="65"/>
      <c r="I998" s="65"/>
      <c r="J998" s="65"/>
      <c r="K998" s="65"/>
      <c r="L998" s="65"/>
      <c r="M998" s="65"/>
      <c r="N998" s="65"/>
      <c r="O998" s="65"/>
      <c r="P998" s="65"/>
      <c r="Q998" s="65"/>
      <c r="R998" s="65"/>
      <c r="S998" s="65"/>
      <c r="T998" s="65"/>
      <c r="U998" s="65"/>
      <c r="V998" s="65"/>
      <c r="W998" s="65"/>
      <c r="X998" s="65"/>
      <c r="Y998" s="65"/>
      <c r="Z998" s="65"/>
    </row>
    <row r="999" customFormat="false" ht="15.75" hidden="false" customHeight="true" outlineLevel="0" collapsed="false">
      <c r="A999" s="65"/>
      <c r="B999" s="65"/>
      <c r="C999" s="65"/>
      <c r="D999" s="65"/>
      <c r="E999" s="65"/>
      <c r="F999" s="65"/>
      <c r="G999" s="65"/>
      <c r="H999" s="65"/>
      <c r="I999" s="65"/>
      <c r="J999" s="65"/>
      <c r="K999" s="65"/>
      <c r="L999" s="65"/>
      <c r="M999" s="65"/>
      <c r="N999" s="65"/>
      <c r="O999" s="65"/>
      <c r="P999" s="65"/>
      <c r="Q999" s="65"/>
      <c r="R999" s="65"/>
      <c r="S999" s="65"/>
      <c r="T999" s="65"/>
      <c r="U999" s="65"/>
      <c r="V999" s="65"/>
      <c r="W999" s="65"/>
      <c r="X999" s="65"/>
      <c r="Y999" s="65"/>
      <c r="Z999" s="65"/>
    </row>
    <row r="1000" customFormat="false" ht="15.75" hidden="false" customHeight="true" outlineLevel="0" collapsed="false">
      <c r="A1000" s="65"/>
      <c r="B1000" s="65"/>
      <c r="C1000" s="65"/>
      <c r="D1000" s="65"/>
      <c r="E1000" s="65"/>
      <c r="F1000" s="65"/>
      <c r="G1000" s="65"/>
      <c r="H1000" s="65"/>
      <c r="I1000" s="65"/>
      <c r="J1000" s="65"/>
      <c r="K1000" s="65"/>
      <c r="L1000" s="65"/>
      <c r="M1000" s="65"/>
      <c r="N1000" s="65"/>
      <c r="O1000" s="65"/>
      <c r="P1000" s="65"/>
      <c r="Q1000" s="65"/>
      <c r="R1000" s="65"/>
      <c r="S1000" s="65"/>
      <c r="T1000" s="65"/>
      <c r="U1000" s="65"/>
      <c r="V1000" s="65"/>
      <c r="W1000" s="65"/>
      <c r="X1000" s="65"/>
      <c r="Y1000" s="65"/>
      <c r="Z1000" s="65"/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53125" defaultRowHeight="15" zeroHeight="false" outlineLevelRow="0" outlineLevelCol="0"/>
  <cols>
    <col collapsed="false" customWidth="true" hidden="false" outlineLevel="0" max="1" min="1" style="1" width="7"/>
    <col collapsed="false" customWidth="true" hidden="false" outlineLevel="0" max="2" min="2" style="1" width="10"/>
    <col collapsed="false" customWidth="true" hidden="false" outlineLevel="0" max="3" min="3" style="1" width="12"/>
    <col collapsed="false" customWidth="true" hidden="false" outlineLevel="0" max="4" min="4" style="1" width="13"/>
    <col collapsed="false" customWidth="true" hidden="false" outlineLevel="0" max="5" min="5" style="1" width="9"/>
    <col collapsed="false" customWidth="true" hidden="false" outlineLevel="0" max="6" min="6" style="1" width="16"/>
    <col collapsed="false" customWidth="true" hidden="false" outlineLevel="0" max="7" min="7" style="1" width="11"/>
    <col collapsed="false" customWidth="true" hidden="false" outlineLevel="0" max="8" min="8" style="1" width="9"/>
    <col collapsed="false" customWidth="true" hidden="false" outlineLevel="0" max="9" min="9" style="1" width="11"/>
    <col collapsed="false" customWidth="true" hidden="false" outlineLevel="0" max="10" min="10" style="1" width="18"/>
    <col collapsed="false" customWidth="true" hidden="false" outlineLevel="0" max="11" min="11" style="1" width="12"/>
    <col collapsed="false" customWidth="true" hidden="false" outlineLevel="0" max="12" min="12" style="1" width="14"/>
    <col collapsed="false" customWidth="true" hidden="false" outlineLevel="0" max="13" min="13" style="1" width="3"/>
    <col collapsed="false" customWidth="true" hidden="false" outlineLevel="0" max="14" min="14" style="1" width="10"/>
    <col collapsed="false" customWidth="true" hidden="false" outlineLevel="0" max="15" min="15" style="1" width="20"/>
    <col collapsed="false" customWidth="true" hidden="false" outlineLevel="0" max="16" min="16" style="1" width="8"/>
    <col collapsed="false" customWidth="true" hidden="false" outlineLevel="0" max="17" min="17" style="1" width="14"/>
  </cols>
  <sheetData>
    <row r="1" customFormat="false" ht="48" hidden="false" customHeight="true" outlineLevel="0" collapsed="false">
      <c r="A1" s="71" t="s">
        <v>0</v>
      </c>
      <c r="B1" s="71" t="s">
        <v>1</v>
      </c>
      <c r="C1" s="71" t="s">
        <v>2</v>
      </c>
      <c r="D1" s="71" t="s">
        <v>134</v>
      </c>
      <c r="E1" s="71" t="s">
        <v>135</v>
      </c>
      <c r="F1" s="71" t="s">
        <v>136</v>
      </c>
      <c r="G1" s="71" t="s">
        <v>137</v>
      </c>
      <c r="H1" s="71" t="s">
        <v>138</v>
      </c>
      <c r="I1" s="71" t="s">
        <v>139</v>
      </c>
      <c r="J1" s="71" t="s">
        <v>140</v>
      </c>
      <c r="K1" s="71" t="s">
        <v>141</v>
      </c>
      <c r="L1" s="71" t="s">
        <v>142</v>
      </c>
    </row>
    <row r="2" customFormat="false" ht="15" hidden="false" customHeight="true" outlineLevel="0" collapsed="false">
      <c r="A2" s="72" t="n">
        <v>0</v>
      </c>
      <c r="B2" s="72" t="n">
        <f aca="false">MOD(4*A2^2,10)</f>
        <v>0</v>
      </c>
      <c r="C2" s="72" t="n">
        <f aca="false">(26*B2-5*B2^2)/24</f>
        <v>0</v>
      </c>
      <c r="D2" s="72" t="n">
        <f aca="false">(A2^2+4*C2)/5</f>
        <v>0</v>
      </c>
      <c r="E2" s="72" t="n">
        <f aca="false">MOD(D2,5)</f>
        <v>0</v>
      </c>
      <c r="F2" s="72" t="n">
        <f aca="false">1+MOD(D2-1,5)</f>
        <v>5</v>
      </c>
      <c r="G2" s="73"/>
      <c r="H2" s="72"/>
      <c r="I2" s="73"/>
      <c r="J2" s="72"/>
      <c r="K2" s="72" t="str">
        <f aca="false">IF(F2=1,"1:1",F2&amp;":"&amp;(F2-1))</f>
        <v>5:4</v>
      </c>
      <c r="L2" s="72"/>
      <c r="N2" s="74" t="s">
        <v>143</v>
      </c>
    </row>
    <row r="3" customFormat="false" ht="43.5" hidden="false" customHeight="true" outlineLevel="0" collapsed="false">
      <c r="A3" s="75" t="n">
        <f aca="false">A2+1</f>
        <v>1</v>
      </c>
      <c r="B3" s="75" t="n">
        <f aca="false">MOD(4*A3^2,10)</f>
        <v>4</v>
      </c>
      <c r="C3" s="75" t="n">
        <f aca="false">(26*B3-5*B3^2)/24</f>
        <v>1</v>
      </c>
      <c r="D3" s="75" t="n">
        <f aca="false">(A3^2+4*C3)/5</f>
        <v>1</v>
      </c>
      <c r="E3" s="75" t="n">
        <f aca="false">MOD(D3,5)</f>
        <v>1</v>
      </c>
      <c r="F3" s="75" t="n">
        <f aca="false">1+MOD(D3-1,5)</f>
        <v>1</v>
      </c>
      <c r="G3" s="76" t="n">
        <f aca="false">F3/F2</f>
        <v>0.2</v>
      </c>
      <c r="H3" s="75" t="str">
        <f aca="false">F3&amp;"/"&amp;F2</f>
        <v>1/5</v>
      </c>
      <c r="I3" s="76" t="n">
        <f aca="false">G3/2^FLOOR(LOG(G3,2),1)</f>
        <v>1.6</v>
      </c>
      <c r="J3" s="75" t="str">
        <f aca="false">INDEX($O$4:$O$10,MATCH(ROUND(I3,6),$N$4:$N$10,0))</f>
        <v>minor sixth</v>
      </c>
      <c r="K3" s="75" t="str">
        <f aca="false">IF(F3=1,"1:1",F3&amp;":"&amp;(F3-1))</f>
        <v>1:1</v>
      </c>
      <c r="L3" s="75" t="n">
        <f aca="false">ROUND(G3*INDEX($G$2:$G$52,51-A3+1),9)</f>
        <v>1</v>
      </c>
      <c r="N3" s="77" t="s">
        <v>144</v>
      </c>
      <c r="O3" s="77" t="s">
        <v>145</v>
      </c>
      <c r="P3" s="77" t="s">
        <v>146</v>
      </c>
      <c r="Q3" s="77" t="s">
        <v>147</v>
      </c>
    </row>
    <row r="4" customFormat="false" ht="15" hidden="false" customHeight="true" outlineLevel="0" collapsed="false">
      <c r="A4" s="75" t="n">
        <f aca="false">A3+1</f>
        <v>2</v>
      </c>
      <c r="B4" s="75" t="n">
        <f aca="false">MOD(4*A4^2,10)</f>
        <v>6</v>
      </c>
      <c r="C4" s="75" t="n">
        <f aca="false">(26*B4-5*B4^2)/24</f>
        <v>-1</v>
      </c>
      <c r="D4" s="75" t="n">
        <f aca="false">(A4^2+4*C4)/5</f>
        <v>0</v>
      </c>
      <c r="E4" s="75" t="n">
        <f aca="false">MOD(D4,5)</f>
        <v>0</v>
      </c>
      <c r="F4" s="75" t="n">
        <f aca="false">1+MOD(D4-1,5)</f>
        <v>5</v>
      </c>
      <c r="G4" s="76" t="n">
        <f aca="false">F4/F3</f>
        <v>5</v>
      </c>
      <c r="H4" s="75" t="str">
        <f aca="false">F4&amp;"/"&amp;F3</f>
        <v>5/1</v>
      </c>
      <c r="I4" s="76" t="n">
        <f aca="false">G4/2^FLOOR(LOG(G4,2),1)</f>
        <v>1.25</v>
      </c>
      <c r="J4" s="75" t="str">
        <f aca="false">INDEX($O$4:$O$10,MATCH(ROUND(I4,6),$N$4:$N$10,0))</f>
        <v>major third</v>
      </c>
      <c r="K4" s="75" t="str">
        <f aca="false">IF(F4=1,"1:1",F4&amp;":"&amp;(F4-1))</f>
        <v>5:4</v>
      </c>
      <c r="L4" s="75" t="n">
        <f aca="false">ROUND(G4*INDEX($G$2:$G$52,51-A4+1),9)</f>
        <v>1</v>
      </c>
      <c r="N4" s="78" t="n">
        <f aca="false">ROUND(1,6)</f>
        <v>1</v>
      </c>
      <c r="O4" s="78" t="s">
        <v>148</v>
      </c>
      <c r="P4" s="78" t="s">
        <v>149</v>
      </c>
      <c r="Q4" s="78" t="n">
        <f aca="false">COUNTIF($J$3:$J$27,O4)</f>
        <v>9</v>
      </c>
    </row>
    <row r="5" customFormat="false" ht="15" hidden="false" customHeight="true" outlineLevel="0" collapsed="false">
      <c r="A5" s="75" t="n">
        <f aca="false">A4+1</f>
        <v>3</v>
      </c>
      <c r="B5" s="75" t="n">
        <f aca="false">MOD(4*A5^2,10)</f>
        <v>6</v>
      </c>
      <c r="C5" s="75" t="n">
        <f aca="false">(26*B5-5*B5^2)/24</f>
        <v>-1</v>
      </c>
      <c r="D5" s="75" t="n">
        <f aca="false">(A5^2+4*C5)/5</f>
        <v>1</v>
      </c>
      <c r="E5" s="75" t="n">
        <f aca="false">MOD(D5,5)</f>
        <v>1</v>
      </c>
      <c r="F5" s="75" t="n">
        <f aca="false">1+MOD(D5-1,5)</f>
        <v>1</v>
      </c>
      <c r="G5" s="76" t="n">
        <f aca="false">F5/F4</f>
        <v>0.2</v>
      </c>
      <c r="H5" s="75" t="str">
        <f aca="false">F5&amp;"/"&amp;F4</f>
        <v>1/5</v>
      </c>
      <c r="I5" s="76" t="n">
        <f aca="false">G5/2^FLOOR(LOG(G5,2),1)</f>
        <v>1.6</v>
      </c>
      <c r="J5" s="75" t="str">
        <f aca="false">INDEX($O$4:$O$10,MATCH(ROUND(I5,6),$N$4:$N$10,0))</f>
        <v>minor sixth</v>
      </c>
      <c r="K5" s="75" t="str">
        <f aca="false">IF(F5=1,"1:1",F5&amp;":"&amp;(F5-1))</f>
        <v>1:1</v>
      </c>
      <c r="L5" s="75" t="n">
        <f aca="false">ROUND(G5*INDEX($G$2:$G$52,51-A5+1),9)</f>
        <v>1</v>
      </c>
      <c r="N5" s="78" t="n">
        <f aca="false">ROUND(6/5,6)</f>
        <v>1.2</v>
      </c>
      <c r="O5" s="78" t="s">
        <v>150</v>
      </c>
      <c r="P5" s="78" t="s">
        <v>151</v>
      </c>
      <c r="Q5" s="78" t="n">
        <f aca="false">COUNTIF($J$3:$J$27,O5)</f>
        <v>2</v>
      </c>
    </row>
    <row r="6" customFormat="false" ht="15" hidden="false" customHeight="true" outlineLevel="0" collapsed="false">
      <c r="A6" s="75" t="n">
        <f aca="false">A5+1</f>
        <v>4</v>
      </c>
      <c r="B6" s="75" t="n">
        <f aca="false">MOD(4*A6^2,10)</f>
        <v>4</v>
      </c>
      <c r="C6" s="75" t="n">
        <f aca="false">(26*B6-5*B6^2)/24</f>
        <v>1</v>
      </c>
      <c r="D6" s="75" t="n">
        <f aca="false">(A6^2+4*C6)/5</f>
        <v>4</v>
      </c>
      <c r="E6" s="75" t="n">
        <f aca="false">MOD(D6,5)</f>
        <v>4</v>
      </c>
      <c r="F6" s="75" t="n">
        <f aca="false">1+MOD(D6-1,5)</f>
        <v>4</v>
      </c>
      <c r="G6" s="76" t="n">
        <f aca="false">F6/F5</f>
        <v>4</v>
      </c>
      <c r="H6" s="75" t="str">
        <f aca="false">F6&amp;"/"&amp;F5</f>
        <v>4/1</v>
      </c>
      <c r="I6" s="76" t="n">
        <f aca="false">G6/2^FLOOR(LOG(G6,2),1)</f>
        <v>1</v>
      </c>
      <c r="J6" s="75" t="str">
        <f aca="false">INDEX($O$4:$O$10,MATCH(ROUND(I6,6),$N$4:$N$10,0))</f>
        <v>unison / octave(s)</v>
      </c>
      <c r="K6" s="75" t="str">
        <f aca="false">IF(F6=1,"1:1",F6&amp;":"&amp;(F6-1))</f>
        <v>4:3</v>
      </c>
      <c r="L6" s="75" t="n">
        <f aca="false">ROUND(G6*INDEX($G$2:$G$52,51-A6+1),9)</f>
        <v>1</v>
      </c>
      <c r="N6" s="78" t="n">
        <f aca="false">ROUND(5/4,6)</f>
        <v>1.25</v>
      </c>
      <c r="O6" s="78" t="s">
        <v>152</v>
      </c>
      <c r="P6" s="78" t="s">
        <v>153</v>
      </c>
      <c r="Q6" s="78" t="n">
        <f aca="false">COUNTIF($J$3:$J$27,O6)</f>
        <v>5</v>
      </c>
    </row>
    <row r="7" customFormat="false" ht="15" hidden="false" customHeight="true" outlineLevel="0" collapsed="false">
      <c r="A7" s="75" t="n">
        <f aca="false">A6+1</f>
        <v>5</v>
      </c>
      <c r="B7" s="75" t="n">
        <f aca="false">MOD(4*A7^2,10)</f>
        <v>0</v>
      </c>
      <c r="C7" s="75" t="n">
        <f aca="false">(26*B7-5*B7^2)/24</f>
        <v>0</v>
      </c>
      <c r="D7" s="75" t="n">
        <f aca="false">(A7^2+4*C7)/5</f>
        <v>5</v>
      </c>
      <c r="E7" s="75" t="n">
        <f aca="false">MOD(D7,5)</f>
        <v>0</v>
      </c>
      <c r="F7" s="75" t="n">
        <f aca="false">1+MOD(D7-1,5)</f>
        <v>5</v>
      </c>
      <c r="G7" s="76" t="n">
        <f aca="false">F7/F6</f>
        <v>1.25</v>
      </c>
      <c r="H7" s="75" t="str">
        <f aca="false">F7&amp;"/"&amp;F6</f>
        <v>5/4</v>
      </c>
      <c r="I7" s="76" t="n">
        <f aca="false">G7/2^FLOOR(LOG(G7,2),1)</f>
        <v>1.25</v>
      </c>
      <c r="J7" s="75" t="str">
        <f aca="false">INDEX($O$4:$O$10,MATCH(ROUND(I7,6),$N$4:$N$10,0))</f>
        <v>major third</v>
      </c>
      <c r="K7" s="75" t="str">
        <f aca="false">IF(F7=1,"1:1",F7&amp;":"&amp;(F7-1))</f>
        <v>5:4</v>
      </c>
      <c r="L7" s="75" t="n">
        <f aca="false">ROUND(G7*INDEX($G$2:$G$52,51-A7+1),9)</f>
        <v>1</v>
      </c>
      <c r="N7" s="78" t="n">
        <f aca="false">ROUND(4/3,6)</f>
        <v>1.333333</v>
      </c>
      <c r="O7" s="78" t="s">
        <v>100</v>
      </c>
      <c r="P7" s="78" t="s">
        <v>154</v>
      </c>
      <c r="Q7" s="78" t="n">
        <f aca="false">COUNTIF($J$3:$J$27,O7)</f>
        <v>1</v>
      </c>
    </row>
    <row r="8" customFormat="false" ht="15" hidden="false" customHeight="true" outlineLevel="0" collapsed="false">
      <c r="A8" s="75" t="n">
        <f aca="false">A7+1</f>
        <v>6</v>
      </c>
      <c r="B8" s="75" t="n">
        <f aca="false">MOD(4*A8^2,10)</f>
        <v>4</v>
      </c>
      <c r="C8" s="75" t="n">
        <f aca="false">(26*B8-5*B8^2)/24</f>
        <v>1</v>
      </c>
      <c r="D8" s="75" t="n">
        <f aca="false">(A8^2+4*C8)/5</f>
        <v>8</v>
      </c>
      <c r="E8" s="75" t="n">
        <f aca="false">MOD(D8,5)</f>
        <v>3</v>
      </c>
      <c r="F8" s="75" t="n">
        <f aca="false">1+MOD(D8-1,5)</f>
        <v>3</v>
      </c>
      <c r="G8" s="76" t="n">
        <f aca="false">F8/F7</f>
        <v>0.6</v>
      </c>
      <c r="H8" s="75" t="str">
        <f aca="false">F8&amp;"/"&amp;F7</f>
        <v>3/5</v>
      </c>
      <c r="I8" s="76" t="n">
        <f aca="false">G8/2^FLOOR(LOG(G8,2),1)</f>
        <v>1.2</v>
      </c>
      <c r="J8" s="75" t="str">
        <f aca="false">INDEX($O$4:$O$10,MATCH(ROUND(I8,6),$N$4:$N$10,0))</f>
        <v>minor third</v>
      </c>
      <c r="K8" s="75" t="str">
        <f aca="false">IF(F8=1,"1:1",F8&amp;":"&amp;(F8-1))</f>
        <v>3:2</v>
      </c>
      <c r="L8" s="75" t="n">
        <f aca="false">ROUND(G8*INDEX($G$2:$G$52,51-A8+1),9)</f>
        <v>1</v>
      </c>
      <c r="N8" s="78" t="n">
        <f aca="false">ROUND(3/2,6)</f>
        <v>1.5</v>
      </c>
      <c r="O8" s="78" t="s">
        <v>155</v>
      </c>
      <c r="P8" s="78" t="s">
        <v>156</v>
      </c>
      <c r="Q8" s="78" t="n">
        <f aca="false">COUNTIF($J$3:$J$27,O8)</f>
        <v>1</v>
      </c>
    </row>
    <row r="9" customFormat="false" ht="15" hidden="false" customHeight="true" outlineLevel="0" collapsed="false">
      <c r="A9" s="75" t="n">
        <f aca="false">A8+1</f>
        <v>7</v>
      </c>
      <c r="B9" s="75" t="n">
        <f aca="false">MOD(4*A9^2,10)</f>
        <v>6</v>
      </c>
      <c r="C9" s="75" t="n">
        <f aca="false">(26*B9-5*B9^2)/24</f>
        <v>-1</v>
      </c>
      <c r="D9" s="75" t="n">
        <f aca="false">(A9^2+4*C9)/5</f>
        <v>9</v>
      </c>
      <c r="E9" s="75" t="n">
        <f aca="false">MOD(D9,5)</f>
        <v>4</v>
      </c>
      <c r="F9" s="75" t="n">
        <f aca="false">1+MOD(D9-1,5)</f>
        <v>4</v>
      </c>
      <c r="G9" s="76" t="n">
        <f aca="false">F9/F8</f>
        <v>1.33333333333333</v>
      </c>
      <c r="H9" s="75" t="str">
        <f aca="false">F9&amp;"/"&amp;F8</f>
        <v>4/3</v>
      </c>
      <c r="I9" s="76" t="n">
        <f aca="false">G9/2^FLOOR(LOG(G9,2),1)</f>
        <v>1.33333333333333</v>
      </c>
      <c r="J9" s="75" t="str">
        <f aca="false">INDEX($O$4:$O$10,MATCH(ROUND(I9,6),$N$4:$N$10,0))</f>
        <v>fourth</v>
      </c>
      <c r="K9" s="75" t="str">
        <f aca="false">IF(F9=1,"1:1",F9&amp;":"&amp;(F9-1))</f>
        <v>4:3</v>
      </c>
      <c r="L9" s="75" t="n">
        <f aca="false">ROUND(G9*INDEX($G$2:$G$52,51-A9+1),9)</f>
        <v>1</v>
      </c>
      <c r="N9" s="78" t="n">
        <f aca="false">ROUND(8/5,6)</f>
        <v>1.6</v>
      </c>
      <c r="O9" s="78" t="s">
        <v>157</v>
      </c>
      <c r="P9" s="78" t="s">
        <v>158</v>
      </c>
      <c r="Q9" s="78" t="n">
        <f aca="false">COUNTIF($J$3:$J$27,O9)</f>
        <v>5</v>
      </c>
    </row>
    <row r="10" customFormat="false" ht="15" hidden="false" customHeight="true" outlineLevel="0" collapsed="false">
      <c r="A10" s="75" t="n">
        <f aca="false">A9+1</f>
        <v>8</v>
      </c>
      <c r="B10" s="75" t="n">
        <f aca="false">MOD(4*A10^2,10)</f>
        <v>6</v>
      </c>
      <c r="C10" s="75" t="n">
        <f aca="false">(26*B10-5*B10^2)/24</f>
        <v>-1</v>
      </c>
      <c r="D10" s="75" t="n">
        <f aca="false">(A10^2+4*C10)/5</f>
        <v>12</v>
      </c>
      <c r="E10" s="75" t="n">
        <f aca="false">MOD(D10,5)</f>
        <v>2</v>
      </c>
      <c r="F10" s="75" t="n">
        <f aca="false">1+MOD(D10-1,5)</f>
        <v>2</v>
      </c>
      <c r="G10" s="76" t="n">
        <f aca="false">F10/F9</f>
        <v>0.5</v>
      </c>
      <c r="H10" s="75" t="str">
        <f aca="false">F10&amp;"/"&amp;F9</f>
        <v>2/4</v>
      </c>
      <c r="I10" s="76" t="n">
        <f aca="false">G10/2^FLOOR(LOG(G10,2),1)</f>
        <v>1</v>
      </c>
      <c r="J10" s="75" t="str">
        <f aca="false">INDEX($O$4:$O$10,MATCH(ROUND(I10,6),$N$4:$N$10,0))</f>
        <v>unison / octave(s)</v>
      </c>
      <c r="K10" s="75" t="str">
        <f aca="false">IF(F10=1,"1:1",F10&amp;":"&amp;(F10-1))</f>
        <v>2:1</v>
      </c>
      <c r="L10" s="75" t="n">
        <f aca="false">ROUND(G10*INDEX($G$2:$G$52,51-A10+1),9)</f>
        <v>1</v>
      </c>
      <c r="N10" s="78" t="n">
        <f aca="false">ROUND(5/3,6)</f>
        <v>1.666667</v>
      </c>
      <c r="O10" s="78" t="s">
        <v>159</v>
      </c>
      <c r="P10" s="78" t="s">
        <v>160</v>
      </c>
      <c r="Q10" s="78" t="n">
        <f aca="false">COUNTIF($J$3:$J$27,O10)</f>
        <v>2</v>
      </c>
    </row>
    <row r="11" customFormat="false" ht="15" hidden="false" customHeight="true" outlineLevel="0" collapsed="false">
      <c r="A11" s="75" t="n">
        <f aca="false">A10+1</f>
        <v>9</v>
      </c>
      <c r="B11" s="75" t="n">
        <f aca="false">MOD(4*A11^2,10)</f>
        <v>4</v>
      </c>
      <c r="C11" s="75" t="n">
        <f aca="false">(26*B11-5*B11^2)/24</f>
        <v>1</v>
      </c>
      <c r="D11" s="75" t="n">
        <f aca="false">(A11^2+4*C11)/5</f>
        <v>17</v>
      </c>
      <c r="E11" s="75" t="n">
        <f aca="false">MOD(D11,5)</f>
        <v>2</v>
      </c>
      <c r="F11" s="75" t="n">
        <f aca="false">1+MOD(D11-1,5)</f>
        <v>2</v>
      </c>
      <c r="G11" s="76" t="n">
        <f aca="false">F11/F10</f>
        <v>1</v>
      </c>
      <c r="H11" s="75" t="str">
        <f aca="false">F11&amp;"/"&amp;F10</f>
        <v>2/2</v>
      </c>
      <c r="I11" s="76" t="n">
        <f aca="false">G11/2^FLOOR(LOG(G11,2),1)</f>
        <v>1</v>
      </c>
      <c r="J11" s="75" t="str">
        <f aca="false">INDEX($O$4:$O$10,MATCH(ROUND(I11,6),$N$4:$N$10,0))</f>
        <v>unison / octave(s)</v>
      </c>
      <c r="K11" s="75" t="str">
        <f aca="false">IF(F11=1,"1:1",F11&amp;":"&amp;(F11-1))</f>
        <v>2:1</v>
      </c>
      <c r="L11" s="75" t="n">
        <f aca="false">ROUND(G11*INDEX($G$2:$G$52,51-A11+1),9)</f>
        <v>1</v>
      </c>
      <c r="O11" s="74" t="s">
        <v>161</v>
      </c>
      <c r="Q11" s="74" t="n">
        <f aca="false">SUM(Q4:Q10)</f>
        <v>25</v>
      </c>
    </row>
    <row r="12" customFormat="false" ht="15" hidden="false" customHeight="true" outlineLevel="0" collapsed="false">
      <c r="A12" s="75" t="n">
        <f aca="false">A11+1</f>
        <v>10</v>
      </c>
      <c r="B12" s="75" t="n">
        <f aca="false">MOD(4*A12^2,10)</f>
        <v>0</v>
      </c>
      <c r="C12" s="75" t="n">
        <f aca="false">(26*B12-5*B12^2)/24</f>
        <v>0</v>
      </c>
      <c r="D12" s="75" t="n">
        <f aca="false">(A12^2+4*C12)/5</f>
        <v>20</v>
      </c>
      <c r="E12" s="75" t="n">
        <f aca="false">MOD(D12,5)</f>
        <v>0</v>
      </c>
      <c r="F12" s="75" t="n">
        <f aca="false">1+MOD(D12-1,5)</f>
        <v>5</v>
      </c>
      <c r="G12" s="76" t="n">
        <f aca="false">F12/F11</f>
        <v>2.5</v>
      </c>
      <c r="H12" s="75" t="str">
        <f aca="false">F12&amp;"/"&amp;F11</f>
        <v>5/2</v>
      </c>
      <c r="I12" s="76" t="n">
        <f aca="false">G12/2^FLOOR(LOG(G12,2),1)</f>
        <v>1.25</v>
      </c>
      <c r="J12" s="75" t="str">
        <f aca="false">INDEX($O$4:$O$10,MATCH(ROUND(I12,6),$N$4:$N$10,0))</f>
        <v>major third</v>
      </c>
      <c r="K12" s="75" t="str">
        <f aca="false">IF(F12=1,"1:1",F12&amp;":"&amp;(F12-1))</f>
        <v>5:4</v>
      </c>
      <c r="L12" s="75" t="n">
        <f aca="false">ROUND(G12*INDEX($G$2:$G$52,51-A12+1),9)</f>
        <v>1</v>
      </c>
    </row>
    <row r="13" customFormat="false" ht="15" hidden="false" customHeight="true" outlineLevel="0" collapsed="false">
      <c r="A13" s="75" t="n">
        <f aca="false">A12+1</f>
        <v>11</v>
      </c>
      <c r="B13" s="75" t="n">
        <f aca="false">MOD(4*A13^2,10)</f>
        <v>4</v>
      </c>
      <c r="C13" s="75" t="n">
        <f aca="false">(26*B13-5*B13^2)/24</f>
        <v>1</v>
      </c>
      <c r="D13" s="75" t="n">
        <f aca="false">(A13^2+4*C13)/5</f>
        <v>25</v>
      </c>
      <c r="E13" s="75" t="n">
        <f aca="false">MOD(D13,5)</f>
        <v>0</v>
      </c>
      <c r="F13" s="75" t="n">
        <f aca="false">1+MOD(D13-1,5)</f>
        <v>5</v>
      </c>
      <c r="G13" s="76" t="n">
        <f aca="false">F13/F12</f>
        <v>1</v>
      </c>
      <c r="H13" s="75" t="str">
        <f aca="false">F13&amp;"/"&amp;F12</f>
        <v>5/5</v>
      </c>
      <c r="I13" s="76" t="n">
        <f aca="false">G13/2^FLOOR(LOG(G13,2),1)</f>
        <v>1</v>
      </c>
      <c r="J13" s="75" t="str">
        <f aca="false">INDEX($O$4:$O$10,MATCH(ROUND(I13,6),$N$4:$N$10,0))</f>
        <v>unison / octave(s)</v>
      </c>
      <c r="K13" s="75" t="str">
        <f aca="false">IF(F13=1,"1:1",F13&amp;":"&amp;(F13-1))</f>
        <v>5:4</v>
      </c>
      <c r="L13" s="75" t="n">
        <f aca="false">ROUND(G13*INDEX($G$2:$G$52,51-A13+1),9)</f>
        <v>1</v>
      </c>
      <c r="N13" s="74" t="s">
        <v>162</v>
      </c>
    </row>
    <row r="14" customFormat="false" ht="15" hidden="false" customHeight="true" outlineLevel="0" collapsed="false">
      <c r="A14" s="75" t="n">
        <f aca="false">A13+1</f>
        <v>12</v>
      </c>
      <c r="B14" s="75" t="n">
        <f aca="false">MOD(4*A14^2,10)</f>
        <v>6</v>
      </c>
      <c r="C14" s="75" t="n">
        <f aca="false">(26*B14-5*B14^2)/24</f>
        <v>-1</v>
      </c>
      <c r="D14" s="75" t="n">
        <f aca="false">(A14^2+4*C14)/5</f>
        <v>28</v>
      </c>
      <c r="E14" s="75" t="n">
        <f aca="false">MOD(D14,5)</f>
        <v>3</v>
      </c>
      <c r="F14" s="75" t="n">
        <f aca="false">1+MOD(D14-1,5)</f>
        <v>3</v>
      </c>
      <c r="G14" s="76" t="n">
        <f aca="false">F14/F13</f>
        <v>0.6</v>
      </c>
      <c r="H14" s="75" t="str">
        <f aca="false">F14&amp;"/"&amp;F13</f>
        <v>3/5</v>
      </c>
      <c r="I14" s="76" t="n">
        <f aca="false">G14/2^FLOOR(LOG(G14,2),1)</f>
        <v>1.2</v>
      </c>
      <c r="J14" s="75" t="str">
        <f aca="false">INDEX($O$4:$O$10,MATCH(ROUND(I14,6),$N$4:$N$10,0))</f>
        <v>minor third</v>
      </c>
      <c r="K14" s="75" t="str">
        <f aca="false">IF(F14=1,"1:1",F14&amp;":"&amp;(F14-1))</f>
        <v>3:2</v>
      </c>
      <c r="L14" s="75" t="n">
        <f aca="false">ROUND(G14*INDEX($G$2:$G$52,51-A14+1),9)</f>
        <v>1</v>
      </c>
      <c r="O14" s="78" t="s">
        <v>163</v>
      </c>
      <c r="Q14" s="78" t="n">
        <f aca="false">COUNTIF($K$2:$K$26,O14)</f>
        <v>4</v>
      </c>
    </row>
    <row r="15" customFormat="false" ht="15" hidden="false" customHeight="true" outlineLevel="0" collapsed="false">
      <c r="A15" s="75" t="n">
        <f aca="false">A14+1</f>
        <v>13</v>
      </c>
      <c r="B15" s="75" t="n">
        <f aca="false">MOD(4*A15^2,10)</f>
        <v>6</v>
      </c>
      <c r="C15" s="75" t="n">
        <f aca="false">(26*B15-5*B15^2)/24</f>
        <v>-1</v>
      </c>
      <c r="D15" s="75" t="n">
        <f aca="false">(A15^2+4*C15)/5</f>
        <v>33</v>
      </c>
      <c r="E15" s="75" t="n">
        <f aca="false">MOD(D15,5)</f>
        <v>3</v>
      </c>
      <c r="F15" s="75" t="n">
        <f aca="false">1+MOD(D15-1,5)</f>
        <v>3</v>
      </c>
      <c r="G15" s="76" t="n">
        <f aca="false">F15/F14</f>
        <v>1</v>
      </c>
      <c r="H15" s="75" t="str">
        <f aca="false">F15&amp;"/"&amp;F14</f>
        <v>3/3</v>
      </c>
      <c r="I15" s="76" t="n">
        <f aca="false">G15/2^FLOOR(LOG(G15,2),1)</f>
        <v>1</v>
      </c>
      <c r="J15" s="75" t="str">
        <f aca="false">INDEX($O$4:$O$10,MATCH(ROUND(I15,6),$N$4:$N$10,0))</f>
        <v>unison / octave(s)</v>
      </c>
      <c r="K15" s="75" t="str">
        <f aca="false">IF(F15=1,"1:1",F15&amp;":"&amp;(F15-1))</f>
        <v>3:2</v>
      </c>
      <c r="L15" s="75" t="n">
        <f aca="false">ROUND(G15*INDEX($G$2:$G$52,51-A15+1),9)</f>
        <v>1</v>
      </c>
      <c r="O15" s="78" t="s">
        <v>164</v>
      </c>
      <c r="Q15" s="78" t="n">
        <f aca="false">COUNTIF($K$2:$K$26,O15)</f>
        <v>4</v>
      </c>
    </row>
    <row r="16" customFormat="false" ht="15" hidden="false" customHeight="true" outlineLevel="0" collapsed="false">
      <c r="A16" s="75" t="n">
        <f aca="false">A15+1</f>
        <v>14</v>
      </c>
      <c r="B16" s="75" t="n">
        <f aca="false">MOD(4*A16^2,10)</f>
        <v>4</v>
      </c>
      <c r="C16" s="75" t="n">
        <f aca="false">(26*B16-5*B16^2)/24</f>
        <v>1</v>
      </c>
      <c r="D16" s="75" t="n">
        <f aca="false">(A16^2+4*C16)/5</f>
        <v>40</v>
      </c>
      <c r="E16" s="75" t="n">
        <f aca="false">MOD(D16,5)</f>
        <v>0</v>
      </c>
      <c r="F16" s="75" t="n">
        <f aca="false">1+MOD(D16-1,5)</f>
        <v>5</v>
      </c>
      <c r="G16" s="76" t="n">
        <f aca="false">F16/F15</f>
        <v>1.66666666666667</v>
      </c>
      <c r="H16" s="75" t="str">
        <f aca="false">F16&amp;"/"&amp;F15</f>
        <v>5/3</v>
      </c>
      <c r="I16" s="76" t="n">
        <f aca="false">G16/2^FLOOR(LOG(G16,2),1)</f>
        <v>1.66666666666667</v>
      </c>
      <c r="J16" s="75" t="str">
        <f aca="false">INDEX($O$4:$O$10,MATCH(ROUND(I16,6),$N$4:$N$10,0))</f>
        <v>major sixth</v>
      </c>
      <c r="K16" s="75" t="str">
        <f aca="false">IF(F16=1,"1:1",F16&amp;":"&amp;(F16-1))</f>
        <v>5:4</v>
      </c>
      <c r="L16" s="75" t="n">
        <f aca="false">ROUND(G16*INDEX($G$2:$G$52,51-A16+1),9)</f>
        <v>1</v>
      </c>
      <c r="O16" s="78" t="s">
        <v>165</v>
      </c>
      <c r="Q16" s="78" t="n">
        <f aca="false">COUNTIF($K$2:$K$26,O16)</f>
        <v>4</v>
      </c>
    </row>
    <row r="17" customFormat="false" ht="15" hidden="false" customHeight="true" outlineLevel="0" collapsed="false">
      <c r="A17" s="75" t="n">
        <f aca="false">A16+1</f>
        <v>15</v>
      </c>
      <c r="B17" s="75" t="n">
        <f aca="false">MOD(4*A17^2,10)</f>
        <v>0</v>
      </c>
      <c r="C17" s="75" t="n">
        <f aca="false">(26*B17-5*B17^2)/24</f>
        <v>0</v>
      </c>
      <c r="D17" s="75" t="n">
        <f aca="false">(A17^2+4*C17)/5</f>
        <v>45</v>
      </c>
      <c r="E17" s="75" t="n">
        <f aca="false">MOD(D17,5)</f>
        <v>0</v>
      </c>
      <c r="F17" s="75" t="n">
        <f aca="false">1+MOD(D17-1,5)</f>
        <v>5</v>
      </c>
      <c r="G17" s="76" t="n">
        <f aca="false">F17/F16</f>
        <v>1</v>
      </c>
      <c r="H17" s="75" t="str">
        <f aca="false">F17&amp;"/"&amp;F16</f>
        <v>5/5</v>
      </c>
      <c r="I17" s="76" t="n">
        <f aca="false">G17/2^FLOOR(LOG(G17,2),1)</f>
        <v>1</v>
      </c>
      <c r="J17" s="75" t="str">
        <f aca="false">INDEX($O$4:$O$10,MATCH(ROUND(I17,6),$N$4:$N$10,0))</f>
        <v>unison / octave(s)</v>
      </c>
      <c r="K17" s="75" t="str">
        <f aca="false">IF(F17=1,"1:1",F17&amp;":"&amp;(F17-1))</f>
        <v>5:4</v>
      </c>
      <c r="L17" s="75" t="n">
        <f aca="false">ROUND(G17*INDEX($G$2:$G$52,51-A17+1),9)</f>
        <v>1</v>
      </c>
      <c r="O17" s="78" t="s">
        <v>166</v>
      </c>
      <c r="Q17" s="78" t="n">
        <f aca="false">COUNTIF($K$2:$K$26,O17)</f>
        <v>4</v>
      </c>
    </row>
    <row r="18" customFormat="false" ht="15" hidden="false" customHeight="true" outlineLevel="0" collapsed="false">
      <c r="A18" s="75" t="n">
        <f aca="false">A17+1</f>
        <v>16</v>
      </c>
      <c r="B18" s="75" t="n">
        <f aca="false">MOD(4*A18^2,10)</f>
        <v>4</v>
      </c>
      <c r="C18" s="75" t="n">
        <f aca="false">(26*B18-5*B18^2)/24</f>
        <v>1</v>
      </c>
      <c r="D18" s="75" t="n">
        <f aca="false">(A18^2+4*C18)/5</f>
        <v>52</v>
      </c>
      <c r="E18" s="75" t="n">
        <f aca="false">MOD(D18,5)</f>
        <v>2</v>
      </c>
      <c r="F18" s="75" t="n">
        <f aca="false">1+MOD(D18-1,5)</f>
        <v>2</v>
      </c>
      <c r="G18" s="76" t="n">
        <f aca="false">F18/F17</f>
        <v>0.4</v>
      </c>
      <c r="H18" s="75" t="str">
        <f aca="false">F18&amp;"/"&amp;F17</f>
        <v>2/5</v>
      </c>
      <c r="I18" s="76" t="n">
        <f aca="false">G18/2^FLOOR(LOG(G18,2),1)</f>
        <v>1.6</v>
      </c>
      <c r="J18" s="75" t="str">
        <f aca="false">INDEX($O$4:$O$10,MATCH(ROUND(I18,6),$N$4:$N$10,0))</f>
        <v>minor sixth</v>
      </c>
      <c r="K18" s="75" t="str">
        <f aca="false">IF(F18=1,"1:1",F18&amp;":"&amp;(F18-1))</f>
        <v>2:1</v>
      </c>
      <c r="L18" s="75" t="n">
        <f aca="false">ROUND(G18*INDEX($G$2:$G$52,51-A18+1),9)</f>
        <v>1</v>
      </c>
      <c r="O18" s="78" t="s">
        <v>167</v>
      </c>
      <c r="Q18" s="78" t="n">
        <f aca="false">COUNTIF($K$2:$K$26,O18)</f>
        <v>9</v>
      </c>
    </row>
    <row r="19" customFormat="false" ht="15" hidden="false" customHeight="true" outlineLevel="0" collapsed="false">
      <c r="A19" s="75" t="n">
        <f aca="false">A18+1</f>
        <v>17</v>
      </c>
      <c r="B19" s="75" t="n">
        <f aca="false">MOD(4*A19^2,10)</f>
        <v>6</v>
      </c>
      <c r="C19" s="75" t="n">
        <f aca="false">(26*B19-5*B19^2)/24</f>
        <v>-1</v>
      </c>
      <c r="D19" s="75" t="n">
        <f aca="false">(A19^2+4*C19)/5</f>
        <v>57</v>
      </c>
      <c r="E19" s="75" t="n">
        <f aca="false">MOD(D19,5)</f>
        <v>2</v>
      </c>
      <c r="F19" s="75" t="n">
        <f aca="false">1+MOD(D19-1,5)</f>
        <v>2</v>
      </c>
      <c r="G19" s="76" t="n">
        <f aca="false">F19/F18</f>
        <v>1</v>
      </c>
      <c r="H19" s="75" t="str">
        <f aca="false">F19&amp;"/"&amp;F18</f>
        <v>2/2</v>
      </c>
      <c r="I19" s="76" t="n">
        <f aca="false">G19/2^FLOOR(LOG(G19,2),1)</f>
        <v>1</v>
      </c>
      <c r="J19" s="75" t="str">
        <f aca="false">INDEX($O$4:$O$10,MATCH(ROUND(I19,6),$N$4:$N$10,0))</f>
        <v>unison / octave(s)</v>
      </c>
      <c r="K19" s="75" t="str">
        <f aca="false">IF(F19=1,"1:1",F19&amp;":"&amp;(F19-1))</f>
        <v>2:1</v>
      </c>
      <c r="L19" s="75" t="n">
        <f aca="false">ROUND(G19*INDEX($G$2:$G$52,51-A19+1),9)</f>
        <v>1</v>
      </c>
    </row>
    <row r="20" customFormat="false" ht="15" hidden="false" customHeight="true" outlineLevel="0" collapsed="false">
      <c r="A20" s="75" t="n">
        <f aca="false">A19+1</f>
        <v>18</v>
      </c>
      <c r="B20" s="75" t="n">
        <f aca="false">MOD(4*A20^2,10)</f>
        <v>6</v>
      </c>
      <c r="C20" s="75" t="n">
        <f aca="false">(26*B20-5*B20^2)/24</f>
        <v>-1</v>
      </c>
      <c r="D20" s="75" t="n">
        <f aca="false">(A20^2+4*C20)/5</f>
        <v>64</v>
      </c>
      <c r="E20" s="75" t="n">
        <f aca="false">MOD(D20,5)</f>
        <v>4</v>
      </c>
      <c r="F20" s="75" t="n">
        <f aca="false">1+MOD(D20-1,5)</f>
        <v>4</v>
      </c>
      <c r="G20" s="76" t="n">
        <f aca="false">F20/F19</f>
        <v>2</v>
      </c>
      <c r="H20" s="75" t="str">
        <f aca="false">F20&amp;"/"&amp;F19</f>
        <v>4/2</v>
      </c>
      <c r="I20" s="76" t="n">
        <f aca="false">G20/2^FLOOR(LOG(G20,2),1)</f>
        <v>1</v>
      </c>
      <c r="J20" s="75" t="str">
        <f aca="false">INDEX($O$4:$O$10,MATCH(ROUND(I20,6),$N$4:$N$10,0))</f>
        <v>unison / octave(s)</v>
      </c>
      <c r="K20" s="75" t="str">
        <f aca="false">IF(F20=1,"1:1",F20&amp;":"&amp;(F20-1))</f>
        <v>4:3</v>
      </c>
      <c r="L20" s="75" t="n">
        <f aca="false">ROUND(G20*INDEX($G$2:$G$52,51-A20+1),9)</f>
        <v>1</v>
      </c>
      <c r="N20" s="74" t="s">
        <v>168</v>
      </c>
      <c r="Q20" s="78" t="n">
        <f aca="false">PRODUCT(G3:G27)</f>
        <v>1</v>
      </c>
    </row>
    <row r="21" customFormat="false" ht="15" hidden="false" customHeight="true" outlineLevel="0" collapsed="false">
      <c r="A21" s="75" t="n">
        <f aca="false">A20+1</f>
        <v>19</v>
      </c>
      <c r="B21" s="75" t="n">
        <f aca="false">MOD(4*A21^2,10)</f>
        <v>4</v>
      </c>
      <c r="C21" s="75" t="n">
        <f aca="false">(26*B21-5*B21^2)/24</f>
        <v>1</v>
      </c>
      <c r="D21" s="75" t="n">
        <f aca="false">(A21^2+4*C21)/5</f>
        <v>73</v>
      </c>
      <c r="E21" s="75" t="n">
        <f aca="false">MOD(D21,5)</f>
        <v>3</v>
      </c>
      <c r="F21" s="75" t="n">
        <f aca="false">1+MOD(D21-1,5)</f>
        <v>3</v>
      </c>
      <c r="G21" s="76" t="n">
        <f aca="false">F21/F20</f>
        <v>0.75</v>
      </c>
      <c r="H21" s="75" t="str">
        <f aca="false">F21&amp;"/"&amp;F20</f>
        <v>3/4</v>
      </c>
      <c r="I21" s="76" t="n">
        <f aca="false">G21/2^FLOOR(LOG(G21,2),1)</f>
        <v>1.5</v>
      </c>
      <c r="J21" s="75" t="str">
        <f aca="false">INDEX($O$4:$O$10,MATCH(ROUND(I21,6),$N$4:$N$10,0))</f>
        <v>fifth</v>
      </c>
      <c r="K21" s="75" t="str">
        <f aca="false">IF(F21=1,"1:1",F21&amp;":"&amp;(F21-1))</f>
        <v>3:2</v>
      </c>
      <c r="L21" s="75" t="n">
        <f aca="false">ROUND(G21*INDEX($G$2:$G$52,51-A21+1),9)</f>
        <v>1</v>
      </c>
    </row>
    <row r="22" customFormat="false" ht="15" hidden="false" customHeight="true" outlineLevel="0" collapsed="false">
      <c r="A22" s="75" t="n">
        <f aca="false">A21+1</f>
        <v>20</v>
      </c>
      <c r="B22" s="75" t="n">
        <f aca="false">MOD(4*A22^2,10)</f>
        <v>0</v>
      </c>
      <c r="C22" s="75" t="n">
        <f aca="false">(26*B22-5*B22^2)/24</f>
        <v>0</v>
      </c>
      <c r="D22" s="75" t="n">
        <f aca="false">(A22^2+4*C22)/5</f>
        <v>80</v>
      </c>
      <c r="E22" s="75" t="n">
        <f aca="false">MOD(D22,5)</f>
        <v>0</v>
      </c>
      <c r="F22" s="75" t="n">
        <f aca="false">1+MOD(D22-1,5)</f>
        <v>5</v>
      </c>
      <c r="G22" s="76" t="n">
        <f aca="false">F22/F21</f>
        <v>1.66666666666667</v>
      </c>
      <c r="H22" s="75" t="str">
        <f aca="false">F22&amp;"/"&amp;F21</f>
        <v>5/3</v>
      </c>
      <c r="I22" s="76" t="n">
        <f aca="false">G22/2^FLOOR(LOG(G22,2),1)</f>
        <v>1.66666666666667</v>
      </c>
      <c r="J22" s="75" t="str">
        <f aca="false">INDEX($O$4:$O$10,MATCH(ROUND(I22,6),$N$4:$N$10,0))</f>
        <v>major sixth</v>
      </c>
      <c r="K22" s="75" t="str">
        <f aca="false">IF(F22=1,"1:1",F22&amp;":"&amp;(F22-1))</f>
        <v>5:4</v>
      </c>
      <c r="L22" s="75" t="n">
        <f aca="false">ROUND(G22*INDEX($G$2:$G$52,51-A22+1),9)</f>
        <v>1</v>
      </c>
    </row>
    <row r="23" customFormat="false" ht="15" hidden="false" customHeight="true" outlineLevel="0" collapsed="false">
      <c r="A23" s="75" t="n">
        <f aca="false">A22+1</f>
        <v>21</v>
      </c>
      <c r="B23" s="75" t="n">
        <f aca="false">MOD(4*A23^2,10)</f>
        <v>4</v>
      </c>
      <c r="C23" s="75" t="n">
        <f aca="false">(26*B23-5*B23^2)/24</f>
        <v>1</v>
      </c>
      <c r="D23" s="75" t="n">
        <f aca="false">(A23^2+4*C23)/5</f>
        <v>89</v>
      </c>
      <c r="E23" s="75" t="n">
        <f aca="false">MOD(D23,5)</f>
        <v>4</v>
      </c>
      <c r="F23" s="75" t="n">
        <f aca="false">1+MOD(D23-1,5)</f>
        <v>4</v>
      </c>
      <c r="G23" s="76" t="n">
        <f aca="false">F23/F22</f>
        <v>0.8</v>
      </c>
      <c r="H23" s="75" t="str">
        <f aca="false">F23&amp;"/"&amp;F22</f>
        <v>4/5</v>
      </c>
      <c r="I23" s="76" t="n">
        <f aca="false">G23/2^FLOOR(LOG(G23,2),1)</f>
        <v>1.6</v>
      </c>
      <c r="J23" s="75" t="str">
        <f aca="false">INDEX($O$4:$O$10,MATCH(ROUND(I23,6),$N$4:$N$10,0))</f>
        <v>minor sixth</v>
      </c>
      <c r="K23" s="75" t="str">
        <f aca="false">IF(F23=1,"1:1",F23&amp;":"&amp;(F23-1))</f>
        <v>4:3</v>
      </c>
      <c r="L23" s="75" t="n">
        <f aca="false">ROUND(G23*INDEX($G$2:$G$52,51-A23+1),9)</f>
        <v>1</v>
      </c>
      <c r="N23" s="74" t="s">
        <v>169</v>
      </c>
    </row>
    <row r="24" customFormat="false" ht="15" hidden="false" customHeight="true" outlineLevel="0" collapsed="false">
      <c r="A24" s="75" t="n">
        <f aca="false">A23+1</f>
        <v>22</v>
      </c>
      <c r="B24" s="75" t="n">
        <f aca="false">MOD(4*A24^2,10)</f>
        <v>6</v>
      </c>
      <c r="C24" s="75" t="n">
        <f aca="false">(26*B24-5*B24^2)/24</f>
        <v>-1</v>
      </c>
      <c r="D24" s="75" t="n">
        <f aca="false">(A24^2+4*C24)/5</f>
        <v>96</v>
      </c>
      <c r="E24" s="75" t="n">
        <f aca="false">MOD(D24,5)</f>
        <v>1</v>
      </c>
      <c r="F24" s="75" t="n">
        <f aca="false">1+MOD(D24-1,5)</f>
        <v>1</v>
      </c>
      <c r="G24" s="76" t="n">
        <f aca="false">F24/F23</f>
        <v>0.25</v>
      </c>
      <c r="H24" s="75" t="str">
        <f aca="false">F24&amp;"/"&amp;F23</f>
        <v>1/4</v>
      </c>
      <c r="I24" s="76" t="n">
        <f aca="false">G24/2^FLOOR(LOG(G24,2),1)</f>
        <v>1</v>
      </c>
      <c r="J24" s="75" t="str">
        <f aca="false">INDEX($O$4:$O$10,MATCH(ROUND(I24,6),$N$4:$N$10,0))</f>
        <v>unison / octave(s)</v>
      </c>
      <c r="K24" s="75" t="str">
        <f aca="false">IF(F24=1,"1:1",F24&amp;":"&amp;(F24-1))</f>
        <v>1:1</v>
      </c>
      <c r="L24" s="75" t="n">
        <f aca="false">ROUND(G24*INDEX($G$2:$G$52,51-A24+1),9)</f>
        <v>1</v>
      </c>
      <c r="N24" s="79" t="s">
        <v>170</v>
      </c>
    </row>
    <row r="25" customFormat="false" ht="15" hidden="false" customHeight="true" outlineLevel="0" collapsed="false">
      <c r="A25" s="75" t="n">
        <f aca="false">A24+1</f>
        <v>23</v>
      </c>
      <c r="B25" s="75" t="n">
        <f aca="false">MOD(4*A25^2,10)</f>
        <v>6</v>
      </c>
      <c r="C25" s="75" t="n">
        <f aca="false">(26*B25-5*B25^2)/24</f>
        <v>-1</v>
      </c>
      <c r="D25" s="75" t="n">
        <f aca="false">(A25^2+4*C25)/5</f>
        <v>105</v>
      </c>
      <c r="E25" s="75" t="n">
        <f aca="false">MOD(D25,5)</f>
        <v>0</v>
      </c>
      <c r="F25" s="75" t="n">
        <f aca="false">1+MOD(D25-1,5)</f>
        <v>5</v>
      </c>
      <c r="G25" s="76" t="n">
        <f aca="false">F25/F24</f>
        <v>5</v>
      </c>
      <c r="H25" s="75" t="str">
        <f aca="false">F25&amp;"/"&amp;F24</f>
        <v>5/1</v>
      </c>
      <c r="I25" s="76" t="n">
        <f aca="false">G25/2^FLOOR(LOG(G25,2),1)</f>
        <v>1.25</v>
      </c>
      <c r="J25" s="75" t="str">
        <f aca="false">INDEX($O$4:$O$10,MATCH(ROUND(I25,6),$N$4:$N$10,0))</f>
        <v>major third</v>
      </c>
      <c r="K25" s="75" t="str">
        <f aca="false">IF(F25=1,"1:1",F25&amp;":"&amp;(F25-1))</f>
        <v>5:4</v>
      </c>
      <c r="L25" s="75" t="n">
        <f aca="false">ROUND(G25*INDEX($G$2:$G$52,51-A25+1),9)</f>
        <v>1</v>
      </c>
      <c r="N25" s="79" t="s">
        <v>171</v>
      </c>
    </row>
    <row r="26" customFormat="false" ht="15" hidden="false" customHeight="true" outlineLevel="0" collapsed="false">
      <c r="A26" s="75" t="n">
        <f aca="false">A25+1</f>
        <v>24</v>
      </c>
      <c r="B26" s="75" t="n">
        <f aca="false">MOD(4*A26^2,10)</f>
        <v>4</v>
      </c>
      <c r="C26" s="75" t="n">
        <f aca="false">(26*B26-5*B26^2)/24</f>
        <v>1</v>
      </c>
      <c r="D26" s="75" t="n">
        <f aca="false">(A26^2+4*C26)/5</f>
        <v>116</v>
      </c>
      <c r="E26" s="75" t="n">
        <f aca="false">MOD(D26,5)</f>
        <v>1</v>
      </c>
      <c r="F26" s="75" t="n">
        <f aca="false">1+MOD(D26-1,5)</f>
        <v>1</v>
      </c>
      <c r="G26" s="76" t="n">
        <f aca="false">F26/F25</f>
        <v>0.2</v>
      </c>
      <c r="H26" s="75" t="str">
        <f aca="false">F26&amp;"/"&amp;F25</f>
        <v>1/5</v>
      </c>
      <c r="I26" s="76" t="n">
        <f aca="false">G26/2^FLOOR(LOG(G26,2),1)</f>
        <v>1.6</v>
      </c>
      <c r="J26" s="75" t="str">
        <f aca="false">INDEX($O$4:$O$10,MATCH(ROUND(I26,6),$N$4:$N$10,0))</f>
        <v>minor sixth</v>
      </c>
      <c r="K26" s="75" t="str">
        <f aca="false">IF(F26=1,"1:1",F26&amp;":"&amp;(F26-1))</f>
        <v>1:1</v>
      </c>
      <c r="L26" s="75" t="n">
        <f aca="false">ROUND(G26*INDEX($G$2:$G$52,51-A26+1),9)</f>
        <v>1</v>
      </c>
      <c r="N26" s="79" t="s">
        <v>172</v>
      </c>
    </row>
    <row r="27" customFormat="false" ht="15" hidden="false" customHeight="true" outlineLevel="0" collapsed="false">
      <c r="A27" s="72" t="n">
        <f aca="false">A26+1</f>
        <v>25</v>
      </c>
      <c r="B27" s="72" t="n">
        <f aca="false">MOD(4*A27^2,10)</f>
        <v>0</v>
      </c>
      <c r="C27" s="72" t="n">
        <f aca="false">(26*B27-5*B27^2)/24</f>
        <v>0</v>
      </c>
      <c r="D27" s="72" t="n">
        <f aca="false">(A27^2+4*C27)/5</f>
        <v>125</v>
      </c>
      <c r="E27" s="72" t="n">
        <f aca="false">MOD(D27,5)</f>
        <v>0</v>
      </c>
      <c r="F27" s="72" t="n">
        <f aca="false">1+MOD(D27-1,5)</f>
        <v>5</v>
      </c>
      <c r="G27" s="73" t="n">
        <f aca="false">F27/F26</f>
        <v>5</v>
      </c>
      <c r="H27" s="72" t="str">
        <f aca="false">F27&amp;"/"&amp;F26</f>
        <v>5/1</v>
      </c>
      <c r="I27" s="73" t="n">
        <f aca="false">G27/2^FLOOR(LOG(G27,2),1)</f>
        <v>1.25</v>
      </c>
      <c r="J27" s="72" t="str">
        <f aca="false">INDEX($O$4:$O$10,MATCH(ROUND(I27,6),$N$4:$N$10,0))</f>
        <v>major third</v>
      </c>
      <c r="K27" s="72" t="str">
        <f aca="false">IF(F27=1,"1:1",F27&amp;":"&amp;(F27-1))</f>
        <v>5:4</v>
      </c>
      <c r="L27" s="72" t="n">
        <f aca="false">ROUND(G27*INDEX($G$2:$G$52,51-A27+1),9)</f>
        <v>1</v>
      </c>
      <c r="N27" s="79" t="s">
        <v>173</v>
      </c>
    </row>
    <row r="28" customFormat="false" ht="15" hidden="false" customHeight="true" outlineLevel="0" collapsed="false">
      <c r="A28" s="75" t="n">
        <f aca="false">A27+1</f>
        <v>26</v>
      </c>
      <c r="B28" s="75" t="n">
        <f aca="false">MOD(4*A28^2,10)</f>
        <v>4</v>
      </c>
      <c r="C28" s="75" t="n">
        <f aca="false">(26*B28-5*B28^2)/24</f>
        <v>1</v>
      </c>
      <c r="D28" s="75" t="n">
        <f aca="false">(A28^2+4*C28)/5</f>
        <v>136</v>
      </c>
      <c r="E28" s="75" t="n">
        <f aca="false">MOD(D28,5)</f>
        <v>1</v>
      </c>
      <c r="F28" s="75" t="n">
        <f aca="false">1+MOD(D28-1,5)</f>
        <v>1</v>
      </c>
      <c r="G28" s="76" t="n">
        <f aca="false">F28/F27</f>
        <v>0.2</v>
      </c>
      <c r="H28" s="75" t="str">
        <f aca="false">F28&amp;"/"&amp;F27</f>
        <v>1/5</v>
      </c>
      <c r="I28" s="76" t="n">
        <f aca="false">G28/2^FLOOR(LOG(G28,2),1)</f>
        <v>1.6</v>
      </c>
      <c r="J28" s="75" t="str">
        <f aca="false">INDEX($O$4:$O$10,MATCH(ROUND(I28,6),$N$4:$N$10,0))</f>
        <v>minor sixth</v>
      </c>
      <c r="K28" s="75" t="str">
        <f aca="false">IF(F28=1,"1:1",F28&amp;":"&amp;(F28-1))</f>
        <v>1:1</v>
      </c>
      <c r="L28" s="75" t="n">
        <f aca="false">ROUND(G28*INDEX($G$2:$G$52,51-A28+1),9)</f>
        <v>1</v>
      </c>
      <c r="N28" s="79" t="s">
        <v>174</v>
      </c>
    </row>
    <row r="29" customFormat="false" ht="15" hidden="false" customHeight="true" outlineLevel="0" collapsed="false">
      <c r="A29" s="75" t="n">
        <f aca="false">A28+1</f>
        <v>27</v>
      </c>
      <c r="B29" s="75" t="n">
        <f aca="false">MOD(4*A29^2,10)</f>
        <v>6</v>
      </c>
      <c r="C29" s="75" t="n">
        <f aca="false">(26*B29-5*B29^2)/24</f>
        <v>-1</v>
      </c>
      <c r="D29" s="75" t="n">
        <f aca="false">(A29^2+4*C29)/5</f>
        <v>145</v>
      </c>
      <c r="E29" s="75" t="n">
        <f aca="false">MOD(D29,5)</f>
        <v>0</v>
      </c>
      <c r="F29" s="75" t="n">
        <f aca="false">1+MOD(D29-1,5)</f>
        <v>5</v>
      </c>
      <c r="G29" s="76" t="n">
        <f aca="false">F29/F28</f>
        <v>5</v>
      </c>
      <c r="H29" s="75" t="str">
        <f aca="false">F29&amp;"/"&amp;F28</f>
        <v>5/1</v>
      </c>
      <c r="I29" s="76" t="n">
        <f aca="false">G29/2^FLOOR(LOG(G29,2),1)</f>
        <v>1.25</v>
      </c>
      <c r="J29" s="75" t="str">
        <f aca="false">INDEX($O$4:$O$10,MATCH(ROUND(I29,6),$N$4:$N$10,0))</f>
        <v>major third</v>
      </c>
      <c r="K29" s="75" t="str">
        <f aca="false">IF(F29=1,"1:1",F29&amp;":"&amp;(F29-1))</f>
        <v>5:4</v>
      </c>
      <c r="L29" s="75" t="n">
        <f aca="false">ROUND(G29*INDEX($G$2:$G$52,51-A29+1),9)</f>
        <v>1</v>
      </c>
      <c r="N29" s="79" t="s">
        <v>175</v>
      </c>
    </row>
    <row r="30" customFormat="false" ht="15" hidden="false" customHeight="true" outlineLevel="0" collapsed="false">
      <c r="A30" s="75" t="n">
        <f aca="false">A29+1</f>
        <v>28</v>
      </c>
      <c r="B30" s="75" t="n">
        <f aca="false">MOD(4*A30^2,10)</f>
        <v>6</v>
      </c>
      <c r="C30" s="75" t="n">
        <f aca="false">(26*B30-5*B30^2)/24</f>
        <v>-1</v>
      </c>
      <c r="D30" s="75" t="n">
        <f aca="false">(A30^2+4*C30)/5</f>
        <v>156</v>
      </c>
      <c r="E30" s="75" t="n">
        <f aca="false">MOD(D30,5)</f>
        <v>1</v>
      </c>
      <c r="F30" s="75" t="n">
        <f aca="false">1+MOD(D30-1,5)</f>
        <v>1</v>
      </c>
      <c r="G30" s="76" t="n">
        <f aca="false">F30/F29</f>
        <v>0.2</v>
      </c>
      <c r="H30" s="75" t="str">
        <f aca="false">F30&amp;"/"&amp;F29</f>
        <v>1/5</v>
      </c>
      <c r="I30" s="76" t="n">
        <f aca="false">G30/2^FLOOR(LOG(G30,2),1)</f>
        <v>1.6</v>
      </c>
      <c r="J30" s="75" t="str">
        <f aca="false">INDEX($O$4:$O$10,MATCH(ROUND(I30,6),$N$4:$N$10,0))</f>
        <v>minor sixth</v>
      </c>
      <c r="K30" s="75" t="str">
        <f aca="false">IF(F30=1,"1:1",F30&amp;":"&amp;(F30-1))</f>
        <v>1:1</v>
      </c>
      <c r="L30" s="75" t="n">
        <f aca="false">ROUND(G30*INDEX($G$2:$G$52,51-A30+1),9)</f>
        <v>1</v>
      </c>
      <c r="N30" s="79" t="s">
        <v>176</v>
      </c>
    </row>
    <row r="31" customFormat="false" ht="15" hidden="false" customHeight="true" outlineLevel="0" collapsed="false">
      <c r="A31" s="75" t="n">
        <f aca="false">A30+1</f>
        <v>29</v>
      </c>
      <c r="B31" s="75" t="n">
        <f aca="false">MOD(4*A31^2,10)</f>
        <v>4</v>
      </c>
      <c r="C31" s="75" t="n">
        <f aca="false">(26*B31-5*B31^2)/24</f>
        <v>1</v>
      </c>
      <c r="D31" s="75" t="n">
        <f aca="false">(A31^2+4*C31)/5</f>
        <v>169</v>
      </c>
      <c r="E31" s="75" t="n">
        <f aca="false">MOD(D31,5)</f>
        <v>4</v>
      </c>
      <c r="F31" s="75" t="n">
        <f aca="false">1+MOD(D31-1,5)</f>
        <v>4</v>
      </c>
      <c r="G31" s="76" t="n">
        <f aca="false">F31/F30</f>
        <v>4</v>
      </c>
      <c r="H31" s="75" t="str">
        <f aca="false">F31&amp;"/"&amp;F30</f>
        <v>4/1</v>
      </c>
      <c r="I31" s="76" t="n">
        <f aca="false">G31/2^FLOOR(LOG(G31,2),1)</f>
        <v>1</v>
      </c>
      <c r="J31" s="75" t="str">
        <f aca="false">INDEX($O$4:$O$10,MATCH(ROUND(I31,6),$N$4:$N$10,0))</f>
        <v>unison / octave(s)</v>
      </c>
      <c r="K31" s="75" t="str">
        <f aca="false">IF(F31=1,"1:1",F31&amp;":"&amp;(F31-1))</f>
        <v>4:3</v>
      </c>
      <c r="L31" s="75" t="n">
        <f aca="false">ROUND(G31*INDEX($G$2:$G$52,51-A31+1),9)</f>
        <v>1</v>
      </c>
    </row>
    <row r="32" customFormat="false" ht="15" hidden="false" customHeight="true" outlineLevel="0" collapsed="false">
      <c r="A32" s="75" t="n">
        <f aca="false">A31+1</f>
        <v>30</v>
      </c>
      <c r="B32" s="75" t="n">
        <f aca="false">MOD(4*A32^2,10)</f>
        <v>0</v>
      </c>
      <c r="C32" s="75" t="n">
        <f aca="false">(26*B32-5*B32^2)/24</f>
        <v>0</v>
      </c>
      <c r="D32" s="75" t="n">
        <f aca="false">(A32^2+4*C32)/5</f>
        <v>180</v>
      </c>
      <c r="E32" s="75" t="n">
        <f aca="false">MOD(D32,5)</f>
        <v>0</v>
      </c>
      <c r="F32" s="75" t="n">
        <f aca="false">1+MOD(D32-1,5)</f>
        <v>5</v>
      </c>
      <c r="G32" s="76" t="n">
        <f aca="false">F32/F31</f>
        <v>1.25</v>
      </c>
      <c r="H32" s="75" t="str">
        <f aca="false">F32&amp;"/"&amp;F31</f>
        <v>5/4</v>
      </c>
      <c r="I32" s="76" t="n">
        <f aca="false">G32/2^FLOOR(LOG(G32,2),1)</f>
        <v>1.25</v>
      </c>
      <c r="J32" s="75" t="str">
        <f aca="false">INDEX($O$4:$O$10,MATCH(ROUND(I32,6),$N$4:$N$10,0))</f>
        <v>major third</v>
      </c>
      <c r="K32" s="75" t="str">
        <f aca="false">IF(F32=1,"1:1",F32&amp;":"&amp;(F32-1))</f>
        <v>5:4</v>
      </c>
      <c r="L32" s="75" t="n">
        <f aca="false">ROUND(G32*INDEX($G$2:$G$52,51-A32+1),9)</f>
        <v>1</v>
      </c>
    </row>
    <row r="33" customFormat="false" ht="15" hidden="false" customHeight="true" outlineLevel="0" collapsed="false">
      <c r="A33" s="75" t="n">
        <f aca="false">A32+1</f>
        <v>31</v>
      </c>
      <c r="B33" s="75" t="n">
        <f aca="false">MOD(4*A33^2,10)</f>
        <v>4</v>
      </c>
      <c r="C33" s="75" t="n">
        <f aca="false">(26*B33-5*B33^2)/24</f>
        <v>1</v>
      </c>
      <c r="D33" s="75" t="n">
        <f aca="false">(A33^2+4*C33)/5</f>
        <v>193</v>
      </c>
      <c r="E33" s="75" t="n">
        <f aca="false">MOD(D33,5)</f>
        <v>3</v>
      </c>
      <c r="F33" s="75" t="n">
        <f aca="false">1+MOD(D33-1,5)</f>
        <v>3</v>
      </c>
      <c r="G33" s="76" t="n">
        <f aca="false">F33/F32</f>
        <v>0.6</v>
      </c>
      <c r="H33" s="75" t="str">
        <f aca="false">F33&amp;"/"&amp;F32</f>
        <v>3/5</v>
      </c>
      <c r="I33" s="76" t="n">
        <f aca="false">G33/2^FLOOR(LOG(G33,2),1)</f>
        <v>1.2</v>
      </c>
      <c r="J33" s="75" t="str">
        <f aca="false">INDEX($O$4:$O$10,MATCH(ROUND(I33,6),$N$4:$N$10,0))</f>
        <v>minor third</v>
      </c>
      <c r="K33" s="75" t="str">
        <f aca="false">IF(F33=1,"1:1",F33&amp;":"&amp;(F33-1))</f>
        <v>3:2</v>
      </c>
      <c r="L33" s="75" t="n">
        <f aca="false">ROUND(G33*INDEX($G$2:$G$52,51-A33+1),9)</f>
        <v>1</v>
      </c>
    </row>
    <row r="34" customFormat="false" ht="15" hidden="false" customHeight="true" outlineLevel="0" collapsed="false">
      <c r="A34" s="75" t="n">
        <f aca="false">A33+1</f>
        <v>32</v>
      </c>
      <c r="B34" s="75" t="n">
        <f aca="false">MOD(4*A34^2,10)</f>
        <v>6</v>
      </c>
      <c r="C34" s="75" t="n">
        <f aca="false">(26*B34-5*B34^2)/24</f>
        <v>-1</v>
      </c>
      <c r="D34" s="75" t="n">
        <f aca="false">(A34^2+4*C34)/5</f>
        <v>204</v>
      </c>
      <c r="E34" s="75" t="n">
        <f aca="false">MOD(D34,5)</f>
        <v>4</v>
      </c>
      <c r="F34" s="75" t="n">
        <f aca="false">1+MOD(D34-1,5)</f>
        <v>4</v>
      </c>
      <c r="G34" s="76" t="n">
        <f aca="false">F34/F33</f>
        <v>1.33333333333333</v>
      </c>
      <c r="H34" s="75" t="str">
        <f aca="false">F34&amp;"/"&amp;F33</f>
        <v>4/3</v>
      </c>
      <c r="I34" s="76" t="n">
        <f aca="false">G34/2^FLOOR(LOG(G34,2),1)</f>
        <v>1.33333333333333</v>
      </c>
      <c r="J34" s="75" t="str">
        <f aca="false">INDEX($O$4:$O$10,MATCH(ROUND(I34,6),$N$4:$N$10,0))</f>
        <v>fourth</v>
      </c>
      <c r="K34" s="75" t="str">
        <f aca="false">IF(F34=1,"1:1",F34&amp;":"&amp;(F34-1))</f>
        <v>4:3</v>
      </c>
      <c r="L34" s="75" t="n">
        <f aca="false">ROUND(G34*INDEX($G$2:$G$52,51-A34+1),9)</f>
        <v>1</v>
      </c>
    </row>
    <row r="35" customFormat="false" ht="15" hidden="false" customHeight="true" outlineLevel="0" collapsed="false">
      <c r="A35" s="75" t="n">
        <f aca="false">A34+1</f>
        <v>33</v>
      </c>
      <c r="B35" s="75" t="n">
        <f aca="false">MOD(4*A35^2,10)</f>
        <v>6</v>
      </c>
      <c r="C35" s="75" t="n">
        <f aca="false">(26*B35-5*B35^2)/24</f>
        <v>-1</v>
      </c>
      <c r="D35" s="75" t="n">
        <f aca="false">(A35^2+4*C35)/5</f>
        <v>217</v>
      </c>
      <c r="E35" s="75" t="n">
        <f aca="false">MOD(D35,5)</f>
        <v>2</v>
      </c>
      <c r="F35" s="75" t="n">
        <f aca="false">1+MOD(D35-1,5)</f>
        <v>2</v>
      </c>
      <c r="G35" s="76" t="n">
        <f aca="false">F35/F34</f>
        <v>0.5</v>
      </c>
      <c r="H35" s="75" t="str">
        <f aca="false">F35&amp;"/"&amp;F34</f>
        <v>2/4</v>
      </c>
      <c r="I35" s="76" t="n">
        <f aca="false">G35/2^FLOOR(LOG(G35,2),1)</f>
        <v>1</v>
      </c>
      <c r="J35" s="75" t="str">
        <f aca="false">INDEX($O$4:$O$10,MATCH(ROUND(I35,6),$N$4:$N$10,0))</f>
        <v>unison / octave(s)</v>
      </c>
      <c r="K35" s="75" t="str">
        <f aca="false">IF(F35=1,"1:1",F35&amp;":"&amp;(F35-1))</f>
        <v>2:1</v>
      </c>
      <c r="L35" s="75" t="n">
        <f aca="false">ROUND(G35*INDEX($G$2:$G$52,51-A35+1),9)</f>
        <v>1</v>
      </c>
    </row>
    <row r="36" customFormat="false" ht="15" hidden="false" customHeight="true" outlineLevel="0" collapsed="false">
      <c r="A36" s="75" t="n">
        <f aca="false">A35+1</f>
        <v>34</v>
      </c>
      <c r="B36" s="75" t="n">
        <f aca="false">MOD(4*A36^2,10)</f>
        <v>4</v>
      </c>
      <c r="C36" s="75" t="n">
        <f aca="false">(26*B36-5*B36^2)/24</f>
        <v>1</v>
      </c>
      <c r="D36" s="75" t="n">
        <f aca="false">(A36^2+4*C36)/5</f>
        <v>232</v>
      </c>
      <c r="E36" s="75" t="n">
        <f aca="false">MOD(D36,5)</f>
        <v>2</v>
      </c>
      <c r="F36" s="75" t="n">
        <f aca="false">1+MOD(D36-1,5)</f>
        <v>2</v>
      </c>
      <c r="G36" s="76" t="n">
        <f aca="false">F36/F35</f>
        <v>1</v>
      </c>
      <c r="H36" s="75" t="str">
        <f aca="false">F36&amp;"/"&amp;F35</f>
        <v>2/2</v>
      </c>
      <c r="I36" s="76" t="n">
        <f aca="false">G36/2^FLOOR(LOG(G36,2),1)</f>
        <v>1</v>
      </c>
      <c r="J36" s="75" t="str">
        <f aca="false">INDEX($O$4:$O$10,MATCH(ROUND(I36,6),$N$4:$N$10,0))</f>
        <v>unison / octave(s)</v>
      </c>
      <c r="K36" s="75" t="str">
        <f aca="false">IF(F36=1,"1:1",F36&amp;":"&amp;(F36-1))</f>
        <v>2:1</v>
      </c>
      <c r="L36" s="75" t="n">
        <f aca="false">ROUND(G36*INDEX($G$2:$G$52,51-A36+1),9)</f>
        <v>1</v>
      </c>
    </row>
    <row r="37" customFormat="false" ht="15" hidden="false" customHeight="true" outlineLevel="0" collapsed="false">
      <c r="A37" s="75" t="n">
        <f aca="false">A36+1</f>
        <v>35</v>
      </c>
      <c r="B37" s="75" t="n">
        <f aca="false">MOD(4*A37^2,10)</f>
        <v>0</v>
      </c>
      <c r="C37" s="75" t="n">
        <f aca="false">(26*B37-5*B37^2)/24</f>
        <v>0</v>
      </c>
      <c r="D37" s="75" t="n">
        <f aca="false">(A37^2+4*C37)/5</f>
        <v>245</v>
      </c>
      <c r="E37" s="75" t="n">
        <f aca="false">MOD(D37,5)</f>
        <v>0</v>
      </c>
      <c r="F37" s="75" t="n">
        <f aca="false">1+MOD(D37-1,5)</f>
        <v>5</v>
      </c>
      <c r="G37" s="76" t="n">
        <f aca="false">F37/F36</f>
        <v>2.5</v>
      </c>
      <c r="H37" s="75" t="str">
        <f aca="false">F37&amp;"/"&amp;F36</f>
        <v>5/2</v>
      </c>
      <c r="I37" s="76" t="n">
        <f aca="false">G37/2^FLOOR(LOG(G37,2),1)</f>
        <v>1.25</v>
      </c>
      <c r="J37" s="75" t="str">
        <f aca="false">INDEX($O$4:$O$10,MATCH(ROUND(I37,6),$N$4:$N$10,0))</f>
        <v>major third</v>
      </c>
      <c r="K37" s="75" t="str">
        <f aca="false">IF(F37=1,"1:1",F37&amp;":"&amp;(F37-1))</f>
        <v>5:4</v>
      </c>
      <c r="L37" s="75" t="n">
        <f aca="false">ROUND(G37*INDEX($G$2:$G$52,51-A37+1),9)</f>
        <v>1</v>
      </c>
    </row>
    <row r="38" customFormat="false" ht="15" hidden="false" customHeight="true" outlineLevel="0" collapsed="false">
      <c r="A38" s="75" t="n">
        <f aca="false">A37+1</f>
        <v>36</v>
      </c>
      <c r="B38" s="75" t="n">
        <f aca="false">MOD(4*A38^2,10)</f>
        <v>4</v>
      </c>
      <c r="C38" s="75" t="n">
        <f aca="false">(26*B38-5*B38^2)/24</f>
        <v>1</v>
      </c>
      <c r="D38" s="75" t="n">
        <f aca="false">(A38^2+4*C38)/5</f>
        <v>260</v>
      </c>
      <c r="E38" s="75" t="n">
        <f aca="false">MOD(D38,5)</f>
        <v>0</v>
      </c>
      <c r="F38" s="75" t="n">
        <f aca="false">1+MOD(D38-1,5)</f>
        <v>5</v>
      </c>
      <c r="G38" s="76" t="n">
        <f aca="false">F38/F37</f>
        <v>1</v>
      </c>
      <c r="H38" s="75" t="str">
        <f aca="false">F38&amp;"/"&amp;F37</f>
        <v>5/5</v>
      </c>
      <c r="I38" s="76" t="n">
        <f aca="false">G38/2^FLOOR(LOG(G38,2),1)</f>
        <v>1</v>
      </c>
      <c r="J38" s="75" t="str">
        <f aca="false">INDEX($O$4:$O$10,MATCH(ROUND(I38,6),$N$4:$N$10,0))</f>
        <v>unison / octave(s)</v>
      </c>
      <c r="K38" s="75" t="str">
        <f aca="false">IF(F38=1,"1:1",F38&amp;":"&amp;(F38-1))</f>
        <v>5:4</v>
      </c>
      <c r="L38" s="75" t="n">
        <f aca="false">ROUND(G38*INDEX($G$2:$G$52,51-A38+1),9)</f>
        <v>1</v>
      </c>
    </row>
    <row r="39" customFormat="false" ht="15" hidden="false" customHeight="true" outlineLevel="0" collapsed="false">
      <c r="A39" s="75" t="n">
        <f aca="false">A38+1</f>
        <v>37</v>
      </c>
      <c r="B39" s="75" t="n">
        <f aca="false">MOD(4*A39^2,10)</f>
        <v>6</v>
      </c>
      <c r="C39" s="75" t="n">
        <f aca="false">(26*B39-5*B39^2)/24</f>
        <v>-1</v>
      </c>
      <c r="D39" s="75" t="n">
        <f aca="false">(A39^2+4*C39)/5</f>
        <v>273</v>
      </c>
      <c r="E39" s="75" t="n">
        <f aca="false">MOD(D39,5)</f>
        <v>3</v>
      </c>
      <c r="F39" s="75" t="n">
        <f aca="false">1+MOD(D39-1,5)</f>
        <v>3</v>
      </c>
      <c r="G39" s="76" t="n">
        <f aca="false">F39/F38</f>
        <v>0.6</v>
      </c>
      <c r="H39" s="75" t="str">
        <f aca="false">F39&amp;"/"&amp;F38</f>
        <v>3/5</v>
      </c>
      <c r="I39" s="76" t="n">
        <f aca="false">G39/2^FLOOR(LOG(G39,2),1)</f>
        <v>1.2</v>
      </c>
      <c r="J39" s="75" t="str">
        <f aca="false">INDEX($O$4:$O$10,MATCH(ROUND(I39,6),$N$4:$N$10,0))</f>
        <v>minor third</v>
      </c>
      <c r="K39" s="75" t="str">
        <f aca="false">IF(F39=1,"1:1",F39&amp;":"&amp;(F39-1))</f>
        <v>3:2</v>
      </c>
      <c r="L39" s="75" t="n">
        <f aca="false">ROUND(G39*INDEX($G$2:$G$52,51-A39+1),9)</f>
        <v>1</v>
      </c>
    </row>
    <row r="40" customFormat="false" ht="15" hidden="false" customHeight="true" outlineLevel="0" collapsed="false">
      <c r="A40" s="75" t="n">
        <f aca="false">A39+1</f>
        <v>38</v>
      </c>
      <c r="B40" s="75" t="n">
        <f aca="false">MOD(4*A40^2,10)</f>
        <v>6</v>
      </c>
      <c r="C40" s="75" t="n">
        <f aca="false">(26*B40-5*B40^2)/24</f>
        <v>-1</v>
      </c>
      <c r="D40" s="75" t="n">
        <f aca="false">(A40^2+4*C40)/5</f>
        <v>288</v>
      </c>
      <c r="E40" s="75" t="n">
        <f aca="false">MOD(D40,5)</f>
        <v>3</v>
      </c>
      <c r="F40" s="75" t="n">
        <f aca="false">1+MOD(D40-1,5)</f>
        <v>3</v>
      </c>
      <c r="G40" s="76" t="n">
        <f aca="false">F40/F39</f>
        <v>1</v>
      </c>
      <c r="H40" s="75" t="str">
        <f aca="false">F40&amp;"/"&amp;F39</f>
        <v>3/3</v>
      </c>
      <c r="I40" s="76" t="n">
        <f aca="false">G40/2^FLOOR(LOG(G40,2),1)</f>
        <v>1</v>
      </c>
      <c r="J40" s="75" t="str">
        <f aca="false">INDEX($O$4:$O$10,MATCH(ROUND(I40,6),$N$4:$N$10,0))</f>
        <v>unison / octave(s)</v>
      </c>
      <c r="K40" s="75" t="str">
        <f aca="false">IF(F40=1,"1:1",F40&amp;":"&amp;(F40-1))</f>
        <v>3:2</v>
      </c>
      <c r="L40" s="75" t="n">
        <f aca="false">ROUND(G40*INDEX($G$2:$G$52,51-A40+1),9)</f>
        <v>1</v>
      </c>
    </row>
    <row r="41" customFormat="false" ht="15" hidden="false" customHeight="true" outlineLevel="0" collapsed="false">
      <c r="A41" s="75" t="n">
        <f aca="false">A40+1</f>
        <v>39</v>
      </c>
      <c r="B41" s="75" t="n">
        <f aca="false">MOD(4*A41^2,10)</f>
        <v>4</v>
      </c>
      <c r="C41" s="75" t="n">
        <f aca="false">(26*B41-5*B41^2)/24</f>
        <v>1</v>
      </c>
      <c r="D41" s="75" t="n">
        <f aca="false">(A41^2+4*C41)/5</f>
        <v>305</v>
      </c>
      <c r="E41" s="75" t="n">
        <f aca="false">MOD(D41,5)</f>
        <v>0</v>
      </c>
      <c r="F41" s="75" t="n">
        <f aca="false">1+MOD(D41-1,5)</f>
        <v>5</v>
      </c>
      <c r="G41" s="76" t="n">
        <f aca="false">F41/F40</f>
        <v>1.66666666666667</v>
      </c>
      <c r="H41" s="75" t="str">
        <f aca="false">F41&amp;"/"&amp;F40</f>
        <v>5/3</v>
      </c>
      <c r="I41" s="76" t="n">
        <f aca="false">G41/2^FLOOR(LOG(G41,2),1)</f>
        <v>1.66666666666667</v>
      </c>
      <c r="J41" s="75" t="str">
        <f aca="false">INDEX($O$4:$O$10,MATCH(ROUND(I41,6),$N$4:$N$10,0))</f>
        <v>major sixth</v>
      </c>
      <c r="K41" s="75" t="str">
        <f aca="false">IF(F41=1,"1:1",F41&amp;":"&amp;(F41-1))</f>
        <v>5:4</v>
      </c>
      <c r="L41" s="75" t="n">
        <f aca="false">ROUND(G41*INDEX($G$2:$G$52,51-A41+1),9)</f>
        <v>1</v>
      </c>
    </row>
    <row r="42" customFormat="false" ht="15" hidden="false" customHeight="true" outlineLevel="0" collapsed="false">
      <c r="A42" s="75" t="n">
        <f aca="false">A41+1</f>
        <v>40</v>
      </c>
      <c r="B42" s="75" t="n">
        <f aca="false">MOD(4*A42^2,10)</f>
        <v>0</v>
      </c>
      <c r="C42" s="75" t="n">
        <f aca="false">(26*B42-5*B42^2)/24</f>
        <v>0</v>
      </c>
      <c r="D42" s="75" t="n">
        <f aca="false">(A42^2+4*C42)/5</f>
        <v>320</v>
      </c>
      <c r="E42" s="75" t="n">
        <f aca="false">MOD(D42,5)</f>
        <v>0</v>
      </c>
      <c r="F42" s="75" t="n">
        <f aca="false">1+MOD(D42-1,5)</f>
        <v>5</v>
      </c>
      <c r="G42" s="76" t="n">
        <f aca="false">F42/F41</f>
        <v>1</v>
      </c>
      <c r="H42" s="75" t="str">
        <f aca="false">F42&amp;"/"&amp;F41</f>
        <v>5/5</v>
      </c>
      <c r="I42" s="76" t="n">
        <f aca="false">G42/2^FLOOR(LOG(G42,2),1)</f>
        <v>1</v>
      </c>
      <c r="J42" s="75" t="str">
        <f aca="false">INDEX($O$4:$O$10,MATCH(ROUND(I42,6),$N$4:$N$10,0))</f>
        <v>unison / octave(s)</v>
      </c>
      <c r="K42" s="75" t="str">
        <f aca="false">IF(F42=1,"1:1",F42&amp;":"&amp;(F42-1))</f>
        <v>5:4</v>
      </c>
      <c r="L42" s="75" t="n">
        <f aca="false">ROUND(G42*INDEX($G$2:$G$52,51-A42+1),9)</f>
        <v>1</v>
      </c>
    </row>
    <row r="43" customFormat="false" ht="15" hidden="false" customHeight="true" outlineLevel="0" collapsed="false">
      <c r="A43" s="75" t="n">
        <f aca="false">A42+1</f>
        <v>41</v>
      </c>
      <c r="B43" s="75" t="n">
        <f aca="false">MOD(4*A43^2,10)</f>
        <v>4</v>
      </c>
      <c r="C43" s="75" t="n">
        <f aca="false">(26*B43-5*B43^2)/24</f>
        <v>1</v>
      </c>
      <c r="D43" s="75" t="n">
        <f aca="false">(A43^2+4*C43)/5</f>
        <v>337</v>
      </c>
      <c r="E43" s="75" t="n">
        <f aca="false">MOD(D43,5)</f>
        <v>2</v>
      </c>
      <c r="F43" s="75" t="n">
        <f aca="false">1+MOD(D43-1,5)</f>
        <v>2</v>
      </c>
      <c r="G43" s="76" t="n">
        <f aca="false">F43/F42</f>
        <v>0.4</v>
      </c>
      <c r="H43" s="75" t="str">
        <f aca="false">F43&amp;"/"&amp;F42</f>
        <v>2/5</v>
      </c>
      <c r="I43" s="76" t="n">
        <f aca="false">G43/2^FLOOR(LOG(G43,2),1)</f>
        <v>1.6</v>
      </c>
      <c r="J43" s="75" t="str">
        <f aca="false">INDEX($O$4:$O$10,MATCH(ROUND(I43,6),$N$4:$N$10,0))</f>
        <v>minor sixth</v>
      </c>
      <c r="K43" s="75" t="str">
        <f aca="false">IF(F43=1,"1:1",F43&amp;":"&amp;(F43-1))</f>
        <v>2:1</v>
      </c>
      <c r="L43" s="75" t="n">
        <f aca="false">ROUND(G43*INDEX($G$2:$G$52,51-A43+1),9)</f>
        <v>1</v>
      </c>
    </row>
    <row r="44" customFormat="false" ht="15" hidden="false" customHeight="true" outlineLevel="0" collapsed="false">
      <c r="A44" s="75" t="n">
        <f aca="false">A43+1</f>
        <v>42</v>
      </c>
      <c r="B44" s="75" t="n">
        <f aca="false">MOD(4*A44^2,10)</f>
        <v>6</v>
      </c>
      <c r="C44" s="75" t="n">
        <f aca="false">(26*B44-5*B44^2)/24</f>
        <v>-1</v>
      </c>
      <c r="D44" s="75" t="n">
        <f aca="false">(A44^2+4*C44)/5</f>
        <v>352</v>
      </c>
      <c r="E44" s="75" t="n">
        <f aca="false">MOD(D44,5)</f>
        <v>2</v>
      </c>
      <c r="F44" s="75" t="n">
        <f aca="false">1+MOD(D44-1,5)</f>
        <v>2</v>
      </c>
      <c r="G44" s="76" t="n">
        <f aca="false">F44/F43</f>
        <v>1</v>
      </c>
      <c r="H44" s="75" t="str">
        <f aca="false">F44&amp;"/"&amp;F43</f>
        <v>2/2</v>
      </c>
      <c r="I44" s="76" t="n">
        <f aca="false">G44/2^FLOOR(LOG(G44,2),1)</f>
        <v>1</v>
      </c>
      <c r="J44" s="75" t="str">
        <f aca="false">INDEX($O$4:$O$10,MATCH(ROUND(I44,6),$N$4:$N$10,0))</f>
        <v>unison / octave(s)</v>
      </c>
      <c r="K44" s="75" t="str">
        <f aca="false">IF(F44=1,"1:1",F44&amp;":"&amp;(F44-1))</f>
        <v>2:1</v>
      </c>
      <c r="L44" s="75" t="n">
        <f aca="false">ROUND(G44*INDEX($G$2:$G$52,51-A44+1),9)</f>
        <v>1</v>
      </c>
    </row>
    <row r="45" customFormat="false" ht="15" hidden="false" customHeight="true" outlineLevel="0" collapsed="false">
      <c r="A45" s="75" t="n">
        <f aca="false">A44+1</f>
        <v>43</v>
      </c>
      <c r="B45" s="75" t="n">
        <f aca="false">MOD(4*A45^2,10)</f>
        <v>6</v>
      </c>
      <c r="C45" s="75" t="n">
        <f aca="false">(26*B45-5*B45^2)/24</f>
        <v>-1</v>
      </c>
      <c r="D45" s="75" t="n">
        <f aca="false">(A45^2+4*C45)/5</f>
        <v>369</v>
      </c>
      <c r="E45" s="75" t="n">
        <f aca="false">MOD(D45,5)</f>
        <v>4</v>
      </c>
      <c r="F45" s="75" t="n">
        <f aca="false">1+MOD(D45-1,5)</f>
        <v>4</v>
      </c>
      <c r="G45" s="76" t="n">
        <f aca="false">F45/F44</f>
        <v>2</v>
      </c>
      <c r="H45" s="75" t="str">
        <f aca="false">F45&amp;"/"&amp;F44</f>
        <v>4/2</v>
      </c>
      <c r="I45" s="76" t="n">
        <f aca="false">G45/2^FLOOR(LOG(G45,2),1)</f>
        <v>1</v>
      </c>
      <c r="J45" s="75" t="str">
        <f aca="false">INDEX($O$4:$O$10,MATCH(ROUND(I45,6),$N$4:$N$10,0))</f>
        <v>unison / octave(s)</v>
      </c>
      <c r="K45" s="75" t="str">
        <f aca="false">IF(F45=1,"1:1",F45&amp;":"&amp;(F45-1))</f>
        <v>4:3</v>
      </c>
      <c r="L45" s="75" t="n">
        <f aca="false">ROUND(G45*INDEX($G$2:$G$52,51-A45+1),9)</f>
        <v>1</v>
      </c>
    </row>
    <row r="46" customFormat="false" ht="15" hidden="false" customHeight="true" outlineLevel="0" collapsed="false">
      <c r="A46" s="75" t="n">
        <f aca="false">A45+1</f>
        <v>44</v>
      </c>
      <c r="B46" s="75" t="n">
        <f aca="false">MOD(4*A46^2,10)</f>
        <v>4</v>
      </c>
      <c r="C46" s="75" t="n">
        <f aca="false">(26*B46-5*B46^2)/24</f>
        <v>1</v>
      </c>
      <c r="D46" s="75" t="n">
        <f aca="false">(A46^2+4*C46)/5</f>
        <v>388</v>
      </c>
      <c r="E46" s="75" t="n">
        <f aca="false">MOD(D46,5)</f>
        <v>3</v>
      </c>
      <c r="F46" s="75" t="n">
        <f aca="false">1+MOD(D46-1,5)</f>
        <v>3</v>
      </c>
      <c r="G46" s="76" t="n">
        <f aca="false">F46/F45</f>
        <v>0.75</v>
      </c>
      <c r="H46" s="75" t="str">
        <f aca="false">F46&amp;"/"&amp;F45</f>
        <v>3/4</v>
      </c>
      <c r="I46" s="76" t="n">
        <f aca="false">G46/2^FLOOR(LOG(G46,2),1)</f>
        <v>1.5</v>
      </c>
      <c r="J46" s="75" t="str">
        <f aca="false">INDEX($O$4:$O$10,MATCH(ROUND(I46,6),$N$4:$N$10,0))</f>
        <v>fifth</v>
      </c>
      <c r="K46" s="75" t="str">
        <f aca="false">IF(F46=1,"1:1",F46&amp;":"&amp;(F46-1))</f>
        <v>3:2</v>
      </c>
      <c r="L46" s="75" t="n">
        <f aca="false">ROUND(G46*INDEX($G$2:$G$52,51-A46+1),9)</f>
        <v>1</v>
      </c>
    </row>
    <row r="47" customFormat="false" ht="15" hidden="false" customHeight="true" outlineLevel="0" collapsed="false">
      <c r="A47" s="75" t="n">
        <f aca="false">A46+1</f>
        <v>45</v>
      </c>
      <c r="B47" s="75" t="n">
        <f aca="false">MOD(4*A47^2,10)</f>
        <v>0</v>
      </c>
      <c r="C47" s="75" t="n">
        <f aca="false">(26*B47-5*B47^2)/24</f>
        <v>0</v>
      </c>
      <c r="D47" s="75" t="n">
        <f aca="false">(A47^2+4*C47)/5</f>
        <v>405</v>
      </c>
      <c r="E47" s="75" t="n">
        <f aca="false">MOD(D47,5)</f>
        <v>0</v>
      </c>
      <c r="F47" s="75" t="n">
        <f aca="false">1+MOD(D47-1,5)</f>
        <v>5</v>
      </c>
      <c r="G47" s="76" t="n">
        <f aca="false">F47/F46</f>
        <v>1.66666666666667</v>
      </c>
      <c r="H47" s="75" t="str">
        <f aca="false">F47&amp;"/"&amp;F46</f>
        <v>5/3</v>
      </c>
      <c r="I47" s="76" t="n">
        <f aca="false">G47/2^FLOOR(LOG(G47,2),1)</f>
        <v>1.66666666666667</v>
      </c>
      <c r="J47" s="75" t="str">
        <f aca="false">INDEX($O$4:$O$10,MATCH(ROUND(I47,6),$N$4:$N$10,0))</f>
        <v>major sixth</v>
      </c>
      <c r="K47" s="75" t="str">
        <f aca="false">IF(F47=1,"1:1",F47&amp;":"&amp;(F47-1))</f>
        <v>5:4</v>
      </c>
      <c r="L47" s="75" t="n">
        <f aca="false">ROUND(G47*INDEX($G$2:$G$52,51-A47+1),9)</f>
        <v>1</v>
      </c>
    </row>
    <row r="48" customFormat="false" ht="15" hidden="false" customHeight="true" outlineLevel="0" collapsed="false">
      <c r="A48" s="75" t="n">
        <f aca="false">A47+1</f>
        <v>46</v>
      </c>
      <c r="B48" s="75" t="n">
        <f aca="false">MOD(4*A48^2,10)</f>
        <v>4</v>
      </c>
      <c r="C48" s="75" t="n">
        <f aca="false">(26*B48-5*B48^2)/24</f>
        <v>1</v>
      </c>
      <c r="D48" s="75" t="n">
        <f aca="false">(A48^2+4*C48)/5</f>
        <v>424</v>
      </c>
      <c r="E48" s="75" t="n">
        <f aca="false">MOD(D48,5)</f>
        <v>4</v>
      </c>
      <c r="F48" s="75" t="n">
        <f aca="false">1+MOD(D48-1,5)</f>
        <v>4</v>
      </c>
      <c r="G48" s="76" t="n">
        <f aca="false">F48/F47</f>
        <v>0.8</v>
      </c>
      <c r="H48" s="75" t="str">
        <f aca="false">F48&amp;"/"&amp;F47</f>
        <v>4/5</v>
      </c>
      <c r="I48" s="76" t="n">
        <f aca="false">G48/2^FLOOR(LOG(G48,2),1)</f>
        <v>1.6</v>
      </c>
      <c r="J48" s="75" t="str">
        <f aca="false">INDEX($O$4:$O$10,MATCH(ROUND(I48,6),$N$4:$N$10,0))</f>
        <v>minor sixth</v>
      </c>
      <c r="K48" s="75" t="str">
        <f aca="false">IF(F48=1,"1:1",F48&amp;":"&amp;(F48-1))</f>
        <v>4:3</v>
      </c>
      <c r="L48" s="75" t="n">
        <f aca="false">ROUND(G48*INDEX($G$2:$G$52,51-A48+1),9)</f>
        <v>1</v>
      </c>
    </row>
    <row r="49" customFormat="false" ht="15" hidden="false" customHeight="true" outlineLevel="0" collapsed="false">
      <c r="A49" s="75" t="n">
        <f aca="false">A48+1</f>
        <v>47</v>
      </c>
      <c r="B49" s="75" t="n">
        <f aca="false">MOD(4*A49^2,10)</f>
        <v>6</v>
      </c>
      <c r="C49" s="75" t="n">
        <f aca="false">(26*B49-5*B49^2)/24</f>
        <v>-1</v>
      </c>
      <c r="D49" s="75" t="n">
        <f aca="false">(A49^2+4*C49)/5</f>
        <v>441</v>
      </c>
      <c r="E49" s="75" t="n">
        <f aca="false">MOD(D49,5)</f>
        <v>1</v>
      </c>
      <c r="F49" s="75" t="n">
        <f aca="false">1+MOD(D49-1,5)</f>
        <v>1</v>
      </c>
      <c r="G49" s="76" t="n">
        <f aca="false">F49/F48</f>
        <v>0.25</v>
      </c>
      <c r="H49" s="75" t="str">
        <f aca="false">F49&amp;"/"&amp;F48</f>
        <v>1/4</v>
      </c>
      <c r="I49" s="76" t="n">
        <f aca="false">G49/2^FLOOR(LOG(G49,2),1)</f>
        <v>1</v>
      </c>
      <c r="J49" s="75" t="str">
        <f aca="false">INDEX($O$4:$O$10,MATCH(ROUND(I49,6),$N$4:$N$10,0))</f>
        <v>unison / octave(s)</v>
      </c>
      <c r="K49" s="75" t="str">
        <f aca="false">IF(F49=1,"1:1",F49&amp;":"&amp;(F49-1))</f>
        <v>1:1</v>
      </c>
      <c r="L49" s="75" t="n">
        <f aca="false">ROUND(G49*INDEX($G$2:$G$52,51-A49+1),9)</f>
        <v>1</v>
      </c>
    </row>
    <row r="50" customFormat="false" ht="15" hidden="false" customHeight="true" outlineLevel="0" collapsed="false">
      <c r="A50" s="75" t="n">
        <f aca="false">A49+1</f>
        <v>48</v>
      </c>
      <c r="B50" s="75" t="n">
        <f aca="false">MOD(4*A50^2,10)</f>
        <v>6</v>
      </c>
      <c r="C50" s="75" t="n">
        <f aca="false">(26*B50-5*B50^2)/24</f>
        <v>-1</v>
      </c>
      <c r="D50" s="75" t="n">
        <f aca="false">(A50^2+4*C50)/5</f>
        <v>460</v>
      </c>
      <c r="E50" s="75" t="n">
        <f aca="false">MOD(D50,5)</f>
        <v>0</v>
      </c>
      <c r="F50" s="75" t="n">
        <f aca="false">1+MOD(D50-1,5)</f>
        <v>5</v>
      </c>
      <c r="G50" s="76" t="n">
        <f aca="false">F50/F49</f>
        <v>5</v>
      </c>
      <c r="H50" s="75" t="str">
        <f aca="false">F50&amp;"/"&amp;F49</f>
        <v>5/1</v>
      </c>
      <c r="I50" s="76" t="n">
        <f aca="false">G50/2^FLOOR(LOG(G50,2),1)</f>
        <v>1.25</v>
      </c>
      <c r="J50" s="75" t="str">
        <f aca="false">INDEX($O$4:$O$10,MATCH(ROUND(I50,6),$N$4:$N$10,0))</f>
        <v>major third</v>
      </c>
      <c r="K50" s="75" t="str">
        <f aca="false">IF(F50=1,"1:1",F50&amp;":"&amp;(F50-1))</f>
        <v>5:4</v>
      </c>
      <c r="L50" s="75" t="n">
        <f aca="false">ROUND(G50*INDEX($G$2:$G$52,51-A50+1),9)</f>
        <v>1</v>
      </c>
    </row>
    <row r="51" customFormat="false" ht="15" hidden="false" customHeight="true" outlineLevel="0" collapsed="false">
      <c r="A51" s="75" t="n">
        <f aca="false">A50+1</f>
        <v>49</v>
      </c>
      <c r="B51" s="75" t="n">
        <f aca="false">MOD(4*A51^2,10)</f>
        <v>4</v>
      </c>
      <c r="C51" s="75" t="n">
        <f aca="false">(26*B51-5*B51^2)/24</f>
        <v>1</v>
      </c>
      <c r="D51" s="75" t="n">
        <f aca="false">(A51^2+4*C51)/5</f>
        <v>481</v>
      </c>
      <c r="E51" s="75" t="n">
        <f aca="false">MOD(D51,5)</f>
        <v>1</v>
      </c>
      <c r="F51" s="75" t="n">
        <f aca="false">1+MOD(D51-1,5)</f>
        <v>1</v>
      </c>
      <c r="G51" s="76" t="n">
        <f aca="false">F51/F50</f>
        <v>0.2</v>
      </c>
      <c r="H51" s="75" t="str">
        <f aca="false">F51&amp;"/"&amp;F50</f>
        <v>1/5</v>
      </c>
      <c r="I51" s="76" t="n">
        <f aca="false">G51/2^FLOOR(LOG(G51,2),1)</f>
        <v>1.6</v>
      </c>
      <c r="J51" s="75" t="str">
        <f aca="false">INDEX($O$4:$O$10,MATCH(ROUND(I51,6),$N$4:$N$10,0))</f>
        <v>minor sixth</v>
      </c>
      <c r="K51" s="75" t="str">
        <f aca="false">IF(F51=1,"1:1",F51&amp;":"&amp;(F51-1))</f>
        <v>1:1</v>
      </c>
      <c r="L51" s="75" t="n">
        <f aca="false">ROUND(G51*INDEX($G$2:$G$52,51-A51+1),9)</f>
        <v>1</v>
      </c>
    </row>
    <row r="52" customFormat="false" ht="15" hidden="false" customHeight="true" outlineLevel="0" collapsed="false">
      <c r="A52" s="72" t="n">
        <f aca="false">A51+1</f>
        <v>50</v>
      </c>
      <c r="B52" s="72" t="n">
        <f aca="false">MOD(4*A52^2,10)</f>
        <v>0</v>
      </c>
      <c r="C52" s="72" t="n">
        <f aca="false">(26*B52-5*B52^2)/24</f>
        <v>0</v>
      </c>
      <c r="D52" s="72" t="n">
        <f aca="false">(A52^2+4*C52)/5</f>
        <v>500</v>
      </c>
      <c r="E52" s="72" t="n">
        <f aca="false">MOD(D52,5)</f>
        <v>0</v>
      </c>
      <c r="F52" s="72" t="n">
        <f aca="false">1+MOD(D52-1,5)</f>
        <v>5</v>
      </c>
      <c r="G52" s="73" t="n">
        <f aca="false">F52/F51</f>
        <v>5</v>
      </c>
      <c r="H52" s="72" t="str">
        <f aca="false">F52&amp;"/"&amp;F51</f>
        <v>5/1</v>
      </c>
      <c r="I52" s="73" t="n">
        <f aca="false">G52/2^FLOOR(LOG(G52,2),1)</f>
        <v>1.25</v>
      </c>
      <c r="J52" s="72" t="str">
        <f aca="false">INDEX($O$4:$O$10,MATCH(ROUND(I52,6),$N$4:$N$10,0))</f>
        <v>major third</v>
      </c>
      <c r="K52" s="72" t="str">
        <f aca="false">IF(F52=1,"1:1",F52&amp;":"&amp;(F52-1))</f>
        <v>5:4</v>
      </c>
      <c r="L52" s="72" t="n">
        <f aca="false">ROUND(G52*INDEX($G$2:$G$52,51-A52+1),9)</f>
        <v>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2026-10-12T23:02:29Z</dcterms:created>
  <dc:creator>openpyxl</dc:creator>
  <dc:description/>
  <dc:language>en-US</dc:language>
  <cp:lastModifiedBy>lluis</cp:lastModifiedBy>
  <dcterms:modified xsi:type="dcterms:W3CDTF">2026-10-12T23:04:40Z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